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22260" windowHeight="12645" tabRatio="596" firstSheet="1" activeTab="3"/>
  </bookViews>
  <sheets>
    <sheet name="Instructions" sheetId="7" r:id="rId1"/>
    <sheet name="Main" sheetId="10" r:id="rId2"/>
    <sheet name="Main Data" sheetId="6" r:id="rId3"/>
    <sheet name="BalSht" sheetId="2" r:id="rId4"/>
    <sheet name="BalSht Data" sheetId="4" r:id="rId5"/>
    <sheet name="IncStmt" sheetId="3" r:id="rId6"/>
    <sheet name="IncStmt Data" sheetId="5" r:id="rId7"/>
  </sheets>
  <externalReferences>
    <externalReference r:id="rId8"/>
  </externalReferences>
  <definedNames>
    <definedName name="_xlnm._FilterDatabase" localSheetId="1" hidden="1">Main!$A$19:$G$47</definedName>
    <definedName name="FundList">'[1]Fund Names'!$A$2:$A$326</definedName>
    <definedName name="_xlnm.Print_Area" localSheetId="3">BalSht!$A$2:$AK$62</definedName>
    <definedName name="_xlnm.Print_Area" localSheetId="5">IncStmt!$A$2:$AK$36</definedName>
    <definedName name="_xlnm.Print_Titles" localSheetId="3">BalSht!$A:$A,BalSht!$1:$9</definedName>
    <definedName name="_xlnm.Print_Titles" localSheetId="5">IncStmt!$A:$A,IncStmt!$1:$9</definedName>
    <definedName name="ProjectNames">#REF!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A36" i="3" l="1"/>
  <c r="DA32" i="3"/>
  <c r="DA31" i="3"/>
  <c r="DA30" i="3"/>
  <c r="DA29" i="3"/>
  <c r="DA28" i="3"/>
  <c r="DA27" i="3"/>
  <c r="DA26" i="3"/>
  <c r="DA25" i="3"/>
  <c r="DA24" i="3"/>
  <c r="DA23" i="3"/>
  <c r="DA22" i="3"/>
  <c r="DA21" i="3"/>
  <c r="DA20" i="3"/>
  <c r="DA17" i="3"/>
  <c r="DA16" i="3"/>
  <c r="DA15" i="3"/>
  <c r="DA14" i="3"/>
  <c r="DA61" i="2"/>
  <c r="DA58" i="2"/>
  <c r="DA56" i="2"/>
  <c r="DA54" i="2"/>
  <c r="DA52" i="2"/>
  <c r="DA51" i="2"/>
  <c r="DA50" i="2"/>
  <c r="DA49" i="2"/>
  <c r="DA48" i="2"/>
  <c r="DA47" i="2"/>
  <c r="DA46" i="2"/>
  <c r="DA45" i="2"/>
  <c r="DA44" i="2"/>
  <c r="DA43" i="2"/>
  <c r="DA42" i="2"/>
  <c r="DA41" i="2"/>
  <c r="DA40" i="2"/>
  <c r="DA37" i="2"/>
  <c r="DA35" i="2"/>
  <c r="DA34" i="2"/>
  <c r="DA33" i="2"/>
  <c r="DA32" i="2"/>
  <c r="DA31" i="2"/>
  <c r="DA30" i="2"/>
  <c r="DA29" i="2"/>
  <c r="DA28" i="2"/>
  <c r="DA27" i="2"/>
  <c r="DA24" i="2"/>
  <c r="DA22" i="2"/>
  <c r="DA20" i="2"/>
  <c r="DA18" i="2"/>
  <c r="DA17" i="2"/>
  <c r="DA16" i="2"/>
  <c r="DA15" i="2"/>
  <c r="C52" i="10"/>
  <c r="C20" i="10"/>
  <c r="C21" i="10"/>
  <c r="C22" i="10"/>
  <c r="C53" i="10"/>
  <c r="C23" i="10"/>
  <c r="C54" i="10"/>
  <c r="C24" i="10"/>
  <c r="C38" i="10"/>
  <c r="C25" i="10"/>
  <c r="C26" i="10"/>
  <c r="C49" i="10"/>
  <c r="C50" i="10"/>
  <c r="C27" i="10"/>
  <c r="C28" i="10"/>
  <c r="C39" i="10"/>
  <c r="C48" i="10"/>
  <c r="C29" i="10"/>
  <c r="C30" i="10"/>
  <c r="C31" i="10"/>
  <c r="C32" i="10"/>
  <c r="C33" i="10"/>
  <c r="C51" i="10"/>
  <c r="C40" i="10"/>
  <c r="C41" i="10"/>
  <c r="C42" i="10"/>
  <c r="C34" i="10"/>
  <c r="C35" i="10"/>
  <c r="C36" i="10"/>
  <c r="C45" i="10"/>
  <c r="C43" i="10"/>
  <c r="C44" i="10"/>
  <c r="C46" i="10"/>
  <c r="C47" i="10"/>
  <c r="C37" i="10"/>
  <c r="AK11" i="2" l="1"/>
  <c r="AK15" i="2"/>
  <c r="AK16" i="2"/>
  <c r="AK17" i="2"/>
  <c r="AK18" i="2"/>
  <c r="AK22" i="2"/>
  <c r="AK27" i="2"/>
  <c r="AK28" i="2"/>
  <c r="AK29" i="2"/>
  <c r="AK30" i="2"/>
  <c r="AK31" i="2"/>
  <c r="AK32" i="2"/>
  <c r="AK33" i="2"/>
  <c r="AK34" i="2"/>
  <c r="AK35" i="2"/>
  <c r="AK40" i="2"/>
  <c r="AK41" i="2"/>
  <c r="AK42" i="2"/>
  <c r="AK43" i="2"/>
  <c r="AK44" i="2"/>
  <c r="AK45" i="2"/>
  <c r="AK46" i="2"/>
  <c r="AK47" i="2"/>
  <c r="AK48" i="2"/>
  <c r="AK49" i="2"/>
  <c r="AK50" i="2"/>
  <c r="AK51" i="2"/>
  <c r="AK52" i="2"/>
  <c r="AJ15" i="2"/>
  <c r="AJ16" i="2"/>
  <c r="AJ17" i="2"/>
  <c r="AJ18" i="2"/>
  <c r="AJ22" i="2"/>
  <c r="AJ27" i="2"/>
  <c r="AJ28" i="2"/>
  <c r="AJ29" i="2"/>
  <c r="AJ30" i="2"/>
  <c r="AJ31" i="2"/>
  <c r="AJ32" i="2"/>
  <c r="AJ33" i="2"/>
  <c r="AJ34" i="2"/>
  <c r="AJ35" i="2"/>
  <c r="AJ40" i="2"/>
  <c r="AJ41" i="2"/>
  <c r="AJ42" i="2"/>
  <c r="AJ43" i="2"/>
  <c r="AJ44" i="2"/>
  <c r="AJ45" i="2"/>
  <c r="AJ46" i="2"/>
  <c r="AK20" i="2" l="1"/>
  <c r="AK24" i="2" s="1"/>
  <c r="AK37" i="2" s="1"/>
  <c r="AK54" i="2"/>
  <c r="AJ20" i="2"/>
  <c r="AJ24" i="2" s="1"/>
  <c r="AJ37" i="2" s="1"/>
  <c r="B11" i="3" l="1"/>
  <c r="C11" i="2"/>
  <c r="D11" i="2"/>
  <c r="E11" i="3"/>
  <c r="AK11" i="3"/>
  <c r="F11" i="2"/>
  <c r="AF11" i="2"/>
  <c r="I11" i="3"/>
  <c r="J11" i="2"/>
  <c r="U11" i="3"/>
  <c r="M11" i="3"/>
  <c r="AH11" i="2"/>
  <c r="V11" i="2"/>
  <c r="Y11" i="3"/>
  <c r="P11" i="2"/>
  <c r="Z11" i="2"/>
  <c r="AA11" i="2"/>
  <c r="AD11" i="2"/>
  <c r="R11" i="2"/>
  <c r="AL11" i="2"/>
  <c r="D11" i="3"/>
  <c r="G11" i="3"/>
  <c r="H11" i="3"/>
  <c r="K11" i="3"/>
  <c r="L11" i="3"/>
  <c r="N11" i="3"/>
  <c r="O11" i="3"/>
  <c r="P11" i="3"/>
  <c r="Q11" i="3"/>
  <c r="S11" i="3"/>
  <c r="T11" i="3"/>
  <c r="W11" i="3"/>
  <c r="X11" i="3"/>
  <c r="AB11" i="3"/>
  <c r="AC11" i="3"/>
  <c r="AD11" i="3"/>
  <c r="AE11" i="3"/>
  <c r="AF11" i="3"/>
  <c r="AG11" i="3"/>
  <c r="AI11" i="3"/>
  <c r="AJ11" i="3"/>
  <c r="AM11" i="3"/>
  <c r="AN11" i="3"/>
  <c r="AO11" i="3"/>
  <c r="AP11" i="3"/>
  <c r="AQ11" i="3"/>
  <c r="AR11" i="3"/>
  <c r="AS11" i="3"/>
  <c r="AT11" i="3"/>
  <c r="AU11" i="3"/>
  <c r="AV11" i="3"/>
  <c r="AW11" i="3"/>
  <c r="AX11" i="3"/>
  <c r="AY11" i="3"/>
  <c r="AZ11" i="3"/>
  <c r="BA11" i="3"/>
  <c r="BB11" i="3"/>
  <c r="BC11" i="3"/>
  <c r="BD11" i="3"/>
  <c r="BE11" i="3"/>
  <c r="BF11" i="3"/>
  <c r="BG11" i="3"/>
  <c r="BH11" i="3"/>
  <c r="BI11" i="3"/>
  <c r="BJ11" i="3"/>
  <c r="BK11" i="3"/>
  <c r="BL11" i="3"/>
  <c r="BM11" i="3"/>
  <c r="BN11" i="3"/>
  <c r="BO11" i="3"/>
  <c r="BP11" i="3"/>
  <c r="BQ11" i="3"/>
  <c r="BR11" i="3"/>
  <c r="BS11" i="3"/>
  <c r="BT11" i="3"/>
  <c r="BU11" i="3"/>
  <c r="BV11" i="3"/>
  <c r="BW11" i="3"/>
  <c r="BX11" i="3"/>
  <c r="BY11" i="3"/>
  <c r="BZ11" i="3"/>
  <c r="CA11" i="3"/>
  <c r="CB11" i="3"/>
  <c r="CC11" i="3"/>
  <c r="CD11" i="3"/>
  <c r="CE11" i="3"/>
  <c r="CF11" i="3"/>
  <c r="CG11" i="3"/>
  <c r="CH11" i="3"/>
  <c r="CI11" i="3"/>
  <c r="CJ11" i="3"/>
  <c r="CK11" i="3"/>
  <c r="CL11" i="3"/>
  <c r="CM11" i="3"/>
  <c r="CN11" i="3"/>
  <c r="CO11" i="3"/>
  <c r="CP11" i="3"/>
  <c r="CQ11" i="3"/>
  <c r="CR11" i="3"/>
  <c r="CS11" i="3"/>
  <c r="CT11" i="3"/>
  <c r="CU11" i="3"/>
  <c r="CV11" i="3"/>
  <c r="CW11" i="3"/>
  <c r="CX11" i="3"/>
  <c r="CY11" i="3"/>
  <c r="CZ11" i="3"/>
  <c r="E11" i="2"/>
  <c r="G11" i="2"/>
  <c r="H11" i="2"/>
  <c r="I11" i="2"/>
  <c r="K11" i="2"/>
  <c r="L11" i="2"/>
  <c r="M11" i="2"/>
  <c r="N11" i="2"/>
  <c r="O11" i="2"/>
  <c r="Q11" i="2"/>
  <c r="S11" i="2"/>
  <c r="T11" i="2"/>
  <c r="U11" i="2"/>
  <c r="W11" i="2"/>
  <c r="X11" i="2"/>
  <c r="Y11" i="2"/>
  <c r="AB11" i="2"/>
  <c r="AC11" i="2"/>
  <c r="AE11" i="2"/>
  <c r="AG11" i="2"/>
  <c r="AI11" i="2"/>
  <c r="AJ11" i="2"/>
  <c r="AM11" i="2"/>
  <c r="AN11" i="2"/>
  <c r="AO11" i="2"/>
  <c r="AP11" i="2"/>
  <c r="AQ11" i="2"/>
  <c r="AR11" i="2"/>
  <c r="AS11" i="2"/>
  <c r="AT11" i="2"/>
  <c r="AU11" i="2"/>
  <c r="AV11" i="2"/>
  <c r="AW11" i="2"/>
  <c r="AX11" i="2"/>
  <c r="AY11" i="2"/>
  <c r="AZ11" i="2"/>
  <c r="BA11" i="2"/>
  <c r="BB11" i="2"/>
  <c r="BC11" i="2"/>
  <c r="BD11" i="2"/>
  <c r="BE11" i="2"/>
  <c r="BF11" i="2"/>
  <c r="BG11" i="2"/>
  <c r="BH11" i="2"/>
  <c r="BI11" i="2"/>
  <c r="BJ11" i="2"/>
  <c r="BK11" i="2"/>
  <c r="BL11" i="2"/>
  <c r="BM11" i="2"/>
  <c r="BN11" i="2"/>
  <c r="BO11" i="2"/>
  <c r="BP11" i="2"/>
  <c r="BQ11" i="2"/>
  <c r="BR11" i="2"/>
  <c r="BS11" i="2"/>
  <c r="BT11" i="2"/>
  <c r="BU11" i="2"/>
  <c r="BV11" i="2"/>
  <c r="BW11" i="2"/>
  <c r="BX11" i="2"/>
  <c r="BY11" i="2"/>
  <c r="BZ11" i="2"/>
  <c r="CA11" i="2"/>
  <c r="CB11" i="2"/>
  <c r="CC11" i="2"/>
  <c r="CD11" i="2"/>
  <c r="CE11" i="2"/>
  <c r="CF11" i="2"/>
  <c r="CG11" i="2"/>
  <c r="CH11" i="2"/>
  <c r="CI11" i="2"/>
  <c r="CJ11" i="2"/>
  <c r="CK11" i="2"/>
  <c r="CL11" i="2"/>
  <c r="CM11" i="2"/>
  <c r="CN11" i="2"/>
  <c r="CO11" i="2"/>
  <c r="CP11" i="2"/>
  <c r="CQ11" i="2"/>
  <c r="CR11" i="2"/>
  <c r="CS11" i="2"/>
  <c r="CT11" i="2"/>
  <c r="CU11" i="2"/>
  <c r="CV11" i="2"/>
  <c r="CW11" i="2"/>
  <c r="CX11" i="2"/>
  <c r="CY11" i="2"/>
  <c r="CZ11" i="2"/>
  <c r="B11" i="2"/>
  <c r="AA11" i="3" l="1"/>
  <c r="C11" i="3"/>
  <c r="AL11" i="3"/>
  <c r="AH11" i="3"/>
  <c r="Z11" i="3"/>
  <c r="V11" i="3"/>
  <c r="R11" i="3"/>
  <c r="J11" i="3"/>
  <c r="F11" i="3"/>
  <c r="F12" i="10"/>
  <c r="B15" i="2" l="1"/>
  <c r="B16" i="2"/>
  <c r="B17" i="2"/>
  <c r="B18" i="2"/>
  <c r="B22" i="2"/>
  <c r="B27" i="2"/>
  <c r="B28" i="2"/>
  <c r="B29" i="2"/>
  <c r="B30" i="2"/>
  <c r="B31" i="2"/>
  <c r="B32" i="2"/>
  <c r="B33" i="2"/>
  <c r="B34" i="2"/>
  <c r="B35" i="2"/>
  <c r="B40" i="2"/>
  <c r="B41" i="2"/>
  <c r="B42" i="2"/>
  <c r="B43" i="2"/>
  <c r="B44" i="2"/>
  <c r="B45" i="2"/>
  <c r="B46" i="2"/>
  <c r="B47" i="2"/>
  <c r="B48" i="2"/>
  <c r="B49" i="2"/>
  <c r="B50" i="2"/>
  <c r="B51" i="2"/>
  <c r="B52" i="2"/>
  <c r="B54" i="2" l="1"/>
  <c r="B20" i="2"/>
  <c r="B31" i="3"/>
  <c r="B30" i="3"/>
  <c r="B29" i="3"/>
  <c r="B28" i="3"/>
  <c r="B27" i="3"/>
  <c r="B26" i="3"/>
  <c r="B25" i="3"/>
  <c r="B24" i="3"/>
  <c r="B23" i="3"/>
  <c r="B22" i="3"/>
  <c r="B21" i="3"/>
  <c r="B20" i="3"/>
  <c r="B16" i="3"/>
  <c r="B15" i="3"/>
  <c r="B14" i="3"/>
  <c r="B24" i="2" l="1"/>
  <c r="B17" i="3"/>
  <c r="B32" i="3"/>
  <c r="CZ56" i="2"/>
  <c r="CY56" i="2"/>
  <c r="CX56" i="2"/>
  <c r="CW56" i="2"/>
  <c r="CV56" i="2"/>
  <c r="CU56" i="2"/>
  <c r="CT56" i="2"/>
  <c r="CS56" i="2"/>
  <c r="CR56" i="2"/>
  <c r="CQ56" i="2"/>
  <c r="CP56" i="2"/>
  <c r="CO56" i="2"/>
  <c r="CN56" i="2"/>
  <c r="CM56" i="2"/>
  <c r="CL56" i="2"/>
  <c r="CK56" i="2"/>
  <c r="CJ56" i="2"/>
  <c r="CI56" i="2"/>
  <c r="CH56" i="2"/>
  <c r="CG56" i="2"/>
  <c r="CF56" i="2"/>
  <c r="CE56" i="2"/>
  <c r="CD56" i="2"/>
  <c r="CC56" i="2"/>
  <c r="CB56" i="2"/>
  <c r="CA56" i="2"/>
  <c r="BZ56" i="2"/>
  <c r="BY56" i="2"/>
  <c r="BX56" i="2"/>
  <c r="BW56" i="2"/>
  <c r="BV56" i="2"/>
  <c r="BU56" i="2"/>
  <c r="BT56" i="2"/>
  <c r="BS56" i="2"/>
  <c r="BR56" i="2"/>
  <c r="BQ56" i="2"/>
  <c r="BP56" i="2"/>
  <c r="BO56" i="2"/>
  <c r="BN56" i="2"/>
  <c r="BM56" i="2"/>
  <c r="BL56" i="2"/>
  <c r="BK56" i="2"/>
  <c r="BJ56" i="2"/>
  <c r="BI56" i="2"/>
  <c r="BH56" i="2"/>
  <c r="BG56" i="2"/>
  <c r="BF56" i="2"/>
  <c r="BE56" i="2"/>
  <c r="BD56" i="2"/>
  <c r="BC56" i="2"/>
  <c r="BB56" i="2"/>
  <c r="BA56" i="2"/>
  <c r="AZ56" i="2"/>
  <c r="AY56" i="2"/>
  <c r="AX56" i="2"/>
  <c r="AW56" i="2"/>
  <c r="AV56" i="2"/>
  <c r="AU56" i="2"/>
  <c r="AT56" i="2"/>
  <c r="AS56" i="2"/>
  <c r="AR56" i="2"/>
  <c r="B37" i="2" l="1"/>
  <c r="B36" i="3"/>
  <c r="F20" i="10" s="1"/>
  <c r="G20" i="10" s="1"/>
  <c r="C15" i="2"/>
  <c r="B56" i="2" l="1"/>
  <c r="C22" i="3"/>
  <c r="B58" i="2" l="1"/>
  <c r="CZ30" i="3"/>
  <c r="CY30" i="3"/>
  <c r="CX30" i="3"/>
  <c r="CW30" i="3"/>
  <c r="CV30" i="3"/>
  <c r="CU30" i="3"/>
  <c r="CT30" i="3"/>
  <c r="CS30" i="3"/>
  <c r="CR30" i="3"/>
  <c r="CQ30" i="3"/>
  <c r="CP30" i="3"/>
  <c r="CO30" i="3"/>
  <c r="CN30" i="3"/>
  <c r="CM30" i="3"/>
  <c r="CL30" i="3"/>
  <c r="CK30" i="3"/>
  <c r="CJ30" i="3"/>
  <c r="CI30" i="3"/>
  <c r="CH30" i="3"/>
  <c r="CG30" i="3"/>
  <c r="CF30" i="3"/>
  <c r="CE30" i="3"/>
  <c r="CD30" i="3"/>
  <c r="CC30" i="3"/>
  <c r="CB30" i="3"/>
  <c r="CA30" i="3"/>
  <c r="BZ30" i="3"/>
  <c r="BY30" i="3"/>
  <c r="BX30" i="3"/>
  <c r="BW30" i="3"/>
  <c r="BV30" i="3"/>
  <c r="BU30" i="3"/>
  <c r="BT30" i="3"/>
  <c r="BS30" i="3"/>
  <c r="BR30" i="3"/>
  <c r="BQ30" i="3"/>
  <c r="BP30" i="3"/>
  <c r="BO30" i="3"/>
  <c r="BN30" i="3"/>
  <c r="BM30" i="3"/>
  <c r="BL30" i="3"/>
  <c r="BK30" i="3"/>
  <c r="BJ30" i="3"/>
  <c r="BI30" i="3"/>
  <c r="BH30" i="3"/>
  <c r="BG30" i="3"/>
  <c r="BF30" i="3"/>
  <c r="BE30" i="3"/>
  <c r="BD30" i="3"/>
  <c r="BC30" i="3"/>
  <c r="BB30" i="3"/>
  <c r="BA30" i="3"/>
  <c r="AZ30" i="3"/>
  <c r="AY30" i="3"/>
  <c r="AX30" i="3"/>
  <c r="AW30" i="3"/>
  <c r="AV30" i="3"/>
  <c r="AU30" i="3"/>
  <c r="AT30" i="3"/>
  <c r="AS30" i="3"/>
  <c r="AR30" i="3"/>
  <c r="AQ30" i="3"/>
  <c r="AP30" i="3"/>
  <c r="AO30" i="3"/>
  <c r="AN30" i="3"/>
  <c r="AM30" i="3"/>
  <c r="AL30" i="3"/>
  <c r="AK30" i="3"/>
  <c r="AJ30" i="3"/>
  <c r="AI30" i="3"/>
  <c r="AH30" i="3"/>
  <c r="AG30" i="3"/>
  <c r="AF30" i="3"/>
  <c r="AE30" i="3"/>
  <c r="AD30" i="3"/>
  <c r="AC30" i="3"/>
  <c r="AB30" i="3"/>
  <c r="AA30" i="3"/>
  <c r="Z30" i="3"/>
  <c r="Y30" i="3"/>
  <c r="X30" i="3"/>
  <c r="W30" i="3"/>
  <c r="V30" i="3"/>
  <c r="U30" i="3"/>
  <c r="T30" i="3"/>
  <c r="S30" i="3"/>
  <c r="R30" i="3"/>
  <c r="Q30" i="3"/>
  <c r="P30" i="3"/>
  <c r="O30" i="3"/>
  <c r="N30" i="3"/>
  <c r="M30" i="3"/>
  <c r="L30" i="3"/>
  <c r="K30" i="3"/>
  <c r="J30" i="3"/>
  <c r="I30" i="3"/>
  <c r="H30" i="3"/>
  <c r="G30" i="3"/>
  <c r="F30" i="3"/>
  <c r="E30" i="3"/>
  <c r="D30" i="3"/>
  <c r="C30" i="3"/>
  <c r="CZ29" i="3"/>
  <c r="CY29" i="3"/>
  <c r="CX29" i="3"/>
  <c r="CW29" i="3"/>
  <c r="CV29" i="3"/>
  <c r="CU29" i="3"/>
  <c r="CT29" i="3"/>
  <c r="CS29" i="3"/>
  <c r="CR29" i="3"/>
  <c r="CQ29" i="3"/>
  <c r="CP29" i="3"/>
  <c r="CO29" i="3"/>
  <c r="CN29" i="3"/>
  <c r="CM29" i="3"/>
  <c r="CL29" i="3"/>
  <c r="CK29" i="3"/>
  <c r="CJ29" i="3"/>
  <c r="CI29" i="3"/>
  <c r="CH29" i="3"/>
  <c r="CG29" i="3"/>
  <c r="CF29" i="3"/>
  <c r="CE29" i="3"/>
  <c r="CD29" i="3"/>
  <c r="CC29" i="3"/>
  <c r="CB29" i="3"/>
  <c r="CA29" i="3"/>
  <c r="BZ29" i="3"/>
  <c r="BY29" i="3"/>
  <c r="BX29" i="3"/>
  <c r="BW29" i="3"/>
  <c r="BV29" i="3"/>
  <c r="BU29" i="3"/>
  <c r="BT29" i="3"/>
  <c r="BS29" i="3"/>
  <c r="BR29" i="3"/>
  <c r="BQ29" i="3"/>
  <c r="BP29" i="3"/>
  <c r="BO29" i="3"/>
  <c r="BN29" i="3"/>
  <c r="BM29" i="3"/>
  <c r="BL29" i="3"/>
  <c r="BK29" i="3"/>
  <c r="BJ29" i="3"/>
  <c r="BI29" i="3"/>
  <c r="BH29" i="3"/>
  <c r="BG29" i="3"/>
  <c r="BF29" i="3"/>
  <c r="BE29" i="3"/>
  <c r="BD29" i="3"/>
  <c r="BC29" i="3"/>
  <c r="BB29" i="3"/>
  <c r="BA29" i="3"/>
  <c r="AZ29" i="3"/>
  <c r="AY29" i="3"/>
  <c r="AX29" i="3"/>
  <c r="AW29" i="3"/>
  <c r="AV29" i="3"/>
  <c r="AU29" i="3"/>
  <c r="AT29" i="3"/>
  <c r="AS29" i="3"/>
  <c r="AR29" i="3"/>
  <c r="AQ29" i="3"/>
  <c r="AP29" i="3"/>
  <c r="AO29" i="3"/>
  <c r="AN29" i="3"/>
  <c r="AM29" i="3"/>
  <c r="AL29" i="3"/>
  <c r="AK29" i="3"/>
  <c r="AJ29" i="3"/>
  <c r="AI29" i="3"/>
  <c r="AH29" i="3"/>
  <c r="AG29" i="3"/>
  <c r="AF29" i="3"/>
  <c r="AE29" i="3"/>
  <c r="AD29" i="3"/>
  <c r="AC29" i="3"/>
  <c r="AB29" i="3"/>
  <c r="AA29" i="3"/>
  <c r="Z29" i="3"/>
  <c r="Y29" i="3"/>
  <c r="X29" i="3"/>
  <c r="W29" i="3"/>
  <c r="V29" i="3"/>
  <c r="U29" i="3"/>
  <c r="T29" i="3"/>
  <c r="S29" i="3"/>
  <c r="R29" i="3"/>
  <c r="Q29" i="3"/>
  <c r="P29" i="3"/>
  <c r="O29" i="3"/>
  <c r="N29" i="3"/>
  <c r="M29" i="3"/>
  <c r="L29" i="3"/>
  <c r="K29" i="3"/>
  <c r="J29" i="3"/>
  <c r="I29" i="3"/>
  <c r="H29" i="3"/>
  <c r="G29" i="3"/>
  <c r="F29" i="3"/>
  <c r="E29" i="3"/>
  <c r="D29" i="3"/>
  <c r="C29" i="3"/>
  <c r="CZ28" i="3"/>
  <c r="CY28" i="3"/>
  <c r="CX28" i="3"/>
  <c r="CW28" i="3"/>
  <c r="CV28" i="3"/>
  <c r="CU28" i="3"/>
  <c r="CT28" i="3"/>
  <c r="CS28" i="3"/>
  <c r="CR28" i="3"/>
  <c r="CQ28" i="3"/>
  <c r="CP28" i="3"/>
  <c r="CO28" i="3"/>
  <c r="CN28" i="3"/>
  <c r="CM28" i="3"/>
  <c r="CL28" i="3"/>
  <c r="CK28" i="3"/>
  <c r="CJ28" i="3"/>
  <c r="CI28" i="3"/>
  <c r="CH28" i="3"/>
  <c r="CG28" i="3"/>
  <c r="CF28" i="3"/>
  <c r="CE28" i="3"/>
  <c r="CD28" i="3"/>
  <c r="CC28" i="3"/>
  <c r="CB28" i="3"/>
  <c r="CA28" i="3"/>
  <c r="BZ28" i="3"/>
  <c r="BY28" i="3"/>
  <c r="BX28" i="3"/>
  <c r="BW28" i="3"/>
  <c r="BV28" i="3"/>
  <c r="BU28" i="3"/>
  <c r="BT28" i="3"/>
  <c r="BS28" i="3"/>
  <c r="BR28" i="3"/>
  <c r="BQ28" i="3"/>
  <c r="BP28" i="3"/>
  <c r="BO28" i="3"/>
  <c r="BN28" i="3"/>
  <c r="BM28" i="3"/>
  <c r="BL28" i="3"/>
  <c r="BK28" i="3"/>
  <c r="BJ28" i="3"/>
  <c r="BI28" i="3"/>
  <c r="BH28" i="3"/>
  <c r="BG28" i="3"/>
  <c r="BF28" i="3"/>
  <c r="BE28" i="3"/>
  <c r="BD28" i="3"/>
  <c r="BC28" i="3"/>
  <c r="BB28" i="3"/>
  <c r="BA28" i="3"/>
  <c r="AZ28" i="3"/>
  <c r="AY28" i="3"/>
  <c r="AX28" i="3"/>
  <c r="AW28" i="3"/>
  <c r="AV28" i="3"/>
  <c r="AU28" i="3"/>
  <c r="AT28" i="3"/>
  <c r="AS28" i="3"/>
  <c r="AR28" i="3"/>
  <c r="AQ28" i="3"/>
  <c r="AP28" i="3"/>
  <c r="AO28" i="3"/>
  <c r="AN28" i="3"/>
  <c r="AM28" i="3"/>
  <c r="AL28" i="3"/>
  <c r="AK28" i="3"/>
  <c r="AJ28" i="3"/>
  <c r="AI28" i="3"/>
  <c r="AH28" i="3"/>
  <c r="AG28" i="3"/>
  <c r="AF28" i="3"/>
  <c r="AE28" i="3"/>
  <c r="AD28" i="3"/>
  <c r="AC28" i="3"/>
  <c r="AB28" i="3"/>
  <c r="AA28" i="3"/>
  <c r="Z28" i="3"/>
  <c r="Y28" i="3"/>
  <c r="X28" i="3"/>
  <c r="W28" i="3"/>
  <c r="V28" i="3"/>
  <c r="U28" i="3"/>
  <c r="T28" i="3"/>
  <c r="S28" i="3"/>
  <c r="R28" i="3"/>
  <c r="Q28" i="3"/>
  <c r="P28" i="3"/>
  <c r="O28" i="3"/>
  <c r="N28" i="3"/>
  <c r="M28" i="3"/>
  <c r="L28" i="3"/>
  <c r="K28" i="3"/>
  <c r="J28" i="3"/>
  <c r="I28" i="3"/>
  <c r="H28" i="3"/>
  <c r="G28" i="3"/>
  <c r="F28" i="3"/>
  <c r="E28" i="3"/>
  <c r="D28" i="3"/>
  <c r="C28" i="3"/>
  <c r="CZ31" i="3"/>
  <c r="CY31" i="3"/>
  <c r="CX31" i="3"/>
  <c r="CW31" i="3"/>
  <c r="CV31" i="3"/>
  <c r="CU31" i="3"/>
  <c r="CT31" i="3"/>
  <c r="CS31" i="3"/>
  <c r="CR31" i="3"/>
  <c r="CQ31" i="3"/>
  <c r="CP31" i="3"/>
  <c r="CO31" i="3"/>
  <c r="CN31" i="3"/>
  <c r="CM31" i="3"/>
  <c r="CL31" i="3"/>
  <c r="CK31" i="3"/>
  <c r="CJ31" i="3"/>
  <c r="CI31" i="3"/>
  <c r="CH31" i="3"/>
  <c r="CG31" i="3"/>
  <c r="CF31" i="3"/>
  <c r="CE31" i="3"/>
  <c r="CD31" i="3"/>
  <c r="CC31" i="3"/>
  <c r="CB31" i="3"/>
  <c r="CA31" i="3"/>
  <c r="BZ31" i="3"/>
  <c r="BY31" i="3"/>
  <c r="BX31" i="3"/>
  <c r="BW31" i="3"/>
  <c r="BV31" i="3"/>
  <c r="BU31" i="3"/>
  <c r="BT31" i="3"/>
  <c r="BS31" i="3"/>
  <c r="BR31" i="3"/>
  <c r="BQ31" i="3"/>
  <c r="BP31" i="3"/>
  <c r="BO31" i="3"/>
  <c r="BN31" i="3"/>
  <c r="BM31" i="3"/>
  <c r="BL31" i="3"/>
  <c r="BK31" i="3"/>
  <c r="BJ31" i="3"/>
  <c r="BI31" i="3"/>
  <c r="BH31" i="3"/>
  <c r="BG31" i="3"/>
  <c r="BF31" i="3"/>
  <c r="BE31" i="3"/>
  <c r="BD31" i="3"/>
  <c r="BC31" i="3"/>
  <c r="BB31" i="3"/>
  <c r="BA31" i="3"/>
  <c r="AZ31" i="3"/>
  <c r="AY31" i="3"/>
  <c r="AX31" i="3"/>
  <c r="AW31" i="3"/>
  <c r="AV31" i="3"/>
  <c r="AU31" i="3"/>
  <c r="AT31" i="3"/>
  <c r="AS31" i="3"/>
  <c r="AR31" i="3"/>
  <c r="AQ31" i="3"/>
  <c r="AP31" i="3"/>
  <c r="AO31" i="3"/>
  <c r="AN31" i="3"/>
  <c r="AM31" i="3"/>
  <c r="AL31" i="3"/>
  <c r="AK31" i="3"/>
  <c r="AJ31" i="3"/>
  <c r="AI31" i="3"/>
  <c r="AH31" i="3"/>
  <c r="AG31" i="3"/>
  <c r="AF31" i="3"/>
  <c r="AE31" i="3"/>
  <c r="AD31" i="3"/>
  <c r="AC31" i="3"/>
  <c r="AB31" i="3"/>
  <c r="AA31" i="3"/>
  <c r="Z31" i="3"/>
  <c r="Y31" i="3"/>
  <c r="X31" i="3"/>
  <c r="W31" i="3"/>
  <c r="V31" i="3"/>
  <c r="U31" i="3"/>
  <c r="T31" i="3"/>
  <c r="S31" i="3"/>
  <c r="R31" i="3"/>
  <c r="Q31" i="3"/>
  <c r="P31" i="3"/>
  <c r="O31" i="3"/>
  <c r="N31" i="3"/>
  <c r="M31" i="3"/>
  <c r="L31" i="3"/>
  <c r="K31" i="3"/>
  <c r="J31" i="3"/>
  <c r="I31" i="3"/>
  <c r="H31" i="3"/>
  <c r="G31" i="3"/>
  <c r="F31" i="3"/>
  <c r="E31" i="3"/>
  <c r="D31" i="3"/>
  <c r="C31" i="3"/>
  <c r="CZ35" i="2"/>
  <c r="CY35" i="2"/>
  <c r="CX35" i="2"/>
  <c r="CW35" i="2"/>
  <c r="CV35" i="2"/>
  <c r="CU35" i="2"/>
  <c r="CT35" i="2"/>
  <c r="CS35" i="2"/>
  <c r="CR35" i="2"/>
  <c r="CQ35" i="2"/>
  <c r="CP35" i="2"/>
  <c r="CO35" i="2"/>
  <c r="CN35" i="2"/>
  <c r="CM35" i="2"/>
  <c r="CL35" i="2"/>
  <c r="CK35" i="2"/>
  <c r="CJ35" i="2"/>
  <c r="CI35" i="2"/>
  <c r="CH35" i="2"/>
  <c r="CG35" i="2"/>
  <c r="CF35" i="2"/>
  <c r="CE35" i="2"/>
  <c r="CD35" i="2"/>
  <c r="CC35" i="2"/>
  <c r="CB35" i="2"/>
  <c r="CA35" i="2"/>
  <c r="BZ35" i="2"/>
  <c r="BY35" i="2"/>
  <c r="BX35" i="2"/>
  <c r="BW35" i="2"/>
  <c r="BV35" i="2"/>
  <c r="BU35" i="2"/>
  <c r="BT35" i="2"/>
  <c r="BS35" i="2"/>
  <c r="BR35" i="2"/>
  <c r="BQ35" i="2"/>
  <c r="BP35" i="2"/>
  <c r="BO35" i="2"/>
  <c r="BN35" i="2"/>
  <c r="BM35" i="2"/>
  <c r="BL35" i="2"/>
  <c r="BK35" i="2"/>
  <c r="BJ35" i="2"/>
  <c r="BI35" i="2"/>
  <c r="BH35" i="2"/>
  <c r="BG35" i="2"/>
  <c r="BF35" i="2"/>
  <c r="BE35" i="2"/>
  <c r="BD35" i="2"/>
  <c r="BC35" i="2"/>
  <c r="BB35" i="2"/>
  <c r="BA35" i="2"/>
  <c r="AZ35" i="2"/>
  <c r="AY35" i="2"/>
  <c r="AX35" i="2"/>
  <c r="AW35" i="2"/>
  <c r="AV35" i="2"/>
  <c r="AU35" i="2"/>
  <c r="AT35" i="2"/>
  <c r="AS35" i="2"/>
  <c r="AR35" i="2"/>
  <c r="AQ35" i="2"/>
  <c r="AP35" i="2"/>
  <c r="AO35" i="2"/>
  <c r="AN35" i="2"/>
  <c r="AM35" i="2"/>
  <c r="AL35" i="2"/>
  <c r="AI35" i="2"/>
  <c r="AH35" i="2"/>
  <c r="AG35" i="2"/>
  <c r="AF35" i="2"/>
  <c r="AE35" i="2"/>
  <c r="AD35" i="2"/>
  <c r="AC35" i="2"/>
  <c r="AB35" i="2"/>
  <c r="AA35" i="2"/>
  <c r="Z35" i="2"/>
  <c r="Y35" i="2"/>
  <c r="X35" i="2"/>
  <c r="W35" i="2"/>
  <c r="V35" i="2"/>
  <c r="U35" i="2"/>
  <c r="T35" i="2"/>
  <c r="S35" i="2"/>
  <c r="R35" i="2"/>
  <c r="Q35" i="2"/>
  <c r="P35" i="2"/>
  <c r="O35" i="2"/>
  <c r="N35" i="2"/>
  <c r="M35" i="2"/>
  <c r="L35" i="2"/>
  <c r="K35" i="2"/>
  <c r="J35" i="2"/>
  <c r="I35" i="2"/>
  <c r="H35" i="2"/>
  <c r="G35" i="2"/>
  <c r="F35" i="2"/>
  <c r="E35" i="2"/>
  <c r="D35" i="2"/>
  <c r="C35" i="2"/>
  <c r="B61" i="2" l="1"/>
  <c r="CZ52" i="2"/>
  <c r="CY52" i="2"/>
  <c r="CX52" i="2"/>
  <c r="CW52" i="2"/>
  <c r="CV52" i="2"/>
  <c r="CU52" i="2"/>
  <c r="CT52" i="2"/>
  <c r="CS52" i="2"/>
  <c r="CR52" i="2"/>
  <c r="CQ52" i="2"/>
  <c r="CP52" i="2"/>
  <c r="CO52" i="2"/>
  <c r="CN52" i="2"/>
  <c r="CM52" i="2"/>
  <c r="CL52" i="2"/>
  <c r="CK52" i="2"/>
  <c r="CJ52" i="2"/>
  <c r="CI52" i="2"/>
  <c r="CH52" i="2"/>
  <c r="CG52" i="2"/>
  <c r="CF52" i="2"/>
  <c r="CE52" i="2"/>
  <c r="CD52" i="2"/>
  <c r="CC52" i="2"/>
  <c r="CB52" i="2"/>
  <c r="CA52" i="2"/>
  <c r="BZ52" i="2"/>
  <c r="BY52" i="2"/>
  <c r="BX52" i="2"/>
  <c r="BW52" i="2"/>
  <c r="BV52" i="2"/>
  <c r="BU52" i="2"/>
  <c r="BT52" i="2"/>
  <c r="BS52" i="2"/>
  <c r="BR52" i="2"/>
  <c r="BQ52" i="2"/>
  <c r="BP52" i="2"/>
  <c r="BO52" i="2"/>
  <c r="BN52" i="2"/>
  <c r="BM52" i="2"/>
  <c r="BL52" i="2"/>
  <c r="BK52" i="2"/>
  <c r="BJ52" i="2"/>
  <c r="BI52" i="2"/>
  <c r="BH52" i="2"/>
  <c r="BG52" i="2"/>
  <c r="BF52" i="2"/>
  <c r="BE52" i="2"/>
  <c r="BD52" i="2"/>
  <c r="BC52" i="2"/>
  <c r="BB52" i="2"/>
  <c r="BA52" i="2"/>
  <c r="AZ52" i="2"/>
  <c r="AY52" i="2"/>
  <c r="AX52" i="2"/>
  <c r="AW52" i="2"/>
  <c r="AV52" i="2"/>
  <c r="AU52" i="2"/>
  <c r="AT52" i="2"/>
  <c r="AS52" i="2"/>
  <c r="AR52" i="2"/>
  <c r="AQ52" i="2"/>
  <c r="AP52" i="2"/>
  <c r="AO52" i="2"/>
  <c r="AN52" i="2"/>
  <c r="AM52" i="2"/>
  <c r="AL52" i="2"/>
  <c r="AJ52" i="2"/>
  <c r="AI52" i="2"/>
  <c r="AH52" i="2"/>
  <c r="AG52" i="2"/>
  <c r="AF52" i="2"/>
  <c r="AE52" i="2"/>
  <c r="AD52" i="2"/>
  <c r="AC52" i="2"/>
  <c r="AB52" i="2"/>
  <c r="AA52" i="2"/>
  <c r="Z52" i="2"/>
  <c r="Y52" i="2"/>
  <c r="X52" i="2"/>
  <c r="W52" i="2"/>
  <c r="V52" i="2"/>
  <c r="U52" i="2"/>
  <c r="T52" i="2"/>
  <c r="S52" i="2"/>
  <c r="R52" i="2"/>
  <c r="Q52" i="2"/>
  <c r="P52" i="2"/>
  <c r="O52" i="2"/>
  <c r="N52" i="2"/>
  <c r="M52" i="2"/>
  <c r="L52" i="2"/>
  <c r="K52" i="2"/>
  <c r="J52" i="2"/>
  <c r="I52" i="2"/>
  <c r="H52" i="2"/>
  <c r="G52" i="2"/>
  <c r="F52" i="2"/>
  <c r="E52" i="2"/>
  <c r="D52" i="2"/>
  <c r="C52" i="2"/>
  <c r="CZ51" i="2"/>
  <c r="CY51" i="2"/>
  <c r="CX51" i="2"/>
  <c r="CW51" i="2"/>
  <c r="CV51" i="2"/>
  <c r="CU51" i="2"/>
  <c r="CT51" i="2"/>
  <c r="CS51" i="2"/>
  <c r="CR51" i="2"/>
  <c r="CQ51" i="2"/>
  <c r="CP51" i="2"/>
  <c r="CO51" i="2"/>
  <c r="CN51" i="2"/>
  <c r="CM51" i="2"/>
  <c r="CL51" i="2"/>
  <c r="CK51" i="2"/>
  <c r="CJ51" i="2"/>
  <c r="CI51" i="2"/>
  <c r="CH51" i="2"/>
  <c r="CG51" i="2"/>
  <c r="CF51" i="2"/>
  <c r="CE51" i="2"/>
  <c r="CD51" i="2"/>
  <c r="CC51" i="2"/>
  <c r="CB51" i="2"/>
  <c r="CA51" i="2"/>
  <c r="BZ51" i="2"/>
  <c r="BY51" i="2"/>
  <c r="BX51" i="2"/>
  <c r="BW51" i="2"/>
  <c r="BV51" i="2"/>
  <c r="BU51" i="2"/>
  <c r="BT51" i="2"/>
  <c r="BS51" i="2"/>
  <c r="BR51" i="2"/>
  <c r="BQ51" i="2"/>
  <c r="BP51" i="2"/>
  <c r="BO51" i="2"/>
  <c r="BN51" i="2"/>
  <c r="BM51" i="2"/>
  <c r="BL51" i="2"/>
  <c r="BK51" i="2"/>
  <c r="BJ51" i="2"/>
  <c r="BI51" i="2"/>
  <c r="BH51" i="2"/>
  <c r="BG51" i="2"/>
  <c r="BF51" i="2"/>
  <c r="BE51" i="2"/>
  <c r="BD51" i="2"/>
  <c r="BC51" i="2"/>
  <c r="BB51" i="2"/>
  <c r="BA51" i="2"/>
  <c r="AZ51" i="2"/>
  <c r="AY51" i="2"/>
  <c r="AX51" i="2"/>
  <c r="AW51" i="2"/>
  <c r="AV51" i="2"/>
  <c r="AU51" i="2"/>
  <c r="AT51" i="2"/>
  <c r="AS51" i="2"/>
  <c r="AR51" i="2"/>
  <c r="AQ51" i="2"/>
  <c r="AP51" i="2"/>
  <c r="AO51" i="2"/>
  <c r="AN51" i="2"/>
  <c r="AM51" i="2"/>
  <c r="AL51" i="2"/>
  <c r="AJ51" i="2"/>
  <c r="AI51" i="2"/>
  <c r="AH51" i="2"/>
  <c r="AG51" i="2"/>
  <c r="AF51" i="2"/>
  <c r="AE51" i="2"/>
  <c r="AD51" i="2"/>
  <c r="AC51" i="2"/>
  <c r="AB51" i="2"/>
  <c r="AA51" i="2"/>
  <c r="Z51" i="2"/>
  <c r="Y51" i="2"/>
  <c r="X51" i="2"/>
  <c r="W51" i="2"/>
  <c r="V51" i="2"/>
  <c r="U51" i="2"/>
  <c r="T51" i="2"/>
  <c r="S51" i="2"/>
  <c r="R51" i="2"/>
  <c r="Q51" i="2"/>
  <c r="P51" i="2"/>
  <c r="O51" i="2"/>
  <c r="N51" i="2"/>
  <c r="M51" i="2"/>
  <c r="L51" i="2"/>
  <c r="K51" i="2"/>
  <c r="J51" i="2"/>
  <c r="I51" i="2"/>
  <c r="H51" i="2"/>
  <c r="G51" i="2"/>
  <c r="F51" i="2"/>
  <c r="E51" i="2"/>
  <c r="D51" i="2"/>
  <c r="C51" i="2"/>
  <c r="CZ50" i="2"/>
  <c r="CY50" i="2"/>
  <c r="CX50" i="2"/>
  <c r="CW50" i="2"/>
  <c r="CV50" i="2"/>
  <c r="CU50" i="2"/>
  <c r="CT50" i="2"/>
  <c r="CS50" i="2"/>
  <c r="CR50" i="2"/>
  <c r="CQ50" i="2"/>
  <c r="CP50" i="2"/>
  <c r="CO50" i="2"/>
  <c r="CN50" i="2"/>
  <c r="CM50" i="2"/>
  <c r="CL50" i="2"/>
  <c r="CK50" i="2"/>
  <c r="CJ50" i="2"/>
  <c r="CI50" i="2"/>
  <c r="CH50" i="2"/>
  <c r="CG50" i="2"/>
  <c r="CF50" i="2"/>
  <c r="CE50" i="2"/>
  <c r="CD50" i="2"/>
  <c r="CC50" i="2"/>
  <c r="CB50" i="2"/>
  <c r="CA50" i="2"/>
  <c r="BZ50" i="2"/>
  <c r="BY50" i="2"/>
  <c r="BX50" i="2"/>
  <c r="BW50" i="2"/>
  <c r="BV50" i="2"/>
  <c r="BU50" i="2"/>
  <c r="BT50" i="2"/>
  <c r="BS50" i="2"/>
  <c r="BR50" i="2"/>
  <c r="BQ50" i="2"/>
  <c r="BP50" i="2"/>
  <c r="BO50" i="2"/>
  <c r="BN50" i="2"/>
  <c r="BM50" i="2"/>
  <c r="BL50" i="2"/>
  <c r="BK50" i="2"/>
  <c r="BJ50" i="2"/>
  <c r="BI50" i="2"/>
  <c r="BH50" i="2"/>
  <c r="BG50" i="2"/>
  <c r="BF50" i="2"/>
  <c r="BE50" i="2"/>
  <c r="BD50" i="2"/>
  <c r="BC50" i="2"/>
  <c r="BB50" i="2"/>
  <c r="BA50" i="2"/>
  <c r="AZ50" i="2"/>
  <c r="AY50" i="2"/>
  <c r="AX50" i="2"/>
  <c r="AW50" i="2"/>
  <c r="AV50" i="2"/>
  <c r="AU50" i="2"/>
  <c r="AT50" i="2"/>
  <c r="AS50" i="2"/>
  <c r="AR50" i="2"/>
  <c r="AQ50" i="2"/>
  <c r="AP50" i="2"/>
  <c r="AO50" i="2"/>
  <c r="AN50" i="2"/>
  <c r="AM50" i="2"/>
  <c r="AL50" i="2"/>
  <c r="AJ50" i="2"/>
  <c r="AI50" i="2"/>
  <c r="AH50" i="2"/>
  <c r="AG50" i="2"/>
  <c r="AF50" i="2"/>
  <c r="AE50" i="2"/>
  <c r="AD50" i="2"/>
  <c r="AC50" i="2"/>
  <c r="AB50" i="2"/>
  <c r="AA50" i="2"/>
  <c r="Z50" i="2"/>
  <c r="Y50" i="2"/>
  <c r="X50" i="2"/>
  <c r="W50" i="2"/>
  <c r="V50" i="2"/>
  <c r="U50" i="2"/>
  <c r="T50" i="2"/>
  <c r="S50" i="2"/>
  <c r="R50" i="2"/>
  <c r="Q50" i="2"/>
  <c r="P50" i="2"/>
  <c r="O50" i="2"/>
  <c r="N50" i="2"/>
  <c r="M50" i="2"/>
  <c r="L50" i="2"/>
  <c r="K50" i="2"/>
  <c r="J50" i="2"/>
  <c r="I50" i="2"/>
  <c r="H50" i="2"/>
  <c r="G50" i="2"/>
  <c r="F50" i="2"/>
  <c r="E50" i="2"/>
  <c r="D50" i="2"/>
  <c r="C50" i="2"/>
  <c r="CZ49" i="2"/>
  <c r="CY49" i="2"/>
  <c r="CX49" i="2"/>
  <c r="CW49" i="2"/>
  <c r="CV49" i="2"/>
  <c r="CU49" i="2"/>
  <c r="CT49" i="2"/>
  <c r="CS49" i="2"/>
  <c r="CR49" i="2"/>
  <c r="CQ49" i="2"/>
  <c r="CP49" i="2"/>
  <c r="CO49" i="2"/>
  <c r="CN49" i="2"/>
  <c r="CM49" i="2"/>
  <c r="CL49" i="2"/>
  <c r="CK49" i="2"/>
  <c r="CJ49" i="2"/>
  <c r="CI49" i="2"/>
  <c r="CH49" i="2"/>
  <c r="CG49" i="2"/>
  <c r="CF49" i="2"/>
  <c r="CE49" i="2"/>
  <c r="CD49" i="2"/>
  <c r="CC49" i="2"/>
  <c r="CB49" i="2"/>
  <c r="CA49" i="2"/>
  <c r="BZ49" i="2"/>
  <c r="BY49" i="2"/>
  <c r="BX49" i="2"/>
  <c r="BW49" i="2"/>
  <c r="BV49" i="2"/>
  <c r="BU49" i="2"/>
  <c r="BT49" i="2"/>
  <c r="BS49" i="2"/>
  <c r="BR49" i="2"/>
  <c r="BQ49" i="2"/>
  <c r="BP49" i="2"/>
  <c r="BO49" i="2"/>
  <c r="BN49" i="2"/>
  <c r="BM49" i="2"/>
  <c r="BL49" i="2"/>
  <c r="BK49" i="2"/>
  <c r="BJ49" i="2"/>
  <c r="BI49" i="2"/>
  <c r="BH49" i="2"/>
  <c r="BG49" i="2"/>
  <c r="BF49" i="2"/>
  <c r="BE49" i="2"/>
  <c r="BD49" i="2"/>
  <c r="BC49" i="2"/>
  <c r="BB49" i="2"/>
  <c r="BA49" i="2"/>
  <c r="AZ49" i="2"/>
  <c r="AY49" i="2"/>
  <c r="AX49" i="2"/>
  <c r="AW49" i="2"/>
  <c r="AV49" i="2"/>
  <c r="AU49" i="2"/>
  <c r="AT49" i="2"/>
  <c r="AS49" i="2"/>
  <c r="AR49" i="2"/>
  <c r="AQ49" i="2"/>
  <c r="AP49" i="2"/>
  <c r="AO49" i="2"/>
  <c r="AN49" i="2"/>
  <c r="AM49" i="2"/>
  <c r="AL49" i="2"/>
  <c r="AJ49" i="2"/>
  <c r="AI49" i="2"/>
  <c r="AH49" i="2"/>
  <c r="AG49" i="2"/>
  <c r="AF49" i="2"/>
  <c r="AE49" i="2"/>
  <c r="AD49" i="2"/>
  <c r="AC49" i="2"/>
  <c r="AB49" i="2"/>
  <c r="AA49" i="2"/>
  <c r="Z49" i="2"/>
  <c r="Y49" i="2"/>
  <c r="X49" i="2"/>
  <c r="W49" i="2"/>
  <c r="V49" i="2"/>
  <c r="U49" i="2"/>
  <c r="T49" i="2"/>
  <c r="S49" i="2"/>
  <c r="R49" i="2"/>
  <c r="Q49" i="2"/>
  <c r="P49" i="2"/>
  <c r="O49" i="2"/>
  <c r="N49" i="2"/>
  <c r="M49" i="2"/>
  <c r="L49" i="2"/>
  <c r="K49" i="2"/>
  <c r="J49" i="2"/>
  <c r="I49" i="2"/>
  <c r="H49" i="2"/>
  <c r="G49" i="2"/>
  <c r="F49" i="2"/>
  <c r="E49" i="2"/>
  <c r="D49" i="2"/>
  <c r="C49" i="2"/>
  <c r="CZ48" i="2"/>
  <c r="CY48" i="2"/>
  <c r="CX48" i="2"/>
  <c r="CW48" i="2"/>
  <c r="CV48" i="2"/>
  <c r="CU48" i="2"/>
  <c r="CT48" i="2"/>
  <c r="CS48" i="2"/>
  <c r="CR48" i="2"/>
  <c r="CQ48" i="2"/>
  <c r="CP48" i="2"/>
  <c r="CO48" i="2"/>
  <c r="CN48" i="2"/>
  <c r="CM48" i="2"/>
  <c r="CL48" i="2"/>
  <c r="CK48" i="2"/>
  <c r="CJ48" i="2"/>
  <c r="CI48" i="2"/>
  <c r="CH48" i="2"/>
  <c r="CG48" i="2"/>
  <c r="CF48" i="2"/>
  <c r="CE48" i="2"/>
  <c r="CD48" i="2"/>
  <c r="CC48" i="2"/>
  <c r="CB48" i="2"/>
  <c r="CA48" i="2"/>
  <c r="BZ48" i="2"/>
  <c r="BY48" i="2"/>
  <c r="BX48" i="2"/>
  <c r="BW48" i="2"/>
  <c r="BV48" i="2"/>
  <c r="BU48" i="2"/>
  <c r="BT48" i="2"/>
  <c r="BS48" i="2"/>
  <c r="BR48" i="2"/>
  <c r="BQ48" i="2"/>
  <c r="BP48" i="2"/>
  <c r="BO48" i="2"/>
  <c r="BN48" i="2"/>
  <c r="BM48" i="2"/>
  <c r="BL48" i="2"/>
  <c r="BK48" i="2"/>
  <c r="BJ48" i="2"/>
  <c r="BI48" i="2"/>
  <c r="BH48" i="2"/>
  <c r="BG48" i="2"/>
  <c r="BF48" i="2"/>
  <c r="BE48" i="2"/>
  <c r="BD48" i="2"/>
  <c r="BC48" i="2"/>
  <c r="BB48" i="2"/>
  <c r="BA48" i="2"/>
  <c r="AZ48" i="2"/>
  <c r="AY48" i="2"/>
  <c r="AX48" i="2"/>
  <c r="AW48" i="2"/>
  <c r="AV48" i="2"/>
  <c r="AU48" i="2"/>
  <c r="AT48" i="2"/>
  <c r="AS48" i="2"/>
  <c r="AR48" i="2"/>
  <c r="AQ48" i="2"/>
  <c r="AP48" i="2"/>
  <c r="AO48" i="2"/>
  <c r="AN48" i="2"/>
  <c r="AM48" i="2"/>
  <c r="AL48" i="2"/>
  <c r="AJ48" i="2"/>
  <c r="AI48" i="2"/>
  <c r="AH48" i="2"/>
  <c r="AG48" i="2"/>
  <c r="AF48" i="2"/>
  <c r="AE48" i="2"/>
  <c r="AD48" i="2"/>
  <c r="AC48" i="2"/>
  <c r="AB48" i="2"/>
  <c r="AA48" i="2"/>
  <c r="Z48" i="2"/>
  <c r="Y48" i="2"/>
  <c r="X48" i="2"/>
  <c r="W48" i="2"/>
  <c r="V48" i="2"/>
  <c r="U48" i="2"/>
  <c r="T48" i="2"/>
  <c r="S48" i="2"/>
  <c r="R48" i="2"/>
  <c r="Q48" i="2"/>
  <c r="P48" i="2"/>
  <c r="O48" i="2"/>
  <c r="N48" i="2"/>
  <c r="M48" i="2"/>
  <c r="L48" i="2"/>
  <c r="K48" i="2"/>
  <c r="J48" i="2"/>
  <c r="I48" i="2"/>
  <c r="H48" i="2"/>
  <c r="G48" i="2"/>
  <c r="F48" i="2"/>
  <c r="E48" i="2"/>
  <c r="D48" i="2"/>
  <c r="C48" i="2"/>
  <c r="CZ47" i="2" l="1"/>
  <c r="CY47" i="2"/>
  <c r="CX47" i="2"/>
  <c r="CW47" i="2"/>
  <c r="CV47" i="2"/>
  <c r="CU47" i="2"/>
  <c r="CT47" i="2"/>
  <c r="CS47" i="2"/>
  <c r="CR47" i="2"/>
  <c r="CQ47" i="2"/>
  <c r="CP47" i="2"/>
  <c r="CO47" i="2"/>
  <c r="CN47" i="2"/>
  <c r="CM47" i="2"/>
  <c r="CL47" i="2"/>
  <c r="CK47" i="2"/>
  <c r="CJ47" i="2"/>
  <c r="CI47" i="2"/>
  <c r="CH47" i="2"/>
  <c r="CG47" i="2"/>
  <c r="CF47" i="2"/>
  <c r="CE47" i="2"/>
  <c r="CD47" i="2"/>
  <c r="CC47" i="2"/>
  <c r="CB47" i="2"/>
  <c r="CA47" i="2"/>
  <c r="BZ47" i="2"/>
  <c r="BY47" i="2"/>
  <c r="BX47" i="2"/>
  <c r="BW47" i="2"/>
  <c r="BV47" i="2"/>
  <c r="BU47" i="2"/>
  <c r="BT47" i="2"/>
  <c r="BS47" i="2"/>
  <c r="BR47" i="2"/>
  <c r="BQ47" i="2"/>
  <c r="BP47" i="2"/>
  <c r="BO47" i="2"/>
  <c r="BN47" i="2"/>
  <c r="BM47" i="2"/>
  <c r="BL47" i="2"/>
  <c r="BK47" i="2"/>
  <c r="BJ47" i="2"/>
  <c r="BI47" i="2"/>
  <c r="BH47" i="2"/>
  <c r="BG47" i="2"/>
  <c r="BF47" i="2"/>
  <c r="BE47" i="2"/>
  <c r="BD47" i="2"/>
  <c r="BC47" i="2"/>
  <c r="BB47" i="2"/>
  <c r="BA47" i="2"/>
  <c r="AZ47" i="2"/>
  <c r="AY47" i="2"/>
  <c r="AX47" i="2"/>
  <c r="AW47" i="2"/>
  <c r="AV47" i="2"/>
  <c r="AU47" i="2"/>
  <c r="AT47" i="2"/>
  <c r="AS47" i="2"/>
  <c r="AR47" i="2"/>
  <c r="AQ47" i="2"/>
  <c r="AP47" i="2"/>
  <c r="AO47" i="2"/>
  <c r="AN47" i="2"/>
  <c r="AM47" i="2"/>
  <c r="AL47" i="2"/>
  <c r="AJ47" i="2"/>
  <c r="AI47" i="2"/>
  <c r="AH47" i="2"/>
  <c r="AG47" i="2"/>
  <c r="AF47" i="2"/>
  <c r="AE47" i="2"/>
  <c r="AD47" i="2"/>
  <c r="AC47" i="2"/>
  <c r="AB47" i="2"/>
  <c r="AA47" i="2"/>
  <c r="Z47" i="2"/>
  <c r="Y47" i="2"/>
  <c r="X47" i="2"/>
  <c r="W47" i="2"/>
  <c r="V47" i="2"/>
  <c r="U47" i="2"/>
  <c r="T47" i="2"/>
  <c r="S47" i="2"/>
  <c r="R47" i="2"/>
  <c r="Q47" i="2"/>
  <c r="P47" i="2"/>
  <c r="O47" i="2"/>
  <c r="N47" i="2"/>
  <c r="M47" i="2"/>
  <c r="L47" i="2"/>
  <c r="K47" i="2"/>
  <c r="J47" i="2"/>
  <c r="I47" i="2"/>
  <c r="H47" i="2"/>
  <c r="G47" i="2"/>
  <c r="F47" i="2"/>
  <c r="E47" i="2"/>
  <c r="D47" i="2"/>
  <c r="CZ46" i="2"/>
  <c r="CY46" i="2"/>
  <c r="CX46" i="2"/>
  <c r="CW46" i="2"/>
  <c r="CV46" i="2"/>
  <c r="CU46" i="2"/>
  <c r="CT46" i="2"/>
  <c r="CS46" i="2"/>
  <c r="CR46" i="2"/>
  <c r="CQ46" i="2"/>
  <c r="CP46" i="2"/>
  <c r="CO46" i="2"/>
  <c r="CN46" i="2"/>
  <c r="CM46" i="2"/>
  <c r="CL46" i="2"/>
  <c r="CK46" i="2"/>
  <c r="CJ46" i="2"/>
  <c r="CI46" i="2"/>
  <c r="CH46" i="2"/>
  <c r="CG46" i="2"/>
  <c r="CF46" i="2"/>
  <c r="CE46" i="2"/>
  <c r="CD46" i="2"/>
  <c r="CC46" i="2"/>
  <c r="CB46" i="2"/>
  <c r="CA46" i="2"/>
  <c r="BZ46" i="2"/>
  <c r="BY46" i="2"/>
  <c r="BX46" i="2"/>
  <c r="BW46" i="2"/>
  <c r="BV46" i="2"/>
  <c r="BU46" i="2"/>
  <c r="BT46" i="2"/>
  <c r="BS46" i="2"/>
  <c r="BR46" i="2"/>
  <c r="BQ46" i="2"/>
  <c r="BP46" i="2"/>
  <c r="BO46" i="2"/>
  <c r="BN46" i="2"/>
  <c r="BM46" i="2"/>
  <c r="BL46" i="2"/>
  <c r="BK46" i="2"/>
  <c r="BJ46" i="2"/>
  <c r="BI46" i="2"/>
  <c r="BH46" i="2"/>
  <c r="BG46" i="2"/>
  <c r="BF46" i="2"/>
  <c r="BE46" i="2"/>
  <c r="BD46" i="2"/>
  <c r="BC46" i="2"/>
  <c r="BB46" i="2"/>
  <c r="BA46" i="2"/>
  <c r="AZ46" i="2"/>
  <c r="AY46" i="2"/>
  <c r="AX46" i="2"/>
  <c r="AW46" i="2"/>
  <c r="AV46" i="2"/>
  <c r="AU46" i="2"/>
  <c r="AT46" i="2"/>
  <c r="AS46" i="2"/>
  <c r="AR46" i="2"/>
  <c r="AQ46" i="2"/>
  <c r="AP46" i="2"/>
  <c r="AO46" i="2"/>
  <c r="AN46" i="2"/>
  <c r="AM46" i="2"/>
  <c r="AL46" i="2"/>
  <c r="AI46" i="2"/>
  <c r="AH46" i="2"/>
  <c r="AG46" i="2"/>
  <c r="AF46" i="2"/>
  <c r="AE46" i="2"/>
  <c r="AD46" i="2"/>
  <c r="AC46" i="2"/>
  <c r="AB46" i="2"/>
  <c r="AA46" i="2"/>
  <c r="Z46" i="2"/>
  <c r="Y46" i="2"/>
  <c r="X46" i="2"/>
  <c r="W46" i="2"/>
  <c r="V46" i="2"/>
  <c r="U46" i="2"/>
  <c r="T46" i="2"/>
  <c r="S46" i="2"/>
  <c r="R46" i="2"/>
  <c r="Q46" i="2"/>
  <c r="P46" i="2"/>
  <c r="O46" i="2"/>
  <c r="N46" i="2"/>
  <c r="M46" i="2"/>
  <c r="L46" i="2"/>
  <c r="K46" i="2"/>
  <c r="J46" i="2"/>
  <c r="I46" i="2"/>
  <c r="H46" i="2"/>
  <c r="G46" i="2"/>
  <c r="F46" i="2"/>
  <c r="E46" i="2"/>
  <c r="D46" i="2"/>
  <c r="CZ45" i="2"/>
  <c r="CY45" i="2"/>
  <c r="CX45" i="2"/>
  <c r="CW45" i="2"/>
  <c r="CV45" i="2"/>
  <c r="CU45" i="2"/>
  <c r="CT45" i="2"/>
  <c r="CS45" i="2"/>
  <c r="CR45" i="2"/>
  <c r="CQ45" i="2"/>
  <c r="CP45" i="2"/>
  <c r="CO45" i="2"/>
  <c r="CN45" i="2"/>
  <c r="CM45" i="2"/>
  <c r="CL45" i="2"/>
  <c r="CK45" i="2"/>
  <c r="CJ45" i="2"/>
  <c r="CI45" i="2"/>
  <c r="CH45" i="2"/>
  <c r="CG45" i="2"/>
  <c r="CF45" i="2"/>
  <c r="CE45" i="2"/>
  <c r="CD45" i="2"/>
  <c r="CC45" i="2"/>
  <c r="CB45" i="2"/>
  <c r="CA45" i="2"/>
  <c r="BZ45" i="2"/>
  <c r="BY45" i="2"/>
  <c r="BX45" i="2"/>
  <c r="BW45" i="2"/>
  <c r="BV45" i="2"/>
  <c r="BU45" i="2"/>
  <c r="BT45" i="2"/>
  <c r="BS45" i="2"/>
  <c r="BR45" i="2"/>
  <c r="BQ45" i="2"/>
  <c r="BP45" i="2"/>
  <c r="BO45" i="2"/>
  <c r="BN45" i="2"/>
  <c r="BM45" i="2"/>
  <c r="BL45" i="2"/>
  <c r="BK45" i="2"/>
  <c r="BJ45" i="2"/>
  <c r="BI45" i="2"/>
  <c r="BH45" i="2"/>
  <c r="BG45" i="2"/>
  <c r="BF45" i="2"/>
  <c r="BE45" i="2"/>
  <c r="BD45" i="2"/>
  <c r="BC45" i="2"/>
  <c r="BB45" i="2"/>
  <c r="BA45" i="2"/>
  <c r="AZ45" i="2"/>
  <c r="AY45" i="2"/>
  <c r="AX45" i="2"/>
  <c r="AW45" i="2"/>
  <c r="AV45" i="2"/>
  <c r="AU45" i="2"/>
  <c r="AT45" i="2"/>
  <c r="AS45" i="2"/>
  <c r="AR45" i="2"/>
  <c r="AQ45" i="2"/>
  <c r="AP45" i="2"/>
  <c r="AO45" i="2"/>
  <c r="AN45" i="2"/>
  <c r="AM45" i="2"/>
  <c r="AL45" i="2"/>
  <c r="AI45" i="2"/>
  <c r="AH45" i="2"/>
  <c r="AG45" i="2"/>
  <c r="AF45" i="2"/>
  <c r="AE45" i="2"/>
  <c r="AD45" i="2"/>
  <c r="AC45" i="2"/>
  <c r="AB45" i="2"/>
  <c r="AA45" i="2"/>
  <c r="Z45" i="2"/>
  <c r="Y45" i="2"/>
  <c r="X45" i="2"/>
  <c r="W45" i="2"/>
  <c r="V45" i="2"/>
  <c r="U45" i="2"/>
  <c r="T45" i="2"/>
  <c r="S45" i="2"/>
  <c r="R45" i="2"/>
  <c r="Q45" i="2"/>
  <c r="P45" i="2"/>
  <c r="O45" i="2"/>
  <c r="N45" i="2"/>
  <c r="M45" i="2"/>
  <c r="L45" i="2"/>
  <c r="K45" i="2"/>
  <c r="J45" i="2"/>
  <c r="I45" i="2"/>
  <c r="H45" i="2"/>
  <c r="G45" i="2"/>
  <c r="F45" i="2"/>
  <c r="E45" i="2"/>
  <c r="D45" i="2"/>
  <c r="CZ44" i="2"/>
  <c r="CY44" i="2"/>
  <c r="CX44" i="2"/>
  <c r="CW44" i="2"/>
  <c r="CV44" i="2"/>
  <c r="CU44" i="2"/>
  <c r="CT44" i="2"/>
  <c r="CS44" i="2"/>
  <c r="CR44" i="2"/>
  <c r="CQ44" i="2"/>
  <c r="CP44" i="2"/>
  <c r="CO44" i="2"/>
  <c r="CN44" i="2"/>
  <c r="CM44" i="2"/>
  <c r="CL44" i="2"/>
  <c r="CK44" i="2"/>
  <c r="CJ44" i="2"/>
  <c r="CI44" i="2"/>
  <c r="CH44" i="2"/>
  <c r="CG44" i="2"/>
  <c r="CF44" i="2"/>
  <c r="CE44" i="2"/>
  <c r="CD44" i="2"/>
  <c r="CC44" i="2"/>
  <c r="CB44" i="2"/>
  <c r="CA44" i="2"/>
  <c r="BZ44" i="2"/>
  <c r="BY44" i="2"/>
  <c r="BX44" i="2"/>
  <c r="BW44" i="2"/>
  <c r="BV44" i="2"/>
  <c r="BU44" i="2"/>
  <c r="BT44" i="2"/>
  <c r="BS44" i="2"/>
  <c r="BR44" i="2"/>
  <c r="BQ44" i="2"/>
  <c r="BP44" i="2"/>
  <c r="BO44" i="2"/>
  <c r="BN44" i="2"/>
  <c r="BM44" i="2"/>
  <c r="BL44" i="2"/>
  <c r="BK44" i="2"/>
  <c r="BJ44" i="2"/>
  <c r="BI44" i="2"/>
  <c r="BH44" i="2"/>
  <c r="BG44" i="2"/>
  <c r="BF44" i="2"/>
  <c r="BE44" i="2"/>
  <c r="BD44" i="2"/>
  <c r="BC44" i="2"/>
  <c r="BB44" i="2"/>
  <c r="BA44" i="2"/>
  <c r="AZ44" i="2"/>
  <c r="AY44" i="2"/>
  <c r="AX44" i="2"/>
  <c r="AW44" i="2"/>
  <c r="AV44" i="2"/>
  <c r="AU44" i="2"/>
  <c r="AT44" i="2"/>
  <c r="AS44" i="2"/>
  <c r="AR44" i="2"/>
  <c r="AQ44" i="2"/>
  <c r="AP44" i="2"/>
  <c r="AO44" i="2"/>
  <c r="AN44" i="2"/>
  <c r="AM44" i="2"/>
  <c r="AL44" i="2"/>
  <c r="AI44" i="2"/>
  <c r="AH44" i="2"/>
  <c r="AG44" i="2"/>
  <c r="AF44" i="2"/>
  <c r="AE44" i="2"/>
  <c r="AD44" i="2"/>
  <c r="AC44" i="2"/>
  <c r="AB44" i="2"/>
  <c r="AA44" i="2"/>
  <c r="Z44" i="2"/>
  <c r="Y44" i="2"/>
  <c r="X44" i="2"/>
  <c r="W44" i="2"/>
  <c r="V44" i="2"/>
  <c r="U44" i="2"/>
  <c r="T44" i="2"/>
  <c r="S44" i="2"/>
  <c r="R44" i="2"/>
  <c r="Q44" i="2"/>
  <c r="P44" i="2"/>
  <c r="O44" i="2"/>
  <c r="N44" i="2"/>
  <c r="M44" i="2"/>
  <c r="L44" i="2"/>
  <c r="K44" i="2"/>
  <c r="J44" i="2"/>
  <c r="I44" i="2"/>
  <c r="H44" i="2"/>
  <c r="G44" i="2"/>
  <c r="F44" i="2"/>
  <c r="E44" i="2"/>
  <c r="D44" i="2"/>
  <c r="CZ43" i="2"/>
  <c r="CY43" i="2"/>
  <c r="CX43" i="2"/>
  <c r="CW43" i="2"/>
  <c r="CV43" i="2"/>
  <c r="CU43" i="2"/>
  <c r="CT43" i="2"/>
  <c r="CS43" i="2"/>
  <c r="CR43" i="2"/>
  <c r="CQ43" i="2"/>
  <c r="CP43" i="2"/>
  <c r="CO43" i="2"/>
  <c r="CN43" i="2"/>
  <c r="CM43" i="2"/>
  <c r="CL43" i="2"/>
  <c r="CK43" i="2"/>
  <c r="CJ43" i="2"/>
  <c r="CI43" i="2"/>
  <c r="CH43" i="2"/>
  <c r="CG43" i="2"/>
  <c r="CF43" i="2"/>
  <c r="CE43" i="2"/>
  <c r="CD43" i="2"/>
  <c r="CC43" i="2"/>
  <c r="CB43" i="2"/>
  <c r="CA43" i="2"/>
  <c r="BZ43" i="2"/>
  <c r="BY43" i="2"/>
  <c r="BX43" i="2"/>
  <c r="BW43" i="2"/>
  <c r="BV43" i="2"/>
  <c r="BU43" i="2"/>
  <c r="BT43" i="2"/>
  <c r="BS43" i="2"/>
  <c r="BR43" i="2"/>
  <c r="BQ43" i="2"/>
  <c r="BP43" i="2"/>
  <c r="BO43" i="2"/>
  <c r="BN43" i="2"/>
  <c r="BM43" i="2"/>
  <c r="BL43" i="2"/>
  <c r="BK43" i="2"/>
  <c r="BJ43" i="2"/>
  <c r="BI43" i="2"/>
  <c r="BH43" i="2"/>
  <c r="BG43" i="2"/>
  <c r="BF43" i="2"/>
  <c r="BE43" i="2"/>
  <c r="BD43" i="2"/>
  <c r="BC43" i="2"/>
  <c r="BB43" i="2"/>
  <c r="BA43" i="2"/>
  <c r="AZ43" i="2"/>
  <c r="AY43" i="2"/>
  <c r="AX43" i="2"/>
  <c r="AW43" i="2"/>
  <c r="AV43" i="2"/>
  <c r="AU43" i="2"/>
  <c r="AT43" i="2"/>
  <c r="AS43" i="2"/>
  <c r="AR43" i="2"/>
  <c r="AQ43" i="2"/>
  <c r="AP43" i="2"/>
  <c r="AO43" i="2"/>
  <c r="AN43" i="2"/>
  <c r="AM43" i="2"/>
  <c r="AL43" i="2"/>
  <c r="AI43" i="2"/>
  <c r="AH43" i="2"/>
  <c r="AG43" i="2"/>
  <c r="AF43" i="2"/>
  <c r="AE43" i="2"/>
  <c r="AD43" i="2"/>
  <c r="AC43" i="2"/>
  <c r="AB43" i="2"/>
  <c r="AA43" i="2"/>
  <c r="Z43" i="2"/>
  <c r="Y43" i="2"/>
  <c r="X43" i="2"/>
  <c r="W43" i="2"/>
  <c r="V43" i="2"/>
  <c r="U43" i="2"/>
  <c r="T43" i="2"/>
  <c r="S43" i="2"/>
  <c r="R43" i="2"/>
  <c r="Q43" i="2"/>
  <c r="P43" i="2"/>
  <c r="O43" i="2"/>
  <c r="N43" i="2"/>
  <c r="M43" i="2"/>
  <c r="L43" i="2"/>
  <c r="K43" i="2"/>
  <c r="J43" i="2"/>
  <c r="I43" i="2"/>
  <c r="H43" i="2"/>
  <c r="G43" i="2"/>
  <c r="F43" i="2"/>
  <c r="E43" i="2"/>
  <c r="D43" i="2"/>
  <c r="CZ42" i="2"/>
  <c r="CY42" i="2"/>
  <c r="CX42" i="2"/>
  <c r="CW42" i="2"/>
  <c r="CV42" i="2"/>
  <c r="CU42" i="2"/>
  <c r="CT42" i="2"/>
  <c r="CS42" i="2"/>
  <c r="CR42" i="2"/>
  <c r="CQ42" i="2"/>
  <c r="CP42" i="2"/>
  <c r="CO42" i="2"/>
  <c r="CN42" i="2"/>
  <c r="CM42" i="2"/>
  <c r="CL42" i="2"/>
  <c r="CK42" i="2"/>
  <c r="CJ42" i="2"/>
  <c r="CI42" i="2"/>
  <c r="CH42" i="2"/>
  <c r="CG42" i="2"/>
  <c r="CF42" i="2"/>
  <c r="CE42" i="2"/>
  <c r="CD42" i="2"/>
  <c r="CC42" i="2"/>
  <c r="CB42" i="2"/>
  <c r="CA42" i="2"/>
  <c r="BZ42" i="2"/>
  <c r="BY42" i="2"/>
  <c r="BX42" i="2"/>
  <c r="BW42" i="2"/>
  <c r="BV42" i="2"/>
  <c r="BU42" i="2"/>
  <c r="BT42" i="2"/>
  <c r="BS42" i="2"/>
  <c r="BR42" i="2"/>
  <c r="BQ42" i="2"/>
  <c r="BP42" i="2"/>
  <c r="BO42" i="2"/>
  <c r="BN42" i="2"/>
  <c r="BM42" i="2"/>
  <c r="BL42" i="2"/>
  <c r="BK42" i="2"/>
  <c r="BJ42" i="2"/>
  <c r="BI42" i="2"/>
  <c r="BH42" i="2"/>
  <c r="BG42" i="2"/>
  <c r="BF42" i="2"/>
  <c r="BE42" i="2"/>
  <c r="BD42" i="2"/>
  <c r="BC42" i="2"/>
  <c r="BB42" i="2"/>
  <c r="BA42" i="2"/>
  <c r="AZ42" i="2"/>
  <c r="AY42" i="2"/>
  <c r="AX42" i="2"/>
  <c r="AW42" i="2"/>
  <c r="AV42" i="2"/>
  <c r="AU42" i="2"/>
  <c r="AT42" i="2"/>
  <c r="AS42" i="2"/>
  <c r="AR42" i="2"/>
  <c r="AQ42" i="2"/>
  <c r="AP42" i="2"/>
  <c r="AO42" i="2"/>
  <c r="AN42" i="2"/>
  <c r="AM42" i="2"/>
  <c r="AL42" i="2"/>
  <c r="AI42" i="2"/>
  <c r="AH42" i="2"/>
  <c r="AG42" i="2"/>
  <c r="AF42" i="2"/>
  <c r="AE42" i="2"/>
  <c r="AD42" i="2"/>
  <c r="AC42" i="2"/>
  <c r="AB42" i="2"/>
  <c r="AA42" i="2"/>
  <c r="Z42" i="2"/>
  <c r="Y42" i="2"/>
  <c r="X42" i="2"/>
  <c r="W42" i="2"/>
  <c r="V42" i="2"/>
  <c r="U42" i="2"/>
  <c r="T42" i="2"/>
  <c r="S42" i="2"/>
  <c r="R42" i="2"/>
  <c r="Q42" i="2"/>
  <c r="P42" i="2"/>
  <c r="O42" i="2"/>
  <c r="N42" i="2"/>
  <c r="M42" i="2"/>
  <c r="L42" i="2"/>
  <c r="K42" i="2"/>
  <c r="J42" i="2"/>
  <c r="I42" i="2"/>
  <c r="H42" i="2"/>
  <c r="G42" i="2"/>
  <c r="F42" i="2"/>
  <c r="E42" i="2"/>
  <c r="D42" i="2"/>
  <c r="CZ41" i="2"/>
  <c r="CY41" i="2"/>
  <c r="CX41" i="2"/>
  <c r="CW41" i="2"/>
  <c r="CV41" i="2"/>
  <c r="CU41" i="2"/>
  <c r="CT41" i="2"/>
  <c r="CS41" i="2"/>
  <c r="CR41" i="2"/>
  <c r="CQ41" i="2"/>
  <c r="CP41" i="2"/>
  <c r="CO41" i="2"/>
  <c r="CN41" i="2"/>
  <c r="CM41" i="2"/>
  <c r="CL41" i="2"/>
  <c r="CK41" i="2"/>
  <c r="CJ41" i="2"/>
  <c r="CI41" i="2"/>
  <c r="CH41" i="2"/>
  <c r="CG41" i="2"/>
  <c r="CF41" i="2"/>
  <c r="CE41" i="2"/>
  <c r="CD41" i="2"/>
  <c r="CC41" i="2"/>
  <c r="CB41" i="2"/>
  <c r="CA41" i="2"/>
  <c r="BZ41" i="2"/>
  <c r="BY41" i="2"/>
  <c r="BX41" i="2"/>
  <c r="BW41" i="2"/>
  <c r="BV41" i="2"/>
  <c r="BU41" i="2"/>
  <c r="BT41" i="2"/>
  <c r="BS41" i="2"/>
  <c r="BR41" i="2"/>
  <c r="BQ41" i="2"/>
  <c r="BP41" i="2"/>
  <c r="BO41" i="2"/>
  <c r="BN41" i="2"/>
  <c r="BM41" i="2"/>
  <c r="BL41" i="2"/>
  <c r="BK41" i="2"/>
  <c r="BJ41" i="2"/>
  <c r="BI41" i="2"/>
  <c r="BH41" i="2"/>
  <c r="BG41" i="2"/>
  <c r="BF41" i="2"/>
  <c r="BE41" i="2"/>
  <c r="BD41" i="2"/>
  <c r="BC41" i="2"/>
  <c r="BB41" i="2"/>
  <c r="BA41" i="2"/>
  <c r="AZ41" i="2"/>
  <c r="AY41" i="2"/>
  <c r="AX41" i="2"/>
  <c r="AW41" i="2"/>
  <c r="AV41" i="2"/>
  <c r="AU41" i="2"/>
  <c r="AT41" i="2"/>
  <c r="AS41" i="2"/>
  <c r="AR41" i="2"/>
  <c r="AQ41" i="2"/>
  <c r="AP41" i="2"/>
  <c r="AO41" i="2"/>
  <c r="AN41" i="2"/>
  <c r="AM41" i="2"/>
  <c r="AL41" i="2"/>
  <c r="AI41" i="2"/>
  <c r="AH41" i="2"/>
  <c r="AG41" i="2"/>
  <c r="AF41" i="2"/>
  <c r="AE41" i="2"/>
  <c r="AD41" i="2"/>
  <c r="AC41" i="2"/>
  <c r="AB41" i="2"/>
  <c r="AA41" i="2"/>
  <c r="Z41" i="2"/>
  <c r="Y41" i="2"/>
  <c r="X41" i="2"/>
  <c r="W41" i="2"/>
  <c r="V41" i="2"/>
  <c r="U41" i="2"/>
  <c r="T41" i="2"/>
  <c r="S41" i="2"/>
  <c r="R41" i="2"/>
  <c r="Q41" i="2"/>
  <c r="P41" i="2"/>
  <c r="O41" i="2"/>
  <c r="N41" i="2"/>
  <c r="M41" i="2"/>
  <c r="L41" i="2"/>
  <c r="K41" i="2"/>
  <c r="J41" i="2"/>
  <c r="I41" i="2"/>
  <c r="H41" i="2"/>
  <c r="G41" i="2"/>
  <c r="F41" i="2"/>
  <c r="E41" i="2"/>
  <c r="D41" i="2"/>
  <c r="CZ40" i="2"/>
  <c r="CZ54" i="2" s="1"/>
  <c r="CY40" i="2"/>
  <c r="CY54" i="2" s="1"/>
  <c r="CX40" i="2"/>
  <c r="CX54" i="2" s="1"/>
  <c r="CW40" i="2"/>
  <c r="CW54" i="2" s="1"/>
  <c r="CV40" i="2"/>
  <c r="CV54" i="2" s="1"/>
  <c r="CU40" i="2"/>
  <c r="CU54" i="2" s="1"/>
  <c r="CT40" i="2"/>
  <c r="CT54" i="2" s="1"/>
  <c r="CS40" i="2"/>
  <c r="CS54" i="2" s="1"/>
  <c r="CR40" i="2"/>
  <c r="CR54" i="2" s="1"/>
  <c r="CQ40" i="2"/>
  <c r="CQ54" i="2" s="1"/>
  <c r="CP40" i="2"/>
  <c r="CP54" i="2" s="1"/>
  <c r="CO40" i="2"/>
  <c r="CO54" i="2" s="1"/>
  <c r="CN40" i="2"/>
  <c r="CN54" i="2" s="1"/>
  <c r="CM40" i="2"/>
  <c r="CM54" i="2" s="1"/>
  <c r="CL40" i="2"/>
  <c r="CL54" i="2" s="1"/>
  <c r="CK40" i="2"/>
  <c r="CK54" i="2" s="1"/>
  <c r="CJ40" i="2"/>
  <c r="CJ54" i="2" s="1"/>
  <c r="CI40" i="2"/>
  <c r="CI54" i="2" s="1"/>
  <c r="CH40" i="2"/>
  <c r="CH54" i="2" s="1"/>
  <c r="CG40" i="2"/>
  <c r="CG54" i="2" s="1"/>
  <c r="CF40" i="2"/>
  <c r="CF54" i="2" s="1"/>
  <c r="CE40" i="2"/>
  <c r="CE54" i="2" s="1"/>
  <c r="CD40" i="2"/>
  <c r="CD54" i="2" s="1"/>
  <c r="CC40" i="2"/>
  <c r="CC54" i="2" s="1"/>
  <c r="CB40" i="2"/>
  <c r="CB54" i="2" s="1"/>
  <c r="CA40" i="2"/>
  <c r="CA54" i="2" s="1"/>
  <c r="BZ40" i="2"/>
  <c r="BZ54" i="2" s="1"/>
  <c r="BY40" i="2"/>
  <c r="BY54" i="2" s="1"/>
  <c r="BX40" i="2"/>
  <c r="BX54" i="2" s="1"/>
  <c r="BW40" i="2"/>
  <c r="BW54" i="2" s="1"/>
  <c r="BV40" i="2"/>
  <c r="BV54" i="2" s="1"/>
  <c r="BU40" i="2"/>
  <c r="BU54" i="2" s="1"/>
  <c r="BT40" i="2"/>
  <c r="BT54" i="2" s="1"/>
  <c r="BS40" i="2"/>
  <c r="BS54" i="2" s="1"/>
  <c r="BR40" i="2"/>
  <c r="BR54" i="2" s="1"/>
  <c r="BQ40" i="2"/>
  <c r="BP40" i="2"/>
  <c r="BP54" i="2" s="1"/>
  <c r="BO40" i="2"/>
  <c r="BO54" i="2" s="1"/>
  <c r="BN40" i="2"/>
  <c r="BN54" i="2" s="1"/>
  <c r="BM40" i="2"/>
  <c r="BM54" i="2" s="1"/>
  <c r="BL40" i="2"/>
  <c r="BL54" i="2" s="1"/>
  <c r="BK40" i="2"/>
  <c r="BK54" i="2" s="1"/>
  <c r="BJ40" i="2"/>
  <c r="BJ54" i="2" s="1"/>
  <c r="BI40" i="2"/>
  <c r="BI54" i="2" s="1"/>
  <c r="BH40" i="2"/>
  <c r="BH54" i="2" s="1"/>
  <c r="BG40" i="2"/>
  <c r="BG54" i="2" s="1"/>
  <c r="BF40" i="2"/>
  <c r="BF54" i="2" s="1"/>
  <c r="BE40" i="2"/>
  <c r="BE54" i="2" s="1"/>
  <c r="BD40" i="2"/>
  <c r="BD54" i="2" s="1"/>
  <c r="BC40" i="2"/>
  <c r="BC54" i="2" s="1"/>
  <c r="BB40" i="2"/>
  <c r="BB54" i="2" s="1"/>
  <c r="BA40" i="2"/>
  <c r="BA54" i="2" s="1"/>
  <c r="AZ40" i="2"/>
  <c r="AZ54" i="2" s="1"/>
  <c r="AY40" i="2"/>
  <c r="AY54" i="2" s="1"/>
  <c r="AX40" i="2"/>
  <c r="AX54" i="2" s="1"/>
  <c r="AW40" i="2"/>
  <c r="AW54" i="2" s="1"/>
  <c r="AV40" i="2"/>
  <c r="AV54" i="2" s="1"/>
  <c r="AU40" i="2"/>
  <c r="AU54" i="2" s="1"/>
  <c r="AT40" i="2"/>
  <c r="AT54" i="2" s="1"/>
  <c r="AS40" i="2"/>
  <c r="AS54" i="2" s="1"/>
  <c r="AR40" i="2"/>
  <c r="AR54" i="2" s="1"/>
  <c r="AQ40" i="2"/>
  <c r="AP40" i="2"/>
  <c r="AO40" i="2"/>
  <c r="AN40" i="2"/>
  <c r="AM40" i="2"/>
  <c r="AL40" i="2"/>
  <c r="AI40" i="2"/>
  <c r="AH40" i="2"/>
  <c r="AG40" i="2"/>
  <c r="AF40" i="2"/>
  <c r="AE40" i="2"/>
  <c r="AD40" i="2"/>
  <c r="AC40" i="2"/>
  <c r="AB40" i="2"/>
  <c r="AA40" i="2"/>
  <c r="Z40" i="2"/>
  <c r="Y40" i="2"/>
  <c r="X40" i="2"/>
  <c r="W40" i="2"/>
  <c r="V40" i="2"/>
  <c r="U40" i="2"/>
  <c r="T40" i="2"/>
  <c r="S40" i="2"/>
  <c r="R40" i="2"/>
  <c r="Q40" i="2"/>
  <c r="P40" i="2"/>
  <c r="O40" i="2"/>
  <c r="N40" i="2"/>
  <c r="M40" i="2"/>
  <c r="L40" i="2"/>
  <c r="K40" i="2"/>
  <c r="J40" i="2"/>
  <c r="I40" i="2"/>
  <c r="H40" i="2"/>
  <c r="G40" i="2"/>
  <c r="F40" i="2"/>
  <c r="E40" i="2"/>
  <c r="D40" i="2"/>
  <c r="CZ34" i="2"/>
  <c r="CY34" i="2"/>
  <c r="CX34" i="2"/>
  <c r="CW34" i="2"/>
  <c r="CV34" i="2"/>
  <c r="CU34" i="2"/>
  <c r="CT34" i="2"/>
  <c r="CS34" i="2"/>
  <c r="CR34" i="2"/>
  <c r="CQ34" i="2"/>
  <c r="CP34" i="2"/>
  <c r="CO34" i="2"/>
  <c r="CN34" i="2"/>
  <c r="CM34" i="2"/>
  <c r="CL34" i="2"/>
  <c r="CK34" i="2"/>
  <c r="CJ34" i="2"/>
  <c r="CI34" i="2"/>
  <c r="CH34" i="2"/>
  <c r="CG34" i="2"/>
  <c r="CF34" i="2"/>
  <c r="CE34" i="2"/>
  <c r="CD34" i="2"/>
  <c r="CC34" i="2"/>
  <c r="CB34" i="2"/>
  <c r="CA34" i="2"/>
  <c r="BZ34" i="2"/>
  <c r="BY34" i="2"/>
  <c r="BX34" i="2"/>
  <c r="BW34" i="2"/>
  <c r="BV34" i="2"/>
  <c r="BU34" i="2"/>
  <c r="BT34" i="2"/>
  <c r="BS34" i="2"/>
  <c r="BR34" i="2"/>
  <c r="BQ34" i="2"/>
  <c r="BP34" i="2"/>
  <c r="BO34" i="2"/>
  <c r="BN34" i="2"/>
  <c r="BM34" i="2"/>
  <c r="BL34" i="2"/>
  <c r="BK34" i="2"/>
  <c r="BJ34" i="2"/>
  <c r="BI34" i="2"/>
  <c r="BH34" i="2"/>
  <c r="BG34" i="2"/>
  <c r="BF34" i="2"/>
  <c r="BE34" i="2"/>
  <c r="BD34" i="2"/>
  <c r="BC34" i="2"/>
  <c r="BB34" i="2"/>
  <c r="BA34" i="2"/>
  <c r="AZ34" i="2"/>
  <c r="AY34" i="2"/>
  <c r="AX34" i="2"/>
  <c r="AW34" i="2"/>
  <c r="AV34" i="2"/>
  <c r="AU34" i="2"/>
  <c r="AT34" i="2"/>
  <c r="AS34" i="2"/>
  <c r="AR34" i="2"/>
  <c r="AQ34" i="2"/>
  <c r="AP34" i="2"/>
  <c r="AO34" i="2"/>
  <c r="AN34" i="2"/>
  <c r="AM34" i="2"/>
  <c r="AL34" i="2"/>
  <c r="AI34" i="2"/>
  <c r="AH34" i="2"/>
  <c r="AG34" i="2"/>
  <c r="AF34" i="2"/>
  <c r="AE34" i="2"/>
  <c r="AD34" i="2"/>
  <c r="AC34" i="2"/>
  <c r="AB34" i="2"/>
  <c r="AA34" i="2"/>
  <c r="Z34" i="2"/>
  <c r="Y34" i="2"/>
  <c r="X34" i="2"/>
  <c r="W34" i="2"/>
  <c r="V34" i="2"/>
  <c r="U34" i="2"/>
  <c r="T34" i="2"/>
  <c r="S34" i="2"/>
  <c r="R34" i="2"/>
  <c r="Q34" i="2"/>
  <c r="P34" i="2"/>
  <c r="O34" i="2"/>
  <c r="N34" i="2"/>
  <c r="M34" i="2"/>
  <c r="L34" i="2"/>
  <c r="K34" i="2"/>
  <c r="J34" i="2"/>
  <c r="I34" i="2"/>
  <c r="H34" i="2"/>
  <c r="G34" i="2"/>
  <c r="F34" i="2"/>
  <c r="E34" i="2"/>
  <c r="D34" i="2"/>
  <c r="CZ33" i="2"/>
  <c r="CY33" i="2"/>
  <c r="CX33" i="2"/>
  <c r="CW33" i="2"/>
  <c r="CV33" i="2"/>
  <c r="CU33" i="2"/>
  <c r="CT33" i="2"/>
  <c r="CS33" i="2"/>
  <c r="CR33" i="2"/>
  <c r="CQ33" i="2"/>
  <c r="CP33" i="2"/>
  <c r="CO33" i="2"/>
  <c r="CN33" i="2"/>
  <c r="CM33" i="2"/>
  <c r="CL33" i="2"/>
  <c r="CK33" i="2"/>
  <c r="CJ33" i="2"/>
  <c r="CI33" i="2"/>
  <c r="CH33" i="2"/>
  <c r="CG33" i="2"/>
  <c r="CF33" i="2"/>
  <c r="CE33" i="2"/>
  <c r="CD33" i="2"/>
  <c r="CC33" i="2"/>
  <c r="CB33" i="2"/>
  <c r="CA33" i="2"/>
  <c r="BZ33" i="2"/>
  <c r="BY33" i="2"/>
  <c r="BX33" i="2"/>
  <c r="BW33" i="2"/>
  <c r="BV33" i="2"/>
  <c r="BU33" i="2"/>
  <c r="BT33" i="2"/>
  <c r="BS33" i="2"/>
  <c r="BR33" i="2"/>
  <c r="BQ33" i="2"/>
  <c r="BP33" i="2"/>
  <c r="BO33" i="2"/>
  <c r="BN33" i="2"/>
  <c r="BM33" i="2"/>
  <c r="BL33" i="2"/>
  <c r="BK33" i="2"/>
  <c r="BJ33" i="2"/>
  <c r="BI33" i="2"/>
  <c r="BH33" i="2"/>
  <c r="BG33" i="2"/>
  <c r="BF33" i="2"/>
  <c r="BE33" i="2"/>
  <c r="BD33" i="2"/>
  <c r="BC33" i="2"/>
  <c r="BB33" i="2"/>
  <c r="BA33" i="2"/>
  <c r="AZ33" i="2"/>
  <c r="AY33" i="2"/>
  <c r="AX33" i="2"/>
  <c r="AW33" i="2"/>
  <c r="AV33" i="2"/>
  <c r="AU33" i="2"/>
  <c r="AT33" i="2"/>
  <c r="AS33" i="2"/>
  <c r="AR33" i="2"/>
  <c r="AQ33" i="2"/>
  <c r="AP33" i="2"/>
  <c r="AO33" i="2"/>
  <c r="AN33" i="2"/>
  <c r="AM33" i="2"/>
  <c r="AL33" i="2"/>
  <c r="AI33" i="2"/>
  <c r="AH33" i="2"/>
  <c r="AG33" i="2"/>
  <c r="AF33" i="2"/>
  <c r="AE33" i="2"/>
  <c r="AD33" i="2"/>
  <c r="AC33" i="2"/>
  <c r="AB33" i="2"/>
  <c r="AA33" i="2"/>
  <c r="Z33" i="2"/>
  <c r="Y33" i="2"/>
  <c r="X33" i="2"/>
  <c r="W33" i="2"/>
  <c r="V33" i="2"/>
  <c r="U33" i="2"/>
  <c r="T33" i="2"/>
  <c r="S33" i="2"/>
  <c r="R33" i="2"/>
  <c r="Q33" i="2"/>
  <c r="P33" i="2"/>
  <c r="O33" i="2"/>
  <c r="N33" i="2"/>
  <c r="M33" i="2"/>
  <c r="L33" i="2"/>
  <c r="K33" i="2"/>
  <c r="J33" i="2"/>
  <c r="I33" i="2"/>
  <c r="H33" i="2"/>
  <c r="G33" i="2"/>
  <c r="F33" i="2"/>
  <c r="E33" i="2"/>
  <c r="D33" i="2"/>
  <c r="CZ32" i="2"/>
  <c r="CY32" i="2"/>
  <c r="CX32" i="2"/>
  <c r="CW32" i="2"/>
  <c r="CV32" i="2"/>
  <c r="CU32" i="2"/>
  <c r="CT32" i="2"/>
  <c r="CS32" i="2"/>
  <c r="CR32" i="2"/>
  <c r="CQ32" i="2"/>
  <c r="CP32" i="2"/>
  <c r="CO32" i="2"/>
  <c r="CN32" i="2"/>
  <c r="CM32" i="2"/>
  <c r="CL32" i="2"/>
  <c r="CK32" i="2"/>
  <c r="CJ32" i="2"/>
  <c r="CI32" i="2"/>
  <c r="CH32" i="2"/>
  <c r="CG32" i="2"/>
  <c r="CF32" i="2"/>
  <c r="CE32" i="2"/>
  <c r="CD32" i="2"/>
  <c r="CC32" i="2"/>
  <c r="CB32" i="2"/>
  <c r="CA32" i="2"/>
  <c r="BZ32" i="2"/>
  <c r="BY32" i="2"/>
  <c r="BX32" i="2"/>
  <c r="BW32" i="2"/>
  <c r="BV32" i="2"/>
  <c r="BU32" i="2"/>
  <c r="BT32" i="2"/>
  <c r="BS32" i="2"/>
  <c r="BR32" i="2"/>
  <c r="BQ32" i="2"/>
  <c r="BP32" i="2"/>
  <c r="BO32" i="2"/>
  <c r="BN32" i="2"/>
  <c r="BM32" i="2"/>
  <c r="BL32" i="2"/>
  <c r="BK32" i="2"/>
  <c r="BJ32" i="2"/>
  <c r="BI32" i="2"/>
  <c r="BH32" i="2"/>
  <c r="BG32" i="2"/>
  <c r="BF32" i="2"/>
  <c r="BE32" i="2"/>
  <c r="BD32" i="2"/>
  <c r="BC32" i="2"/>
  <c r="BB32" i="2"/>
  <c r="BA32" i="2"/>
  <c r="AZ32" i="2"/>
  <c r="AY32" i="2"/>
  <c r="AX32" i="2"/>
  <c r="AW32" i="2"/>
  <c r="AV32" i="2"/>
  <c r="AU32" i="2"/>
  <c r="AT32" i="2"/>
  <c r="AS32" i="2"/>
  <c r="AR32" i="2"/>
  <c r="AQ32" i="2"/>
  <c r="AP32" i="2"/>
  <c r="AO32" i="2"/>
  <c r="AN32" i="2"/>
  <c r="AM32" i="2"/>
  <c r="AL32" i="2"/>
  <c r="AI32" i="2"/>
  <c r="AH32" i="2"/>
  <c r="AG32" i="2"/>
  <c r="AF32" i="2"/>
  <c r="AE32" i="2"/>
  <c r="AD32" i="2"/>
  <c r="AC32" i="2"/>
  <c r="AB32" i="2"/>
  <c r="AA32" i="2"/>
  <c r="Z32" i="2"/>
  <c r="Y32" i="2"/>
  <c r="X32" i="2"/>
  <c r="W32" i="2"/>
  <c r="V32" i="2"/>
  <c r="U32" i="2"/>
  <c r="T32" i="2"/>
  <c r="S32" i="2"/>
  <c r="R32" i="2"/>
  <c r="Q32" i="2"/>
  <c r="P32" i="2"/>
  <c r="O32" i="2"/>
  <c r="N32" i="2"/>
  <c r="M32" i="2"/>
  <c r="L32" i="2"/>
  <c r="K32" i="2"/>
  <c r="J32" i="2"/>
  <c r="I32" i="2"/>
  <c r="H32" i="2"/>
  <c r="G32" i="2"/>
  <c r="F32" i="2"/>
  <c r="E32" i="2"/>
  <c r="D32" i="2"/>
  <c r="CZ31" i="2"/>
  <c r="CY31" i="2"/>
  <c r="CX31" i="2"/>
  <c r="CW31" i="2"/>
  <c r="CV31" i="2"/>
  <c r="CU31" i="2"/>
  <c r="CT31" i="2"/>
  <c r="CS31" i="2"/>
  <c r="CR31" i="2"/>
  <c r="CQ31" i="2"/>
  <c r="CP31" i="2"/>
  <c r="CO31" i="2"/>
  <c r="CN31" i="2"/>
  <c r="CM31" i="2"/>
  <c r="CL31" i="2"/>
  <c r="CK31" i="2"/>
  <c r="CJ31" i="2"/>
  <c r="CI31" i="2"/>
  <c r="CH31" i="2"/>
  <c r="CG31" i="2"/>
  <c r="CF31" i="2"/>
  <c r="CE31" i="2"/>
  <c r="CD31" i="2"/>
  <c r="CC31" i="2"/>
  <c r="CB31" i="2"/>
  <c r="CA31" i="2"/>
  <c r="BZ31" i="2"/>
  <c r="BY31" i="2"/>
  <c r="BX31" i="2"/>
  <c r="BW31" i="2"/>
  <c r="BV31" i="2"/>
  <c r="BU31" i="2"/>
  <c r="BT31" i="2"/>
  <c r="BS31" i="2"/>
  <c r="BR31" i="2"/>
  <c r="BQ31" i="2"/>
  <c r="BP31" i="2"/>
  <c r="BO31" i="2"/>
  <c r="BN31" i="2"/>
  <c r="BM31" i="2"/>
  <c r="BL31" i="2"/>
  <c r="BK31" i="2"/>
  <c r="BJ31" i="2"/>
  <c r="BI31" i="2"/>
  <c r="BH31" i="2"/>
  <c r="BG31" i="2"/>
  <c r="BF31" i="2"/>
  <c r="BE31" i="2"/>
  <c r="BD31" i="2"/>
  <c r="BC31" i="2"/>
  <c r="BB31" i="2"/>
  <c r="BA31" i="2"/>
  <c r="AZ31" i="2"/>
  <c r="AY31" i="2"/>
  <c r="AX31" i="2"/>
  <c r="AW31" i="2"/>
  <c r="AV31" i="2"/>
  <c r="AU31" i="2"/>
  <c r="AT31" i="2"/>
  <c r="AS31" i="2"/>
  <c r="AR31" i="2"/>
  <c r="AQ31" i="2"/>
  <c r="AP31" i="2"/>
  <c r="AO31" i="2"/>
  <c r="AN31" i="2"/>
  <c r="AM31" i="2"/>
  <c r="AL31" i="2"/>
  <c r="AI31" i="2"/>
  <c r="AH31" i="2"/>
  <c r="AG31" i="2"/>
  <c r="AF31" i="2"/>
  <c r="AE31" i="2"/>
  <c r="AD31" i="2"/>
  <c r="AC31" i="2"/>
  <c r="AB31" i="2"/>
  <c r="AA31" i="2"/>
  <c r="Z31" i="2"/>
  <c r="Y31" i="2"/>
  <c r="X31" i="2"/>
  <c r="W31" i="2"/>
  <c r="V31" i="2"/>
  <c r="U31" i="2"/>
  <c r="T31" i="2"/>
  <c r="S31" i="2"/>
  <c r="R31" i="2"/>
  <c r="Q31" i="2"/>
  <c r="P31" i="2"/>
  <c r="O31" i="2"/>
  <c r="N31" i="2"/>
  <c r="M31" i="2"/>
  <c r="L31" i="2"/>
  <c r="K31" i="2"/>
  <c r="J31" i="2"/>
  <c r="I31" i="2"/>
  <c r="H31" i="2"/>
  <c r="G31" i="2"/>
  <c r="F31" i="2"/>
  <c r="E31" i="2"/>
  <c r="D31" i="2"/>
  <c r="CZ30" i="2"/>
  <c r="CY30" i="2"/>
  <c r="CX30" i="2"/>
  <c r="CW30" i="2"/>
  <c r="CV30" i="2"/>
  <c r="CU30" i="2"/>
  <c r="CT30" i="2"/>
  <c r="CS30" i="2"/>
  <c r="CR30" i="2"/>
  <c r="CQ30" i="2"/>
  <c r="CP30" i="2"/>
  <c r="CO30" i="2"/>
  <c r="CN30" i="2"/>
  <c r="CM30" i="2"/>
  <c r="CL30" i="2"/>
  <c r="CK30" i="2"/>
  <c r="CJ30" i="2"/>
  <c r="CI30" i="2"/>
  <c r="CH30" i="2"/>
  <c r="CG30" i="2"/>
  <c r="CF30" i="2"/>
  <c r="CE30" i="2"/>
  <c r="CD30" i="2"/>
  <c r="CC30" i="2"/>
  <c r="CB30" i="2"/>
  <c r="CA30" i="2"/>
  <c r="BZ30" i="2"/>
  <c r="BY30" i="2"/>
  <c r="BX30" i="2"/>
  <c r="BW30" i="2"/>
  <c r="BV30" i="2"/>
  <c r="BU30" i="2"/>
  <c r="BT30" i="2"/>
  <c r="BS30" i="2"/>
  <c r="BR30" i="2"/>
  <c r="BQ30" i="2"/>
  <c r="BP30" i="2"/>
  <c r="BO30" i="2"/>
  <c r="BN30" i="2"/>
  <c r="BM30" i="2"/>
  <c r="BL30" i="2"/>
  <c r="BK30" i="2"/>
  <c r="BJ30" i="2"/>
  <c r="BI30" i="2"/>
  <c r="BH30" i="2"/>
  <c r="BG30" i="2"/>
  <c r="BF30" i="2"/>
  <c r="BE30" i="2"/>
  <c r="BD30" i="2"/>
  <c r="BC30" i="2"/>
  <c r="BB30" i="2"/>
  <c r="BA30" i="2"/>
  <c r="AZ30" i="2"/>
  <c r="AY30" i="2"/>
  <c r="AX30" i="2"/>
  <c r="AW30" i="2"/>
  <c r="AV30" i="2"/>
  <c r="AU30" i="2"/>
  <c r="AT30" i="2"/>
  <c r="AS30" i="2"/>
  <c r="AR30" i="2"/>
  <c r="AQ30" i="2"/>
  <c r="AP30" i="2"/>
  <c r="AO30" i="2"/>
  <c r="AN30" i="2"/>
  <c r="AM30" i="2"/>
  <c r="AL30" i="2"/>
  <c r="AI30" i="2"/>
  <c r="AH30" i="2"/>
  <c r="AG30" i="2"/>
  <c r="AF30" i="2"/>
  <c r="AE30" i="2"/>
  <c r="AD30" i="2"/>
  <c r="AC30" i="2"/>
  <c r="AB30" i="2"/>
  <c r="AA30" i="2"/>
  <c r="Z30" i="2"/>
  <c r="Y30" i="2"/>
  <c r="X30" i="2"/>
  <c r="W30" i="2"/>
  <c r="V30" i="2"/>
  <c r="U30" i="2"/>
  <c r="T30" i="2"/>
  <c r="S30" i="2"/>
  <c r="R30" i="2"/>
  <c r="Q30" i="2"/>
  <c r="P30" i="2"/>
  <c r="O30" i="2"/>
  <c r="N30" i="2"/>
  <c r="M30" i="2"/>
  <c r="L30" i="2"/>
  <c r="K30" i="2"/>
  <c r="J30" i="2"/>
  <c r="I30" i="2"/>
  <c r="H30" i="2"/>
  <c r="G30" i="2"/>
  <c r="F30" i="2"/>
  <c r="E30" i="2"/>
  <c r="D30" i="2"/>
  <c r="CZ29" i="2"/>
  <c r="CY29" i="2"/>
  <c r="CX29" i="2"/>
  <c r="CW29" i="2"/>
  <c r="CV29" i="2"/>
  <c r="CU29" i="2"/>
  <c r="CT29" i="2"/>
  <c r="CS29" i="2"/>
  <c r="CR29" i="2"/>
  <c r="CQ29" i="2"/>
  <c r="CP29" i="2"/>
  <c r="CO29" i="2"/>
  <c r="CN29" i="2"/>
  <c r="CM29" i="2"/>
  <c r="CL29" i="2"/>
  <c r="CK29" i="2"/>
  <c r="CJ29" i="2"/>
  <c r="CI29" i="2"/>
  <c r="CH29" i="2"/>
  <c r="CG29" i="2"/>
  <c r="CF29" i="2"/>
  <c r="CE29" i="2"/>
  <c r="CD29" i="2"/>
  <c r="CC29" i="2"/>
  <c r="CB29" i="2"/>
  <c r="CA29" i="2"/>
  <c r="BZ29" i="2"/>
  <c r="BY29" i="2"/>
  <c r="BX29" i="2"/>
  <c r="BW29" i="2"/>
  <c r="BV29" i="2"/>
  <c r="BU29" i="2"/>
  <c r="BT29" i="2"/>
  <c r="BS29" i="2"/>
  <c r="BR29" i="2"/>
  <c r="BQ29" i="2"/>
  <c r="BP29" i="2"/>
  <c r="BO29" i="2"/>
  <c r="BN29" i="2"/>
  <c r="BM29" i="2"/>
  <c r="BL29" i="2"/>
  <c r="BK29" i="2"/>
  <c r="BJ29" i="2"/>
  <c r="BI29" i="2"/>
  <c r="BH29" i="2"/>
  <c r="BG29" i="2"/>
  <c r="BF29" i="2"/>
  <c r="BE29" i="2"/>
  <c r="BD29" i="2"/>
  <c r="BC29" i="2"/>
  <c r="BB29" i="2"/>
  <c r="BA29" i="2"/>
  <c r="AZ29" i="2"/>
  <c r="AY29" i="2"/>
  <c r="AX29" i="2"/>
  <c r="AW29" i="2"/>
  <c r="AV29" i="2"/>
  <c r="AU29" i="2"/>
  <c r="AT29" i="2"/>
  <c r="AS29" i="2"/>
  <c r="AR29" i="2"/>
  <c r="AQ29" i="2"/>
  <c r="AP29" i="2"/>
  <c r="AO29" i="2"/>
  <c r="AN29" i="2"/>
  <c r="AM29" i="2"/>
  <c r="AL29" i="2"/>
  <c r="AI29" i="2"/>
  <c r="AH29" i="2"/>
  <c r="AG29" i="2"/>
  <c r="AF29" i="2"/>
  <c r="AE29" i="2"/>
  <c r="AD29" i="2"/>
  <c r="AC29" i="2"/>
  <c r="AB29" i="2"/>
  <c r="AA29" i="2"/>
  <c r="Z29" i="2"/>
  <c r="Y29" i="2"/>
  <c r="X29" i="2"/>
  <c r="W29" i="2"/>
  <c r="V29" i="2"/>
  <c r="U29" i="2"/>
  <c r="T29" i="2"/>
  <c r="S29" i="2"/>
  <c r="R29" i="2"/>
  <c r="Q29" i="2"/>
  <c r="P29" i="2"/>
  <c r="O29" i="2"/>
  <c r="N29" i="2"/>
  <c r="M29" i="2"/>
  <c r="L29" i="2"/>
  <c r="K29" i="2"/>
  <c r="J29" i="2"/>
  <c r="I29" i="2"/>
  <c r="H29" i="2"/>
  <c r="G29" i="2"/>
  <c r="F29" i="2"/>
  <c r="E29" i="2"/>
  <c r="D29" i="2"/>
  <c r="CZ28" i="2"/>
  <c r="CY28" i="2"/>
  <c r="CX28" i="2"/>
  <c r="CW28" i="2"/>
  <c r="CV28" i="2"/>
  <c r="CU28" i="2"/>
  <c r="CT28" i="2"/>
  <c r="CS28" i="2"/>
  <c r="CR28" i="2"/>
  <c r="CQ28" i="2"/>
  <c r="CP28" i="2"/>
  <c r="CO28" i="2"/>
  <c r="CN28" i="2"/>
  <c r="CM28" i="2"/>
  <c r="CL28" i="2"/>
  <c r="CK28" i="2"/>
  <c r="CJ28" i="2"/>
  <c r="CI28" i="2"/>
  <c r="CH28" i="2"/>
  <c r="CG28" i="2"/>
  <c r="CF28" i="2"/>
  <c r="CE28" i="2"/>
  <c r="CD28" i="2"/>
  <c r="CC28" i="2"/>
  <c r="CB28" i="2"/>
  <c r="CA28" i="2"/>
  <c r="BZ28" i="2"/>
  <c r="BY28" i="2"/>
  <c r="BX28" i="2"/>
  <c r="BW28" i="2"/>
  <c r="BV28" i="2"/>
  <c r="BU28" i="2"/>
  <c r="BT28" i="2"/>
  <c r="BS28" i="2"/>
  <c r="BR28" i="2"/>
  <c r="BQ28" i="2"/>
  <c r="BP28" i="2"/>
  <c r="BO28" i="2"/>
  <c r="BN28" i="2"/>
  <c r="BM28" i="2"/>
  <c r="BL28" i="2"/>
  <c r="BK28" i="2"/>
  <c r="BJ28" i="2"/>
  <c r="BI28" i="2"/>
  <c r="BH28" i="2"/>
  <c r="BG28" i="2"/>
  <c r="BF28" i="2"/>
  <c r="BE28" i="2"/>
  <c r="BD28" i="2"/>
  <c r="BC28" i="2"/>
  <c r="BB28" i="2"/>
  <c r="BA28" i="2"/>
  <c r="AZ28" i="2"/>
  <c r="AY28" i="2"/>
  <c r="AX28" i="2"/>
  <c r="AW28" i="2"/>
  <c r="AV28" i="2"/>
  <c r="AU28" i="2"/>
  <c r="AT28" i="2"/>
  <c r="AS28" i="2"/>
  <c r="AR28" i="2"/>
  <c r="AQ28" i="2"/>
  <c r="AP28" i="2"/>
  <c r="AO28" i="2"/>
  <c r="AN28" i="2"/>
  <c r="AM28" i="2"/>
  <c r="AL28" i="2"/>
  <c r="AI28" i="2"/>
  <c r="AH28" i="2"/>
  <c r="AG28" i="2"/>
  <c r="AF28" i="2"/>
  <c r="AE28" i="2"/>
  <c r="AD28" i="2"/>
  <c r="AC28" i="2"/>
  <c r="AB28" i="2"/>
  <c r="AA28" i="2"/>
  <c r="Z28" i="2"/>
  <c r="Y28" i="2"/>
  <c r="X28" i="2"/>
  <c r="W28" i="2"/>
  <c r="V28" i="2"/>
  <c r="U28" i="2"/>
  <c r="T28" i="2"/>
  <c r="S28" i="2"/>
  <c r="R28" i="2"/>
  <c r="Q28" i="2"/>
  <c r="P28" i="2"/>
  <c r="O28" i="2"/>
  <c r="N28" i="2"/>
  <c r="M28" i="2"/>
  <c r="L28" i="2"/>
  <c r="K28" i="2"/>
  <c r="J28" i="2"/>
  <c r="I28" i="2"/>
  <c r="H28" i="2"/>
  <c r="G28" i="2"/>
  <c r="F28" i="2"/>
  <c r="E28" i="2"/>
  <c r="D28" i="2"/>
  <c r="CZ27" i="2"/>
  <c r="CY27" i="2"/>
  <c r="CX27" i="2"/>
  <c r="CW27" i="2"/>
  <c r="CV27" i="2"/>
  <c r="CU27" i="2"/>
  <c r="CT27" i="2"/>
  <c r="CS27" i="2"/>
  <c r="CR27" i="2"/>
  <c r="CQ27" i="2"/>
  <c r="CP27" i="2"/>
  <c r="CO27" i="2"/>
  <c r="CN27" i="2"/>
  <c r="CM27" i="2"/>
  <c r="CL27" i="2"/>
  <c r="CK27" i="2"/>
  <c r="CJ27" i="2"/>
  <c r="CI27" i="2"/>
  <c r="CH27" i="2"/>
  <c r="CG27" i="2"/>
  <c r="CF27" i="2"/>
  <c r="CE27" i="2"/>
  <c r="CD27" i="2"/>
  <c r="CC27" i="2"/>
  <c r="CB27" i="2"/>
  <c r="CA27" i="2"/>
  <c r="BZ27" i="2"/>
  <c r="BY27" i="2"/>
  <c r="BX27" i="2"/>
  <c r="BW27" i="2"/>
  <c r="BV27" i="2"/>
  <c r="BU27" i="2"/>
  <c r="BT27" i="2"/>
  <c r="BS27" i="2"/>
  <c r="BR27" i="2"/>
  <c r="BQ27" i="2"/>
  <c r="BP27" i="2"/>
  <c r="BO27" i="2"/>
  <c r="BN27" i="2"/>
  <c r="BM27" i="2"/>
  <c r="BL27" i="2"/>
  <c r="BK27" i="2"/>
  <c r="BJ27" i="2"/>
  <c r="BI27" i="2"/>
  <c r="BH27" i="2"/>
  <c r="BG27" i="2"/>
  <c r="BF27" i="2"/>
  <c r="BE27" i="2"/>
  <c r="BD27" i="2"/>
  <c r="BC27" i="2"/>
  <c r="BB27" i="2"/>
  <c r="BA27" i="2"/>
  <c r="AZ27" i="2"/>
  <c r="AY27" i="2"/>
  <c r="AX27" i="2"/>
  <c r="AW27" i="2"/>
  <c r="AV27" i="2"/>
  <c r="AU27" i="2"/>
  <c r="AT27" i="2"/>
  <c r="AS27" i="2"/>
  <c r="AR27" i="2"/>
  <c r="AQ27" i="2"/>
  <c r="AP27" i="2"/>
  <c r="AO27" i="2"/>
  <c r="AN27" i="2"/>
  <c r="AM27" i="2"/>
  <c r="AL27" i="2"/>
  <c r="AI27" i="2"/>
  <c r="AH27" i="2"/>
  <c r="AG27" i="2"/>
  <c r="AF27" i="2"/>
  <c r="AE27" i="2"/>
  <c r="AD27" i="2"/>
  <c r="AC27" i="2"/>
  <c r="AB27" i="2"/>
  <c r="AA27" i="2"/>
  <c r="Z27" i="2"/>
  <c r="Y27" i="2"/>
  <c r="X27" i="2"/>
  <c r="W27" i="2"/>
  <c r="V27" i="2"/>
  <c r="U27" i="2"/>
  <c r="T27" i="2"/>
  <c r="S27" i="2"/>
  <c r="R27" i="2"/>
  <c r="Q27" i="2"/>
  <c r="P27" i="2"/>
  <c r="O27" i="2"/>
  <c r="N27" i="2"/>
  <c r="M27" i="2"/>
  <c r="L27" i="2"/>
  <c r="K27" i="2"/>
  <c r="J27" i="2"/>
  <c r="I27" i="2"/>
  <c r="H27" i="2"/>
  <c r="G27" i="2"/>
  <c r="F27" i="2"/>
  <c r="E27" i="2"/>
  <c r="D27" i="2"/>
  <c r="CZ22" i="2"/>
  <c r="CY22" i="2"/>
  <c r="CX22" i="2"/>
  <c r="CW22" i="2"/>
  <c r="CV22" i="2"/>
  <c r="CU22" i="2"/>
  <c r="CT22" i="2"/>
  <c r="CS22" i="2"/>
  <c r="CR22" i="2"/>
  <c r="CQ22" i="2"/>
  <c r="CP22" i="2"/>
  <c r="CO22" i="2"/>
  <c r="CN22" i="2"/>
  <c r="CM22" i="2"/>
  <c r="CL22" i="2"/>
  <c r="CK22" i="2"/>
  <c r="CJ22" i="2"/>
  <c r="CI22" i="2"/>
  <c r="CH22" i="2"/>
  <c r="CG22" i="2"/>
  <c r="CF22" i="2"/>
  <c r="CE22" i="2"/>
  <c r="CD22" i="2"/>
  <c r="CC22" i="2"/>
  <c r="CB22" i="2"/>
  <c r="CA22" i="2"/>
  <c r="BZ22" i="2"/>
  <c r="BY22" i="2"/>
  <c r="BX22" i="2"/>
  <c r="BW22" i="2"/>
  <c r="BV22" i="2"/>
  <c r="BU22" i="2"/>
  <c r="BT22" i="2"/>
  <c r="BS22" i="2"/>
  <c r="BR22" i="2"/>
  <c r="BQ22" i="2"/>
  <c r="BP22" i="2"/>
  <c r="BO22" i="2"/>
  <c r="BN22" i="2"/>
  <c r="BM22" i="2"/>
  <c r="BL22" i="2"/>
  <c r="BK22" i="2"/>
  <c r="BJ22" i="2"/>
  <c r="BI22" i="2"/>
  <c r="BH22" i="2"/>
  <c r="BG22" i="2"/>
  <c r="BF22" i="2"/>
  <c r="BE22" i="2"/>
  <c r="BD22" i="2"/>
  <c r="BC22" i="2"/>
  <c r="BB22" i="2"/>
  <c r="BA22" i="2"/>
  <c r="AZ22" i="2"/>
  <c r="AY22" i="2"/>
  <c r="AX22" i="2"/>
  <c r="AW22" i="2"/>
  <c r="AV22" i="2"/>
  <c r="AU22" i="2"/>
  <c r="AT22" i="2"/>
  <c r="AS22" i="2"/>
  <c r="AR22" i="2"/>
  <c r="AQ22" i="2"/>
  <c r="AP22" i="2"/>
  <c r="AO22" i="2"/>
  <c r="AN22" i="2"/>
  <c r="AM22" i="2"/>
  <c r="AL22" i="2"/>
  <c r="AI22" i="2"/>
  <c r="AH22" i="2"/>
  <c r="AG22" i="2"/>
  <c r="AF22" i="2"/>
  <c r="AE22" i="2"/>
  <c r="AD22" i="2"/>
  <c r="AC22" i="2"/>
  <c r="AB22" i="2"/>
  <c r="AA22" i="2"/>
  <c r="Z22" i="2"/>
  <c r="Y22" i="2"/>
  <c r="X22" i="2"/>
  <c r="W22" i="2"/>
  <c r="V22" i="2"/>
  <c r="U22" i="2"/>
  <c r="T22" i="2"/>
  <c r="S22" i="2"/>
  <c r="R22" i="2"/>
  <c r="Q22" i="2"/>
  <c r="P22" i="2"/>
  <c r="O22" i="2"/>
  <c r="N22" i="2"/>
  <c r="M22" i="2"/>
  <c r="L22" i="2"/>
  <c r="K22" i="2"/>
  <c r="J22" i="2"/>
  <c r="I22" i="2"/>
  <c r="H22" i="2"/>
  <c r="G22" i="2"/>
  <c r="F22" i="2"/>
  <c r="E22" i="2"/>
  <c r="D22" i="2"/>
  <c r="CZ18" i="2"/>
  <c r="CY18" i="2"/>
  <c r="CX18" i="2"/>
  <c r="CW18" i="2"/>
  <c r="CV18" i="2"/>
  <c r="CU18" i="2"/>
  <c r="CT18" i="2"/>
  <c r="CS18" i="2"/>
  <c r="CR18" i="2"/>
  <c r="CQ18" i="2"/>
  <c r="CP18" i="2"/>
  <c r="CO18" i="2"/>
  <c r="CN18" i="2"/>
  <c r="CM18" i="2"/>
  <c r="CL18" i="2"/>
  <c r="CK18" i="2"/>
  <c r="CJ18" i="2"/>
  <c r="CI18" i="2"/>
  <c r="CH18" i="2"/>
  <c r="CG18" i="2"/>
  <c r="CF18" i="2"/>
  <c r="CE18" i="2"/>
  <c r="CD18" i="2"/>
  <c r="CC18" i="2"/>
  <c r="CB18" i="2"/>
  <c r="CA18" i="2"/>
  <c r="BZ18" i="2"/>
  <c r="BY18" i="2"/>
  <c r="BX18" i="2"/>
  <c r="BW18" i="2"/>
  <c r="BV18" i="2"/>
  <c r="BU18" i="2"/>
  <c r="BT18" i="2"/>
  <c r="BS18" i="2"/>
  <c r="BR18" i="2"/>
  <c r="BQ18" i="2"/>
  <c r="BP18" i="2"/>
  <c r="BO18" i="2"/>
  <c r="BN18" i="2"/>
  <c r="BM18" i="2"/>
  <c r="BL18" i="2"/>
  <c r="BK18" i="2"/>
  <c r="BJ18" i="2"/>
  <c r="BI18" i="2"/>
  <c r="BH18" i="2"/>
  <c r="BG18" i="2"/>
  <c r="BF18" i="2"/>
  <c r="BE18" i="2"/>
  <c r="BD18" i="2"/>
  <c r="BC18" i="2"/>
  <c r="BB18" i="2"/>
  <c r="BA18" i="2"/>
  <c r="AZ18" i="2"/>
  <c r="AY18" i="2"/>
  <c r="AX18" i="2"/>
  <c r="AW18" i="2"/>
  <c r="AV18" i="2"/>
  <c r="AU18" i="2"/>
  <c r="AT18" i="2"/>
  <c r="AS18" i="2"/>
  <c r="AR18" i="2"/>
  <c r="AQ18" i="2"/>
  <c r="AP18" i="2"/>
  <c r="AO18" i="2"/>
  <c r="AN18" i="2"/>
  <c r="AM18" i="2"/>
  <c r="AL18" i="2"/>
  <c r="AI18" i="2"/>
  <c r="AH18" i="2"/>
  <c r="AG18" i="2"/>
  <c r="AF18" i="2"/>
  <c r="AE18" i="2"/>
  <c r="AD18" i="2"/>
  <c r="AC18" i="2"/>
  <c r="AB18" i="2"/>
  <c r="AA18" i="2"/>
  <c r="Z18" i="2"/>
  <c r="Y18" i="2"/>
  <c r="X18" i="2"/>
  <c r="W18" i="2"/>
  <c r="V18" i="2"/>
  <c r="U18" i="2"/>
  <c r="T18" i="2"/>
  <c r="S18" i="2"/>
  <c r="R18" i="2"/>
  <c r="Q18" i="2"/>
  <c r="P18" i="2"/>
  <c r="O18" i="2"/>
  <c r="N18" i="2"/>
  <c r="M18" i="2"/>
  <c r="L18" i="2"/>
  <c r="K18" i="2"/>
  <c r="J18" i="2"/>
  <c r="I18" i="2"/>
  <c r="H18" i="2"/>
  <c r="G18" i="2"/>
  <c r="F18" i="2"/>
  <c r="E18" i="2"/>
  <c r="D18" i="2"/>
  <c r="CZ17" i="2"/>
  <c r="CY17" i="2"/>
  <c r="CX17" i="2"/>
  <c r="CW17" i="2"/>
  <c r="CV17" i="2"/>
  <c r="CU17" i="2"/>
  <c r="CT17" i="2"/>
  <c r="CS17" i="2"/>
  <c r="CR17" i="2"/>
  <c r="CQ17" i="2"/>
  <c r="CP17" i="2"/>
  <c r="CO17" i="2"/>
  <c r="CN17" i="2"/>
  <c r="CM17" i="2"/>
  <c r="CL17" i="2"/>
  <c r="CK17" i="2"/>
  <c r="CJ17" i="2"/>
  <c r="CI17" i="2"/>
  <c r="CH17" i="2"/>
  <c r="CG17" i="2"/>
  <c r="CF17" i="2"/>
  <c r="CE17" i="2"/>
  <c r="CD17" i="2"/>
  <c r="CC17" i="2"/>
  <c r="CB17" i="2"/>
  <c r="CA17" i="2"/>
  <c r="BZ17" i="2"/>
  <c r="BY17" i="2"/>
  <c r="BX17" i="2"/>
  <c r="BW17" i="2"/>
  <c r="BV17" i="2"/>
  <c r="BU17" i="2"/>
  <c r="BT17" i="2"/>
  <c r="BS17" i="2"/>
  <c r="BR17" i="2"/>
  <c r="BQ17" i="2"/>
  <c r="BP17" i="2"/>
  <c r="BO17" i="2"/>
  <c r="BN17" i="2"/>
  <c r="BM17" i="2"/>
  <c r="BL17" i="2"/>
  <c r="BK17" i="2"/>
  <c r="BJ17" i="2"/>
  <c r="BI17" i="2"/>
  <c r="BH17" i="2"/>
  <c r="BG17" i="2"/>
  <c r="BF17" i="2"/>
  <c r="BE17" i="2"/>
  <c r="BD17" i="2"/>
  <c r="BC17" i="2"/>
  <c r="BB17" i="2"/>
  <c r="BA17" i="2"/>
  <c r="AZ17" i="2"/>
  <c r="AY17" i="2"/>
  <c r="AX17" i="2"/>
  <c r="AW17" i="2"/>
  <c r="AV17" i="2"/>
  <c r="AU17" i="2"/>
  <c r="AT17" i="2"/>
  <c r="AS17" i="2"/>
  <c r="AR17" i="2"/>
  <c r="AQ17" i="2"/>
  <c r="AP17" i="2"/>
  <c r="AO17" i="2"/>
  <c r="AN17" i="2"/>
  <c r="AM17" i="2"/>
  <c r="AL17" i="2"/>
  <c r="AI17" i="2"/>
  <c r="AH17" i="2"/>
  <c r="AG17" i="2"/>
  <c r="AF17" i="2"/>
  <c r="AE17" i="2"/>
  <c r="AD17" i="2"/>
  <c r="AC17" i="2"/>
  <c r="AB17" i="2"/>
  <c r="AA17" i="2"/>
  <c r="Z17" i="2"/>
  <c r="Y17" i="2"/>
  <c r="X17" i="2"/>
  <c r="W17" i="2"/>
  <c r="V17" i="2"/>
  <c r="U17" i="2"/>
  <c r="T17" i="2"/>
  <c r="S17" i="2"/>
  <c r="R17" i="2"/>
  <c r="Q17" i="2"/>
  <c r="P17" i="2"/>
  <c r="O17" i="2"/>
  <c r="N17" i="2"/>
  <c r="M17" i="2"/>
  <c r="L17" i="2"/>
  <c r="K17" i="2"/>
  <c r="J17" i="2"/>
  <c r="I17" i="2"/>
  <c r="H17" i="2"/>
  <c r="G17" i="2"/>
  <c r="F17" i="2"/>
  <c r="E17" i="2"/>
  <c r="D17" i="2"/>
  <c r="CZ16" i="2"/>
  <c r="CY16" i="2"/>
  <c r="CX16" i="2"/>
  <c r="CW16" i="2"/>
  <c r="CV16" i="2"/>
  <c r="CU16" i="2"/>
  <c r="CT16" i="2"/>
  <c r="CS16" i="2"/>
  <c r="CR16" i="2"/>
  <c r="CQ16" i="2"/>
  <c r="CP16" i="2"/>
  <c r="CO16" i="2"/>
  <c r="CN16" i="2"/>
  <c r="CM16" i="2"/>
  <c r="CL16" i="2"/>
  <c r="CK16" i="2"/>
  <c r="CJ16" i="2"/>
  <c r="CI16" i="2"/>
  <c r="CH16" i="2"/>
  <c r="CG16" i="2"/>
  <c r="CF16" i="2"/>
  <c r="CE16" i="2"/>
  <c r="CD16" i="2"/>
  <c r="CC16" i="2"/>
  <c r="CB16" i="2"/>
  <c r="CA16" i="2"/>
  <c r="BZ16" i="2"/>
  <c r="BY16" i="2"/>
  <c r="BX16" i="2"/>
  <c r="BW16" i="2"/>
  <c r="BV16" i="2"/>
  <c r="BU16" i="2"/>
  <c r="BT16" i="2"/>
  <c r="BS16" i="2"/>
  <c r="BR16" i="2"/>
  <c r="BQ16" i="2"/>
  <c r="BP16" i="2"/>
  <c r="BO16" i="2"/>
  <c r="BN16" i="2"/>
  <c r="BM16" i="2"/>
  <c r="BL16" i="2"/>
  <c r="BK16" i="2"/>
  <c r="BJ16" i="2"/>
  <c r="BI16" i="2"/>
  <c r="BH16" i="2"/>
  <c r="BG16" i="2"/>
  <c r="BF16" i="2"/>
  <c r="BE16" i="2"/>
  <c r="BD16" i="2"/>
  <c r="BC16" i="2"/>
  <c r="BB16" i="2"/>
  <c r="BA16" i="2"/>
  <c r="AZ16" i="2"/>
  <c r="AY16" i="2"/>
  <c r="AX16" i="2"/>
  <c r="AW16" i="2"/>
  <c r="AV16" i="2"/>
  <c r="AU16" i="2"/>
  <c r="AT16" i="2"/>
  <c r="AS16" i="2"/>
  <c r="AR16" i="2"/>
  <c r="AQ16" i="2"/>
  <c r="AP16" i="2"/>
  <c r="AO16" i="2"/>
  <c r="AN16" i="2"/>
  <c r="AM16" i="2"/>
  <c r="AL16" i="2"/>
  <c r="AI16" i="2"/>
  <c r="AH16" i="2"/>
  <c r="AG16" i="2"/>
  <c r="AF16" i="2"/>
  <c r="AE16" i="2"/>
  <c r="AD16" i="2"/>
  <c r="AC16" i="2"/>
  <c r="AB16" i="2"/>
  <c r="AA16" i="2"/>
  <c r="Z16" i="2"/>
  <c r="Y16" i="2"/>
  <c r="X16" i="2"/>
  <c r="W16" i="2"/>
  <c r="V16" i="2"/>
  <c r="U16" i="2"/>
  <c r="T16" i="2"/>
  <c r="S16" i="2"/>
  <c r="R16" i="2"/>
  <c r="Q16" i="2"/>
  <c r="P16" i="2"/>
  <c r="O16" i="2"/>
  <c r="N16" i="2"/>
  <c r="M16" i="2"/>
  <c r="L16" i="2"/>
  <c r="K16" i="2"/>
  <c r="J16" i="2"/>
  <c r="I16" i="2"/>
  <c r="H16" i="2"/>
  <c r="G16" i="2"/>
  <c r="F16" i="2"/>
  <c r="E16" i="2"/>
  <c r="D16" i="2"/>
  <c r="CZ15" i="2"/>
  <c r="CY15" i="2"/>
  <c r="CX15" i="2"/>
  <c r="CW15" i="2"/>
  <c r="CV15" i="2"/>
  <c r="CU15" i="2"/>
  <c r="CT15" i="2"/>
  <c r="CS15" i="2"/>
  <c r="CR15" i="2"/>
  <c r="CQ15" i="2"/>
  <c r="CP15" i="2"/>
  <c r="CO15" i="2"/>
  <c r="CN15" i="2"/>
  <c r="CM15" i="2"/>
  <c r="CL15" i="2"/>
  <c r="CK15" i="2"/>
  <c r="CJ15" i="2"/>
  <c r="CI15" i="2"/>
  <c r="CH15" i="2"/>
  <c r="CG15" i="2"/>
  <c r="CF15" i="2"/>
  <c r="CE15" i="2"/>
  <c r="CD15" i="2"/>
  <c r="CC15" i="2"/>
  <c r="CB15" i="2"/>
  <c r="CA15" i="2"/>
  <c r="BZ15" i="2"/>
  <c r="BY15" i="2"/>
  <c r="BX15" i="2"/>
  <c r="BW15" i="2"/>
  <c r="BV15" i="2"/>
  <c r="BU15" i="2"/>
  <c r="BT15" i="2"/>
  <c r="BS15" i="2"/>
  <c r="BR15" i="2"/>
  <c r="BQ15" i="2"/>
  <c r="BP15" i="2"/>
  <c r="BO15" i="2"/>
  <c r="BN15" i="2"/>
  <c r="BM15" i="2"/>
  <c r="BL15" i="2"/>
  <c r="BK15" i="2"/>
  <c r="BJ15" i="2"/>
  <c r="BI15" i="2"/>
  <c r="BH15" i="2"/>
  <c r="BG15" i="2"/>
  <c r="BF15" i="2"/>
  <c r="BE15" i="2"/>
  <c r="BD15" i="2"/>
  <c r="BC15" i="2"/>
  <c r="BB15" i="2"/>
  <c r="BA15" i="2"/>
  <c r="AZ15" i="2"/>
  <c r="AY15" i="2"/>
  <c r="AX15" i="2"/>
  <c r="AW15" i="2"/>
  <c r="AV15" i="2"/>
  <c r="AU15" i="2"/>
  <c r="AT15" i="2"/>
  <c r="AS15" i="2"/>
  <c r="AR15" i="2"/>
  <c r="AQ15" i="2"/>
  <c r="AP15" i="2"/>
  <c r="AO15" i="2"/>
  <c r="AN15" i="2"/>
  <c r="AM15" i="2"/>
  <c r="AL15" i="2"/>
  <c r="AI15" i="2"/>
  <c r="AH15" i="2"/>
  <c r="AG15" i="2"/>
  <c r="AF15" i="2"/>
  <c r="AE15" i="2"/>
  <c r="AD15" i="2"/>
  <c r="AC15" i="2"/>
  <c r="AB15" i="2"/>
  <c r="AA15" i="2"/>
  <c r="Z15" i="2"/>
  <c r="Y15" i="2"/>
  <c r="X15" i="2"/>
  <c r="W15" i="2"/>
  <c r="V15" i="2"/>
  <c r="U15" i="2"/>
  <c r="T15" i="2"/>
  <c r="S15" i="2"/>
  <c r="R15" i="2"/>
  <c r="Q15" i="2"/>
  <c r="P15" i="2"/>
  <c r="O15" i="2"/>
  <c r="N15" i="2"/>
  <c r="M15" i="2"/>
  <c r="L15" i="2"/>
  <c r="K15" i="2"/>
  <c r="J15" i="2"/>
  <c r="I15" i="2"/>
  <c r="H15" i="2"/>
  <c r="G15" i="2"/>
  <c r="F15" i="2"/>
  <c r="E15" i="2"/>
  <c r="D15" i="2"/>
  <c r="C42" i="2"/>
  <c r="C43" i="2"/>
  <c r="C44" i="2"/>
  <c r="C45" i="2"/>
  <c r="C46" i="2"/>
  <c r="C47" i="2"/>
  <c r="C41" i="2"/>
  <c r="C40" i="2"/>
  <c r="C28" i="2"/>
  <c r="C29" i="2"/>
  <c r="C30" i="2"/>
  <c r="C31" i="2"/>
  <c r="C32" i="2"/>
  <c r="C33" i="2"/>
  <c r="C34" i="2"/>
  <c r="C27" i="2"/>
  <c r="C22" i="2"/>
  <c r="C17" i="2"/>
  <c r="C18" i="2"/>
  <c r="C16" i="2"/>
  <c r="BQ54" i="2" l="1"/>
  <c r="C54" i="2"/>
  <c r="AQ54" i="2"/>
  <c r="F54" i="2"/>
  <c r="J54" i="2"/>
  <c r="N54" i="2"/>
  <c r="R54" i="2"/>
  <c r="V54" i="2"/>
  <c r="Z54" i="2"/>
  <c r="AD54" i="2"/>
  <c r="AH54" i="2"/>
  <c r="AL54" i="2"/>
  <c r="AP54" i="2"/>
  <c r="C20" i="2"/>
  <c r="D54" i="2"/>
  <c r="H54" i="2"/>
  <c r="L54" i="2"/>
  <c r="P54" i="2"/>
  <c r="T54" i="2"/>
  <c r="X54" i="2"/>
  <c r="AB54" i="2"/>
  <c r="AF54" i="2"/>
  <c r="AJ54" i="2"/>
  <c r="AN54" i="2"/>
  <c r="E54" i="2"/>
  <c r="I54" i="2"/>
  <c r="M54" i="2"/>
  <c r="Q54" i="2"/>
  <c r="U54" i="2"/>
  <c r="Y54" i="2"/>
  <c r="AC54" i="2"/>
  <c r="AG54" i="2"/>
  <c r="AO54" i="2"/>
  <c r="G54" i="2"/>
  <c r="K54" i="2"/>
  <c r="O54" i="2"/>
  <c r="S54" i="2"/>
  <c r="W54" i="2"/>
  <c r="AA54" i="2"/>
  <c r="AE54" i="2"/>
  <c r="AI54" i="2"/>
  <c r="AM54" i="2"/>
  <c r="CZ27" i="3"/>
  <c r="CY27" i="3"/>
  <c r="CX27" i="3"/>
  <c r="CW27" i="3"/>
  <c r="CV27" i="3"/>
  <c r="CU27" i="3"/>
  <c r="CT27" i="3"/>
  <c r="CS27" i="3"/>
  <c r="CR27" i="3"/>
  <c r="CQ27" i="3"/>
  <c r="CP27" i="3"/>
  <c r="CO27" i="3"/>
  <c r="CN27" i="3"/>
  <c r="CM27" i="3"/>
  <c r="CL27" i="3"/>
  <c r="CK27" i="3"/>
  <c r="CJ27" i="3"/>
  <c r="CI27" i="3"/>
  <c r="CH27" i="3"/>
  <c r="CG27" i="3"/>
  <c r="CF27" i="3"/>
  <c r="CE27" i="3"/>
  <c r="CD27" i="3"/>
  <c r="CC27" i="3"/>
  <c r="CB27" i="3"/>
  <c r="CA27" i="3"/>
  <c r="BZ27" i="3"/>
  <c r="BY27" i="3"/>
  <c r="BX27" i="3"/>
  <c r="BW27" i="3"/>
  <c r="BV27" i="3"/>
  <c r="BU27" i="3"/>
  <c r="BT27" i="3"/>
  <c r="BS27" i="3"/>
  <c r="BR27" i="3"/>
  <c r="BQ27" i="3"/>
  <c r="BP27" i="3"/>
  <c r="BO27" i="3"/>
  <c r="BN27" i="3"/>
  <c r="BM27" i="3"/>
  <c r="BL27" i="3"/>
  <c r="BK27" i="3"/>
  <c r="BJ27" i="3"/>
  <c r="BI27" i="3"/>
  <c r="BH27" i="3"/>
  <c r="BG27" i="3"/>
  <c r="BF27" i="3"/>
  <c r="BE27" i="3"/>
  <c r="BD27" i="3"/>
  <c r="BC27" i="3"/>
  <c r="BB27" i="3"/>
  <c r="BA27" i="3"/>
  <c r="AZ27" i="3"/>
  <c r="AY27" i="3"/>
  <c r="AX27" i="3"/>
  <c r="AW27" i="3"/>
  <c r="AV27" i="3"/>
  <c r="AU27" i="3"/>
  <c r="AT27" i="3"/>
  <c r="AS27" i="3"/>
  <c r="AR27" i="3"/>
  <c r="AQ27" i="3"/>
  <c r="AP27" i="3"/>
  <c r="AO27" i="3"/>
  <c r="AN27" i="3"/>
  <c r="AM27" i="3"/>
  <c r="AL27" i="3"/>
  <c r="AK27" i="3"/>
  <c r="AJ27" i="3"/>
  <c r="AI27" i="3"/>
  <c r="AH27" i="3"/>
  <c r="AG27" i="3"/>
  <c r="AF27" i="3"/>
  <c r="AE27" i="3"/>
  <c r="AD27" i="3"/>
  <c r="AC27" i="3"/>
  <c r="AB27" i="3"/>
  <c r="AA27" i="3"/>
  <c r="Z27" i="3"/>
  <c r="Y27" i="3"/>
  <c r="X27" i="3"/>
  <c r="W27" i="3"/>
  <c r="V27" i="3"/>
  <c r="U27" i="3"/>
  <c r="T27" i="3"/>
  <c r="S27" i="3"/>
  <c r="R27" i="3"/>
  <c r="Q27" i="3"/>
  <c r="P27" i="3"/>
  <c r="O27" i="3"/>
  <c r="N27" i="3"/>
  <c r="M27" i="3"/>
  <c r="L27" i="3"/>
  <c r="K27" i="3"/>
  <c r="J27" i="3"/>
  <c r="I27" i="3"/>
  <c r="H27" i="3"/>
  <c r="G27" i="3"/>
  <c r="F27" i="3"/>
  <c r="E27" i="3"/>
  <c r="D27" i="3"/>
  <c r="C27" i="3"/>
  <c r="CZ26" i="3"/>
  <c r="CY26" i="3"/>
  <c r="CX26" i="3"/>
  <c r="CW26" i="3"/>
  <c r="CV26" i="3"/>
  <c r="CU26" i="3"/>
  <c r="CT26" i="3"/>
  <c r="CS26" i="3"/>
  <c r="CR26" i="3"/>
  <c r="CQ26" i="3"/>
  <c r="CP26" i="3"/>
  <c r="CO26" i="3"/>
  <c r="CN26" i="3"/>
  <c r="CM26" i="3"/>
  <c r="CL26" i="3"/>
  <c r="CK26" i="3"/>
  <c r="CJ26" i="3"/>
  <c r="CI26" i="3"/>
  <c r="CH26" i="3"/>
  <c r="CG26" i="3"/>
  <c r="CF26" i="3"/>
  <c r="CE26" i="3"/>
  <c r="CD26" i="3"/>
  <c r="CC26" i="3"/>
  <c r="CB26" i="3"/>
  <c r="CA26" i="3"/>
  <c r="BZ26" i="3"/>
  <c r="BY26" i="3"/>
  <c r="BX26" i="3"/>
  <c r="BW26" i="3"/>
  <c r="BV26" i="3"/>
  <c r="BU26" i="3"/>
  <c r="BT26" i="3"/>
  <c r="BS26" i="3"/>
  <c r="BR26" i="3"/>
  <c r="BQ26" i="3"/>
  <c r="BP26" i="3"/>
  <c r="BO26" i="3"/>
  <c r="BN26" i="3"/>
  <c r="BM26" i="3"/>
  <c r="BL26" i="3"/>
  <c r="BK26" i="3"/>
  <c r="BJ26" i="3"/>
  <c r="BI26" i="3"/>
  <c r="BH26" i="3"/>
  <c r="BG26" i="3"/>
  <c r="BF26" i="3"/>
  <c r="BE26" i="3"/>
  <c r="BD26" i="3"/>
  <c r="BC26" i="3"/>
  <c r="BB26" i="3"/>
  <c r="BA26" i="3"/>
  <c r="AZ26" i="3"/>
  <c r="AY26" i="3"/>
  <c r="AX26" i="3"/>
  <c r="AW26" i="3"/>
  <c r="AV26" i="3"/>
  <c r="AU26" i="3"/>
  <c r="AT26" i="3"/>
  <c r="AS26" i="3"/>
  <c r="AR26" i="3"/>
  <c r="AQ26" i="3"/>
  <c r="AP26" i="3"/>
  <c r="AO26" i="3"/>
  <c r="AN26" i="3"/>
  <c r="AM26" i="3"/>
  <c r="AL26" i="3"/>
  <c r="AK26" i="3"/>
  <c r="AJ26" i="3"/>
  <c r="AI26" i="3"/>
  <c r="AH26" i="3"/>
  <c r="AG26" i="3"/>
  <c r="AF26" i="3"/>
  <c r="AE26" i="3"/>
  <c r="AD26" i="3"/>
  <c r="AC26" i="3"/>
  <c r="AB26" i="3"/>
  <c r="AA26" i="3"/>
  <c r="Z26" i="3"/>
  <c r="Y26" i="3"/>
  <c r="X26" i="3"/>
  <c r="W26" i="3"/>
  <c r="V26" i="3"/>
  <c r="U26" i="3"/>
  <c r="T26" i="3"/>
  <c r="S26" i="3"/>
  <c r="R26" i="3"/>
  <c r="Q26" i="3"/>
  <c r="P26" i="3"/>
  <c r="O26" i="3"/>
  <c r="N26" i="3"/>
  <c r="M26" i="3"/>
  <c r="L26" i="3"/>
  <c r="K26" i="3"/>
  <c r="J26" i="3"/>
  <c r="I26" i="3"/>
  <c r="H26" i="3"/>
  <c r="G26" i="3"/>
  <c r="F26" i="3"/>
  <c r="E26" i="3"/>
  <c r="D26" i="3"/>
  <c r="C26" i="3"/>
  <c r="CZ25" i="3"/>
  <c r="CY25" i="3"/>
  <c r="CX25" i="3"/>
  <c r="CW25" i="3"/>
  <c r="CV25" i="3"/>
  <c r="CU25" i="3"/>
  <c r="CT25" i="3"/>
  <c r="CS25" i="3"/>
  <c r="CR25" i="3"/>
  <c r="CQ25" i="3"/>
  <c r="CP25" i="3"/>
  <c r="CO25" i="3"/>
  <c r="CN25" i="3"/>
  <c r="CM25" i="3"/>
  <c r="CL25" i="3"/>
  <c r="CK25" i="3"/>
  <c r="CJ25" i="3"/>
  <c r="CI25" i="3"/>
  <c r="CH25" i="3"/>
  <c r="CG25" i="3"/>
  <c r="CF25" i="3"/>
  <c r="CE25" i="3"/>
  <c r="CD25" i="3"/>
  <c r="CC25" i="3"/>
  <c r="CB25" i="3"/>
  <c r="CA25" i="3"/>
  <c r="BZ25" i="3"/>
  <c r="BY25" i="3"/>
  <c r="BX25" i="3"/>
  <c r="BW25" i="3"/>
  <c r="BV25" i="3"/>
  <c r="BU25" i="3"/>
  <c r="BT25" i="3"/>
  <c r="BS25" i="3"/>
  <c r="BR25" i="3"/>
  <c r="BQ25" i="3"/>
  <c r="BP25" i="3"/>
  <c r="BO25" i="3"/>
  <c r="BN25" i="3"/>
  <c r="BM25" i="3"/>
  <c r="BL25" i="3"/>
  <c r="BK25" i="3"/>
  <c r="BJ25" i="3"/>
  <c r="BI25" i="3"/>
  <c r="BH25" i="3"/>
  <c r="BG25" i="3"/>
  <c r="BF25" i="3"/>
  <c r="BE25" i="3"/>
  <c r="BD25" i="3"/>
  <c r="BC25" i="3"/>
  <c r="BB25" i="3"/>
  <c r="BA25" i="3"/>
  <c r="AZ25" i="3"/>
  <c r="AY25" i="3"/>
  <c r="AX25" i="3"/>
  <c r="AW25" i="3"/>
  <c r="AV25" i="3"/>
  <c r="AU25" i="3"/>
  <c r="AT25" i="3"/>
  <c r="AS25" i="3"/>
  <c r="AR25" i="3"/>
  <c r="AQ25" i="3"/>
  <c r="AP25" i="3"/>
  <c r="AO25" i="3"/>
  <c r="AN25" i="3"/>
  <c r="AM25" i="3"/>
  <c r="AL25" i="3"/>
  <c r="AK25" i="3"/>
  <c r="AJ25" i="3"/>
  <c r="AI25" i="3"/>
  <c r="AH25" i="3"/>
  <c r="AG25" i="3"/>
  <c r="AF25" i="3"/>
  <c r="AE25" i="3"/>
  <c r="AD25" i="3"/>
  <c r="AC25" i="3"/>
  <c r="AB25" i="3"/>
  <c r="AA25" i="3"/>
  <c r="Z25" i="3"/>
  <c r="Y25" i="3"/>
  <c r="X25" i="3"/>
  <c r="W25" i="3"/>
  <c r="V25" i="3"/>
  <c r="U25" i="3"/>
  <c r="T25" i="3"/>
  <c r="S25" i="3"/>
  <c r="R25" i="3"/>
  <c r="Q25" i="3"/>
  <c r="P25" i="3"/>
  <c r="O25" i="3"/>
  <c r="N25" i="3"/>
  <c r="M25" i="3"/>
  <c r="L25" i="3"/>
  <c r="K25" i="3"/>
  <c r="J25" i="3"/>
  <c r="I25" i="3"/>
  <c r="H25" i="3"/>
  <c r="G25" i="3"/>
  <c r="F25" i="3"/>
  <c r="E25" i="3"/>
  <c r="D25" i="3"/>
  <c r="C25" i="3"/>
  <c r="CZ24" i="3"/>
  <c r="CY24" i="3"/>
  <c r="CX24" i="3"/>
  <c r="CW24" i="3"/>
  <c r="CV24" i="3"/>
  <c r="CU24" i="3"/>
  <c r="CT24" i="3"/>
  <c r="CS24" i="3"/>
  <c r="CR24" i="3"/>
  <c r="CQ24" i="3"/>
  <c r="CP24" i="3"/>
  <c r="CO24" i="3"/>
  <c r="CN24" i="3"/>
  <c r="CM24" i="3"/>
  <c r="CL24" i="3"/>
  <c r="CK24" i="3"/>
  <c r="CJ24" i="3"/>
  <c r="CI24" i="3"/>
  <c r="CH24" i="3"/>
  <c r="CG24" i="3"/>
  <c r="CF24" i="3"/>
  <c r="CE24" i="3"/>
  <c r="CD24" i="3"/>
  <c r="CC24" i="3"/>
  <c r="CB24" i="3"/>
  <c r="CA24" i="3"/>
  <c r="BZ24" i="3"/>
  <c r="BY24" i="3"/>
  <c r="BX24" i="3"/>
  <c r="BW24" i="3"/>
  <c r="BV24" i="3"/>
  <c r="BU24" i="3"/>
  <c r="BT24" i="3"/>
  <c r="BS24" i="3"/>
  <c r="BR24" i="3"/>
  <c r="BQ24" i="3"/>
  <c r="BP24" i="3"/>
  <c r="BO24" i="3"/>
  <c r="BN24" i="3"/>
  <c r="BM24" i="3"/>
  <c r="BL24" i="3"/>
  <c r="BK24" i="3"/>
  <c r="BJ24" i="3"/>
  <c r="BI24" i="3"/>
  <c r="BH24" i="3"/>
  <c r="BG24" i="3"/>
  <c r="BF24" i="3"/>
  <c r="BE24" i="3"/>
  <c r="BD24" i="3"/>
  <c r="BC24" i="3"/>
  <c r="BB24" i="3"/>
  <c r="BA24" i="3"/>
  <c r="AZ24" i="3"/>
  <c r="AY24" i="3"/>
  <c r="AX24" i="3"/>
  <c r="AW24" i="3"/>
  <c r="AV24" i="3"/>
  <c r="AU24" i="3"/>
  <c r="AT24" i="3"/>
  <c r="AS24" i="3"/>
  <c r="AR24" i="3"/>
  <c r="AQ24" i="3"/>
  <c r="AP24" i="3"/>
  <c r="AO24" i="3"/>
  <c r="AN24" i="3"/>
  <c r="AM24" i="3"/>
  <c r="AL24" i="3"/>
  <c r="AK24" i="3"/>
  <c r="AJ24" i="3"/>
  <c r="AI24" i="3"/>
  <c r="AH24" i="3"/>
  <c r="AG24" i="3"/>
  <c r="AF24" i="3"/>
  <c r="AE24" i="3"/>
  <c r="AD24" i="3"/>
  <c r="AC24" i="3"/>
  <c r="AB24" i="3"/>
  <c r="AA24" i="3"/>
  <c r="Z24" i="3"/>
  <c r="Y24" i="3"/>
  <c r="X24" i="3"/>
  <c r="W24" i="3"/>
  <c r="V24" i="3"/>
  <c r="U24" i="3"/>
  <c r="T24" i="3"/>
  <c r="S24" i="3"/>
  <c r="R24" i="3"/>
  <c r="Q24" i="3"/>
  <c r="P24" i="3"/>
  <c r="O24" i="3"/>
  <c r="N24" i="3"/>
  <c r="M24" i="3"/>
  <c r="L24" i="3"/>
  <c r="K24" i="3"/>
  <c r="J24" i="3"/>
  <c r="I24" i="3"/>
  <c r="H24" i="3"/>
  <c r="G24" i="3"/>
  <c r="F24" i="3"/>
  <c r="E24" i="3"/>
  <c r="D24" i="3"/>
  <c r="C24" i="3"/>
  <c r="CZ23" i="3"/>
  <c r="CY23" i="3"/>
  <c r="CX23" i="3"/>
  <c r="CW23" i="3"/>
  <c r="CV23" i="3"/>
  <c r="CU23" i="3"/>
  <c r="CT23" i="3"/>
  <c r="CS23" i="3"/>
  <c r="CR23" i="3"/>
  <c r="CQ23" i="3"/>
  <c r="CP23" i="3"/>
  <c r="CO23" i="3"/>
  <c r="CN23" i="3"/>
  <c r="CM23" i="3"/>
  <c r="CL23" i="3"/>
  <c r="CK23" i="3"/>
  <c r="CJ23" i="3"/>
  <c r="CI23" i="3"/>
  <c r="CH23" i="3"/>
  <c r="CG23" i="3"/>
  <c r="CF23" i="3"/>
  <c r="CE23" i="3"/>
  <c r="CD23" i="3"/>
  <c r="CC23" i="3"/>
  <c r="CB23" i="3"/>
  <c r="CA23" i="3"/>
  <c r="BZ23" i="3"/>
  <c r="BY23" i="3"/>
  <c r="BX23" i="3"/>
  <c r="BW23" i="3"/>
  <c r="BV23" i="3"/>
  <c r="BU23" i="3"/>
  <c r="BT23" i="3"/>
  <c r="BS23" i="3"/>
  <c r="BR23" i="3"/>
  <c r="BQ23" i="3"/>
  <c r="BP23" i="3"/>
  <c r="BO23" i="3"/>
  <c r="BN23" i="3"/>
  <c r="BM23" i="3"/>
  <c r="BL23" i="3"/>
  <c r="BK23" i="3"/>
  <c r="BJ23" i="3"/>
  <c r="BI23" i="3"/>
  <c r="BH23" i="3"/>
  <c r="BG23" i="3"/>
  <c r="BF23" i="3"/>
  <c r="BE23" i="3"/>
  <c r="BD23" i="3"/>
  <c r="BC23" i="3"/>
  <c r="BB23" i="3"/>
  <c r="BA23" i="3"/>
  <c r="AZ23" i="3"/>
  <c r="AY23" i="3"/>
  <c r="AX23" i="3"/>
  <c r="AW23" i="3"/>
  <c r="AV23" i="3"/>
  <c r="AU23" i="3"/>
  <c r="AT23" i="3"/>
  <c r="AS23" i="3"/>
  <c r="AR23" i="3"/>
  <c r="AQ23" i="3"/>
  <c r="AP23" i="3"/>
  <c r="AO23" i="3"/>
  <c r="AN23" i="3"/>
  <c r="AM23" i="3"/>
  <c r="AL23" i="3"/>
  <c r="AK23" i="3"/>
  <c r="AJ23" i="3"/>
  <c r="AI23" i="3"/>
  <c r="AH23" i="3"/>
  <c r="AG23" i="3"/>
  <c r="AF23" i="3"/>
  <c r="AE23" i="3"/>
  <c r="AD23" i="3"/>
  <c r="AC23" i="3"/>
  <c r="AB23" i="3"/>
  <c r="AA23" i="3"/>
  <c r="Z23" i="3"/>
  <c r="Y23" i="3"/>
  <c r="X23" i="3"/>
  <c r="W23" i="3"/>
  <c r="V23" i="3"/>
  <c r="U23" i="3"/>
  <c r="T23" i="3"/>
  <c r="S23" i="3"/>
  <c r="R23" i="3"/>
  <c r="Q23" i="3"/>
  <c r="P23" i="3"/>
  <c r="O23" i="3"/>
  <c r="N23" i="3"/>
  <c r="M23" i="3"/>
  <c r="L23" i="3"/>
  <c r="K23" i="3"/>
  <c r="J23" i="3"/>
  <c r="I23" i="3"/>
  <c r="H23" i="3"/>
  <c r="G23" i="3"/>
  <c r="F23" i="3"/>
  <c r="E23" i="3"/>
  <c r="D23" i="3"/>
  <c r="C23" i="3"/>
  <c r="CZ22" i="3"/>
  <c r="CY22" i="3"/>
  <c r="CX22" i="3"/>
  <c r="CW22" i="3"/>
  <c r="CV22" i="3"/>
  <c r="CU22" i="3"/>
  <c r="CT22" i="3"/>
  <c r="CS22" i="3"/>
  <c r="CR22" i="3"/>
  <c r="CQ22" i="3"/>
  <c r="CP22" i="3"/>
  <c r="CO22" i="3"/>
  <c r="CN22" i="3"/>
  <c r="CM22" i="3"/>
  <c r="CL22" i="3"/>
  <c r="CK22" i="3"/>
  <c r="CJ22" i="3"/>
  <c r="CI22" i="3"/>
  <c r="CH22" i="3"/>
  <c r="CG22" i="3"/>
  <c r="CF22" i="3"/>
  <c r="CE22" i="3"/>
  <c r="CD22" i="3"/>
  <c r="CC22" i="3"/>
  <c r="CB22" i="3"/>
  <c r="CA22" i="3"/>
  <c r="BZ22" i="3"/>
  <c r="BY22" i="3"/>
  <c r="BX22" i="3"/>
  <c r="BW22" i="3"/>
  <c r="BV22" i="3"/>
  <c r="BU22" i="3"/>
  <c r="BT22" i="3"/>
  <c r="BS22" i="3"/>
  <c r="BR22" i="3"/>
  <c r="BQ22" i="3"/>
  <c r="BP22" i="3"/>
  <c r="BO22" i="3"/>
  <c r="BN22" i="3"/>
  <c r="BM22" i="3"/>
  <c r="BL22" i="3"/>
  <c r="BK22" i="3"/>
  <c r="BJ22" i="3"/>
  <c r="BI22" i="3"/>
  <c r="BH22" i="3"/>
  <c r="BG22" i="3"/>
  <c r="BF22" i="3"/>
  <c r="BE22" i="3"/>
  <c r="BD22" i="3"/>
  <c r="BC22" i="3"/>
  <c r="BB22" i="3"/>
  <c r="BA22" i="3"/>
  <c r="AZ22" i="3"/>
  <c r="AY22" i="3"/>
  <c r="AX22" i="3"/>
  <c r="AW22" i="3"/>
  <c r="AV22" i="3"/>
  <c r="AU22" i="3"/>
  <c r="AT22" i="3"/>
  <c r="AS22" i="3"/>
  <c r="AR22" i="3"/>
  <c r="AQ22" i="3"/>
  <c r="AP22" i="3"/>
  <c r="AO22" i="3"/>
  <c r="AN22" i="3"/>
  <c r="AM22" i="3"/>
  <c r="AL22" i="3"/>
  <c r="AK22" i="3"/>
  <c r="AJ22" i="3"/>
  <c r="AI22" i="3"/>
  <c r="AH22" i="3"/>
  <c r="AG22" i="3"/>
  <c r="AF22" i="3"/>
  <c r="AE22" i="3"/>
  <c r="AD22" i="3"/>
  <c r="AC22" i="3"/>
  <c r="AB22" i="3"/>
  <c r="AA22" i="3"/>
  <c r="Z22" i="3"/>
  <c r="Y22" i="3"/>
  <c r="X22" i="3"/>
  <c r="W22" i="3"/>
  <c r="V22" i="3"/>
  <c r="U22" i="3"/>
  <c r="T22" i="3"/>
  <c r="S22" i="3"/>
  <c r="R22" i="3"/>
  <c r="Q22" i="3"/>
  <c r="P22" i="3"/>
  <c r="O22" i="3"/>
  <c r="N22" i="3"/>
  <c r="M22" i="3"/>
  <c r="L22" i="3"/>
  <c r="K22" i="3"/>
  <c r="J22" i="3"/>
  <c r="I22" i="3"/>
  <c r="H22" i="3"/>
  <c r="G22" i="3"/>
  <c r="F22" i="3"/>
  <c r="E22" i="3"/>
  <c r="D22" i="3"/>
  <c r="CZ21" i="3"/>
  <c r="CY21" i="3"/>
  <c r="CX21" i="3"/>
  <c r="CW21" i="3"/>
  <c r="CV21" i="3"/>
  <c r="CU21" i="3"/>
  <c r="CT21" i="3"/>
  <c r="CS21" i="3"/>
  <c r="CR21" i="3"/>
  <c r="CQ21" i="3"/>
  <c r="CP21" i="3"/>
  <c r="CO21" i="3"/>
  <c r="CN21" i="3"/>
  <c r="CM21" i="3"/>
  <c r="CL21" i="3"/>
  <c r="CK21" i="3"/>
  <c r="CJ21" i="3"/>
  <c r="CI21" i="3"/>
  <c r="CH21" i="3"/>
  <c r="CG21" i="3"/>
  <c r="CF21" i="3"/>
  <c r="CE21" i="3"/>
  <c r="CD21" i="3"/>
  <c r="CC21" i="3"/>
  <c r="CB21" i="3"/>
  <c r="CA21" i="3"/>
  <c r="BZ21" i="3"/>
  <c r="BY21" i="3"/>
  <c r="BX21" i="3"/>
  <c r="BW21" i="3"/>
  <c r="BV21" i="3"/>
  <c r="BU21" i="3"/>
  <c r="BT21" i="3"/>
  <c r="BS21" i="3"/>
  <c r="BR21" i="3"/>
  <c r="BQ21" i="3"/>
  <c r="BP21" i="3"/>
  <c r="BO21" i="3"/>
  <c r="BN21" i="3"/>
  <c r="BM21" i="3"/>
  <c r="BL21" i="3"/>
  <c r="BK21" i="3"/>
  <c r="BJ21" i="3"/>
  <c r="BI21" i="3"/>
  <c r="BH21" i="3"/>
  <c r="BG21" i="3"/>
  <c r="BF21" i="3"/>
  <c r="BE21" i="3"/>
  <c r="BD21" i="3"/>
  <c r="BC21" i="3"/>
  <c r="BB21" i="3"/>
  <c r="BA21" i="3"/>
  <c r="AZ21" i="3"/>
  <c r="AY21" i="3"/>
  <c r="AX21" i="3"/>
  <c r="AW21" i="3"/>
  <c r="AV21" i="3"/>
  <c r="AU21" i="3"/>
  <c r="AT21" i="3"/>
  <c r="AS21" i="3"/>
  <c r="AR21" i="3"/>
  <c r="AQ21" i="3"/>
  <c r="AP21" i="3"/>
  <c r="AO21" i="3"/>
  <c r="AN21" i="3"/>
  <c r="AM21" i="3"/>
  <c r="AL21" i="3"/>
  <c r="AK21" i="3"/>
  <c r="AJ21" i="3"/>
  <c r="AI21" i="3"/>
  <c r="AH21" i="3"/>
  <c r="AG21" i="3"/>
  <c r="AF21" i="3"/>
  <c r="AE21" i="3"/>
  <c r="AD21" i="3"/>
  <c r="AC21" i="3"/>
  <c r="AB21" i="3"/>
  <c r="AA21" i="3"/>
  <c r="Z21" i="3"/>
  <c r="Y21" i="3"/>
  <c r="X21" i="3"/>
  <c r="W21" i="3"/>
  <c r="V21" i="3"/>
  <c r="U21" i="3"/>
  <c r="T21" i="3"/>
  <c r="S21" i="3"/>
  <c r="R21" i="3"/>
  <c r="Q21" i="3"/>
  <c r="P21" i="3"/>
  <c r="O21" i="3"/>
  <c r="N21" i="3"/>
  <c r="M21" i="3"/>
  <c r="L21" i="3"/>
  <c r="K21" i="3"/>
  <c r="J21" i="3"/>
  <c r="I21" i="3"/>
  <c r="H21" i="3"/>
  <c r="G21" i="3"/>
  <c r="F21" i="3"/>
  <c r="E21" i="3"/>
  <c r="D21" i="3"/>
  <c r="C21" i="3"/>
  <c r="CZ20" i="3"/>
  <c r="CZ32" i="3" s="1"/>
  <c r="CY20" i="3"/>
  <c r="CY32" i="3" s="1"/>
  <c r="CX20" i="3"/>
  <c r="CX32" i="3" s="1"/>
  <c r="CW20" i="3"/>
  <c r="CW32" i="3" s="1"/>
  <c r="CV20" i="3"/>
  <c r="CV32" i="3" s="1"/>
  <c r="CU20" i="3"/>
  <c r="CU32" i="3" s="1"/>
  <c r="CT20" i="3"/>
  <c r="CT32" i="3" s="1"/>
  <c r="CS20" i="3"/>
  <c r="CS32" i="3" s="1"/>
  <c r="CR20" i="3"/>
  <c r="CR32" i="3" s="1"/>
  <c r="CQ20" i="3"/>
  <c r="CQ32" i="3" s="1"/>
  <c r="CP20" i="3"/>
  <c r="CP32" i="3" s="1"/>
  <c r="CO20" i="3"/>
  <c r="CO32" i="3" s="1"/>
  <c r="CN20" i="3"/>
  <c r="CN32" i="3" s="1"/>
  <c r="CM20" i="3"/>
  <c r="CM32" i="3" s="1"/>
  <c r="CL20" i="3"/>
  <c r="CL32" i="3" s="1"/>
  <c r="CK20" i="3"/>
  <c r="CK32" i="3" s="1"/>
  <c r="CJ20" i="3"/>
  <c r="CJ32" i="3" s="1"/>
  <c r="CI20" i="3"/>
  <c r="CI32" i="3" s="1"/>
  <c r="CH20" i="3"/>
  <c r="CH32" i="3" s="1"/>
  <c r="CG20" i="3"/>
  <c r="CG32" i="3" s="1"/>
  <c r="CF20" i="3"/>
  <c r="CF32" i="3" s="1"/>
  <c r="CE20" i="3"/>
  <c r="CE32" i="3" s="1"/>
  <c r="CD20" i="3"/>
  <c r="CD32" i="3" s="1"/>
  <c r="CC20" i="3"/>
  <c r="CC32" i="3" s="1"/>
  <c r="CB20" i="3"/>
  <c r="CB32" i="3" s="1"/>
  <c r="CA20" i="3"/>
  <c r="CA32" i="3" s="1"/>
  <c r="BZ20" i="3"/>
  <c r="BZ32" i="3" s="1"/>
  <c r="BY20" i="3"/>
  <c r="BY32" i="3" s="1"/>
  <c r="BX20" i="3"/>
  <c r="BX32" i="3" s="1"/>
  <c r="BW20" i="3"/>
  <c r="BW32" i="3" s="1"/>
  <c r="BV20" i="3"/>
  <c r="BV32" i="3" s="1"/>
  <c r="BU20" i="3"/>
  <c r="BU32" i="3" s="1"/>
  <c r="BT20" i="3"/>
  <c r="BT32" i="3" s="1"/>
  <c r="BS20" i="3"/>
  <c r="BS32" i="3" s="1"/>
  <c r="BR20" i="3"/>
  <c r="BR32" i="3" s="1"/>
  <c r="BQ20" i="3"/>
  <c r="BP20" i="3"/>
  <c r="BP32" i="3" s="1"/>
  <c r="BO20" i="3"/>
  <c r="BO32" i="3" s="1"/>
  <c r="BN20" i="3"/>
  <c r="BN32" i="3" s="1"/>
  <c r="BM20" i="3"/>
  <c r="BM32" i="3" s="1"/>
  <c r="BL20" i="3"/>
  <c r="BL32" i="3" s="1"/>
  <c r="BK20" i="3"/>
  <c r="BK32" i="3" s="1"/>
  <c r="BJ20" i="3"/>
  <c r="BJ32" i="3" s="1"/>
  <c r="BI20" i="3"/>
  <c r="BI32" i="3" s="1"/>
  <c r="BH20" i="3"/>
  <c r="BH32" i="3" s="1"/>
  <c r="BG20" i="3"/>
  <c r="BG32" i="3" s="1"/>
  <c r="BF20" i="3"/>
  <c r="BF32" i="3" s="1"/>
  <c r="BE20" i="3"/>
  <c r="BE32" i="3" s="1"/>
  <c r="BD20" i="3"/>
  <c r="BD32" i="3" s="1"/>
  <c r="BC20" i="3"/>
  <c r="BC32" i="3" s="1"/>
  <c r="BB20" i="3"/>
  <c r="BB32" i="3" s="1"/>
  <c r="BA20" i="3"/>
  <c r="BA32" i="3" s="1"/>
  <c r="AZ20" i="3"/>
  <c r="AZ32" i="3" s="1"/>
  <c r="AY20" i="3"/>
  <c r="AY32" i="3" s="1"/>
  <c r="AX20" i="3"/>
  <c r="AX32" i="3" s="1"/>
  <c r="AW20" i="3"/>
  <c r="AW32" i="3" s="1"/>
  <c r="AV20" i="3"/>
  <c r="AV32" i="3" s="1"/>
  <c r="AU20" i="3"/>
  <c r="AU32" i="3" s="1"/>
  <c r="AT20" i="3"/>
  <c r="AT32" i="3" s="1"/>
  <c r="AS20" i="3"/>
  <c r="AS32" i="3" s="1"/>
  <c r="AR20" i="3"/>
  <c r="AR32" i="3" s="1"/>
  <c r="AQ20" i="3"/>
  <c r="AP20" i="3"/>
  <c r="AO20" i="3"/>
  <c r="AN20" i="3"/>
  <c r="AM20" i="3"/>
  <c r="AL20" i="3"/>
  <c r="AK20" i="3"/>
  <c r="AJ20" i="3"/>
  <c r="AI20" i="3"/>
  <c r="AH20" i="3"/>
  <c r="AG20" i="3"/>
  <c r="AF20" i="3"/>
  <c r="AE20" i="3"/>
  <c r="AD20" i="3"/>
  <c r="AC20" i="3"/>
  <c r="AB20" i="3"/>
  <c r="AA20" i="3"/>
  <c r="Z20" i="3"/>
  <c r="Y20" i="3"/>
  <c r="X20" i="3"/>
  <c r="W20" i="3"/>
  <c r="V20" i="3"/>
  <c r="U20" i="3"/>
  <c r="T20" i="3"/>
  <c r="S20" i="3"/>
  <c r="R20" i="3"/>
  <c r="Q20" i="3"/>
  <c r="P20" i="3"/>
  <c r="O20" i="3"/>
  <c r="N20" i="3"/>
  <c r="M20" i="3"/>
  <c r="L20" i="3"/>
  <c r="K20" i="3"/>
  <c r="J20" i="3"/>
  <c r="I20" i="3"/>
  <c r="H20" i="3"/>
  <c r="G20" i="3"/>
  <c r="F20" i="3"/>
  <c r="E20" i="3"/>
  <c r="D20" i="3"/>
  <c r="C20" i="3"/>
  <c r="CZ16" i="3"/>
  <c r="CY16" i="3"/>
  <c r="CX16" i="3"/>
  <c r="CW16" i="3"/>
  <c r="CV16" i="3"/>
  <c r="CU16" i="3"/>
  <c r="CT16" i="3"/>
  <c r="CS16" i="3"/>
  <c r="CR16" i="3"/>
  <c r="CQ16" i="3"/>
  <c r="CP16" i="3"/>
  <c r="CO16" i="3"/>
  <c r="CN16" i="3"/>
  <c r="CM16" i="3"/>
  <c r="CL16" i="3"/>
  <c r="CK16" i="3"/>
  <c r="CJ16" i="3"/>
  <c r="CI16" i="3"/>
  <c r="CH16" i="3"/>
  <c r="CG16" i="3"/>
  <c r="CF16" i="3"/>
  <c r="CE16" i="3"/>
  <c r="CD16" i="3"/>
  <c r="CC16" i="3"/>
  <c r="CB16" i="3"/>
  <c r="CA16" i="3"/>
  <c r="BZ16" i="3"/>
  <c r="BY16" i="3"/>
  <c r="BX16" i="3"/>
  <c r="BW16" i="3"/>
  <c r="BV16" i="3"/>
  <c r="BU16" i="3"/>
  <c r="BT16" i="3"/>
  <c r="BS16" i="3"/>
  <c r="BR16" i="3"/>
  <c r="BQ16" i="3"/>
  <c r="BP16" i="3"/>
  <c r="BO16" i="3"/>
  <c r="BN16" i="3"/>
  <c r="BM16" i="3"/>
  <c r="BL16" i="3"/>
  <c r="BK16" i="3"/>
  <c r="BJ16" i="3"/>
  <c r="BI16" i="3"/>
  <c r="BH16" i="3"/>
  <c r="BG16" i="3"/>
  <c r="BF16" i="3"/>
  <c r="BE16" i="3"/>
  <c r="BD16" i="3"/>
  <c r="BC16" i="3"/>
  <c r="BB16" i="3"/>
  <c r="BA16" i="3"/>
  <c r="AZ16" i="3"/>
  <c r="AY16" i="3"/>
  <c r="AX16" i="3"/>
  <c r="AW16" i="3"/>
  <c r="AV16" i="3"/>
  <c r="AU16" i="3"/>
  <c r="AT16" i="3"/>
  <c r="AS16" i="3"/>
  <c r="AR16" i="3"/>
  <c r="AQ16" i="3"/>
  <c r="AP16" i="3"/>
  <c r="AO16" i="3"/>
  <c r="AN16" i="3"/>
  <c r="AM16" i="3"/>
  <c r="AL16" i="3"/>
  <c r="AK16" i="3"/>
  <c r="AJ16" i="3"/>
  <c r="AI16" i="3"/>
  <c r="AH16" i="3"/>
  <c r="AG16" i="3"/>
  <c r="AF16" i="3"/>
  <c r="AE16" i="3"/>
  <c r="AD16" i="3"/>
  <c r="AC16" i="3"/>
  <c r="AB16" i="3"/>
  <c r="AA16" i="3"/>
  <c r="Z16" i="3"/>
  <c r="Y16" i="3"/>
  <c r="X16" i="3"/>
  <c r="W16" i="3"/>
  <c r="V16" i="3"/>
  <c r="U16" i="3"/>
  <c r="T16" i="3"/>
  <c r="S16" i="3"/>
  <c r="R16" i="3"/>
  <c r="Q16" i="3"/>
  <c r="P16" i="3"/>
  <c r="O16" i="3"/>
  <c r="N16" i="3"/>
  <c r="M16" i="3"/>
  <c r="L16" i="3"/>
  <c r="K16" i="3"/>
  <c r="J16" i="3"/>
  <c r="I16" i="3"/>
  <c r="H16" i="3"/>
  <c r="G16" i="3"/>
  <c r="F16" i="3"/>
  <c r="E16" i="3"/>
  <c r="D16" i="3"/>
  <c r="C16" i="3"/>
  <c r="CZ15" i="3"/>
  <c r="CY15" i="3"/>
  <c r="CX15" i="3"/>
  <c r="CW15" i="3"/>
  <c r="CV15" i="3"/>
  <c r="CU15" i="3"/>
  <c r="CT15" i="3"/>
  <c r="CS15" i="3"/>
  <c r="CR15" i="3"/>
  <c r="CQ15" i="3"/>
  <c r="CP15" i="3"/>
  <c r="CO15" i="3"/>
  <c r="CN15" i="3"/>
  <c r="CM15" i="3"/>
  <c r="CL15" i="3"/>
  <c r="CK15" i="3"/>
  <c r="CJ15" i="3"/>
  <c r="CI15" i="3"/>
  <c r="CH15" i="3"/>
  <c r="CG15" i="3"/>
  <c r="CF15" i="3"/>
  <c r="CE15" i="3"/>
  <c r="CD15" i="3"/>
  <c r="CC15" i="3"/>
  <c r="CB15" i="3"/>
  <c r="CA15" i="3"/>
  <c r="BZ15" i="3"/>
  <c r="BY15" i="3"/>
  <c r="BX15" i="3"/>
  <c r="BW15" i="3"/>
  <c r="BV15" i="3"/>
  <c r="BU15" i="3"/>
  <c r="BT15" i="3"/>
  <c r="BS15" i="3"/>
  <c r="BR15" i="3"/>
  <c r="BQ15" i="3"/>
  <c r="BP15" i="3"/>
  <c r="BO15" i="3"/>
  <c r="BN15" i="3"/>
  <c r="BM15" i="3"/>
  <c r="BL15" i="3"/>
  <c r="BK15" i="3"/>
  <c r="BJ15" i="3"/>
  <c r="BI15" i="3"/>
  <c r="BH15" i="3"/>
  <c r="BG15" i="3"/>
  <c r="BF15" i="3"/>
  <c r="BE15" i="3"/>
  <c r="BD15" i="3"/>
  <c r="BC15" i="3"/>
  <c r="BB15" i="3"/>
  <c r="BA15" i="3"/>
  <c r="AZ15" i="3"/>
  <c r="AY15" i="3"/>
  <c r="AX15" i="3"/>
  <c r="AW15" i="3"/>
  <c r="AV15" i="3"/>
  <c r="AU15" i="3"/>
  <c r="AT15" i="3"/>
  <c r="AS15" i="3"/>
  <c r="AR15" i="3"/>
  <c r="AQ15" i="3"/>
  <c r="AP15" i="3"/>
  <c r="AO15" i="3"/>
  <c r="AN15" i="3"/>
  <c r="AM15" i="3"/>
  <c r="AL15" i="3"/>
  <c r="AK15" i="3"/>
  <c r="AJ15" i="3"/>
  <c r="AI15" i="3"/>
  <c r="AH15" i="3"/>
  <c r="AG15" i="3"/>
  <c r="AF15" i="3"/>
  <c r="AE15" i="3"/>
  <c r="AD15" i="3"/>
  <c r="AC15" i="3"/>
  <c r="AB15" i="3"/>
  <c r="AA15" i="3"/>
  <c r="Z15" i="3"/>
  <c r="Y15" i="3"/>
  <c r="X15" i="3"/>
  <c r="W15" i="3"/>
  <c r="V15" i="3"/>
  <c r="U15" i="3"/>
  <c r="T15" i="3"/>
  <c r="S15" i="3"/>
  <c r="R15" i="3"/>
  <c r="Q15" i="3"/>
  <c r="P15" i="3"/>
  <c r="O15" i="3"/>
  <c r="N15" i="3"/>
  <c r="M15" i="3"/>
  <c r="L15" i="3"/>
  <c r="K15" i="3"/>
  <c r="J15" i="3"/>
  <c r="I15" i="3"/>
  <c r="H15" i="3"/>
  <c r="G15" i="3"/>
  <c r="F15" i="3"/>
  <c r="E15" i="3"/>
  <c r="D15" i="3"/>
  <c r="C15" i="3"/>
  <c r="CZ14" i="3"/>
  <c r="CY14" i="3"/>
  <c r="CX14" i="3"/>
  <c r="CW14" i="3"/>
  <c r="CV14" i="3"/>
  <c r="CU14" i="3"/>
  <c r="CT14" i="3"/>
  <c r="CS14" i="3"/>
  <c r="CR14" i="3"/>
  <c r="CQ14" i="3"/>
  <c r="CP14" i="3"/>
  <c r="CO14" i="3"/>
  <c r="CN14" i="3"/>
  <c r="CM14" i="3"/>
  <c r="CL14" i="3"/>
  <c r="CK14" i="3"/>
  <c r="CJ14" i="3"/>
  <c r="CI14" i="3"/>
  <c r="CH14" i="3"/>
  <c r="CG14" i="3"/>
  <c r="CF14" i="3"/>
  <c r="CE14" i="3"/>
  <c r="CD14" i="3"/>
  <c r="CC14" i="3"/>
  <c r="CB14" i="3"/>
  <c r="CA14" i="3"/>
  <c r="BZ14" i="3"/>
  <c r="BY14" i="3"/>
  <c r="BX14" i="3"/>
  <c r="BW14" i="3"/>
  <c r="BV14" i="3"/>
  <c r="BU14" i="3"/>
  <c r="BT14" i="3"/>
  <c r="BS14" i="3"/>
  <c r="BR14" i="3"/>
  <c r="BQ14" i="3"/>
  <c r="BP14" i="3"/>
  <c r="BO14" i="3"/>
  <c r="BN14" i="3"/>
  <c r="BM14" i="3"/>
  <c r="BL14" i="3"/>
  <c r="BK14" i="3"/>
  <c r="BJ14" i="3"/>
  <c r="BI14" i="3"/>
  <c r="BH14" i="3"/>
  <c r="BG14" i="3"/>
  <c r="BF14" i="3"/>
  <c r="BE14" i="3"/>
  <c r="BD14" i="3"/>
  <c r="BC14" i="3"/>
  <c r="BB14" i="3"/>
  <c r="BA14" i="3"/>
  <c r="AZ14" i="3"/>
  <c r="AY14" i="3"/>
  <c r="AX14" i="3"/>
  <c r="AW14" i="3"/>
  <c r="AV14" i="3"/>
  <c r="AU14" i="3"/>
  <c r="AT14" i="3"/>
  <c r="AS14" i="3"/>
  <c r="AR14" i="3"/>
  <c r="AQ14" i="3"/>
  <c r="AP14" i="3"/>
  <c r="AO14" i="3"/>
  <c r="AN14" i="3"/>
  <c r="AM14" i="3"/>
  <c r="AL14" i="3"/>
  <c r="AK14" i="3"/>
  <c r="AJ14" i="3"/>
  <c r="AI14" i="3"/>
  <c r="AH14" i="3"/>
  <c r="AG14" i="3"/>
  <c r="AF14" i="3"/>
  <c r="AE14" i="3"/>
  <c r="AD14" i="3"/>
  <c r="AC14" i="3"/>
  <c r="AB14" i="3"/>
  <c r="AA14" i="3"/>
  <c r="Z14" i="3"/>
  <c r="Y14" i="3"/>
  <c r="X14" i="3"/>
  <c r="W14" i="3"/>
  <c r="V14" i="3"/>
  <c r="U14" i="3"/>
  <c r="T14" i="3"/>
  <c r="S14" i="3"/>
  <c r="R14" i="3"/>
  <c r="Q14" i="3"/>
  <c r="P14" i="3"/>
  <c r="O14" i="3"/>
  <c r="N14" i="3"/>
  <c r="M14" i="3"/>
  <c r="L14" i="3"/>
  <c r="K14" i="3"/>
  <c r="J14" i="3"/>
  <c r="I14" i="3"/>
  <c r="H14" i="3"/>
  <c r="G14" i="3"/>
  <c r="F14" i="3"/>
  <c r="E14" i="3"/>
  <c r="D14" i="3"/>
  <c r="C14" i="3"/>
  <c r="BQ32" i="3" l="1"/>
  <c r="C24" i="2"/>
  <c r="AQ32" i="3"/>
  <c r="AE32" i="3"/>
  <c r="E17" i="3"/>
  <c r="C32" i="3"/>
  <c r="F32" i="3"/>
  <c r="J32" i="3"/>
  <c r="N32" i="3"/>
  <c r="R32" i="3"/>
  <c r="V32" i="3"/>
  <c r="Z32" i="3"/>
  <c r="AD32" i="3"/>
  <c r="AH32" i="3"/>
  <c r="AL32" i="3"/>
  <c r="AP32" i="3"/>
  <c r="C17" i="3"/>
  <c r="G32" i="3"/>
  <c r="K32" i="3"/>
  <c r="O32" i="3"/>
  <c r="S32" i="3"/>
  <c r="W32" i="3"/>
  <c r="AA32" i="3"/>
  <c r="AI32" i="3"/>
  <c r="AM32" i="3"/>
  <c r="D17" i="3"/>
  <c r="D32" i="3"/>
  <c r="H32" i="3"/>
  <c r="L32" i="3"/>
  <c r="P32" i="3"/>
  <c r="T32" i="3"/>
  <c r="X32" i="3"/>
  <c r="AB32" i="3"/>
  <c r="AF32" i="3"/>
  <c r="AJ32" i="3"/>
  <c r="AN32" i="3"/>
  <c r="E32" i="3"/>
  <c r="I32" i="3"/>
  <c r="M32" i="3"/>
  <c r="Q32" i="3"/>
  <c r="U32" i="3"/>
  <c r="Y32" i="3"/>
  <c r="AC32" i="3"/>
  <c r="AG32" i="3"/>
  <c r="AK32" i="3"/>
  <c r="AO32" i="3"/>
  <c r="CZ17" i="3"/>
  <c r="CZ36" i="3" s="1"/>
  <c r="CY17" i="3"/>
  <c r="CY36" i="3" s="1"/>
  <c r="CX17" i="3"/>
  <c r="CX36" i="3" s="1"/>
  <c r="CW17" i="3"/>
  <c r="CW36" i="3" s="1"/>
  <c r="CV17" i="3"/>
  <c r="CV36" i="3" s="1"/>
  <c r="CU17" i="3"/>
  <c r="CU36" i="3" s="1"/>
  <c r="CT17" i="3"/>
  <c r="CT36" i="3" s="1"/>
  <c r="CS17" i="3"/>
  <c r="CS36" i="3" s="1"/>
  <c r="CR17" i="3"/>
  <c r="CR36" i="3" s="1"/>
  <c r="CQ17" i="3"/>
  <c r="CQ36" i="3" s="1"/>
  <c r="CP17" i="3"/>
  <c r="CP36" i="3" s="1"/>
  <c r="CO17" i="3"/>
  <c r="CO36" i="3" s="1"/>
  <c r="CN17" i="3"/>
  <c r="CN36" i="3" s="1"/>
  <c r="CM17" i="3"/>
  <c r="CM36" i="3" s="1"/>
  <c r="CL17" i="3"/>
  <c r="CL36" i="3" s="1"/>
  <c r="CK17" i="3"/>
  <c r="CK36" i="3" s="1"/>
  <c r="CJ17" i="3"/>
  <c r="CJ36" i="3" s="1"/>
  <c r="CI17" i="3"/>
  <c r="CI36" i="3" s="1"/>
  <c r="CH17" i="3"/>
  <c r="CH36" i="3" s="1"/>
  <c r="CG17" i="3"/>
  <c r="CG36" i="3" s="1"/>
  <c r="CF17" i="3"/>
  <c r="CF36" i="3" s="1"/>
  <c r="CE17" i="3"/>
  <c r="CE36" i="3" s="1"/>
  <c r="CD17" i="3"/>
  <c r="CD36" i="3" s="1"/>
  <c r="CC17" i="3"/>
  <c r="CC36" i="3" s="1"/>
  <c r="CB17" i="3"/>
  <c r="CB36" i="3" s="1"/>
  <c r="CA17" i="3"/>
  <c r="CA36" i="3" s="1"/>
  <c r="BZ17" i="3"/>
  <c r="BZ36" i="3" s="1"/>
  <c r="BY17" i="3"/>
  <c r="BY36" i="3" s="1"/>
  <c r="BX17" i="3"/>
  <c r="BX36" i="3" s="1"/>
  <c r="BW17" i="3"/>
  <c r="BW36" i="3" s="1"/>
  <c r="BV17" i="3"/>
  <c r="BV36" i="3" s="1"/>
  <c r="BU17" i="3"/>
  <c r="BU36" i="3" s="1"/>
  <c r="BT17" i="3"/>
  <c r="BT36" i="3" s="1"/>
  <c r="BS17" i="3"/>
  <c r="BS36" i="3" s="1"/>
  <c r="BR17" i="3"/>
  <c r="BR36" i="3" s="1"/>
  <c r="BQ17" i="3"/>
  <c r="BP17" i="3"/>
  <c r="BP36" i="3" s="1"/>
  <c r="BO17" i="3"/>
  <c r="BO36" i="3" s="1"/>
  <c r="BN17" i="3"/>
  <c r="BN36" i="3" s="1"/>
  <c r="BM17" i="3"/>
  <c r="BM36" i="3" s="1"/>
  <c r="BL17" i="3"/>
  <c r="BL36" i="3" s="1"/>
  <c r="BK17" i="3"/>
  <c r="BK36" i="3" s="1"/>
  <c r="BJ17" i="3"/>
  <c r="BJ36" i="3" s="1"/>
  <c r="BI17" i="3"/>
  <c r="BI36" i="3" s="1"/>
  <c r="BH17" i="3"/>
  <c r="BH36" i="3" s="1"/>
  <c r="BG17" i="3"/>
  <c r="BG36" i="3" s="1"/>
  <c r="BF17" i="3"/>
  <c r="BF36" i="3" s="1"/>
  <c r="BE17" i="3"/>
  <c r="BE36" i="3" s="1"/>
  <c r="BD17" i="3"/>
  <c r="BD36" i="3" s="1"/>
  <c r="BC17" i="3"/>
  <c r="BC36" i="3" s="1"/>
  <c r="BB17" i="3"/>
  <c r="BB36" i="3" s="1"/>
  <c r="BA17" i="3"/>
  <c r="BA36" i="3" s="1"/>
  <c r="AZ17" i="3"/>
  <c r="AZ36" i="3" s="1"/>
  <c r="AY17" i="3"/>
  <c r="AY36" i="3" s="1"/>
  <c r="AX17" i="3"/>
  <c r="AX36" i="3" s="1"/>
  <c r="AW17" i="3"/>
  <c r="AW36" i="3" s="1"/>
  <c r="AV17" i="3"/>
  <c r="AV36" i="3" s="1"/>
  <c r="AU17" i="3"/>
  <c r="AU36" i="3" s="1"/>
  <c r="AT17" i="3"/>
  <c r="AT36" i="3" s="1"/>
  <c r="AS17" i="3"/>
  <c r="AS36" i="3" s="1"/>
  <c r="AR17" i="3"/>
  <c r="AR36" i="3" s="1"/>
  <c r="AQ17" i="3"/>
  <c r="AP17" i="3"/>
  <c r="AO17" i="3"/>
  <c r="AJ17" i="3"/>
  <c r="AI17" i="3"/>
  <c r="AH17" i="3"/>
  <c r="AG17" i="3"/>
  <c r="AF17" i="3"/>
  <c r="AE17" i="3"/>
  <c r="AD17" i="3"/>
  <c r="AC17" i="3"/>
  <c r="AB17" i="3"/>
  <c r="AA17" i="3"/>
  <c r="Z17" i="3"/>
  <c r="Y17" i="3"/>
  <c r="X17" i="3"/>
  <c r="W17" i="3"/>
  <c r="V17" i="3"/>
  <c r="U17" i="3"/>
  <c r="T17" i="3"/>
  <c r="S17" i="3"/>
  <c r="R17" i="3"/>
  <c r="Q17" i="3"/>
  <c r="P17" i="3"/>
  <c r="O17" i="3"/>
  <c r="N17" i="3"/>
  <c r="M17" i="3"/>
  <c r="L17" i="3"/>
  <c r="K17" i="3"/>
  <c r="J17" i="3"/>
  <c r="I17" i="3"/>
  <c r="H17" i="3"/>
  <c r="G17" i="3"/>
  <c r="F17" i="3"/>
  <c r="CZ20" i="2"/>
  <c r="CZ24" i="2" s="1"/>
  <c r="CZ37" i="2" s="1"/>
  <c r="CY20" i="2"/>
  <c r="CY24" i="2" s="1"/>
  <c r="CY37" i="2" s="1"/>
  <c r="CX20" i="2"/>
  <c r="CX24" i="2" s="1"/>
  <c r="CX37" i="2" s="1"/>
  <c r="CW20" i="2"/>
  <c r="CW24" i="2" s="1"/>
  <c r="CW37" i="2" s="1"/>
  <c r="CV20" i="2"/>
  <c r="CV24" i="2" s="1"/>
  <c r="CV37" i="2" s="1"/>
  <c r="CU20" i="2"/>
  <c r="CU24" i="2" s="1"/>
  <c r="CU37" i="2" s="1"/>
  <c r="CT20" i="2"/>
  <c r="CT24" i="2" s="1"/>
  <c r="CT37" i="2" s="1"/>
  <c r="CS20" i="2"/>
  <c r="CS24" i="2" s="1"/>
  <c r="CS37" i="2" s="1"/>
  <c r="CR20" i="2"/>
  <c r="CR24" i="2" s="1"/>
  <c r="CR37" i="2" s="1"/>
  <c r="CQ20" i="2"/>
  <c r="CQ24" i="2" s="1"/>
  <c r="CQ37" i="2" s="1"/>
  <c r="CP20" i="2"/>
  <c r="CP24" i="2" s="1"/>
  <c r="CP37" i="2" s="1"/>
  <c r="CO20" i="2"/>
  <c r="CO24" i="2" s="1"/>
  <c r="CO37" i="2" s="1"/>
  <c r="CN20" i="2"/>
  <c r="CN24" i="2" s="1"/>
  <c r="CN37" i="2" s="1"/>
  <c r="CM20" i="2"/>
  <c r="CM24" i="2" s="1"/>
  <c r="CM37" i="2" s="1"/>
  <c r="CL20" i="2"/>
  <c r="CL24" i="2" s="1"/>
  <c r="CL37" i="2" s="1"/>
  <c r="CK20" i="2"/>
  <c r="CK24" i="2" s="1"/>
  <c r="CK37" i="2" s="1"/>
  <c r="CJ20" i="2"/>
  <c r="CJ24" i="2" s="1"/>
  <c r="CJ37" i="2" s="1"/>
  <c r="CI20" i="2"/>
  <c r="CI24" i="2" s="1"/>
  <c r="CI37" i="2" s="1"/>
  <c r="CH20" i="2"/>
  <c r="CH24" i="2" s="1"/>
  <c r="CH37" i="2" s="1"/>
  <c r="CG20" i="2"/>
  <c r="CG24" i="2" s="1"/>
  <c r="CG37" i="2" s="1"/>
  <c r="CF20" i="2"/>
  <c r="CF24" i="2" s="1"/>
  <c r="CF37" i="2" s="1"/>
  <c r="CE20" i="2"/>
  <c r="CE24" i="2" s="1"/>
  <c r="CE37" i="2" s="1"/>
  <c r="CD20" i="2"/>
  <c r="CD24" i="2" s="1"/>
  <c r="CD37" i="2" s="1"/>
  <c r="CC20" i="2"/>
  <c r="CC24" i="2" s="1"/>
  <c r="CC37" i="2" s="1"/>
  <c r="CB20" i="2"/>
  <c r="CB24" i="2" s="1"/>
  <c r="CB37" i="2" s="1"/>
  <c r="CA20" i="2"/>
  <c r="CA24" i="2" s="1"/>
  <c r="CA37" i="2" s="1"/>
  <c r="BZ20" i="2"/>
  <c r="BZ24" i="2" s="1"/>
  <c r="BZ37" i="2" s="1"/>
  <c r="BY20" i="2"/>
  <c r="BY24" i="2" s="1"/>
  <c r="BY37" i="2" s="1"/>
  <c r="BX20" i="2"/>
  <c r="BX24" i="2" s="1"/>
  <c r="BX37" i="2" s="1"/>
  <c r="BW20" i="2"/>
  <c r="BW24" i="2" s="1"/>
  <c r="BW37" i="2" s="1"/>
  <c r="BV20" i="2"/>
  <c r="BV24" i="2" s="1"/>
  <c r="BV37" i="2" s="1"/>
  <c r="BU20" i="2"/>
  <c r="BU24" i="2" s="1"/>
  <c r="BU37" i="2" s="1"/>
  <c r="BT20" i="2"/>
  <c r="BT24" i="2" s="1"/>
  <c r="BT37" i="2" s="1"/>
  <c r="BS20" i="2"/>
  <c r="BS24" i="2" s="1"/>
  <c r="BS37" i="2" s="1"/>
  <c r="BR20" i="2"/>
  <c r="BR24" i="2" s="1"/>
  <c r="BR37" i="2" s="1"/>
  <c r="BQ20" i="2"/>
  <c r="BP20" i="2"/>
  <c r="BP24" i="2" s="1"/>
  <c r="BP37" i="2" s="1"/>
  <c r="BO20" i="2"/>
  <c r="BO24" i="2" s="1"/>
  <c r="BO37" i="2" s="1"/>
  <c r="BN20" i="2"/>
  <c r="BN24" i="2" s="1"/>
  <c r="BN37" i="2" s="1"/>
  <c r="BM20" i="2"/>
  <c r="BM24" i="2" s="1"/>
  <c r="BM37" i="2" s="1"/>
  <c r="BL20" i="2"/>
  <c r="BL24" i="2" s="1"/>
  <c r="BL37" i="2" s="1"/>
  <c r="BK20" i="2"/>
  <c r="BK24" i="2" s="1"/>
  <c r="BK37" i="2" s="1"/>
  <c r="BJ20" i="2"/>
  <c r="BJ24" i="2" s="1"/>
  <c r="BJ37" i="2" s="1"/>
  <c r="BI20" i="2"/>
  <c r="BI24" i="2" s="1"/>
  <c r="BI37" i="2" s="1"/>
  <c r="BH20" i="2"/>
  <c r="BH24" i="2" s="1"/>
  <c r="BH37" i="2" s="1"/>
  <c r="BG20" i="2"/>
  <c r="BG24" i="2" s="1"/>
  <c r="BG37" i="2" s="1"/>
  <c r="BF20" i="2"/>
  <c r="BF24" i="2" s="1"/>
  <c r="BF37" i="2" s="1"/>
  <c r="BE20" i="2"/>
  <c r="BE24" i="2" s="1"/>
  <c r="BE37" i="2" s="1"/>
  <c r="BD20" i="2"/>
  <c r="BD24" i="2" s="1"/>
  <c r="BD37" i="2" s="1"/>
  <c r="BC20" i="2"/>
  <c r="BC24" i="2" s="1"/>
  <c r="BC37" i="2" s="1"/>
  <c r="BB20" i="2"/>
  <c r="BB24" i="2" s="1"/>
  <c r="BB37" i="2" s="1"/>
  <c r="BA20" i="2"/>
  <c r="BA24" i="2" s="1"/>
  <c r="BA37" i="2" s="1"/>
  <c r="AZ20" i="2"/>
  <c r="AZ24" i="2" s="1"/>
  <c r="AZ37" i="2" s="1"/>
  <c r="AY20" i="2"/>
  <c r="AY24" i="2" s="1"/>
  <c r="AY37" i="2" s="1"/>
  <c r="AX20" i="2"/>
  <c r="AX24" i="2" s="1"/>
  <c r="AX37" i="2" s="1"/>
  <c r="AW20" i="2"/>
  <c r="AW24" i="2" s="1"/>
  <c r="AW37" i="2" s="1"/>
  <c r="AV20" i="2"/>
  <c r="AV24" i="2" s="1"/>
  <c r="AV37" i="2" s="1"/>
  <c r="AU20" i="2"/>
  <c r="AU24" i="2" s="1"/>
  <c r="AU37" i="2" s="1"/>
  <c r="AT20" i="2"/>
  <c r="AT24" i="2" s="1"/>
  <c r="AT37" i="2" s="1"/>
  <c r="AS20" i="2"/>
  <c r="AS24" i="2" s="1"/>
  <c r="AS37" i="2" s="1"/>
  <c r="AR20" i="2"/>
  <c r="AR24" i="2" s="1"/>
  <c r="AR37" i="2" s="1"/>
  <c r="AQ20" i="2"/>
  <c r="AQ24" i="2" s="1"/>
  <c r="AQ37" i="2" s="1"/>
  <c r="AI20" i="2"/>
  <c r="AI24" i="2" s="1"/>
  <c r="AI37" i="2" s="1"/>
  <c r="AH20" i="2"/>
  <c r="AH24" i="2" s="1"/>
  <c r="AH37" i="2" s="1"/>
  <c r="AG20" i="2"/>
  <c r="AG24" i="2" s="1"/>
  <c r="AG37" i="2" s="1"/>
  <c r="AF20" i="2"/>
  <c r="AF24" i="2" s="1"/>
  <c r="AF37" i="2" s="1"/>
  <c r="AE20" i="2"/>
  <c r="AE24" i="2" s="1"/>
  <c r="AE37" i="2" s="1"/>
  <c r="AD20" i="2"/>
  <c r="AD24" i="2" s="1"/>
  <c r="AD37" i="2" s="1"/>
  <c r="AC20" i="2"/>
  <c r="AC24" i="2" s="1"/>
  <c r="AC37" i="2" s="1"/>
  <c r="AB20" i="2"/>
  <c r="AB24" i="2" s="1"/>
  <c r="AB37" i="2" s="1"/>
  <c r="AA20" i="2"/>
  <c r="AA24" i="2" s="1"/>
  <c r="AA37" i="2" s="1"/>
  <c r="Z20" i="2"/>
  <c r="Z24" i="2" s="1"/>
  <c r="Z37" i="2" s="1"/>
  <c r="Y20" i="2"/>
  <c r="Y24" i="2" s="1"/>
  <c r="Y37" i="2" s="1"/>
  <c r="X20" i="2"/>
  <c r="X24" i="2" s="1"/>
  <c r="X37" i="2" s="1"/>
  <c r="W20" i="2"/>
  <c r="W24" i="2" s="1"/>
  <c r="W37" i="2" s="1"/>
  <c r="V20" i="2"/>
  <c r="V24" i="2" s="1"/>
  <c r="V37" i="2" s="1"/>
  <c r="U20" i="2"/>
  <c r="U24" i="2" s="1"/>
  <c r="U37" i="2" s="1"/>
  <c r="T20" i="2"/>
  <c r="T24" i="2" s="1"/>
  <c r="T37" i="2" s="1"/>
  <c r="S20" i="2"/>
  <c r="S24" i="2" s="1"/>
  <c r="S37" i="2" s="1"/>
  <c r="R20" i="2"/>
  <c r="R24" i="2" s="1"/>
  <c r="R37" i="2" s="1"/>
  <c r="Q20" i="2"/>
  <c r="Q24" i="2" s="1"/>
  <c r="Q37" i="2" s="1"/>
  <c r="P20" i="2"/>
  <c r="P24" i="2" s="1"/>
  <c r="P37" i="2" s="1"/>
  <c r="O20" i="2"/>
  <c r="O24" i="2" s="1"/>
  <c r="O37" i="2" s="1"/>
  <c r="N20" i="2"/>
  <c r="N24" i="2" s="1"/>
  <c r="N37" i="2" s="1"/>
  <c r="M20" i="2"/>
  <c r="M24" i="2" s="1"/>
  <c r="M37" i="2" s="1"/>
  <c r="L20" i="2"/>
  <c r="L24" i="2" s="1"/>
  <c r="L37" i="2" s="1"/>
  <c r="K20" i="2"/>
  <c r="K24" i="2" s="1"/>
  <c r="K37" i="2" s="1"/>
  <c r="J20" i="2"/>
  <c r="J24" i="2" s="1"/>
  <c r="J37" i="2" s="1"/>
  <c r="I20" i="2"/>
  <c r="H20" i="2"/>
  <c r="H24" i="2" s="1"/>
  <c r="H37" i="2" s="1"/>
  <c r="G20" i="2"/>
  <c r="G24" i="2" s="1"/>
  <c r="G37" i="2" s="1"/>
  <c r="F20" i="2"/>
  <c r="F24" i="2" s="1"/>
  <c r="F37" i="2" s="1"/>
  <c r="E20" i="2"/>
  <c r="E24" i="2" s="1"/>
  <c r="E37" i="2" s="1"/>
  <c r="BQ36" i="3" l="1"/>
  <c r="BQ24" i="2"/>
  <c r="C37" i="2"/>
  <c r="C36" i="3"/>
  <c r="F21" i="10" s="1"/>
  <c r="G21" i="10" s="1"/>
  <c r="I24" i="2"/>
  <c r="I37" i="2" s="1"/>
  <c r="D36" i="3"/>
  <c r="F22" i="10" s="1"/>
  <c r="G22" i="10" s="1"/>
  <c r="AQ36" i="3"/>
  <c r="K36" i="3"/>
  <c r="F29" i="10" s="1"/>
  <c r="G29" i="10" s="1"/>
  <c r="AA36" i="3"/>
  <c r="F45" i="10" s="1"/>
  <c r="G45" i="10" s="1"/>
  <c r="E36" i="3"/>
  <c r="F23" i="10" s="1"/>
  <c r="G23" i="10" s="1"/>
  <c r="Q36" i="3"/>
  <c r="F35" i="10" s="1"/>
  <c r="G35" i="10" s="1"/>
  <c r="J36" i="3"/>
  <c r="F28" i="10" s="1"/>
  <c r="G28" i="10" s="1"/>
  <c r="Z36" i="3"/>
  <c r="F44" i="10" s="1"/>
  <c r="G44" i="10" s="1"/>
  <c r="AP36" i="3"/>
  <c r="P36" i="3"/>
  <c r="F34" i="10" s="1"/>
  <c r="G34" i="10" s="1"/>
  <c r="AF36" i="3"/>
  <c r="F50" i="10" s="1"/>
  <c r="G50" i="10" s="1"/>
  <c r="F36" i="3"/>
  <c r="F24" i="10" s="1"/>
  <c r="G24" i="10" s="1"/>
  <c r="R36" i="3"/>
  <c r="F36" i="10" s="1"/>
  <c r="G36" i="10" s="1"/>
  <c r="V36" i="3"/>
  <c r="F40" i="10" s="1"/>
  <c r="G40" i="10" s="1"/>
  <c r="AH36" i="3"/>
  <c r="F52" i="10" s="1"/>
  <c r="G52" i="10" s="1"/>
  <c r="S36" i="3"/>
  <c r="F37" i="10" s="1"/>
  <c r="AI36" i="3"/>
  <c r="F53" i="10" s="1"/>
  <c r="G53" i="10" s="1"/>
  <c r="G36" i="3"/>
  <c r="F25" i="10" s="1"/>
  <c r="G25" i="10" s="1"/>
  <c r="O36" i="3"/>
  <c r="F33" i="10" s="1"/>
  <c r="G33" i="10" s="1"/>
  <c r="W36" i="3"/>
  <c r="F41" i="10" s="1"/>
  <c r="G41" i="10" s="1"/>
  <c r="AE36" i="3"/>
  <c r="F49" i="10" s="1"/>
  <c r="G49" i="10" s="1"/>
  <c r="M36" i="3"/>
  <c r="F31" i="10" s="1"/>
  <c r="G31" i="10" s="1"/>
  <c r="U36" i="3"/>
  <c r="F39" i="10" s="1"/>
  <c r="G39" i="10" s="1"/>
  <c r="AC36" i="3"/>
  <c r="F47" i="10" s="1"/>
  <c r="G47" i="10" s="1"/>
  <c r="I36" i="3"/>
  <c r="F27" i="10" s="1"/>
  <c r="G27" i="10" s="1"/>
  <c r="Y36" i="3"/>
  <c r="F43" i="10" s="1"/>
  <c r="G43" i="10" s="1"/>
  <c r="AO36" i="3"/>
  <c r="N36" i="3"/>
  <c r="F32" i="10" s="1"/>
  <c r="G32" i="10" s="1"/>
  <c r="AD36" i="3"/>
  <c r="F48" i="10" s="1"/>
  <c r="G48" i="10" s="1"/>
  <c r="H36" i="3"/>
  <c r="F26" i="10" s="1"/>
  <c r="G26" i="10" s="1"/>
  <c r="X36" i="3"/>
  <c r="F42" i="10" s="1"/>
  <c r="G42" i="10" s="1"/>
  <c r="L36" i="3"/>
  <c r="F30" i="10" s="1"/>
  <c r="G30" i="10" s="1"/>
  <c r="T36" i="3"/>
  <c r="F38" i="10" s="1"/>
  <c r="G38" i="10" s="1"/>
  <c r="AB36" i="3"/>
  <c r="F46" i="10" s="1"/>
  <c r="G46" i="10" s="1"/>
  <c r="AJ36" i="3"/>
  <c r="F54" i="10" s="1"/>
  <c r="G54" i="10" s="1"/>
  <c r="AG36" i="3"/>
  <c r="F51" i="10" s="1"/>
  <c r="G51" i="10" s="1"/>
  <c r="AP20" i="2"/>
  <c r="AP24" i="2" s="1"/>
  <c r="AP37" i="2" s="1"/>
  <c r="AO20" i="2"/>
  <c r="AO24" i="2" s="1"/>
  <c r="AO37" i="2" s="1"/>
  <c r="AN17" i="3"/>
  <c r="AN36" i="3" s="1"/>
  <c r="AN20" i="2"/>
  <c r="AN24" i="2" s="1"/>
  <c r="AN37" i="2" s="1"/>
  <c r="D20" i="2"/>
  <c r="AK17" i="3"/>
  <c r="AK36" i="3" s="1"/>
  <c r="AM17" i="3"/>
  <c r="AM36" i="3" s="1"/>
  <c r="AM20" i="2"/>
  <c r="AM24" i="2" s="1"/>
  <c r="AM37" i="2" s="1"/>
  <c r="AL17" i="3"/>
  <c r="AL36" i="3" s="1"/>
  <c r="AL20" i="2"/>
  <c r="AL24" i="2" s="1"/>
  <c r="AL37" i="2" s="1"/>
  <c r="BG58" i="2"/>
  <c r="BG61" i="2" s="1"/>
  <c r="BH58" i="2"/>
  <c r="BH61" i="2" s="1"/>
  <c r="BI58" i="2"/>
  <c r="BI61" i="2" s="1"/>
  <c r="BK58" i="2"/>
  <c r="BK61" i="2" s="1"/>
  <c r="BL58" i="2"/>
  <c r="BL61" i="2" s="1"/>
  <c r="BM58" i="2"/>
  <c r="BM61" i="2" s="1"/>
  <c r="BO58" i="2"/>
  <c r="BO61" i="2" s="1"/>
  <c r="BP58" i="2"/>
  <c r="BP61" i="2" s="1"/>
  <c r="BQ58" i="2"/>
  <c r="BS58" i="2"/>
  <c r="BS61" i="2" s="1"/>
  <c r="BT58" i="2"/>
  <c r="BT61" i="2" s="1"/>
  <c r="BU58" i="2"/>
  <c r="BU61" i="2" s="1"/>
  <c r="BW58" i="2"/>
  <c r="BW61" i="2" s="1"/>
  <c r="BX58" i="2"/>
  <c r="BX61" i="2" s="1"/>
  <c r="BY58" i="2"/>
  <c r="BY61" i="2" s="1"/>
  <c r="CA58" i="2"/>
  <c r="CA61" i="2" s="1"/>
  <c r="CB58" i="2"/>
  <c r="CB61" i="2" s="1"/>
  <c r="CC58" i="2"/>
  <c r="CC61" i="2" s="1"/>
  <c r="CE58" i="2"/>
  <c r="CE61" i="2" s="1"/>
  <c r="CF58" i="2"/>
  <c r="CF61" i="2" s="1"/>
  <c r="CG58" i="2"/>
  <c r="CG61" i="2" s="1"/>
  <c r="CI58" i="2"/>
  <c r="CI61" i="2" s="1"/>
  <c r="CJ58" i="2"/>
  <c r="CJ61" i="2" s="1"/>
  <c r="CK58" i="2"/>
  <c r="CK61" i="2" s="1"/>
  <c r="CM58" i="2"/>
  <c r="CM61" i="2" s="1"/>
  <c r="CN58" i="2"/>
  <c r="CN61" i="2" s="1"/>
  <c r="CO58" i="2"/>
  <c r="CO61" i="2" s="1"/>
  <c r="CQ58" i="2"/>
  <c r="CQ61" i="2" s="1"/>
  <c r="CR58" i="2"/>
  <c r="CR61" i="2" s="1"/>
  <c r="CS58" i="2"/>
  <c r="CS61" i="2" s="1"/>
  <c r="CU58" i="2"/>
  <c r="CU61" i="2" s="1"/>
  <c r="CV58" i="2"/>
  <c r="CV61" i="2" s="1"/>
  <c r="CW58" i="2"/>
  <c r="CW61" i="2" s="1"/>
  <c r="CY58" i="2"/>
  <c r="CY61" i="2" s="1"/>
  <c r="CZ58" i="2"/>
  <c r="CZ61" i="2" s="1"/>
  <c r="BF58" i="2"/>
  <c r="BF61" i="2" s="1"/>
  <c r="BJ58" i="2"/>
  <c r="BJ61" i="2" s="1"/>
  <c r="BN58" i="2"/>
  <c r="BN61" i="2" s="1"/>
  <c r="BR58" i="2"/>
  <c r="BR61" i="2" s="1"/>
  <c r="BV58" i="2"/>
  <c r="BV61" i="2" s="1"/>
  <c r="BZ58" i="2"/>
  <c r="BZ61" i="2" s="1"/>
  <c r="CD58" i="2"/>
  <c r="CD61" i="2" s="1"/>
  <c r="CH58" i="2"/>
  <c r="CH61" i="2" s="1"/>
  <c r="CL58" i="2"/>
  <c r="CL61" i="2" s="1"/>
  <c r="CP58" i="2"/>
  <c r="CP61" i="2" s="1"/>
  <c r="CT58" i="2"/>
  <c r="CT61" i="2" s="1"/>
  <c r="CX58" i="2"/>
  <c r="CX61" i="2" s="1"/>
  <c r="F56" i="10" l="1"/>
  <c r="G37" i="10"/>
  <c r="G56" i="10" s="1"/>
  <c r="BQ37" i="2"/>
  <c r="AK56" i="2"/>
  <c r="AK58" i="2" s="1"/>
  <c r="AK61" i="2" s="1"/>
  <c r="D24" i="2"/>
  <c r="AQ56" i="2"/>
  <c r="AN56" i="2"/>
  <c r="C56" i="2"/>
  <c r="Y56" i="2"/>
  <c r="AH56" i="2"/>
  <c r="J56" i="2"/>
  <c r="AL56" i="2"/>
  <c r="T56" i="2"/>
  <c r="AD56" i="2"/>
  <c r="I56" i="2"/>
  <c r="AE56" i="2"/>
  <c r="AI56" i="2"/>
  <c r="V56" i="2"/>
  <c r="P56" i="2"/>
  <c r="D56" i="2"/>
  <c r="AA56" i="2"/>
  <c r="AB56" i="2"/>
  <c r="M56" i="2"/>
  <c r="E56" i="2"/>
  <c r="AG56" i="2"/>
  <c r="L56" i="2"/>
  <c r="N56" i="2"/>
  <c r="AC56" i="2"/>
  <c r="W56" i="2"/>
  <c r="S56" i="2"/>
  <c r="R56" i="2"/>
  <c r="AP56" i="2"/>
  <c r="Q56" i="2"/>
  <c r="K56" i="2"/>
  <c r="H56" i="2"/>
  <c r="G56" i="2"/>
  <c r="AF56" i="2"/>
  <c r="AM56" i="2"/>
  <c r="AJ56" i="2"/>
  <c r="AJ58" i="2" s="1"/>
  <c r="X56" i="2"/>
  <c r="AO56" i="2"/>
  <c r="U56" i="2"/>
  <c r="O56" i="2"/>
  <c r="F56" i="2"/>
  <c r="F58" i="2" s="1"/>
  <c r="Z56" i="2"/>
  <c r="BQ61" i="2" l="1"/>
  <c r="D37" i="2"/>
  <c r="C58" i="2"/>
  <c r="AR58" i="2"/>
  <c r="AR61" i="2" s="1"/>
  <c r="AV58" i="2"/>
  <c r="AV61" i="2" s="1"/>
  <c r="AZ58" i="2"/>
  <c r="AZ61" i="2" s="1"/>
  <c r="BD58" i="2"/>
  <c r="BD61" i="2" s="1"/>
  <c r="AN58" i="2"/>
  <c r="AN61" i="2" s="1"/>
  <c r="AP58" i="2"/>
  <c r="AP61" i="2" s="1"/>
  <c r="AT58" i="2"/>
  <c r="AT61" i="2" s="1"/>
  <c r="AX58" i="2"/>
  <c r="AX61" i="2" s="1"/>
  <c r="BB58" i="2"/>
  <c r="BB61" i="2" s="1"/>
  <c r="AQ58" i="2"/>
  <c r="AQ61" i="2" s="1"/>
  <c r="AM58" i="2"/>
  <c r="AM61" i="2" s="1"/>
  <c r="AO58" i="2"/>
  <c r="AO61" i="2" s="1"/>
  <c r="AS58" i="2"/>
  <c r="AS61" i="2" s="1"/>
  <c r="AU58" i="2"/>
  <c r="AU61" i="2" s="1"/>
  <c r="AW58" i="2"/>
  <c r="AW61" i="2" s="1"/>
  <c r="AY58" i="2"/>
  <c r="AY61" i="2" s="1"/>
  <c r="BA58" i="2"/>
  <c r="BA61" i="2" s="1"/>
  <c r="BC58" i="2"/>
  <c r="BC61" i="2" s="1"/>
  <c r="BE58" i="2"/>
  <c r="BE61" i="2" s="1"/>
  <c r="D58" i="2"/>
  <c r="F61" i="2"/>
  <c r="N58" i="2"/>
  <c r="N61" i="2" s="1"/>
  <c r="T58" i="2"/>
  <c r="T61" i="2" s="1"/>
  <c r="X58" i="2"/>
  <c r="X61" i="2" s="1"/>
  <c r="Z58" i="2"/>
  <c r="Z61" i="2" s="1"/>
  <c r="AD58" i="2"/>
  <c r="AD61" i="2" s="1"/>
  <c r="H58" i="2"/>
  <c r="H61" i="2" s="1"/>
  <c r="J58" i="2"/>
  <c r="J61" i="2" s="1"/>
  <c r="L58" i="2"/>
  <c r="L61" i="2" s="1"/>
  <c r="P58" i="2"/>
  <c r="P61" i="2" s="1"/>
  <c r="R58" i="2"/>
  <c r="R61" i="2" s="1"/>
  <c r="V58" i="2"/>
  <c r="V61" i="2" s="1"/>
  <c r="AB58" i="2"/>
  <c r="AB61" i="2" s="1"/>
  <c r="AF58" i="2"/>
  <c r="AF61" i="2" s="1"/>
  <c r="AH58" i="2"/>
  <c r="AH61" i="2" s="1"/>
  <c r="AJ61" i="2"/>
  <c r="AL58" i="2"/>
  <c r="AL61" i="2" s="1"/>
  <c r="E58" i="2"/>
  <c r="E61" i="2" s="1"/>
  <c r="G58" i="2"/>
  <c r="G61" i="2" s="1"/>
  <c r="I58" i="2"/>
  <c r="I61" i="2" s="1"/>
  <c r="K58" i="2"/>
  <c r="K61" i="2" s="1"/>
  <c r="M58" i="2"/>
  <c r="M61" i="2" s="1"/>
  <c r="O58" i="2"/>
  <c r="O61" i="2" s="1"/>
  <c r="Q58" i="2"/>
  <c r="Q61" i="2" s="1"/>
  <c r="S58" i="2"/>
  <c r="S61" i="2" s="1"/>
  <c r="U58" i="2"/>
  <c r="U61" i="2" s="1"/>
  <c r="W58" i="2"/>
  <c r="W61" i="2" s="1"/>
  <c r="Y58" i="2"/>
  <c r="Y61" i="2" s="1"/>
  <c r="AA58" i="2"/>
  <c r="AA61" i="2" s="1"/>
  <c r="AC58" i="2"/>
  <c r="AC61" i="2" s="1"/>
  <c r="AE58" i="2"/>
  <c r="AE61" i="2" s="1"/>
  <c r="AG58" i="2"/>
  <c r="AG61" i="2" s="1"/>
  <c r="AI58" i="2"/>
  <c r="AI61" i="2" s="1"/>
  <c r="D61" i="2" l="1"/>
  <c r="C61" i="2"/>
  <c r="B15" i="10"/>
</calcChain>
</file>

<file path=xl/sharedStrings.xml><?xml version="1.0" encoding="utf-8"?>
<sst xmlns="http://schemas.openxmlformats.org/spreadsheetml/2006/main" count="24643" uniqueCount="387">
  <si>
    <t>ENTER QTR</t>
  </si>
  <si>
    <t>ENTER YEAR</t>
  </si>
  <si>
    <t>TOTALS</t>
  </si>
  <si>
    <t>= Number of Projects</t>
  </si>
  <si>
    <t>Project Name</t>
  </si>
  <si>
    <t>Project Losses @ 100%</t>
  </si>
  <si>
    <t>Project Id</t>
  </si>
  <si>
    <t>Stm Year</t>
  </si>
  <si>
    <t>Qtr</t>
  </si>
  <si>
    <t>Supplemental Category</t>
  </si>
  <si>
    <t>Supplemental Sub-category</t>
  </si>
  <si>
    <t>Amount</t>
  </si>
  <si>
    <t>Accumulated depreciation</t>
  </si>
  <si>
    <t>Building and improvements</t>
  </si>
  <si>
    <t>Construction in progress</t>
  </si>
  <si>
    <t>Furnishings and equipment</t>
  </si>
  <si>
    <t>Accounts receivable</t>
  </si>
  <si>
    <t>Accounts receivable - affiliates</t>
  </si>
  <si>
    <t>Cash and cash equivalents</t>
  </si>
  <si>
    <t>Funded reserves and restricted cash</t>
  </si>
  <si>
    <t>Intangible assets - net</t>
  </si>
  <si>
    <t>Accounts payable - construction</t>
  </si>
  <si>
    <t>Accounts payable - trade</t>
  </si>
  <si>
    <t>Accrued expenses</t>
  </si>
  <si>
    <t>Accrued interest</t>
  </si>
  <si>
    <t>Deferred rental income</t>
  </si>
  <si>
    <t>Due to partner and affiliates</t>
  </si>
  <si>
    <t>Mortgages payable</t>
  </si>
  <si>
    <t>Ownership %</t>
  </si>
  <si>
    <t>Administrative</t>
  </si>
  <si>
    <t>Depreciation &amp; amortization</t>
  </si>
  <si>
    <t>Interest expense</t>
  </si>
  <si>
    <t>Management fees</t>
  </si>
  <si>
    <t>Miscellaneous expense</t>
  </si>
  <si>
    <t>Professional fees</t>
  </si>
  <si>
    <t>Repairs &amp; maintenance</t>
  </si>
  <si>
    <t>Taxes &amp; insurance</t>
  </si>
  <si>
    <t>Utilities</t>
  </si>
  <si>
    <t>OPERATING EXPENSE</t>
  </si>
  <si>
    <t>REVENUE</t>
  </si>
  <si>
    <t>NET INCOME / LOSS</t>
  </si>
  <si>
    <t>As of 6/16/16</t>
  </si>
  <si>
    <t>The Supplemental Template is included with Quarterly Unaudited Fund Financials Statements provided to Investors.</t>
  </si>
  <si>
    <t>General Notes:</t>
  </si>
  <si>
    <t xml:space="preserve"> * All information in this report is gathered from the ODS Database. </t>
  </si>
  <si>
    <t xml:space="preserve"> * ENABLE when you first open the spreadsheet, sometimes you have to click enable 2 times</t>
  </si>
  <si>
    <t xml:space="preserve"> * Only have 1 supplemental spreadsheet open at a time, be sure to close any other supplemental spreadsheets before opening another one</t>
  </si>
  <si>
    <t xml:space="preserve"> * You can keep the Master spreadsheet open and run supplementals continuosly, but as soon as you get a bug, you have to get out and get back in the spreadsheet (and don’t save)</t>
  </si>
  <si>
    <t xml:space="preserve"> * When you are working on the actual fund supplemental, not the master, DO NOT ENABLE! </t>
  </si>
  <si>
    <t>In the CONS directory, create a folder for the current quarter. Within that folder, create another fold called PDFS</t>
  </si>
  <si>
    <t>Refresh all Queries to update all new Funds and Deals from EPIC. DATA/Refresh All</t>
  </si>
  <si>
    <t xml:space="preserve">Change the Current Reporting Period before saving it to the Current Period Shared Directory created in the CONS directory (above).  </t>
  </si>
  <si>
    <t>Correct M&amp;T funds to read M and T on the FUNDS tab</t>
  </si>
  <si>
    <t>Prior to running this report by Fund, you must check the Quarterly Control Checklist to verify all projects financials within the fund have been completed under the status column of the report.</t>
  </si>
  <si>
    <t>Sort the QCC by fund with Custom Sort of Contains "FundName"</t>
  </si>
  <si>
    <t>If all projects complete, run the supplemental.</t>
  </si>
  <si>
    <t>If all projects received have been approved and all others are not on the Watch list, estimate project financials in EPIC.  Only with Director Approval.</t>
  </si>
  <si>
    <t xml:space="preserve">To run Supplemental </t>
  </si>
  <si>
    <t>On Main Tab, Cell A2, Select Fund</t>
  </si>
  <si>
    <t>Cells A 3 and A 4 should display Current Reporting Period (changed and saved as per #2 above)</t>
  </si>
  <si>
    <t>Click Run Supplemental Button, once the world stops turning in the lower right corner of the screen, the report is finished processing.</t>
  </si>
  <si>
    <t>The Report will be saved in F:\Files\123 Data\PA\Cons Directory with the appropriate Reporting Period.  The naming convention should be Reporting Period Fund Name, Ie, 2Q08 HOF 10</t>
  </si>
  <si>
    <t>A PDF report will also be automatically saved in the directory created in #2 above.</t>
  </si>
  <si>
    <t xml:space="preserve">CLOSE the quarterly supplemental spreadsheet and DO NOT save it. </t>
  </si>
  <si>
    <t>Open the draft report that was created in the CONS directory. Do not have more than one supplemental schedule open at any time. DO NOT enable.</t>
  </si>
  <si>
    <t>Verify the number of deals on the main tab equal the number of deals sorted on the QC for the Fund</t>
  </si>
  <si>
    <t>Sold Deals within the Current Reporting Period should not show on the report, they should already be removed automtically.</t>
  </si>
  <si>
    <t xml:space="preserve">If the remaining number of deals do not agree, check Disposition Dates in EPIC to see if the Project on the Sup was sold prior to Current Year or closed after Current Quarter.   </t>
  </si>
  <si>
    <t>If any deals fall in this category, delete these Projects from the IncStmt and BalSht Tabs.</t>
  </si>
  <si>
    <t>All deals should now tie between the QCC and Sup</t>
  </si>
  <si>
    <t>FOR TD BANK DEALS - you have to change the quarter end date!! In the View tab, click page layout to edit the balance sheet and income statement headers.</t>
  </si>
  <si>
    <t>Go to the BalSht  Tab</t>
  </si>
  <si>
    <t>Delete all N/A columns to the right of the deals listed on the report.  These columns should not have a Project_ID number in  row 9.</t>
  </si>
  <si>
    <t>Row 60 should equal zero.  If not, Assets do not equal Liab and Partnrs Cap.  Check the financial in SMT to see if it is in balance.</t>
  </si>
  <si>
    <t>If SMT balance sheet is in balance, check the Net Org Cost Balance on the Financial.  This amount may need to be added to Other Assets on the BalSht on the Sup.</t>
  </si>
  <si>
    <t>IF SMT balance sheet is not in balance, check with Reviewer of Actual Financial Statement.  If the financial was estimated, check with Director.</t>
  </si>
  <si>
    <t>Print Preview Setup-select center vertically and horizontally.  Do not adjust below 55%.</t>
  </si>
  <si>
    <t>Center titles above financials.</t>
  </si>
  <si>
    <t>Hide rows which zero totals</t>
  </si>
  <si>
    <t>Correct any negative amounts within the spreadsheet, other than accumulated depreciation.</t>
  </si>
  <si>
    <t>Hide row 9 which shows the SMT project number.</t>
  </si>
  <si>
    <t>Go to the IncStmt Tab</t>
  </si>
  <si>
    <t>Delete all N/A columns to the right of the deals listed on the report.  These columns should not have a SMT number in  row 9.</t>
  </si>
  <si>
    <t>Row 39 should equal zero.  If not, The Net Loss on the template does not equal SMT.  Check the financial in SMT to see what is this difference and how the report needs to be adjusted.</t>
  </si>
  <si>
    <t>Other Gains/losses, line 32, should be zero.  If an amount is shown, negative should be added to Misc Income and positive number should be added to Misc Expense above the line.</t>
  </si>
  <si>
    <t>If the above amount is large &gt; 25, 000, see Director.</t>
  </si>
  <si>
    <t>To review Supplemental</t>
  </si>
  <si>
    <t>Mature Funds</t>
  </si>
  <si>
    <t xml:space="preserve"> * The most common negative will be on the balance sheet in the deferred costs because too much amortization was taken on the income statement. To correct, you need to </t>
  </si>
  <si>
    <t xml:space="preserve">    adjust the amortization expense on the income statement and the accumulated amortization on the balance sheet directly in EPIC. You can either manually correct on the supplemental or re-run the following day.</t>
  </si>
  <si>
    <t>Overall review of format.  Are titles centered?  Is font legible?  Are there any negative numbers other than A/D? Have zero Total Rows been hidden?  Does title include Unaudited?</t>
  </si>
  <si>
    <t xml:space="preserve">IncSmt Tab-verify all deals have depreciation and interest expense.  </t>
  </si>
  <si>
    <t xml:space="preserve">Compare current period Total Loss with audited supplemental Total Loss.  Does the loss approximate half of prior year audit?  </t>
  </si>
  <si>
    <t xml:space="preserve">If not, was there an impairment loss from prior year audit? If so, deduct this amount. </t>
  </si>
  <si>
    <t>Look at Total Depreciation, Interest, Mgt Fees, Tax &amp; Insurance.  If these are comparable, assume the variance is due to operating expenses unless something stands out.</t>
  </si>
  <si>
    <t>If above is not true, look at deal by deal variance to prior year by analyzing the Budget vs Actual in SMT excel spreadsheet in the Current Period Directory.</t>
  </si>
  <si>
    <t>If any adjustments are necessary, see Director to fix SMT and Supplemental.</t>
  </si>
  <si>
    <t>BalSht Tab-Compare Total Assets to Prior Year Audit Assets.  Compare A/D to Prior Year Audit.  Compare Net Assets to Prior Year Assets for reasonableness.  They should be similar.</t>
  </si>
  <si>
    <t>If not, compare deal by deal and see Director if adjustment necessary.</t>
  </si>
  <si>
    <t xml:space="preserve">Make sure each project has a cash balance.  </t>
  </si>
  <si>
    <t>Compare estimated Project Funded reserves and restricted cash to Prior Year Audit balances.  These should be the same amount.</t>
  </si>
  <si>
    <t xml:space="preserve">If any changes were made in SMT to correct the financials, the report needs to be run again and saved. </t>
  </si>
  <si>
    <t>New Funds</t>
  </si>
  <si>
    <t>Identify which projects have been estimated from the QC and write E above the deal name on both BS and I/S.</t>
  </si>
  <si>
    <t>If project does not have A/D, is there depreciation expense on the BS?</t>
  </si>
  <si>
    <t xml:space="preserve">If Project is in construction on BS, does the IS show an operating loss? </t>
  </si>
  <si>
    <t xml:space="preserve">If any of the above are true, you need to look in SMT at the development page to see where the project is in construction.  </t>
  </si>
  <si>
    <t>You need to look at the Property summary tab to see how many buildings are in the project.</t>
  </si>
  <si>
    <t>You need to look at the information page to see if the project is a Mod Rehab or New Construction.</t>
  </si>
  <si>
    <t>Based on the findings, you will need to determine which way the estimate should be adjusted.  Either move some $$ to building on BS or remove the operating IS in SMT.</t>
  </si>
  <si>
    <t>Apportionment Schedule</t>
  </si>
  <si>
    <t>The Apportionment Schedule will run during the macro that runs the Supplemental.</t>
  </si>
  <si>
    <t>The user need only select the Investor on the "App by State" tab and hide the columns where row 11 = 0 to complete the report.</t>
  </si>
  <si>
    <t>Hide row 11 when printing.</t>
  </si>
  <si>
    <t>Report does not currently work for Funds owned by Funds (such as BOA4A).</t>
  </si>
  <si>
    <t>Estimates in EPIC</t>
  </si>
  <si>
    <t>Go to LIHTC Links on the left column</t>
  </si>
  <si>
    <t>Generate FS Estimates</t>
  </si>
  <si>
    <t>Select Quarter, then the year that you want to run estimates</t>
  </si>
  <si>
    <t>Type - you can run by:</t>
  </si>
  <si>
    <t>By Portfolio - this is used if you need to run only NYEF, SLEF (regional funds), EMI or Consulting deals</t>
  </si>
  <si>
    <t>By Fund - this is used when you only want to select certain funds. This is used when the entire portfolio needs to be estimated, like in 1st quarter</t>
  </si>
  <si>
    <t>By Deal Type - this is used if you only want to run for either new or mature deals</t>
  </si>
  <si>
    <t>By LIHTC Deal - this is the most commonly used. You have to further select the AM team in order to get a complete list of deals.</t>
  </si>
  <si>
    <t>Once you have the list you want, check the Select box. You can sort the list by Deal ID, LIHTC Deal or Partnership by clicking on the column header. Click again to reverse the order.</t>
  </si>
  <si>
    <t>Hit the Generate button to run the estimate</t>
  </si>
  <si>
    <t>A separate screen will pop up with the status of Pending. Right click to refresh the page and see the change in status.</t>
  </si>
  <si>
    <t>To see the status of previously generated estimates, on the main page click Show Queue at the top right of the page. This will show all estimates that have been run.</t>
  </si>
  <si>
    <t>* Click on the ID number to see the status of all previously run estimates.</t>
  </si>
  <si>
    <t>Project ID</t>
  </si>
  <si>
    <t>Project Legal Name</t>
  </si>
  <si>
    <t>ProjectStatus</t>
  </si>
  <si>
    <t>Print Date:</t>
  </si>
  <si>
    <t>Project Losses @ Project level</t>
  </si>
  <si>
    <t>Rental income</t>
  </si>
  <si>
    <t>Interest income</t>
  </si>
  <si>
    <t>Other income</t>
  </si>
  <si>
    <t>Deferred interest</t>
  </si>
  <si>
    <t>Notes payable</t>
  </si>
  <si>
    <t>Notes payable, affiliates</t>
  </si>
  <si>
    <t>Deferred interest expense</t>
  </si>
  <si>
    <t>Organization expense</t>
  </si>
  <si>
    <t>Impairment</t>
  </si>
  <si>
    <t>Mortgages payable,affiliates</t>
  </si>
  <si>
    <t>Account Number</t>
  </si>
  <si>
    <t>FUND</t>
  </si>
  <si>
    <t>Fund Abbreviation</t>
  </si>
  <si>
    <t>INVESTMENT IN REAL ESTATE - AT COST</t>
  </si>
  <si>
    <t>Land</t>
  </si>
  <si>
    <t>Net property</t>
  </si>
  <si>
    <t>OTHER ASSETS</t>
  </si>
  <si>
    <t>Prepaid interest</t>
  </si>
  <si>
    <t>Prepaid expense - other</t>
  </si>
  <si>
    <t>Investment in Operating Partnerships</t>
  </si>
  <si>
    <t>Other assets</t>
  </si>
  <si>
    <t>TOTAL ASSETS</t>
  </si>
  <si>
    <t>LIABILITIES</t>
  </si>
  <si>
    <t>Land lease obligation</t>
  </si>
  <si>
    <t>Tenant security deposits</t>
  </si>
  <si>
    <t>TOTAL LIABILITIES</t>
  </si>
  <si>
    <t>PARTNERS' CAPITAL</t>
  </si>
  <si>
    <t>TOTAL LIABILITIES &amp; PARTNERS' CAPITAL</t>
  </si>
  <si>
    <t>EHPF, LLC</t>
  </si>
  <si>
    <t>Project Income / (Losses) @ 100%</t>
  </si>
  <si>
    <t>Project Income / (Losses) @ Fund Level</t>
  </si>
  <si>
    <t>Park View at Catonsville</t>
  </si>
  <si>
    <t>Operations/Asset Management</t>
  </si>
  <si>
    <t>Catonsville LLLP</t>
  </si>
  <si>
    <t>Park View at South Pantops</t>
  </si>
  <si>
    <t>South Pantops Limited Partnership</t>
  </si>
  <si>
    <t>Park View at Tyler Run</t>
  </si>
  <si>
    <t>Tyler Road Limited Partnership</t>
  </si>
  <si>
    <t>Park View at Manchester Heights</t>
  </si>
  <si>
    <t>West Manchester Limited Partnership</t>
  </si>
  <si>
    <t>Park View at Naaman's Creek</t>
  </si>
  <si>
    <t>Naamans Creek Limited Partnership</t>
  </si>
  <si>
    <t>York Commons</t>
  </si>
  <si>
    <t>York Commons Limited Partnership</t>
  </si>
  <si>
    <t>Park View at Oak Crest</t>
  </si>
  <si>
    <t>Lower Salford Limited Partnership</t>
  </si>
  <si>
    <t>Park View at Cheltenham</t>
  </si>
  <si>
    <t>Cheltenham Park View Limited Partnership II</t>
  </si>
  <si>
    <t>Park View at Bethlehem</t>
  </si>
  <si>
    <t>Bethlehem Village Limited Partnership</t>
  </si>
  <si>
    <t>Westbrook Commons</t>
  </si>
  <si>
    <t>Salisbury LLLP</t>
  </si>
  <si>
    <t>Park View at Easton</t>
  </si>
  <si>
    <t>Easton Limited Partnership</t>
  </si>
  <si>
    <t>Somerset Commons</t>
  </si>
  <si>
    <t>Somerset Commons LLLP</t>
  </si>
  <si>
    <t>Park View at Laurel I</t>
  </si>
  <si>
    <t>Laurel LLLP</t>
  </si>
  <si>
    <t>Park View at Emerson</t>
  </si>
  <si>
    <t>Emerson LLLP</t>
  </si>
  <si>
    <t>Park View at Ellicott City II</t>
  </si>
  <si>
    <t>Ellicott City II Limited Partnership</t>
  </si>
  <si>
    <t>Hickory Ridge</t>
  </si>
  <si>
    <t>Hickory Ridge Village LLLP</t>
  </si>
  <si>
    <t>Park View at Snowden River</t>
  </si>
  <si>
    <t>Snowden River LLLP</t>
  </si>
  <si>
    <t>Park View at Columbia</t>
  </si>
  <si>
    <t>Columbia LLLP</t>
  </si>
  <si>
    <t>Woodbridge Commons</t>
  </si>
  <si>
    <t>Woodbridge Commons LLLP</t>
  </si>
  <si>
    <t>Park View at Bel Air</t>
  </si>
  <si>
    <t>Park View at Bel Air II LLLP</t>
  </si>
  <si>
    <t>Park View at Box Hill</t>
  </si>
  <si>
    <t>Abingdon II LLLP</t>
  </si>
  <si>
    <t>College Parkway Place</t>
  </si>
  <si>
    <t>Loan Closing/Construction</t>
  </si>
  <si>
    <t>College Parkway LLLP</t>
  </si>
  <si>
    <t>Park View at Furnace Branch</t>
  </si>
  <si>
    <t>Glen Burnie LLLP</t>
  </si>
  <si>
    <t>Park View at Severna Park</t>
  </si>
  <si>
    <t>Severna Park LLLP</t>
  </si>
  <si>
    <t>Ashland Commons</t>
  </si>
  <si>
    <t>Ashland LLLP</t>
  </si>
  <si>
    <t>Park View at Fullerton</t>
  </si>
  <si>
    <t>Fullerton LLLP</t>
  </si>
  <si>
    <t>Park View at Ashland Terrace</t>
  </si>
  <si>
    <t>Ashland Park View LLLP</t>
  </si>
  <si>
    <t>Park View at Coldspring</t>
  </si>
  <si>
    <t>Coldspring Limited Partnership</t>
  </si>
  <si>
    <t>Park View at Taylor</t>
  </si>
  <si>
    <t>Pre-Development</t>
  </si>
  <si>
    <t>Parkville LLLP</t>
  </si>
  <si>
    <t>Park View at Woodlawn</t>
  </si>
  <si>
    <t>Woodlawn Apartments Limited Partnership</t>
  </si>
  <si>
    <t>Park View at Miramar Landing</t>
  </si>
  <si>
    <t>Miramar LLLP</t>
  </si>
  <si>
    <t>Park View at Randallstown</t>
  </si>
  <si>
    <t>Randallstown LLLP</t>
  </si>
  <si>
    <t>Park View at Rosedale</t>
  </si>
  <si>
    <t>Rosedale LLLP</t>
  </si>
  <si>
    <t>Park View at Towson</t>
  </si>
  <si>
    <t>Timothy House  LLLP</t>
  </si>
  <si>
    <t>Highland Commons</t>
  </si>
  <si>
    <t>Aberdeen Commons LLLP</t>
  </si>
  <si>
    <t>2017</t>
  </si>
  <si>
    <t>Other Assets</t>
  </si>
  <si>
    <t>12503</t>
  </si>
  <si>
    <t>Liabilities</t>
  </si>
  <si>
    <t>20105</t>
  </si>
  <si>
    <t>28600</t>
  </si>
  <si>
    <t>19001</t>
  </si>
  <si>
    <t>21001</t>
  </si>
  <si>
    <t>21030</t>
  </si>
  <si>
    <t>Investment in Real Estate - At Cost</t>
  </si>
  <si>
    <t>18900</t>
  </si>
  <si>
    <t>18600</t>
  </si>
  <si>
    <t>25200</t>
  </si>
  <si>
    <t>21400</t>
  </si>
  <si>
    <t>10000</t>
  </si>
  <si>
    <t>21020</t>
  </si>
  <si>
    <t>18001</t>
  </si>
  <si>
    <t>19000</t>
  </si>
  <si>
    <t>18700</t>
  </si>
  <si>
    <t>28150</t>
  </si>
  <si>
    <t>19650</t>
  </si>
  <si>
    <t>12530</t>
  </si>
  <si>
    <t>19300</t>
  </si>
  <si>
    <t>Partners' Capital</t>
  </si>
  <si>
    <t>30500</t>
  </si>
  <si>
    <t>10710</t>
  </si>
  <si>
    <t>10730</t>
  </si>
  <si>
    <t>23500</t>
  </si>
  <si>
    <t>10700</t>
  </si>
  <si>
    <t>12504</t>
  </si>
  <si>
    <t>28203</t>
  </si>
  <si>
    <t>21040</t>
  </si>
  <si>
    <t>10720</t>
  </si>
  <si>
    <t>10725</t>
  </si>
  <si>
    <t>30511</t>
  </si>
  <si>
    <t>28610</t>
  </si>
  <si>
    <t>Revenue</t>
  </si>
  <si>
    <t>Rental Income</t>
  </si>
  <si>
    <t>45500</t>
  </si>
  <si>
    <t>Interest Income</t>
  </si>
  <si>
    <t>44100</t>
  </si>
  <si>
    <t>Operating Expense</t>
  </si>
  <si>
    <t>59001</t>
  </si>
  <si>
    <t>60015</t>
  </si>
  <si>
    <t>50105</t>
  </si>
  <si>
    <t>55745</t>
  </si>
  <si>
    <t>50252</t>
  </si>
  <si>
    <t>50203</t>
  </si>
  <si>
    <t>58001</t>
  </si>
  <si>
    <t>53030</t>
  </si>
  <si>
    <t>55342</t>
  </si>
  <si>
    <t>53034</t>
  </si>
  <si>
    <t>55110</t>
  </si>
  <si>
    <t>66100</t>
  </si>
  <si>
    <t>53036</t>
  </si>
  <si>
    <t>55715</t>
  </si>
  <si>
    <t>55735</t>
  </si>
  <si>
    <t>55705</t>
  </si>
  <si>
    <t>55710</t>
  </si>
  <si>
    <t>55310</t>
  </si>
  <si>
    <t>55320</t>
  </si>
  <si>
    <t>45100</t>
  </si>
  <si>
    <t>Other Income</t>
  </si>
  <si>
    <t>49000</t>
  </si>
  <si>
    <t>45400</t>
  </si>
  <si>
    <t>80000</t>
  </si>
  <si>
    <t>55740</t>
  </si>
  <si>
    <t>62020</t>
  </si>
  <si>
    <t>71300</t>
  </si>
  <si>
    <t>62900</t>
  </si>
  <si>
    <t>80100</t>
  </si>
  <si>
    <t>55760</t>
  </si>
  <si>
    <t>55701</t>
  </si>
  <si>
    <t>55730</t>
  </si>
  <si>
    <t>55755</t>
  </si>
  <si>
    <t>55750</t>
  </si>
  <si>
    <t>55353</t>
  </si>
  <si>
    <t>55720</t>
  </si>
  <si>
    <t>55355</t>
  </si>
  <si>
    <t>55301</t>
  </si>
  <si>
    <t>45001</t>
  </si>
  <si>
    <t>66300</t>
  </si>
  <si>
    <t>66310</t>
  </si>
  <si>
    <t>55725</t>
  </si>
  <si>
    <t>55351</t>
  </si>
  <si>
    <t>55354</t>
  </si>
  <si>
    <t>55327</t>
  </si>
  <si>
    <t>55770</t>
  </si>
  <si>
    <t>66320</t>
  </si>
  <si>
    <t>59500</t>
  </si>
  <si>
    <t>62400</t>
  </si>
  <si>
    <t>66201</t>
  </si>
  <si>
    <t>19750</t>
  </si>
  <si>
    <t>28205</t>
  </si>
  <si>
    <t>28155</t>
  </si>
  <si>
    <t>28201</t>
  </si>
  <si>
    <t>28202</t>
  </si>
  <si>
    <t>28208</t>
  </si>
  <si>
    <t>28206</t>
  </si>
  <si>
    <t>28207</t>
  </si>
  <si>
    <t>28601</t>
  </si>
  <si>
    <t>28602</t>
  </si>
  <si>
    <t>28603</t>
  </si>
  <si>
    <t>28611</t>
  </si>
  <si>
    <t>28612</t>
  </si>
  <si>
    <t>28613</t>
  </si>
  <si>
    <t>28156</t>
  </si>
  <si>
    <t>28157</t>
  </si>
  <si>
    <t>28158</t>
  </si>
  <si>
    <t>28200</t>
  </si>
  <si>
    <t>23510</t>
  </si>
  <si>
    <t>19700</t>
  </si>
  <si>
    <t>21025</t>
  </si>
  <si>
    <t>17900</t>
  </si>
  <si>
    <t>19200</t>
  </si>
  <si>
    <t>21401</t>
  </si>
  <si>
    <t>30800</t>
  </si>
  <si>
    <t>18800</t>
  </si>
  <si>
    <t>21010</t>
  </si>
  <si>
    <t>12505</t>
  </si>
  <si>
    <t>28500</t>
  </si>
  <si>
    <t>28140</t>
  </si>
  <si>
    <t>10715</t>
  </si>
  <si>
    <t>28151</t>
  </si>
  <si>
    <t>28152</t>
  </si>
  <si>
    <t>28153</t>
  </si>
  <si>
    <t>62010</t>
  </si>
  <si>
    <t>62021</t>
  </si>
  <si>
    <t>62022</t>
  </si>
  <si>
    <t>62023</t>
  </si>
  <si>
    <t>62300</t>
  </si>
  <si>
    <t>62301</t>
  </si>
  <si>
    <t>62302</t>
  </si>
  <si>
    <t>62303</t>
  </si>
  <si>
    <t>66200</t>
  </si>
  <si>
    <t>66302</t>
  </si>
  <si>
    <t>66301</t>
  </si>
  <si>
    <t>70500</t>
  </si>
  <si>
    <t>80140</t>
  </si>
  <si>
    <t>80150</t>
  </si>
  <si>
    <t>66202</t>
  </si>
  <si>
    <t>62015</t>
  </si>
  <si>
    <t>72001</t>
  </si>
  <si>
    <t>55357</t>
  </si>
  <si>
    <t>55356</t>
  </si>
  <si>
    <t>42200</t>
  </si>
  <si>
    <t>55311</t>
  </si>
  <si>
    <t>45200</t>
  </si>
  <si>
    <t>Total Combined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</si>
</sst>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409]* #,##0_);_([$$-409]* \(#,##0\);_([$$-409]* &quot;-&quot;_);_(@_)"/>
    <numFmt numFmtId="166" formatCode="0.000000%"/>
    <numFmt numFmtId="167" formatCode="m/d/yy;@"/>
    <numFmt numFmtId="168" formatCode="[$-409]mmmm\ d\,\ yyyy;@"/>
  </numFmts>
  <fonts count="17" x14ac:knownFonts="1">
    <font>
      <sz val="11"/>
      <color theme="1"/>
      <name val="Calibri"/>
      <family val="2"/>
      <scheme val="minor"/>
    </font>
    <font>
      <b/>
      <sz val="11"/>
      <color theme="1"/>
      <name val="Calibri"/>
      <family val="2"/>
      <scheme val="minor"/>
    </font>
    <font>
      <b/>
      <sz val="10"/>
      <name val="Arial"/>
      <family val="2"/>
    </font>
    <font>
      <sz val="10"/>
      <color theme="1"/>
      <name val="Arial"/>
      <family val="2"/>
    </font>
    <font>
      <b/>
      <sz val="10"/>
      <color theme="1"/>
      <name val="Arial"/>
      <family val="2"/>
    </font>
    <font>
      <sz val="11"/>
      <color theme="1"/>
      <name val="Calibri"/>
      <family val="2"/>
      <scheme val="minor"/>
    </font>
    <font>
      <u/>
      <sz val="10"/>
      <color theme="1"/>
      <name val="Arial"/>
      <family val="2"/>
    </font>
    <font>
      <sz val="10"/>
      <name val="Arial"/>
      <family val="2"/>
    </font>
    <font>
      <b/>
      <sz val="8"/>
      <color rgb="FF000080"/>
      <name val="Arial"/>
      <family val="2"/>
    </font>
    <font>
      <sz val="10"/>
      <color indexed="8"/>
      <name val="MS Sans Serif"/>
      <family val="2"/>
    </font>
    <font>
      <sz val="10"/>
      <color indexed="8"/>
      <name val="Arial"/>
      <family val="2"/>
    </font>
    <font>
      <b/>
      <u/>
      <sz val="14"/>
      <color indexed="8"/>
      <name val="Arial"/>
      <family val="2"/>
    </font>
    <font>
      <b/>
      <u/>
      <sz val="10"/>
      <color indexed="8"/>
      <name val="Arial"/>
      <family val="2"/>
    </font>
    <font>
      <b/>
      <sz val="10"/>
      <color indexed="8"/>
      <name val="Arial"/>
      <family val="2"/>
    </font>
    <font>
      <b/>
      <sz val="9"/>
      <color indexed="8"/>
      <name val="Arial"/>
      <family val="2"/>
    </font>
    <font>
      <b/>
      <sz val="8"/>
      <color indexed="8"/>
      <name val="ARIAL"/>
      <family val="2"/>
    </font>
    <font>
      <u val="singleAccounting"/>
      <sz val="10"/>
      <color theme="1"/>
      <name val="Arial"/>
      <family val="2"/>
    </font>
  </fonts>
  <fills count="3">
    <fill>
      <patternFill patternType="none"/>
    </fill>
    <fill>
      <patternFill patternType="gray125"/>
    </fill>
    <fill>
      <patternFill patternType="solid">
        <fgColor indexed="4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style="thin">
        <color auto="1"/>
      </top>
      <bottom style="thin">
        <color auto="1"/>
      </bottom>
      <diagonal/>
    </border>
  </borders>
  <cellStyleXfs count="5">
    <xf numFmtId="0" fontId="0"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9" fillId="0" borderId="0"/>
  </cellStyleXfs>
  <cellXfs count="76">
    <xf numFmtId="0" fontId="0" fillId="0" borderId="0" xfId="0"/>
    <xf numFmtId="0" fontId="1" fillId="0" borderId="0" xfId="0" applyFont="1"/>
    <xf numFmtId="0" fontId="3" fillId="0" borderId="0" xfId="0" applyFont="1"/>
    <xf numFmtId="0" fontId="4" fillId="0" borderId="0" xfId="0" applyFont="1"/>
    <xf numFmtId="164" fontId="0" fillId="0" borderId="0" xfId="0" applyNumberFormat="1"/>
    <xf numFmtId="0" fontId="4" fillId="0" borderId="0" xfId="0" applyFont="1" applyAlignment="1">
      <alignment horizontal="center" vertical="center" wrapText="1"/>
    </xf>
    <xf numFmtId="0" fontId="0" fillId="0" borderId="0" xfId="0" applyAlignment="1">
      <alignment horizontal="center" vertical="center" wrapText="1"/>
    </xf>
    <xf numFmtId="0" fontId="3" fillId="0" borderId="0" xfId="0" applyFont="1" applyBorder="1" applyAlignment="1">
      <alignment horizontal="center" vertical="center" wrapText="1"/>
    </xf>
    <xf numFmtId="166" fontId="0" fillId="0" borderId="0" xfId="0" applyNumberFormat="1"/>
    <xf numFmtId="0" fontId="3" fillId="0" borderId="0" xfId="0" applyFont="1" applyAlignment="1">
      <alignment horizontal="center" vertical="center" wrapText="1"/>
    </xf>
    <xf numFmtId="0" fontId="2" fillId="0" borderId="0" xfId="0" applyFont="1" applyAlignment="1" applyProtection="1">
      <alignment horizontal="center" vertical="center" wrapText="1"/>
      <protection locked="0"/>
    </xf>
    <xf numFmtId="0" fontId="2" fillId="0" borderId="0" xfId="0" applyFont="1"/>
    <xf numFmtId="0" fontId="7" fillId="0" borderId="0" xfId="0" applyFont="1"/>
    <xf numFmtId="0" fontId="0" fillId="0" borderId="0" xfId="0" applyAlignment="1">
      <alignment horizontal="center"/>
    </xf>
    <xf numFmtId="0" fontId="7" fillId="0" borderId="0" xfId="0" applyFont="1" applyAlignment="1">
      <alignment horizontal="left"/>
    </xf>
    <xf numFmtId="0" fontId="10" fillId="0" borderId="0" xfId="4" applyNumberFormat="1" applyFont="1" applyFill="1" applyBorder="1" applyAlignment="1" applyProtection="1">
      <alignment horizontal="center" vertical="center"/>
    </xf>
    <xf numFmtId="0" fontId="11" fillId="0" borderId="0" xfId="4" applyFont="1" applyAlignment="1">
      <alignment horizontal="center" vertical="center"/>
    </xf>
    <xf numFmtId="166" fontId="12" fillId="0" borderId="0" xfId="2" applyNumberFormat="1" applyFont="1" applyAlignment="1">
      <alignment horizontal="center" vertical="center"/>
    </xf>
    <xf numFmtId="167" fontId="10" fillId="0" borderId="0" xfId="4" applyNumberFormat="1" applyFont="1" applyFill="1" applyBorder="1" applyAlignment="1" applyProtection="1">
      <alignment horizontal="center" vertical="center"/>
    </xf>
    <xf numFmtId="164" fontId="10" fillId="0" borderId="0" xfId="3" applyNumberFormat="1" applyFont="1" applyFill="1" applyBorder="1" applyAlignment="1" applyProtection="1">
      <alignment horizontal="center" vertical="center"/>
    </xf>
    <xf numFmtId="0" fontId="13" fillId="2" borderId="1" xfId="4" applyNumberFormat="1" applyFont="1" applyFill="1" applyBorder="1" applyAlignment="1" applyProtection="1">
      <alignment horizontal="center" vertical="center"/>
    </xf>
    <xf numFmtId="0" fontId="14" fillId="0" borderId="0" xfId="4" applyNumberFormat="1" applyFont="1" applyFill="1" applyBorder="1" applyAlignment="1" applyProtection="1">
      <alignment horizontal="center" vertical="center"/>
    </xf>
    <xf numFmtId="0" fontId="10" fillId="0" borderId="0" xfId="4" applyNumberFormat="1" applyFont="1" applyFill="1" applyBorder="1" applyAlignment="1" applyProtection="1">
      <alignment horizontal="left" vertical="center"/>
    </xf>
    <xf numFmtId="166" fontId="10" fillId="0" borderId="0" xfId="2" applyNumberFormat="1" applyFont="1" applyFill="1" applyBorder="1" applyAlignment="1" applyProtection="1">
      <alignment horizontal="center" vertical="center"/>
    </xf>
    <xf numFmtId="167" fontId="15" fillId="0" borderId="0" xfId="4" applyNumberFormat="1" applyFont="1" applyAlignment="1">
      <alignment horizontal="center" vertical="center"/>
    </xf>
    <xf numFmtId="167" fontId="15" fillId="0" borderId="0" xfId="3" applyNumberFormat="1" applyFont="1" applyBorder="1" applyAlignment="1">
      <alignment horizontal="center" vertical="center"/>
    </xf>
    <xf numFmtId="168" fontId="13" fillId="0" borderId="0" xfId="4" applyNumberFormat="1" applyFont="1" applyFill="1" applyBorder="1" applyAlignment="1" applyProtection="1">
      <alignment horizontal="center" vertical="center"/>
    </xf>
    <xf numFmtId="0" fontId="13" fillId="0" borderId="0" xfId="4" applyNumberFormat="1" applyFont="1" applyFill="1" applyBorder="1" applyAlignment="1" applyProtection="1">
      <alignment horizontal="center" vertical="center"/>
    </xf>
    <xf numFmtId="0" fontId="13" fillId="0" borderId="2" xfId="4" applyNumberFormat="1" applyFont="1" applyFill="1" applyBorder="1" applyAlignment="1" applyProtection="1">
      <alignment horizontal="center" vertical="center"/>
    </xf>
    <xf numFmtId="0" fontId="13" fillId="0" borderId="2" xfId="4" applyNumberFormat="1" applyFont="1" applyFill="1" applyBorder="1" applyAlignment="1" applyProtection="1"/>
    <xf numFmtId="0" fontId="13" fillId="0" borderId="0" xfId="4" quotePrefix="1" applyNumberFormat="1" applyFont="1" applyFill="1" applyBorder="1" applyAlignment="1" applyProtection="1">
      <alignment horizontal="left" vertical="center"/>
    </xf>
    <xf numFmtId="166" fontId="13" fillId="0" borderId="0" xfId="2" applyNumberFormat="1" applyFont="1" applyFill="1" applyBorder="1" applyAlignment="1" applyProtection="1">
      <alignment horizontal="center" vertical="center"/>
    </xf>
    <xf numFmtId="167" fontId="13" fillId="0" borderId="0" xfId="2" applyNumberFormat="1" applyFont="1" applyFill="1" applyBorder="1" applyAlignment="1" applyProtection="1">
      <alignment horizontal="center" vertical="center"/>
    </xf>
    <xf numFmtId="164" fontId="13" fillId="0" borderId="0" xfId="3" applyNumberFormat="1" applyFont="1" applyFill="1" applyBorder="1" applyAlignment="1" applyProtection="1">
      <alignment horizontal="center" vertical="center"/>
    </xf>
    <xf numFmtId="0" fontId="13" fillId="0" borderId="3" xfId="4" applyNumberFormat="1" applyFont="1" applyFill="1" applyBorder="1" applyAlignment="1" applyProtection="1">
      <alignment horizontal="center" vertical="center"/>
    </xf>
    <xf numFmtId="164" fontId="10" fillId="0" borderId="0" xfId="4" applyNumberFormat="1" applyFont="1" applyFill="1" applyBorder="1" applyAlignment="1" applyProtection="1">
      <alignment horizontal="center" vertical="center"/>
    </xf>
    <xf numFmtId="164" fontId="13" fillId="0" borderId="0" xfId="2" applyNumberFormat="1" applyFont="1" applyFill="1" applyBorder="1" applyAlignment="1" applyProtection="1">
      <alignment horizontal="center" vertical="center"/>
    </xf>
    <xf numFmtId="165" fontId="3" fillId="0" borderId="0" xfId="0" applyNumberFormat="1" applyFont="1"/>
    <xf numFmtId="42" fontId="3" fillId="0" borderId="0" xfId="0" applyNumberFormat="1" applyFont="1"/>
    <xf numFmtId="42" fontId="3" fillId="0" borderId="0" xfId="1" applyNumberFormat="1" applyFont="1"/>
    <xf numFmtId="41" fontId="3" fillId="0" borderId="0" xfId="0" applyNumberFormat="1" applyFont="1"/>
    <xf numFmtId="41" fontId="3" fillId="0" borderId="0" xfId="0" applyNumberFormat="1" applyFont="1" applyAlignment="1">
      <alignment wrapText="1"/>
    </xf>
    <xf numFmtId="41" fontId="6" fillId="0" borderId="0" xfId="0" applyNumberFormat="1" applyFont="1"/>
    <xf numFmtId="41" fontId="3" fillId="0" borderId="0" xfId="1" applyNumberFormat="1" applyFont="1"/>
    <xf numFmtId="42" fontId="16" fillId="0" borderId="0" xfId="1" applyNumberFormat="1" applyFont="1"/>
    <xf numFmtId="0" fontId="4" fillId="0" borderId="0" xfId="0" applyNumberFormat="1" applyFont="1"/>
    <xf numFmtId="0" fontId="4" fillId="0" borderId="4" xfId="0" applyFont="1" applyBorder="1" applyAlignment="1">
      <alignment horizontal="center" vertical="center" wrapText="1"/>
    </xf>
    <xf numFmtId="42" fontId="6" fillId="0" borderId="0" xfId="1" applyNumberFormat="1" applyFont="1"/>
    <xf numFmtId="41" fontId="16" fillId="0" borderId="0" xfId="0" applyNumberFormat="1" applyFont="1"/>
    <xf numFmtId="41" fontId="16" fillId="0" borderId="0" xfId="1" applyNumberFormat="1" applyFont="1"/>
    <xf numFmtId="41" fontId="6" fillId="0" borderId="0" xfId="1" applyNumberFormat="1" applyFont="1"/>
    <xf numFmtId="42" fontId="16" fillId="0" borderId="0" xfId="0" applyNumberFormat="1" applyFont="1"/>
    <xf numFmtId="0" fontId="2" fillId="0" borderId="0" xfId="0" applyFont="1" applyAlignment="1" applyProtection="1">
      <alignment horizontal="left" indent="2"/>
      <protection locked="0"/>
    </xf>
    <xf numFmtId="0" fontId="4" fillId="0" borderId="0" xfId="0" applyFont="1" applyAlignment="1">
      <alignment horizontal="left" indent="2"/>
    </xf>
    <xf numFmtId="0" fontId="2" fillId="0" borderId="0" xfId="0" applyFont="1" applyFill="1" applyAlignment="1" applyProtection="1">
      <alignment horizontal="left" indent="2"/>
      <protection locked="0"/>
    </xf>
    <xf numFmtId="0" fontId="4" fillId="0" borderId="0" xfId="0" applyNumberFormat="1" applyFont="1" applyAlignment="1">
      <alignment horizontal="left" indent="2"/>
    </xf>
    <xf numFmtId="0" fontId="2" fillId="0" borderId="1" xfId="0" applyFont="1" applyFill="1" applyBorder="1" applyAlignment="1">
      <alignment horizontal="center" vertical="center" wrapText="1"/>
    </xf>
    <xf numFmtId="166" fontId="2" fillId="0" borderId="1" xfId="2" applyNumberFormat="1" applyFont="1" applyFill="1" applyBorder="1" applyAlignment="1">
      <alignment horizontal="center" vertical="center" wrapText="1"/>
    </xf>
    <xf numFmtId="167" fontId="2" fillId="0" borderId="1" xfId="0" applyNumberFormat="1" applyFont="1" applyFill="1" applyBorder="1" applyAlignment="1">
      <alignment horizontal="center" vertical="center" wrapText="1"/>
    </xf>
    <xf numFmtId="0" fontId="1" fillId="0" borderId="0" xfId="0" applyFont="1" applyAlignment="1">
      <alignment horizontal="right"/>
    </xf>
    <xf numFmtId="0" fontId="0" fillId="0" borderId="0" xfId="0" applyFill="1" applyAlignment="1">
      <alignment horizontal="center" vertical="center"/>
    </xf>
    <xf numFmtId="0" fontId="2" fillId="0" borderId="0" xfId="0" applyFont="1" applyProtection="1">
      <protection locked="0"/>
    </xf>
    <xf numFmtId="0" fontId="4" fillId="0" borderId="0" xfId="1" applyNumberFormat="1" applyFont="1" applyAlignment="1">
      <alignment horizontal="left" indent="2"/>
    </xf>
    <xf numFmtId="0" fontId="4" fillId="0" borderId="0" xfId="0" applyFont="1" applyAlignment="1">
      <alignment horizontal="left" indent="1"/>
    </xf>
    <xf numFmtId="0" fontId="4" fillId="0" borderId="0" xfId="1" applyNumberFormat="1" applyFont="1" applyAlignment="1">
      <alignment horizontal="left"/>
    </xf>
    <xf numFmtId="0" fontId="4" fillId="0" borderId="0" xfId="0" applyFont="1" applyAlignment="1">
      <alignment horizontal="left"/>
    </xf>
    <xf numFmtId="0" fontId="4" fillId="0" borderId="0" xfId="1" applyNumberFormat="1" applyFont="1" applyAlignment="1">
      <alignment horizontal="left" indent="1"/>
    </xf>
    <xf numFmtId="0" fontId="0" fillId="0" borderId="0" xfId="0" applyFont="1"/>
    <xf numFmtId="0" fontId="10" fillId="0" borderId="0" xfId="4" applyFont="1"/>
    <xf numFmtId="164" fontId="4" fillId="0" borderId="0" xfId="0" applyNumberFormat="1" applyFont="1" applyAlignment="1">
      <alignment horizontal="center" vertical="center"/>
    </xf>
    <xf numFmtId="164" fontId="4" fillId="0" borderId="2" xfId="0" applyNumberFormat="1" applyFont="1" applyBorder="1" applyAlignment="1">
      <alignment horizontal="center" vertical="center"/>
    </xf>
    <xf numFmtId="0" fontId="3" fillId="0" borderId="0" xfId="0" applyFont="1" applyAlignment="1">
      <alignment horizontal="center" vertical="center"/>
    </xf>
    <xf numFmtId="166" fontId="3" fillId="0" borderId="0" xfId="0" applyNumberFormat="1" applyFont="1" applyAlignment="1">
      <alignment horizontal="center" vertical="center"/>
    </xf>
    <xf numFmtId="0" fontId="3" fillId="0" borderId="0" xfId="4" applyFont="1" applyAlignment="1">
      <alignment horizontal="center" vertical="center"/>
    </xf>
    <xf numFmtId="164" fontId="3" fillId="0" borderId="0" xfId="0" applyNumberFormat="1" applyFont="1" applyAlignment="1">
      <alignment horizontal="center" vertical="center"/>
    </xf>
    <xf numFmtId="0" fontId="3" fillId="0" borderId="0" xfId="0" applyFont="1" applyAlignment="1">
      <alignment horizontal="left" vertical="center"/>
    </xf>
  </cellXfs>
  <cellStyles count="5">
    <cellStyle name="Comma" xfId="3" builtinId="3"/>
    <cellStyle name="Currency" xfId="1" builtinId="4"/>
    <cellStyle name="Normal" xfId="0" builtinId="0"/>
    <cellStyle name="Normal_Project Ownership Percentages and Losses" xfId="4"/>
    <cellStyle name="Percent" xfId="2" builtinId="5"/>
  </cellStyles>
  <dxfs count="2">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1790700</xdr:colOff>
          <xdr:row>10</xdr:row>
          <xdr:rowOff>190500</xdr:rowOff>
        </xdr:from>
        <xdr:to>
          <xdr:col>2</xdr:col>
          <xdr:colOff>3019425</xdr:colOff>
          <xdr:row>14</xdr:row>
          <xdr:rowOff>47625</xdr:rowOff>
        </xdr:to>
        <xdr:sp macro="" textlink="">
          <xdr:nvSpPr>
            <xdr:cNvPr id="8194" name="GetData" descr="Get Data"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80"/>
                  </a:solidFill>
                  <a:latin typeface="Arial"/>
                  <a:cs typeface="Arial"/>
                </a:rPr>
                <a:t>Run Selected Supplemental and Apportionment Schedule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ork\Macro%20Report%20202\template\Copy%20of%20Quarterly%20Supplemental%20and%20Apportionment%20Schedule%20MASTER%20v2016.09.14%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ain"/>
      <sheetName val="BalSht"/>
      <sheetName val="IncStmt"/>
      <sheetName val="App by State"/>
      <sheetName val="Query ODS FS"/>
      <sheetName val="Query ODS FS PYE"/>
      <sheetName val="Fund Names"/>
      <sheetName val="All Projects Losses"/>
      <sheetName val="Funds win Funds"/>
      <sheetName val="Notes for Mary"/>
      <sheetName val="App by Deal"/>
      <sheetName val="Query ODS States"/>
      <sheetName val="Query ODS Investors"/>
      <sheetName val="Query ODS Pcts"/>
      <sheetName val="Fund Listing"/>
    </sheetNames>
    <sheetDataSet>
      <sheetData sheetId="0"/>
      <sheetData sheetId="1"/>
      <sheetData sheetId="2"/>
      <sheetData sheetId="3"/>
      <sheetData sheetId="4"/>
      <sheetData sheetId="5"/>
      <sheetData sheetId="6"/>
      <sheetData sheetId="7">
        <row r="2">
          <cell r="A2" t="str">
            <v>1070 Washington Bridge, LLC</v>
          </cell>
        </row>
        <row r="3">
          <cell r="A3" t="str">
            <v>481 - Potential Deals</v>
          </cell>
        </row>
        <row r="4">
          <cell r="A4" t="str">
            <v>481 EAHF</v>
          </cell>
        </row>
        <row r="5">
          <cell r="A5" t="str">
            <v>481 EAHF II</v>
          </cell>
        </row>
        <row r="6">
          <cell r="A6" t="str">
            <v>481 EAHF III</v>
          </cell>
        </row>
        <row r="7">
          <cell r="A7" t="str">
            <v>481 EAHF IV</v>
          </cell>
        </row>
        <row r="8">
          <cell r="A8" t="str">
            <v>5th3rd - Potential Deals</v>
          </cell>
        </row>
        <row r="9">
          <cell r="A9" t="str">
            <v>ACELA II</v>
          </cell>
        </row>
        <row r="10">
          <cell r="A10" t="str">
            <v>AEUEF</v>
          </cell>
        </row>
        <row r="11">
          <cell r="A11" t="str">
            <v>AEUEF II</v>
          </cell>
        </row>
        <row r="12">
          <cell r="A12" t="str">
            <v>AHEF</v>
          </cell>
        </row>
        <row r="13">
          <cell r="A13" t="str">
            <v>AHEF 2</v>
          </cell>
        </row>
        <row r="14">
          <cell r="A14" t="str">
            <v>ALLY - Potential Deals</v>
          </cell>
        </row>
        <row r="15">
          <cell r="A15" t="str">
            <v>AMEXWEST</v>
          </cell>
        </row>
        <row r="16">
          <cell r="A16" t="str">
            <v>AMEXWEST II</v>
          </cell>
        </row>
        <row r="17">
          <cell r="A17" t="str">
            <v>Arthur Ave Bridge, LLC</v>
          </cell>
        </row>
        <row r="18">
          <cell r="A18" t="str">
            <v>Benchmark Fund</v>
          </cell>
        </row>
        <row r="19">
          <cell r="A19" t="str">
            <v>BOA</v>
          </cell>
        </row>
        <row r="20">
          <cell r="A20" t="str">
            <v>BOA - Potential Deals</v>
          </cell>
        </row>
        <row r="21">
          <cell r="A21" t="str">
            <v>BOA1</v>
          </cell>
        </row>
        <row r="22">
          <cell r="A22" t="str">
            <v>BOA10</v>
          </cell>
        </row>
        <row r="23">
          <cell r="A23" t="str">
            <v>BOA11</v>
          </cell>
        </row>
        <row r="24">
          <cell r="A24" t="str">
            <v>BOA2</v>
          </cell>
        </row>
        <row r="25">
          <cell r="A25" t="str">
            <v>BOA3</v>
          </cell>
        </row>
        <row r="26">
          <cell r="A26" t="str">
            <v>BOA3A</v>
          </cell>
        </row>
        <row r="27">
          <cell r="A27" t="str">
            <v>BOA3B</v>
          </cell>
        </row>
        <row r="28">
          <cell r="A28" t="str">
            <v>BOA3C</v>
          </cell>
        </row>
        <row r="29">
          <cell r="A29" t="str">
            <v>BOA3D</v>
          </cell>
        </row>
        <row r="30">
          <cell r="A30" t="str">
            <v>BOA3E</v>
          </cell>
        </row>
        <row r="31">
          <cell r="A31" t="str">
            <v>BOA3F</v>
          </cell>
        </row>
        <row r="32">
          <cell r="A32" t="str">
            <v>BOA3G</v>
          </cell>
        </row>
        <row r="33">
          <cell r="A33" t="str">
            <v>BOA3H</v>
          </cell>
        </row>
        <row r="34">
          <cell r="A34" t="str">
            <v>BOA4</v>
          </cell>
        </row>
        <row r="35">
          <cell r="A35" t="str">
            <v>BOA4A</v>
          </cell>
        </row>
        <row r="36">
          <cell r="A36" t="str">
            <v>BOA4B</v>
          </cell>
        </row>
        <row r="37">
          <cell r="A37" t="str">
            <v>BOA5</v>
          </cell>
        </row>
        <row r="38">
          <cell r="A38" t="str">
            <v>BOA6</v>
          </cell>
        </row>
        <row r="39">
          <cell r="A39" t="str">
            <v>BOA7</v>
          </cell>
        </row>
        <row r="40">
          <cell r="A40" t="str">
            <v>BOA8</v>
          </cell>
        </row>
        <row r="41">
          <cell r="A41" t="str">
            <v>BOA9</v>
          </cell>
        </row>
        <row r="42">
          <cell r="A42" t="str">
            <v>BofNY - Potential Deals</v>
          </cell>
        </row>
        <row r="43">
          <cell r="A43" t="str">
            <v>CCHF</v>
          </cell>
        </row>
        <row r="44">
          <cell r="A44" t="str">
            <v>CEHEF</v>
          </cell>
        </row>
        <row r="45">
          <cell r="A45" t="str">
            <v>CHA</v>
          </cell>
        </row>
        <row r="46">
          <cell r="A46" t="str">
            <v>CHA 2</v>
          </cell>
        </row>
        <row r="47">
          <cell r="A47" t="str">
            <v>CHA 3</v>
          </cell>
        </row>
        <row r="48">
          <cell r="A48" t="str">
            <v>CHASE</v>
          </cell>
        </row>
        <row r="49">
          <cell r="A49" t="str">
            <v>CHEF88</v>
          </cell>
        </row>
        <row r="50">
          <cell r="A50" t="str">
            <v>CHEF89</v>
          </cell>
        </row>
        <row r="51">
          <cell r="A51" t="str">
            <v>CHI</v>
          </cell>
        </row>
        <row r="52">
          <cell r="A52" t="str">
            <v>CHI 2</v>
          </cell>
        </row>
        <row r="53">
          <cell r="A53" t="str">
            <v>CHI 3</v>
          </cell>
        </row>
        <row r="54">
          <cell r="A54" t="str">
            <v>CINCI1</v>
          </cell>
        </row>
        <row r="55">
          <cell r="A55" t="str">
            <v>CINCI2</v>
          </cell>
        </row>
        <row r="56">
          <cell r="A56" t="str">
            <v>CIP 1</v>
          </cell>
        </row>
        <row r="57">
          <cell r="A57" t="str">
            <v>CITIBANK</v>
          </cell>
        </row>
        <row r="58">
          <cell r="A58" t="str">
            <v>CITIZENS - Potential Deals</v>
          </cell>
        </row>
        <row r="59">
          <cell r="A59" t="str">
            <v>CNE 3</v>
          </cell>
        </row>
        <row r="60">
          <cell r="A60" t="str">
            <v>DELEF</v>
          </cell>
        </row>
        <row r="61">
          <cell r="A61" t="str">
            <v>DELVAL</v>
          </cell>
        </row>
        <row r="62">
          <cell r="A62" t="str">
            <v>DISCOVER - Potential Deals</v>
          </cell>
        </row>
        <row r="63">
          <cell r="A63" t="str">
            <v>DMLP</v>
          </cell>
        </row>
        <row r="64">
          <cell r="A64" t="str">
            <v>DOLLAR - Potential Deals</v>
          </cell>
        </row>
        <row r="65">
          <cell r="A65" t="str">
            <v>EAHF I</v>
          </cell>
        </row>
        <row r="66">
          <cell r="A66" t="str">
            <v>ECGC</v>
          </cell>
        </row>
        <row r="67">
          <cell r="A67" t="str">
            <v>ECOF</v>
          </cell>
        </row>
        <row r="68">
          <cell r="A68" t="str">
            <v>ECOF - Potential Deals</v>
          </cell>
        </row>
        <row r="69">
          <cell r="A69" t="str">
            <v>ECOF II</v>
          </cell>
        </row>
        <row r="70">
          <cell r="A70" t="str">
            <v>EFNAHF I</v>
          </cell>
        </row>
        <row r="71">
          <cell r="A71" t="str">
            <v>EGCW</v>
          </cell>
        </row>
        <row r="72">
          <cell r="A72" t="str">
            <v>EGCW2</v>
          </cell>
        </row>
        <row r="73">
          <cell r="A73" t="str">
            <v>EGS</v>
          </cell>
        </row>
        <row r="74">
          <cell r="A74" t="str">
            <v>EHA</v>
          </cell>
        </row>
        <row r="75">
          <cell r="A75" t="str">
            <v>EHA 2</v>
          </cell>
        </row>
        <row r="76">
          <cell r="A76" t="str">
            <v>EHCF</v>
          </cell>
        </row>
        <row r="77">
          <cell r="A77" t="str">
            <v>EHCF II</v>
          </cell>
        </row>
        <row r="78">
          <cell r="A78" t="str">
            <v>EHCF III</v>
          </cell>
        </row>
        <row r="79">
          <cell r="A79" t="str">
            <v>EHCF IV</v>
          </cell>
        </row>
        <row r="80">
          <cell r="A80" t="str">
            <v>EHCF V</v>
          </cell>
        </row>
        <row r="81">
          <cell r="A81" t="str">
            <v>EHEF I</v>
          </cell>
        </row>
        <row r="82">
          <cell r="A82" t="str">
            <v>EHHPF I</v>
          </cell>
        </row>
        <row r="83">
          <cell r="A83" t="str">
            <v>EHOF I</v>
          </cell>
        </row>
        <row r="84">
          <cell r="A84" t="str">
            <v>EHP</v>
          </cell>
        </row>
        <row r="85">
          <cell r="A85" t="str">
            <v>EHP 10</v>
          </cell>
        </row>
        <row r="86">
          <cell r="A86" t="str">
            <v>EHP 11</v>
          </cell>
        </row>
        <row r="87">
          <cell r="A87" t="str">
            <v>EHP 12</v>
          </cell>
        </row>
        <row r="88">
          <cell r="A88" t="str">
            <v>EHP 13</v>
          </cell>
        </row>
        <row r="89">
          <cell r="A89" t="str">
            <v>EHP 14</v>
          </cell>
        </row>
        <row r="90">
          <cell r="A90" t="str">
            <v>EHP 15</v>
          </cell>
        </row>
        <row r="91">
          <cell r="A91" t="str">
            <v>EHP 15 Investor</v>
          </cell>
        </row>
        <row r="92">
          <cell r="A92" t="str">
            <v>EHP 16</v>
          </cell>
        </row>
        <row r="93">
          <cell r="A93" t="str">
            <v>EHP 16 Investor</v>
          </cell>
        </row>
        <row r="94">
          <cell r="A94" t="str">
            <v>EHP 17</v>
          </cell>
        </row>
        <row r="95">
          <cell r="A95" t="str">
            <v>EHP 18</v>
          </cell>
        </row>
        <row r="96">
          <cell r="A96" t="str">
            <v>EHP 19</v>
          </cell>
        </row>
        <row r="97">
          <cell r="A97" t="str">
            <v>EHP 2</v>
          </cell>
        </row>
        <row r="98">
          <cell r="A98" t="str">
            <v>EHP 20</v>
          </cell>
        </row>
        <row r="99">
          <cell r="A99" t="str">
            <v>EHP 21</v>
          </cell>
        </row>
        <row r="100">
          <cell r="A100" t="str">
            <v>EHP 22</v>
          </cell>
        </row>
        <row r="101">
          <cell r="A101" t="str">
            <v>EHP 23</v>
          </cell>
        </row>
        <row r="102">
          <cell r="A102" t="str">
            <v>EHP 24</v>
          </cell>
        </row>
        <row r="103">
          <cell r="A103" t="str">
            <v>EHP 25</v>
          </cell>
        </row>
        <row r="104">
          <cell r="A104" t="str">
            <v>EHP 26</v>
          </cell>
        </row>
        <row r="105">
          <cell r="A105" t="str">
            <v>EHP 27</v>
          </cell>
        </row>
        <row r="106">
          <cell r="A106" t="str">
            <v>EHP 28</v>
          </cell>
        </row>
        <row r="107">
          <cell r="A107" t="str">
            <v>EHP 29</v>
          </cell>
        </row>
        <row r="108">
          <cell r="A108" t="str">
            <v>EHP 3</v>
          </cell>
        </row>
        <row r="109">
          <cell r="A109" t="str">
            <v>EHP 3-II</v>
          </cell>
        </row>
        <row r="110">
          <cell r="A110" t="str">
            <v>EHP 30</v>
          </cell>
        </row>
        <row r="111">
          <cell r="A111" t="str">
            <v>EHP 31</v>
          </cell>
        </row>
        <row r="112">
          <cell r="A112" t="str">
            <v>EHP 7</v>
          </cell>
        </row>
        <row r="113">
          <cell r="A113" t="str">
            <v>EHP 8</v>
          </cell>
        </row>
        <row r="114">
          <cell r="A114" t="str">
            <v>EHP 9</v>
          </cell>
        </row>
        <row r="115">
          <cell r="A115" t="str">
            <v>EHP92</v>
          </cell>
        </row>
        <row r="116">
          <cell r="A116" t="str">
            <v>EHP94</v>
          </cell>
        </row>
        <row r="117">
          <cell r="A117" t="str">
            <v>EHP95</v>
          </cell>
        </row>
        <row r="118">
          <cell r="A118" t="str">
            <v>EHPF</v>
          </cell>
        </row>
        <row r="119">
          <cell r="A119" t="str">
            <v>EHPNYF I</v>
          </cell>
        </row>
        <row r="120">
          <cell r="A120" t="str">
            <v>EHPPNF</v>
          </cell>
        </row>
        <row r="121">
          <cell r="A121" t="str">
            <v>EHPPNF II</v>
          </cell>
        </row>
        <row r="122">
          <cell r="A122" t="str">
            <v>EKHF I</v>
          </cell>
        </row>
        <row r="123">
          <cell r="A123" t="str">
            <v>EKIF</v>
          </cell>
        </row>
        <row r="124">
          <cell r="A124" t="str">
            <v>ELF I</v>
          </cell>
        </row>
        <row r="125">
          <cell r="A125" t="str">
            <v>EMOF 1</v>
          </cell>
        </row>
        <row r="126">
          <cell r="A126" t="str">
            <v>EMOF 2</v>
          </cell>
        </row>
        <row r="127">
          <cell r="A127" t="str">
            <v>EMSLF</v>
          </cell>
        </row>
        <row r="128">
          <cell r="A128" t="str">
            <v>ENIF I</v>
          </cell>
        </row>
        <row r="129">
          <cell r="A129" t="str">
            <v>ENIF II</v>
          </cell>
        </row>
        <row r="130">
          <cell r="A130" t="str">
            <v>ENP I</v>
          </cell>
        </row>
        <row r="131">
          <cell r="A131" t="str">
            <v>ENP I-II</v>
          </cell>
        </row>
        <row r="132">
          <cell r="A132" t="str">
            <v>ENP II</v>
          </cell>
        </row>
        <row r="133">
          <cell r="A133" t="str">
            <v>ENP III</v>
          </cell>
        </row>
        <row r="134">
          <cell r="A134" t="str">
            <v>ENP IV</v>
          </cell>
        </row>
        <row r="135">
          <cell r="A135" t="str">
            <v>ENP IV Bridge, LLC</v>
          </cell>
        </row>
        <row r="136">
          <cell r="A136" t="str">
            <v>ENP V</v>
          </cell>
        </row>
        <row r="137">
          <cell r="A137" t="str">
            <v>ENP VI</v>
          </cell>
        </row>
        <row r="138">
          <cell r="A138" t="str">
            <v>ENP VII</v>
          </cell>
        </row>
        <row r="139">
          <cell r="A139" t="str">
            <v>ENP VIII</v>
          </cell>
        </row>
        <row r="140">
          <cell r="A140" t="str">
            <v>ENYH09</v>
          </cell>
        </row>
        <row r="141">
          <cell r="A141" t="str">
            <v>EOF</v>
          </cell>
        </row>
        <row r="142">
          <cell r="A142" t="str">
            <v>EPM</v>
          </cell>
        </row>
        <row r="143">
          <cell r="A143" t="str">
            <v>ERB 1</v>
          </cell>
        </row>
        <row r="144">
          <cell r="A144" t="str">
            <v>ERB 2</v>
          </cell>
        </row>
        <row r="145">
          <cell r="A145" t="str">
            <v>ESNBHF I</v>
          </cell>
        </row>
        <row r="146">
          <cell r="A146" t="str">
            <v>EUIGAHF</v>
          </cell>
        </row>
        <row r="147">
          <cell r="A147" t="str">
            <v>EWFEF</v>
          </cell>
        </row>
        <row r="148">
          <cell r="A148" t="str">
            <v>FHTCF</v>
          </cell>
        </row>
        <row r="149">
          <cell r="A149" t="str">
            <v>FHTCF2</v>
          </cell>
        </row>
        <row r="150">
          <cell r="A150" t="str">
            <v>FIRST NIAGARA - Potential</v>
          </cell>
        </row>
        <row r="151">
          <cell r="A151" t="str">
            <v>FIRSTBANK - Potential Deals</v>
          </cell>
        </row>
        <row r="152">
          <cell r="A152" t="str">
            <v>FREDDIE</v>
          </cell>
        </row>
        <row r="153">
          <cell r="A153" t="str">
            <v>FREDDIE 2</v>
          </cell>
        </row>
        <row r="154">
          <cell r="A154" t="str">
            <v>Grayslake Senior Housing Bridge, LLC</v>
          </cell>
        </row>
        <row r="155">
          <cell r="A155" t="str">
            <v>GRLKS X</v>
          </cell>
        </row>
        <row r="156">
          <cell r="A156" t="str">
            <v>GRLKS XI</v>
          </cell>
        </row>
        <row r="157">
          <cell r="A157" t="str">
            <v>GRLKS XII</v>
          </cell>
        </row>
        <row r="158">
          <cell r="A158" t="str">
            <v>GRLKS XIV</v>
          </cell>
        </row>
        <row r="159">
          <cell r="A159" t="str">
            <v>GRLKS XV</v>
          </cell>
        </row>
        <row r="160">
          <cell r="A160" t="str">
            <v>Harlem Bridge, LLC</v>
          </cell>
        </row>
        <row r="161">
          <cell r="A161" t="str">
            <v>HBF 1</v>
          </cell>
        </row>
        <row r="162">
          <cell r="A162" t="str">
            <v>HERITAGE - Potential Deals</v>
          </cell>
        </row>
        <row r="163">
          <cell r="A163" t="str">
            <v>HOF 10</v>
          </cell>
        </row>
        <row r="164">
          <cell r="A164" t="str">
            <v>HOF 11</v>
          </cell>
        </row>
        <row r="165">
          <cell r="A165" t="str">
            <v>HOF 12</v>
          </cell>
        </row>
        <row r="166">
          <cell r="A166" t="str">
            <v>HOF 13</v>
          </cell>
        </row>
        <row r="167">
          <cell r="A167" t="str">
            <v>HOF 14</v>
          </cell>
        </row>
        <row r="168">
          <cell r="A168" t="str">
            <v>HOF 4</v>
          </cell>
        </row>
        <row r="169">
          <cell r="A169" t="str">
            <v>HOF 5</v>
          </cell>
        </row>
        <row r="170">
          <cell r="A170" t="str">
            <v>HOF 6</v>
          </cell>
        </row>
        <row r="171">
          <cell r="A171" t="str">
            <v>HOF 7</v>
          </cell>
        </row>
        <row r="172">
          <cell r="A172" t="str">
            <v>HOF 8</v>
          </cell>
        </row>
        <row r="173">
          <cell r="A173" t="str">
            <v>HOF 9</v>
          </cell>
        </row>
        <row r="174">
          <cell r="A174" t="str">
            <v>HOF-1</v>
          </cell>
        </row>
        <row r="175">
          <cell r="A175" t="str">
            <v>HOF-2</v>
          </cell>
        </row>
        <row r="176">
          <cell r="A176" t="str">
            <v>HOF-3</v>
          </cell>
        </row>
        <row r="177">
          <cell r="A177" t="str">
            <v>HTN</v>
          </cell>
        </row>
        <row r="178">
          <cell r="A178" t="str">
            <v>Hypothetical Fund #1</v>
          </cell>
        </row>
        <row r="179">
          <cell r="A179" t="str">
            <v>Hypothetical Fund #2</v>
          </cell>
        </row>
        <row r="180">
          <cell r="A180" t="str">
            <v>IBAHF</v>
          </cell>
        </row>
        <row r="181">
          <cell r="A181" t="str">
            <v>IBERIA - Potential Deals</v>
          </cell>
        </row>
        <row r="182">
          <cell r="A182" t="str">
            <v>IND I</v>
          </cell>
        </row>
        <row r="183">
          <cell r="A183" t="str">
            <v>JPMCC - Potential Deals</v>
          </cell>
        </row>
        <row r="184">
          <cell r="A184" t="str">
            <v>KEY - Potential Deals</v>
          </cell>
        </row>
        <row r="185">
          <cell r="A185" t="str">
            <v>M and T</v>
          </cell>
        </row>
        <row r="186">
          <cell r="A186" t="str">
            <v>M and T - Potential Deals</v>
          </cell>
        </row>
        <row r="187">
          <cell r="A187" t="str">
            <v>M and T 2</v>
          </cell>
        </row>
        <row r="188">
          <cell r="A188" t="str">
            <v>MHEF 1</v>
          </cell>
        </row>
        <row r="189">
          <cell r="A189" t="str">
            <v>MHEF 2</v>
          </cell>
        </row>
        <row r="190">
          <cell r="A190" t="str">
            <v>MHEF 3</v>
          </cell>
        </row>
        <row r="191">
          <cell r="A191" t="str">
            <v>MICH 2</v>
          </cell>
        </row>
        <row r="192">
          <cell r="A192" t="str">
            <v>MICH 3</v>
          </cell>
        </row>
        <row r="193">
          <cell r="A193" t="str">
            <v>MICH 4</v>
          </cell>
        </row>
        <row r="194">
          <cell r="A194" t="str">
            <v>MICH 5</v>
          </cell>
        </row>
        <row r="195">
          <cell r="A195" t="str">
            <v>MICH 6</v>
          </cell>
        </row>
        <row r="196">
          <cell r="A196" t="str">
            <v>MICH 7</v>
          </cell>
        </row>
        <row r="197">
          <cell r="A197" t="str">
            <v>MICH 8</v>
          </cell>
        </row>
        <row r="198">
          <cell r="A198" t="str">
            <v>MICHEF</v>
          </cell>
        </row>
        <row r="199">
          <cell r="A199" t="str">
            <v>MICROSOFT - Potential Deals</v>
          </cell>
        </row>
        <row r="200">
          <cell r="A200" t="str">
            <v>MNEEF</v>
          </cell>
        </row>
        <row r="201">
          <cell r="A201" t="str">
            <v>Mt Sharon Bridge, LLC</v>
          </cell>
        </row>
        <row r="202">
          <cell r="A202" t="str">
            <v>NAHF1</v>
          </cell>
        </row>
        <row r="203">
          <cell r="A203" t="str">
            <v>NAHF2</v>
          </cell>
        </row>
        <row r="204">
          <cell r="A204" t="str">
            <v>NCEF</v>
          </cell>
        </row>
        <row r="205">
          <cell r="A205" t="str">
            <v>NORTHERN TRUST - Potential</v>
          </cell>
        </row>
        <row r="206">
          <cell r="A206" t="str">
            <v>NYEF00-I</v>
          </cell>
        </row>
        <row r="207">
          <cell r="A207" t="str">
            <v>NYEF00-II</v>
          </cell>
        </row>
        <row r="208">
          <cell r="A208" t="str">
            <v>NYEF01</v>
          </cell>
        </row>
        <row r="209">
          <cell r="A209" t="str">
            <v>NYEF02</v>
          </cell>
        </row>
        <row r="210">
          <cell r="A210" t="str">
            <v>NYEF03</v>
          </cell>
        </row>
        <row r="211">
          <cell r="A211" t="str">
            <v>NYEF04</v>
          </cell>
        </row>
        <row r="212">
          <cell r="A212" t="str">
            <v>NYEF05</v>
          </cell>
        </row>
        <row r="213">
          <cell r="A213" t="str">
            <v>NYEF06</v>
          </cell>
        </row>
        <row r="214">
          <cell r="A214" t="str">
            <v>NYEF07</v>
          </cell>
        </row>
        <row r="215">
          <cell r="A215" t="str">
            <v>NYEF08</v>
          </cell>
        </row>
        <row r="216">
          <cell r="A216" t="str">
            <v>NYEF09</v>
          </cell>
        </row>
        <row r="217">
          <cell r="A217" t="str">
            <v>NYEF89</v>
          </cell>
        </row>
        <row r="218">
          <cell r="A218" t="str">
            <v>NYEF90</v>
          </cell>
        </row>
        <row r="219">
          <cell r="A219" t="str">
            <v>NYEF92</v>
          </cell>
        </row>
        <row r="220">
          <cell r="A220" t="str">
            <v>NYEF93</v>
          </cell>
        </row>
        <row r="221">
          <cell r="A221" t="str">
            <v>NYEF94</v>
          </cell>
        </row>
        <row r="222">
          <cell r="A222" t="str">
            <v>NYEF95-I</v>
          </cell>
        </row>
        <row r="223">
          <cell r="A223" t="str">
            <v>NYEF95-II</v>
          </cell>
        </row>
        <row r="224">
          <cell r="A224" t="str">
            <v>NYSTC</v>
          </cell>
        </row>
        <row r="225">
          <cell r="A225" t="str">
            <v>NYSTC2</v>
          </cell>
        </row>
        <row r="226">
          <cell r="A226" t="str">
            <v>OEF</v>
          </cell>
        </row>
        <row r="227">
          <cell r="A227" t="str">
            <v>OHIO 1</v>
          </cell>
        </row>
        <row r="228">
          <cell r="A228" t="str">
            <v>OHIO 2</v>
          </cell>
        </row>
        <row r="229">
          <cell r="A229" t="str">
            <v>OHIO 3</v>
          </cell>
        </row>
        <row r="230">
          <cell r="A230" t="str">
            <v>PITT</v>
          </cell>
        </row>
        <row r="231">
          <cell r="A231" t="str">
            <v>PRU</v>
          </cell>
        </row>
        <row r="232">
          <cell r="A232" t="str">
            <v>RIEF 1</v>
          </cell>
        </row>
        <row r="233">
          <cell r="A233" t="str">
            <v>RIEF 2</v>
          </cell>
        </row>
        <row r="234">
          <cell r="A234" t="str">
            <v>SANANM</v>
          </cell>
        </row>
        <row r="235">
          <cell r="A235" t="str">
            <v>SNB - Potential Deals</v>
          </cell>
        </row>
        <row r="236">
          <cell r="A236" t="str">
            <v>STEP 1</v>
          </cell>
        </row>
        <row r="237">
          <cell r="A237" t="str">
            <v>SUNTRUST - Potential Deals</v>
          </cell>
        </row>
        <row r="238">
          <cell r="A238" t="str">
            <v>USAHF</v>
          </cell>
        </row>
        <row r="239">
          <cell r="A239" t="str">
            <v>WAMU</v>
          </cell>
        </row>
        <row r="240">
          <cell r="A240" t="str">
            <v>West Farm Bridge, LLC</v>
          </cell>
        </row>
        <row r="241">
          <cell r="A241" t="str">
            <v>WINCOPIN</v>
          </cell>
        </row>
      </sheetData>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16"/>
  <sheetViews>
    <sheetView zoomScaleNormal="100" workbookViewId="0">
      <selection activeCell="I25" sqref="I25"/>
    </sheetView>
  </sheetViews>
  <sheetFormatPr defaultRowHeight="15" x14ac:dyDescent="0.25"/>
  <sheetData>
    <row r="1" spans="1:2" x14ac:dyDescent="0.25">
      <c r="A1" s="11" t="s">
        <v>41</v>
      </c>
    </row>
    <row r="2" spans="1:2" x14ac:dyDescent="0.25">
      <c r="A2" t="s">
        <v>42</v>
      </c>
    </row>
    <row r="4" spans="1:2" x14ac:dyDescent="0.25">
      <c r="A4" s="12" t="s">
        <v>43</v>
      </c>
    </row>
    <row r="5" spans="1:2" x14ac:dyDescent="0.25">
      <c r="A5" s="12" t="s">
        <v>44</v>
      </c>
    </row>
    <row r="6" spans="1:2" x14ac:dyDescent="0.25">
      <c r="A6" s="12" t="s">
        <v>45</v>
      </c>
    </row>
    <row r="7" spans="1:2" x14ac:dyDescent="0.25">
      <c r="A7" s="12" t="s">
        <v>46</v>
      </c>
    </row>
    <row r="8" spans="1:2" x14ac:dyDescent="0.25">
      <c r="A8" s="12" t="s">
        <v>47</v>
      </c>
    </row>
    <row r="9" spans="1:2" x14ac:dyDescent="0.25">
      <c r="A9" s="12" t="s">
        <v>48</v>
      </c>
    </row>
    <row r="11" spans="1:2" x14ac:dyDescent="0.25">
      <c r="A11" s="13">
        <v>1</v>
      </c>
      <c r="B11" s="12" t="s">
        <v>49</v>
      </c>
    </row>
    <row r="12" spans="1:2" x14ac:dyDescent="0.25">
      <c r="A12" s="13">
        <v>2</v>
      </c>
      <c r="B12" s="12" t="s">
        <v>50</v>
      </c>
    </row>
    <row r="13" spans="1:2" x14ac:dyDescent="0.25">
      <c r="A13" s="13">
        <v>3</v>
      </c>
      <c r="B13" s="12" t="s">
        <v>51</v>
      </c>
    </row>
    <row r="14" spans="1:2" x14ac:dyDescent="0.25">
      <c r="A14" s="13">
        <v>4</v>
      </c>
      <c r="B14" s="12" t="s">
        <v>52</v>
      </c>
    </row>
    <row r="15" spans="1:2" x14ac:dyDescent="0.25">
      <c r="A15" s="13">
        <v>5</v>
      </c>
      <c r="B15" s="12" t="s">
        <v>53</v>
      </c>
    </row>
    <row r="16" spans="1:2" x14ac:dyDescent="0.25">
      <c r="A16" s="13">
        <v>6</v>
      </c>
      <c r="B16" s="12" t="s">
        <v>54</v>
      </c>
    </row>
    <row r="17" spans="1:2" x14ac:dyDescent="0.25">
      <c r="A17" s="13">
        <v>7</v>
      </c>
      <c r="B17" t="s">
        <v>55</v>
      </c>
    </row>
    <row r="18" spans="1:2" x14ac:dyDescent="0.25">
      <c r="A18" s="13">
        <v>8</v>
      </c>
      <c r="B18" s="12" t="s">
        <v>56</v>
      </c>
    </row>
    <row r="20" spans="1:2" x14ac:dyDescent="0.25">
      <c r="A20" s="11" t="s">
        <v>57</v>
      </c>
    </row>
    <row r="21" spans="1:2" x14ac:dyDescent="0.25">
      <c r="A21" s="13">
        <v>1</v>
      </c>
      <c r="B21" t="s">
        <v>58</v>
      </c>
    </row>
    <row r="22" spans="1:2" x14ac:dyDescent="0.25">
      <c r="A22" s="13">
        <v>2</v>
      </c>
      <c r="B22" s="12" t="s">
        <v>59</v>
      </c>
    </row>
    <row r="23" spans="1:2" x14ac:dyDescent="0.25">
      <c r="A23" s="13">
        <v>3</v>
      </c>
      <c r="B23" t="s">
        <v>60</v>
      </c>
    </row>
    <row r="24" spans="1:2" x14ac:dyDescent="0.25">
      <c r="A24" s="13">
        <v>4</v>
      </c>
      <c r="B24" s="12" t="s">
        <v>61</v>
      </c>
    </row>
    <row r="25" spans="1:2" x14ac:dyDescent="0.25">
      <c r="A25" s="13">
        <v>5</v>
      </c>
      <c r="B25" s="12" t="s">
        <v>62</v>
      </c>
    </row>
    <row r="26" spans="1:2" x14ac:dyDescent="0.25">
      <c r="A26" s="13">
        <v>6</v>
      </c>
      <c r="B26" s="12" t="s">
        <v>63</v>
      </c>
    </row>
    <row r="27" spans="1:2" x14ac:dyDescent="0.25">
      <c r="A27" s="13">
        <v>7</v>
      </c>
      <c r="B27" s="12" t="s">
        <v>64</v>
      </c>
    </row>
    <row r="28" spans="1:2" x14ac:dyDescent="0.25">
      <c r="A28" s="13">
        <v>8</v>
      </c>
      <c r="B28" t="s">
        <v>65</v>
      </c>
    </row>
    <row r="29" spans="1:2" x14ac:dyDescent="0.25">
      <c r="A29" s="13">
        <v>9</v>
      </c>
      <c r="B29" s="12" t="s">
        <v>66</v>
      </c>
    </row>
    <row r="30" spans="1:2" x14ac:dyDescent="0.25">
      <c r="A30" s="13">
        <v>10</v>
      </c>
      <c r="B30" s="12" t="s">
        <v>67</v>
      </c>
    </row>
    <row r="31" spans="1:2" x14ac:dyDescent="0.25">
      <c r="A31" s="13">
        <v>11</v>
      </c>
      <c r="B31" t="s">
        <v>68</v>
      </c>
    </row>
    <row r="32" spans="1:2" x14ac:dyDescent="0.25">
      <c r="A32" s="13">
        <v>12</v>
      </c>
      <c r="B32" s="12" t="s">
        <v>69</v>
      </c>
    </row>
    <row r="33" spans="1:2" x14ac:dyDescent="0.25">
      <c r="A33" s="13">
        <v>13</v>
      </c>
      <c r="B33" s="12" t="s">
        <v>70</v>
      </c>
    </row>
    <row r="35" spans="1:2" x14ac:dyDescent="0.25">
      <c r="A35" t="s">
        <v>71</v>
      </c>
    </row>
    <row r="36" spans="1:2" x14ac:dyDescent="0.25">
      <c r="A36" t="s">
        <v>72</v>
      </c>
    </row>
    <row r="37" spans="1:2" x14ac:dyDescent="0.25">
      <c r="A37" t="s">
        <v>73</v>
      </c>
    </row>
    <row r="38" spans="1:2" x14ac:dyDescent="0.25">
      <c r="B38" t="s">
        <v>74</v>
      </c>
    </row>
    <row r="39" spans="1:2" x14ac:dyDescent="0.25">
      <c r="B39" t="s">
        <v>75</v>
      </c>
    </row>
    <row r="40" spans="1:2" x14ac:dyDescent="0.25">
      <c r="A40" t="s">
        <v>76</v>
      </c>
    </row>
    <row r="41" spans="1:2" x14ac:dyDescent="0.25">
      <c r="A41" t="s">
        <v>77</v>
      </c>
    </row>
    <row r="42" spans="1:2" x14ac:dyDescent="0.25">
      <c r="A42" t="s">
        <v>78</v>
      </c>
    </row>
    <row r="43" spans="1:2" x14ac:dyDescent="0.25">
      <c r="A43" t="s">
        <v>79</v>
      </c>
    </row>
    <row r="44" spans="1:2" x14ac:dyDescent="0.25">
      <c r="A44" t="s">
        <v>80</v>
      </c>
    </row>
    <row r="46" spans="1:2" x14ac:dyDescent="0.25">
      <c r="A46" t="s">
        <v>81</v>
      </c>
    </row>
    <row r="47" spans="1:2" x14ac:dyDescent="0.25">
      <c r="A47" t="s">
        <v>82</v>
      </c>
    </row>
    <row r="48" spans="1:2" x14ac:dyDescent="0.25">
      <c r="A48" t="s">
        <v>83</v>
      </c>
    </row>
    <row r="49" spans="1:2" x14ac:dyDescent="0.25">
      <c r="A49" t="s">
        <v>84</v>
      </c>
    </row>
    <row r="50" spans="1:2" x14ac:dyDescent="0.25">
      <c r="B50" t="s">
        <v>85</v>
      </c>
    </row>
    <row r="51" spans="1:2" x14ac:dyDescent="0.25">
      <c r="A51" t="s">
        <v>76</v>
      </c>
    </row>
    <row r="52" spans="1:2" x14ac:dyDescent="0.25">
      <c r="A52" t="s">
        <v>77</v>
      </c>
    </row>
    <row r="53" spans="1:2" x14ac:dyDescent="0.25">
      <c r="A53" t="s">
        <v>78</v>
      </c>
    </row>
    <row r="54" spans="1:2" x14ac:dyDescent="0.25">
      <c r="A54" t="s">
        <v>79</v>
      </c>
    </row>
    <row r="55" spans="1:2" x14ac:dyDescent="0.25">
      <c r="A55" t="s">
        <v>80</v>
      </c>
    </row>
    <row r="58" spans="1:2" s="11" customFormat="1" ht="12.75" x14ac:dyDescent="0.2">
      <c r="A58" s="11" t="s">
        <v>86</v>
      </c>
    </row>
    <row r="59" spans="1:2" x14ac:dyDescent="0.25">
      <c r="A59" t="s">
        <v>87</v>
      </c>
    </row>
    <row r="60" spans="1:2" x14ac:dyDescent="0.25">
      <c r="A60" s="12" t="s">
        <v>88</v>
      </c>
    </row>
    <row r="61" spans="1:2" x14ac:dyDescent="0.25">
      <c r="A61" s="12" t="s">
        <v>89</v>
      </c>
    </row>
    <row r="62" spans="1:2" x14ac:dyDescent="0.25">
      <c r="A62" t="s">
        <v>90</v>
      </c>
    </row>
    <row r="63" spans="1:2" x14ac:dyDescent="0.25">
      <c r="A63" t="s">
        <v>91</v>
      </c>
    </row>
    <row r="64" spans="1:2" x14ac:dyDescent="0.25">
      <c r="B64" t="s">
        <v>92</v>
      </c>
    </row>
    <row r="65" spans="1:3" x14ac:dyDescent="0.25">
      <c r="B65" t="s">
        <v>93</v>
      </c>
    </row>
    <row r="66" spans="1:3" x14ac:dyDescent="0.25">
      <c r="B66" t="s">
        <v>94</v>
      </c>
    </row>
    <row r="67" spans="1:3" x14ac:dyDescent="0.25">
      <c r="B67" t="s">
        <v>95</v>
      </c>
    </row>
    <row r="68" spans="1:3" x14ac:dyDescent="0.25">
      <c r="C68" t="s">
        <v>96</v>
      </c>
    </row>
    <row r="69" spans="1:3" x14ac:dyDescent="0.25">
      <c r="A69" t="s">
        <v>97</v>
      </c>
    </row>
    <row r="70" spans="1:3" x14ac:dyDescent="0.25">
      <c r="C70" t="s">
        <v>98</v>
      </c>
    </row>
    <row r="71" spans="1:3" x14ac:dyDescent="0.25">
      <c r="B71" t="s">
        <v>99</v>
      </c>
    </row>
    <row r="72" spans="1:3" x14ac:dyDescent="0.25">
      <c r="B72" t="s">
        <v>100</v>
      </c>
    </row>
    <row r="73" spans="1:3" x14ac:dyDescent="0.25">
      <c r="A73" t="s">
        <v>101</v>
      </c>
    </row>
    <row r="75" spans="1:3" x14ac:dyDescent="0.25">
      <c r="A75" t="s">
        <v>102</v>
      </c>
    </row>
    <row r="76" spans="1:3" x14ac:dyDescent="0.25">
      <c r="A76" t="s">
        <v>90</v>
      </c>
    </row>
    <row r="77" spans="1:3" x14ac:dyDescent="0.25">
      <c r="A77" t="s">
        <v>103</v>
      </c>
    </row>
    <row r="78" spans="1:3" x14ac:dyDescent="0.25">
      <c r="B78" t="s">
        <v>104</v>
      </c>
    </row>
    <row r="79" spans="1:3" x14ac:dyDescent="0.25">
      <c r="B79" t="s">
        <v>105</v>
      </c>
    </row>
    <row r="80" spans="1:3" x14ac:dyDescent="0.25">
      <c r="B80" t="s">
        <v>106</v>
      </c>
    </row>
    <row r="81" spans="1:3" x14ac:dyDescent="0.25">
      <c r="B81" t="s">
        <v>107</v>
      </c>
    </row>
    <row r="82" spans="1:3" x14ac:dyDescent="0.25">
      <c r="B82" t="s">
        <v>108</v>
      </c>
    </row>
    <row r="83" spans="1:3" x14ac:dyDescent="0.25">
      <c r="B83" t="s">
        <v>109</v>
      </c>
    </row>
    <row r="85" spans="1:3" x14ac:dyDescent="0.25">
      <c r="A85" t="s">
        <v>91</v>
      </c>
    </row>
    <row r="86" spans="1:3" x14ac:dyDescent="0.25">
      <c r="B86" t="s">
        <v>92</v>
      </c>
    </row>
    <row r="87" spans="1:3" x14ac:dyDescent="0.25">
      <c r="B87" t="s">
        <v>93</v>
      </c>
    </row>
    <row r="88" spans="1:3" x14ac:dyDescent="0.25">
      <c r="B88" t="s">
        <v>94</v>
      </c>
    </row>
    <row r="89" spans="1:3" x14ac:dyDescent="0.25">
      <c r="B89" t="s">
        <v>95</v>
      </c>
    </row>
    <row r="90" spans="1:3" x14ac:dyDescent="0.25">
      <c r="C90" t="s">
        <v>96</v>
      </c>
    </row>
    <row r="91" spans="1:3" x14ac:dyDescent="0.25">
      <c r="A91" t="s">
        <v>97</v>
      </c>
    </row>
    <row r="92" spans="1:3" x14ac:dyDescent="0.25">
      <c r="C92" t="s">
        <v>98</v>
      </c>
    </row>
    <row r="93" spans="1:3" x14ac:dyDescent="0.25">
      <c r="B93" t="s">
        <v>99</v>
      </c>
    </row>
    <row r="94" spans="1:3" x14ac:dyDescent="0.25">
      <c r="B94" t="s">
        <v>100</v>
      </c>
    </row>
    <row r="95" spans="1:3" x14ac:dyDescent="0.25">
      <c r="A95" t="s">
        <v>101</v>
      </c>
    </row>
    <row r="97" spans="1:2" x14ac:dyDescent="0.25">
      <c r="A97" s="11" t="s">
        <v>110</v>
      </c>
    </row>
    <row r="98" spans="1:2" x14ac:dyDescent="0.25">
      <c r="A98" t="s">
        <v>111</v>
      </c>
    </row>
    <row r="99" spans="1:2" x14ac:dyDescent="0.25">
      <c r="A99" t="s">
        <v>112</v>
      </c>
    </row>
    <row r="100" spans="1:2" x14ac:dyDescent="0.25">
      <c r="A100" t="s">
        <v>113</v>
      </c>
    </row>
    <row r="101" spans="1:2" x14ac:dyDescent="0.25">
      <c r="A101" t="s">
        <v>114</v>
      </c>
    </row>
    <row r="103" spans="1:2" x14ac:dyDescent="0.25">
      <c r="A103" s="11" t="s">
        <v>115</v>
      </c>
    </row>
    <row r="104" spans="1:2" x14ac:dyDescent="0.25">
      <c r="A104" s="12" t="s">
        <v>116</v>
      </c>
    </row>
    <row r="105" spans="1:2" x14ac:dyDescent="0.25">
      <c r="A105" s="12" t="s">
        <v>117</v>
      </c>
    </row>
    <row r="106" spans="1:2" x14ac:dyDescent="0.25">
      <c r="A106" s="12" t="s">
        <v>118</v>
      </c>
    </row>
    <row r="107" spans="1:2" x14ac:dyDescent="0.25">
      <c r="A107" s="12" t="s">
        <v>119</v>
      </c>
    </row>
    <row r="108" spans="1:2" x14ac:dyDescent="0.25">
      <c r="B108" s="12" t="s">
        <v>120</v>
      </c>
    </row>
    <row r="109" spans="1:2" x14ac:dyDescent="0.25">
      <c r="B109" s="12" t="s">
        <v>121</v>
      </c>
    </row>
    <row r="110" spans="1:2" x14ac:dyDescent="0.25">
      <c r="B110" s="12" t="s">
        <v>122</v>
      </c>
    </row>
    <row r="111" spans="1:2" x14ac:dyDescent="0.25">
      <c r="B111" s="12" t="s">
        <v>123</v>
      </c>
    </row>
    <row r="112" spans="1:2" x14ac:dyDescent="0.25">
      <c r="A112" s="12" t="s">
        <v>124</v>
      </c>
    </row>
    <row r="113" spans="1:2" x14ac:dyDescent="0.25">
      <c r="A113" s="12" t="s">
        <v>125</v>
      </c>
    </row>
    <row r="114" spans="1:2" x14ac:dyDescent="0.25">
      <c r="A114" s="12" t="s">
        <v>126</v>
      </c>
    </row>
    <row r="115" spans="1:2" x14ac:dyDescent="0.25">
      <c r="A115" s="14" t="s">
        <v>127</v>
      </c>
    </row>
    <row r="116" spans="1:2" x14ac:dyDescent="0.25">
      <c r="B116" s="12" t="s">
        <v>128</v>
      </c>
    </row>
  </sheetData>
  <pageMargins left="0.7" right="0.7" top="0.75" bottom="0.75" header="0.3" footer="0.3"/>
  <pageSetup scale="50" fitToWidth="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0:J57"/>
  <sheetViews>
    <sheetView topLeftCell="A40" zoomScale="90" zoomScaleNormal="90" workbookViewId="0">
      <selection activeCell="A20" sqref="A20"/>
    </sheetView>
  </sheetViews>
  <sheetFormatPr defaultRowHeight="15" x14ac:dyDescent="0.25"/>
  <cols>
    <col min="1" max="1" width="22.5703125" customWidth="1"/>
    <col min="2" max="2" width="15.140625" customWidth="1"/>
    <col min="3" max="3" width="53.28515625" customWidth="1"/>
    <col min="4" max="4" width="17.85546875" customWidth="1"/>
    <col min="5" max="5" width="36.140625" bestFit="1" customWidth="1"/>
    <col min="6" max="6" width="27.7109375" customWidth="1"/>
    <col min="7" max="7" width="32.7109375" customWidth="1"/>
    <col min="8" max="9" width="11.85546875" bestFit="1" customWidth="1"/>
  </cols>
  <sheetData>
    <row r="10" spans="1:10" s="67" customFormat="1" ht="18" x14ac:dyDescent="0.25">
      <c r="A10" s="15"/>
      <c r="B10" s="15"/>
      <c r="C10" s="16" t="s">
        <v>133</v>
      </c>
      <c r="E10" s="17"/>
      <c r="F10" s="35"/>
      <c r="G10" s="35"/>
      <c r="H10" s="18"/>
      <c r="I10" s="18"/>
      <c r="J10" s="19"/>
    </row>
    <row r="11" spans="1:10" ht="18" x14ac:dyDescent="0.25">
      <c r="A11" s="20" t="s">
        <v>162</v>
      </c>
      <c r="B11" s="21" t="s">
        <v>145</v>
      </c>
      <c r="C11" s="21"/>
      <c r="D11" s="16"/>
      <c r="E11" s="17"/>
      <c r="F11" s="35"/>
      <c r="G11" s="35"/>
      <c r="H11" s="18"/>
      <c r="I11" s="18"/>
      <c r="J11" s="19"/>
    </row>
    <row r="12" spans="1:10" x14ac:dyDescent="0.25">
      <c r="A12" s="20">
        <v>4</v>
      </c>
      <c r="B12" s="21" t="s">
        <v>0</v>
      </c>
      <c r="C12" s="21"/>
      <c r="D12" s="22"/>
      <c r="E12" s="24" t="s">
        <v>132</v>
      </c>
      <c r="F12" s="25">
        <f ca="1">NOW()</f>
        <v>43223.475102314813</v>
      </c>
      <c r="G12" s="25"/>
    </row>
    <row r="13" spans="1:10" x14ac:dyDescent="0.25">
      <c r="A13" s="20">
        <v>2017</v>
      </c>
      <c r="B13" s="21" t="s">
        <v>1</v>
      </c>
      <c r="C13" s="21"/>
      <c r="D13" s="22"/>
      <c r="E13" s="23"/>
      <c r="F13" s="35"/>
      <c r="G13" s="35"/>
      <c r="H13" s="18"/>
      <c r="I13" s="18"/>
      <c r="J13" s="19"/>
    </row>
    <row r="14" spans="1:10" x14ac:dyDescent="0.25">
      <c r="A14" s="26"/>
      <c r="B14" s="27"/>
      <c r="C14" s="27"/>
      <c r="D14" s="22"/>
      <c r="E14" s="23"/>
      <c r="F14" s="35"/>
      <c r="G14" s="35"/>
      <c r="H14" s="18"/>
      <c r="I14" s="18"/>
      <c r="J14" s="19"/>
    </row>
    <row r="15" spans="1:10" ht="15.75" thickBot="1" x14ac:dyDescent="0.3">
      <c r="A15" s="28" t="s">
        <v>2</v>
      </c>
      <c r="B15" s="29">
        <f>SUBTOTAL(2,B20:B2469)</f>
        <v>35</v>
      </c>
      <c r="C15" s="30" t="s">
        <v>3</v>
      </c>
      <c r="D15" s="30"/>
      <c r="E15" s="31"/>
      <c r="F15" s="36"/>
      <c r="G15" s="36"/>
      <c r="H15" s="32"/>
      <c r="I15" s="32"/>
      <c r="J15" s="33"/>
    </row>
    <row r="16" spans="1:10" ht="15.75" thickTop="1" x14ac:dyDescent="0.25">
      <c r="A16" s="34"/>
      <c r="B16" s="27"/>
      <c r="C16" s="27"/>
      <c r="D16" s="22"/>
      <c r="E16" s="23"/>
      <c r="F16" s="35"/>
      <c r="G16" s="35"/>
      <c r="H16" s="18"/>
      <c r="I16" s="18"/>
      <c r="J16" s="19"/>
    </row>
    <row r="17" spans="1:7" x14ac:dyDescent="0.25">
      <c r="F17" s="33"/>
      <c r="G17" s="33"/>
    </row>
    <row r="18" spans="1:7" x14ac:dyDescent="0.25">
      <c r="A18" s="60"/>
      <c r="D18" s="8"/>
      <c r="F18" s="4"/>
      <c r="G18" s="4"/>
    </row>
    <row r="19" spans="1:7" ht="43.5" customHeight="1" x14ac:dyDescent="0.25">
      <c r="A19" s="56" t="s">
        <v>146</v>
      </c>
      <c r="B19" s="56" t="s">
        <v>129</v>
      </c>
      <c r="C19" s="56" t="s">
        <v>130</v>
      </c>
      <c r="D19" s="57" t="s">
        <v>28</v>
      </c>
      <c r="E19" s="58" t="s">
        <v>131</v>
      </c>
      <c r="F19" s="58" t="s">
        <v>163</v>
      </c>
      <c r="G19" s="58" t="s">
        <v>164</v>
      </c>
    </row>
    <row r="20" spans="1:7" x14ac:dyDescent="0.25">
      <c r="A20" s="73" t="s">
        <v>162</v>
      </c>
      <c r="B20" s="71">
        <v>70342</v>
      </c>
      <c r="C20" s="75" t="str">
        <f>IF(ISNONTEXT('Main Data'!F4),"-",'Main Data'!F4)</f>
        <v>Tyler Road Limited Partnership</v>
      </c>
      <c r="D20" s="72">
        <v>0.9998999999999999</v>
      </c>
      <c r="E20" s="71" t="s">
        <v>166</v>
      </c>
      <c r="F20" s="74">
        <f>INDEX(IncStmt!$B$11:CZ$37,MATCH("NET INCOME / LOSS",IncStmt!$A$11:$A$37,0),MATCH($B20,IncStmt!$B$1:$CZ$1,0))</f>
        <v>23968</v>
      </c>
      <c r="G20" s="74">
        <f>IF(ISTEXT(F20),F20,F20*D20)</f>
        <v>23965.603199999998</v>
      </c>
    </row>
    <row r="21" spans="1:7" x14ac:dyDescent="0.25">
      <c r="A21" s="73" t="s">
        <v>162</v>
      </c>
      <c r="B21" s="71">
        <v>70343</v>
      </c>
      <c r="C21" s="75" t="str">
        <f>IF(ISNONTEXT('Main Data'!F5),"-",'Main Data'!F5)</f>
        <v>West Manchester Limited Partnership</v>
      </c>
      <c r="D21" s="72">
        <v>0.9998999999999999</v>
      </c>
      <c r="E21" s="71" t="s">
        <v>166</v>
      </c>
      <c r="F21" s="74">
        <f>INDEX(IncStmt!$B$11:CZ$37,MATCH("NET INCOME / LOSS",IncStmt!$A$11:$A$37,0),MATCH($B21,IncStmt!$B$1:$CZ$1,0))</f>
        <v>5987</v>
      </c>
      <c r="G21" s="74">
        <f>IF(ISTEXT(F21),F21,F21*D21)</f>
        <v>5986.4012999999995</v>
      </c>
    </row>
    <row r="22" spans="1:7" x14ac:dyDescent="0.25">
      <c r="A22" s="73" t="s">
        <v>162</v>
      </c>
      <c r="B22" s="71">
        <v>70344</v>
      </c>
      <c r="C22" s="75" t="str">
        <f>IF(ISNONTEXT('Main Data'!F6),"-",'Main Data'!F6)</f>
        <v>Naamans Creek Limited Partnership</v>
      </c>
      <c r="D22" s="72">
        <v>0.9998999999999999</v>
      </c>
      <c r="E22" s="71" t="s">
        <v>166</v>
      </c>
      <c r="F22" s="74">
        <f>INDEX(IncStmt!$B$11:CZ$37,MATCH("NET INCOME / LOSS",IncStmt!$A$11:$A$37,0),MATCH($B22,IncStmt!$B$1:$CZ$1,0))</f>
        <v>60195</v>
      </c>
      <c r="G22" s="74">
        <f>IF(ISTEXT(F22),F22,F22*D22)</f>
        <v>60188.980499999991</v>
      </c>
    </row>
    <row r="23" spans="1:7" x14ac:dyDescent="0.25">
      <c r="A23" s="73" t="s">
        <v>162</v>
      </c>
      <c r="B23" s="71">
        <v>70346</v>
      </c>
      <c r="C23" s="75" t="str">
        <f>IF(ISNONTEXT('Main Data'!F8),"-",'Main Data'!F8)</f>
        <v>Lower Salford Limited Partnership</v>
      </c>
      <c r="D23" s="72">
        <v>0.9998999999999999</v>
      </c>
      <c r="E23" s="71" t="s">
        <v>166</v>
      </c>
      <c r="F23" s="74">
        <f>INDEX(IncStmt!$B$11:CZ$37,MATCH("NET INCOME / LOSS",IncStmt!$A$11:$A$37,0),MATCH($B23,IncStmt!$B$1:$CZ$1,0))</f>
        <v>-205150</v>
      </c>
      <c r="G23" s="74">
        <f>IF(ISTEXT(F23),F23,F23*D23)</f>
        <v>-205129.48499999999</v>
      </c>
    </row>
    <row r="24" spans="1:7" x14ac:dyDescent="0.25">
      <c r="A24" s="73" t="s">
        <v>162</v>
      </c>
      <c r="B24" s="71">
        <v>70348</v>
      </c>
      <c r="C24" s="75" t="str">
        <f>IF(ISNONTEXT('Main Data'!F10),"-",'Main Data'!F10)</f>
        <v>Bethlehem Village Limited Partnership</v>
      </c>
      <c r="D24" s="72">
        <v>0.9998999999999999</v>
      </c>
      <c r="E24" s="71" t="s">
        <v>166</v>
      </c>
      <c r="F24" s="74">
        <f>INDEX(IncStmt!$B$11:CZ$37,MATCH("NET INCOME / LOSS",IncStmt!$A$11:$A$37,0),MATCH($B24,IncStmt!$B$1:$CZ$1,0))</f>
        <v>-188460</v>
      </c>
      <c r="G24" s="74">
        <f>IF(ISTEXT(F24),F24,F24*D24)</f>
        <v>-188441.15399999998</v>
      </c>
    </row>
    <row r="25" spans="1:7" x14ac:dyDescent="0.25">
      <c r="A25" s="73" t="s">
        <v>162</v>
      </c>
      <c r="B25" s="71">
        <v>70350</v>
      </c>
      <c r="C25" s="75" t="str">
        <f>IF(ISNONTEXT('Main Data'!F12),"-",'Main Data'!F12)</f>
        <v>Easton Limited Partnership</v>
      </c>
      <c r="D25" s="72">
        <v>0.9998999999999999</v>
      </c>
      <c r="E25" s="71" t="s">
        <v>166</v>
      </c>
      <c r="F25" s="74">
        <f>INDEX(IncStmt!$B$11:CZ$37,MATCH("NET INCOME / LOSS",IncStmt!$A$11:$A$37,0),MATCH($B25,IncStmt!$B$1:$CZ$1,0))</f>
        <v>26146</v>
      </c>
      <c r="G25" s="74">
        <f>IF(ISTEXT(F25),F25,F25*D25)</f>
        <v>26143.385399999996</v>
      </c>
    </row>
    <row r="26" spans="1:7" x14ac:dyDescent="0.25">
      <c r="A26" s="73" t="s">
        <v>162</v>
      </c>
      <c r="B26" s="71">
        <v>70352</v>
      </c>
      <c r="C26" s="75" t="str">
        <f>IF(ISNONTEXT('Main Data'!F13),"-",'Main Data'!F13)</f>
        <v>Somerset Commons LLLP</v>
      </c>
      <c r="D26" s="72">
        <v>0.9998999999999999</v>
      </c>
      <c r="E26" s="71" t="s">
        <v>166</v>
      </c>
      <c r="F26" s="74">
        <f>INDEX(IncStmt!$B$11:CZ$37,MATCH("NET INCOME / LOSS",IncStmt!$A$11:$A$37,0),MATCH($B26,IncStmt!$B$1:$CZ$1,0))</f>
        <v>191692</v>
      </c>
      <c r="G26" s="74">
        <f>IF(ISTEXT(F26),F26,F26*D26)</f>
        <v>191672.83079999997</v>
      </c>
    </row>
    <row r="27" spans="1:7" x14ac:dyDescent="0.25">
      <c r="A27" s="73" t="s">
        <v>162</v>
      </c>
      <c r="B27" s="71">
        <v>70358</v>
      </c>
      <c r="C27" s="75" t="str">
        <f>IF(ISNONTEXT('Main Data'!F16),"-",'Main Data'!F16)</f>
        <v>Ellicott City II Limited Partnership</v>
      </c>
      <c r="D27" s="72">
        <v>0.9998999999999999</v>
      </c>
      <c r="E27" s="71" t="s">
        <v>166</v>
      </c>
      <c r="F27" s="74">
        <f>INDEX(IncStmt!$B$11:CZ$37,MATCH("NET INCOME / LOSS",IncStmt!$A$11:$A$37,0),MATCH($B27,IncStmt!$B$1:$CZ$1,0))</f>
        <v>94508</v>
      </c>
      <c r="G27" s="74">
        <f>IF(ISTEXT(F27),F27,F27*D27)</f>
        <v>94498.549199999994</v>
      </c>
    </row>
    <row r="28" spans="1:7" x14ac:dyDescent="0.25">
      <c r="A28" s="73" t="s">
        <v>162</v>
      </c>
      <c r="B28" s="71">
        <v>70361</v>
      </c>
      <c r="C28" s="75" t="str">
        <f>IF(ISNONTEXT('Main Data'!F17),"-",'Main Data'!F17)</f>
        <v>Hickory Ridge Village LLLP</v>
      </c>
      <c r="D28" s="72">
        <v>0.9998999999999999</v>
      </c>
      <c r="E28" s="71" t="s">
        <v>166</v>
      </c>
      <c r="F28" s="74">
        <f>INDEX(IncStmt!$B$11:CZ$37,MATCH("NET INCOME / LOSS",IncStmt!$A$11:$A$37,0),MATCH($B28,IncStmt!$B$1:$CZ$1,0))</f>
        <v>580145</v>
      </c>
      <c r="G28" s="74">
        <f>IF(ISTEXT(F28),F28,F28*D28)</f>
        <v>580086.98549999995</v>
      </c>
    </row>
    <row r="29" spans="1:7" x14ac:dyDescent="0.25">
      <c r="A29" s="73" t="s">
        <v>162</v>
      </c>
      <c r="B29" s="71">
        <v>70364</v>
      </c>
      <c r="C29" s="75" t="str">
        <f>IF(ISNONTEXT('Main Data'!F20),"-",'Main Data'!F20)</f>
        <v>Woodbridge Commons LLLP</v>
      </c>
      <c r="D29" s="72">
        <v>0.9998999999999999</v>
      </c>
      <c r="E29" s="71" t="s">
        <v>166</v>
      </c>
      <c r="F29" s="74">
        <f>INDEX(IncStmt!$B$11:CZ$37,MATCH("NET INCOME / LOSS",IncStmt!$A$11:$A$37,0),MATCH($B29,IncStmt!$B$1:$CZ$1,0))</f>
        <v>-87271</v>
      </c>
      <c r="G29" s="74">
        <f>IF(ISTEXT(F29),F29,F29*D29)</f>
        <v>-87262.272899999996</v>
      </c>
    </row>
    <row r="30" spans="1:7" x14ac:dyDescent="0.25">
      <c r="A30" s="73" t="s">
        <v>162</v>
      </c>
      <c r="B30" s="71">
        <v>70365</v>
      </c>
      <c r="C30" s="75" t="str">
        <f>IF(ISNONTEXT('Main Data'!F21),"-",'Main Data'!F21)</f>
        <v>Park View at Bel Air II LLLP</v>
      </c>
      <c r="D30" s="72">
        <v>0.9998999999999999</v>
      </c>
      <c r="E30" s="71" t="s">
        <v>166</v>
      </c>
      <c r="F30" s="74">
        <f>INDEX(IncStmt!$B$11:CZ$37,MATCH("NET INCOME / LOSS",IncStmt!$A$11:$A$37,0),MATCH($B30,IncStmt!$B$1:$CZ$1,0))</f>
        <v>-170978</v>
      </c>
      <c r="G30" s="74">
        <f>IF(ISTEXT(F30),F30,F30*D30)</f>
        <v>-170960.90219999998</v>
      </c>
    </row>
    <row r="31" spans="1:7" x14ac:dyDescent="0.25">
      <c r="A31" s="73" t="s">
        <v>162</v>
      </c>
      <c r="B31" s="71">
        <v>70366</v>
      </c>
      <c r="C31" s="75" t="str">
        <f>IF(ISNONTEXT('Main Data'!F22),"-",'Main Data'!F22)</f>
        <v>Abingdon II LLLP</v>
      </c>
      <c r="D31" s="72">
        <v>0.9998999999999999</v>
      </c>
      <c r="E31" s="71" t="s">
        <v>166</v>
      </c>
      <c r="F31" s="74">
        <f>INDEX(IncStmt!$B$11:CZ$37,MATCH("NET INCOME / LOSS",IncStmt!$A$11:$A$37,0),MATCH($B31,IncStmt!$B$1:$CZ$1,0))</f>
        <v>153815</v>
      </c>
      <c r="G31" s="74">
        <f>IF(ISTEXT(F31),F31,F31*D31)</f>
        <v>153799.61849999998</v>
      </c>
    </row>
    <row r="32" spans="1:7" x14ac:dyDescent="0.25">
      <c r="A32" s="73" t="s">
        <v>162</v>
      </c>
      <c r="B32" s="71">
        <v>70367</v>
      </c>
      <c r="C32" s="75" t="str">
        <f>IF(ISNONTEXT('Main Data'!F23),"-",'Main Data'!F23)</f>
        <v>College Parkway LLLP</v>
      </c>
      <c r="D32" s="72">
        <v>0.9998999999999999</v>
      </c>
      <c r="E32" s="71" t="s">
        <v>166</v>
      </c>
      <c r="F32" s="74">
        <f>INDEX(IncStmt!$B$11:CZ$37,MATCH("NET INCOME / LOSS",IncStmt!$A$11:$A$37,0),MATCH($B32,IncStmt!$B$1:$CZ$1,0))</f>
        <v>15547</v>
      </c>
      <c r="G32" s="74">
        <f>IF(ISTEXT(F32),F32,F32*D32)</f>
        <v>15545.445299999998</v>
      </c>
    </row>
    <row r="33" spans="1:7" x14ac:dyDescent="0.25">
      <c r="A33" s="73" t="s">
        <v>162</v>
      </c>
      <c r="B33" s="71">
        <v>70368</v>
      </c>
      <c r="C33" s="75" t="str">
        <f>IF(ISNONTEXT('Main Data'!F24),"-",'Main Data'!F24)</f>
        <v>Glen Burnie LLLP</v>
      </c>
      <c r="D33" s="72">
        <v>0.9998999999999999</v>
      </c>
      <c r="E33" s="71" t="s">
        <v>166</v>
      </c>
      <c r="F33" s="74">
        <f>INDEX(IncStmt!$B$11:CZ$37,MATCH("NET INCOME / LOSS",IncStmt!$A$11:$A$37,0),MATCH($B33,IncStmt!$B$1:$CZ$1,0))</f>
        <v>-155844</v>
      </c>
      <c r="G33" s="74">
        <f>IF(ISTEXT(F33),F33,F33*D33)</f>
        <v>-155828.41559999998</v>
      </c>
    </row>
    <row r="34" spans="1:7" x14ac:dyDescent="0.25">
      <c r="A34" s="73" t="s">
        <v>162</v>
      </c>
      <c r="B34" s="71">
        <v>70373</v>
      </c>
      <c r="C34" s="75" t="str">
        <f>IF(ISNONTEXT('Main Data'!F29),"-",'Main Data'!F29)</f>
        <v>Coldspring Limited Partnership</v>
      </c>
      <c r="D34" s="72">
        <v>0.9998999999999999</v>
      </c>
      <c r="E34" s="71" t="s">
        <v>209</v>
      </c>
      <c r="F34" s="74">
        <f>INDEX(IncStmt!$B$11:CZ$37,MATCH("NET INCOME / LOSS",IncStmt!$A$11:$A$37,0),MATCH($B34,IncStmt!$B$1:$CZ$1,0))</f>
        <v>-120142</v>
      </c>
      <c r="G34" s="74">
        <f>IF(ISTEXT(F34),F34,F34*D34)</f>
        <v>-120129.98579999999</v>
      </c>
    </row>
    <row r="35" spans="1:7" x14ac:dyDescent="0.25">
      <c r="A35" s="73" t="s">
        <v>162</v>
      </c>
      <c r="B35" s="71">
        <v>70374</v>
      </c>
      <c r="C35" s="75" t="str">
        <f>IF(ISNONTEXT('Main Data'!F30),"-",'Main Data'!F30)</f>
        <v>Parkville LLLP</v>
      </c>
      <c r="D35" s="72">
        <v>0.9998999999999999</v>
      </c>
      <c r="E35" s="71" t="s">
        <v>224</v>
      </c>
      <c r="F35" s="74">
        <f>INDEX(IncStmt!$B$11:CZ$37,MATCH("NET INCOME / LOSS",IncStmt!$A$11:$A$37,0),MATCH($B35,IncStmt!$B$1:$CZ$1,0))</f>
        <v>-99911</v>
      </c>
      <c r="G35" s="74">
        <f>IF(ISTEXT(F35),F35,F35*D35)</f>
        <v>-99901.008899999986</v>
      </c>
    </row>
    <row r="36" spans="1:7" x14ac:dyDescent="0.25">
      <c r="A36" s="73" t="s">
        <v>162</v>
      </c>
      <c r="B36" s="71">
        <v>70375</v>
      </c>
      <c r="C36" s="75" t="str">
        <f>IF(ISNONTEXT('Main Data'!F31),"-",'Main Data'!F31)</f>
        <v>Woodlawn Apartments Limited Partnership</v>
      </c>
      <c r="D36" s="72">
        <v>0.9998999999999999</v>
      </c>
      <c r="E36" s="71" t="s">
        <v>224</v>
      </c>
      <c r="F36" s="74">
        <f>INDEX(IncStmt!$B$11:CZ$37,MATCH("NET INCOME / LOSS",IncStmt!$A$11:$A$37,0),MATCH($B36,IncStmt!$B$1:$CZ$1,0))</f>
        <v>0</v>
      </c>
      <c r="G36" s="74">
        <f>IF(ISTEXT(F36),F36,F36*D36)</f>
        <v>0</v>
      </c>
    </row>
    <row r="37" spans="1:7" x14ac:dyDescent="0.25">
      <c r="A37" s="73" t="s">
        <v>162</v>
      </c>
      <c r="B37" s="71">
        <v>70340</v>
      </c>
      <c r="C37" s="75" t="str">
        <f>IF(ISNONTEXT('Main Data'!F2),"-",'Main Data'!F2)</f>
        <v>Catonsville LLLP</v>
      </c>
      <c r="D37" s="72">
        <v>1E-4</v>
      </c>
      <c r="E37" s="71" t="s">
        <v>166</v>
      </c>
      <c r="F37" s="74">
        <f>INDEX(IncStmt!$B$11:CZ$37,MATCH("NET INCOME / LOSS",IncStmt!$A$11:$A$37,0),MATCH($B37,IncStmt!$B$1:$CZ$1,0))</f>
        <v>-5049</v>
      </c>
      <c r="G37" s="74">
        <f>IF(ISTEXT(F37),F37,F37*D37)</f>
        <v>-0.50490000000000002</v>
      </c>
    </row>
    <row r="38" spans="1:7" x14ac:dyDescent="0.25">
      <c r="A38" s="73" t="s">
        <v>162</v>
      </c>
      <c r="B38" s="71">
        <v>70349</v>
      </c>
      <c r="C38" s="75" t="str">
        <f>IF(ISNONTEXT('Main Data'!F11),"-",'Main Data'!F11)</f>
        <v>Salisbury LLLP</v>
      </c>
      <c r="D38" s="72">
        <v>1E-4</v>
      </c>
      <c r="E38" s="71" t="s">
        <v>166</v>
      </c>
      <c r="F38" s="74">
        <f>INDEX(IncStmt!$B$11:CZ$37,MATCH("NET INCOME / LOSS",IncStmt!$A$11:$A$37,0),MATCH($B38,IncStmt!$B$1:$CZ$1,0))</f>
        <v>-352625</v>
      </c>
      <c r="G38" s="74">
        <f>IF(ISTEXT(F38),F38,F38*D38)</f>
        <v>-35.262500000000003</v>
      </c>
    </row>
    <row r="39" spans="1:7" x14ac:dyDescent="0.25">
      <c r="A39" s="73" t="s">
        <v>162</v>
      </c>
      <c r="B39" s="71">
        <v>70362</v>
      </c>
      <c r="C39" s="75" t="str">
        <f>IF(ISNONTEXT('Main Data'!F18),"-",'Main Data'!F18)</f>
        <v>Snowden River LLLP</v>
      </c>
      <c r="D39" s="72">
        <v>1E-4</v>
      </c>
      <c r="E39" s="71" t="s">
        <v>166</v>
      </c>
      <c r="F39" s="74">
        <f>INDEX(IncStmt!$B$11:CZ$37,MATCH("NET INCOME / LOSS",IncStmt!$A$11:$A$37,0),MATCH($B39,IncStmt!$B$1:$CZ$1,0))</f>
        <v>-174259</v>
      </c>
      <c r="G39" s="74">
        <f>IF(ISTEXT(F39),F39,F39*D39)</f>
        <v>-17.425900000000002</v>
      </c>
    </row>
    <row r="40" spans="1:7" x14ac:dyDescent="0.25">
      <c r="A40" s="73" t="s">
        <v>162</v>
      </c>
      <c r="B40" s="71">
        <v>70370</v>
      </c>
      <c r="C40" s="75" t="str">
        <f>IF(ISNONTEXT('Main Data'!F26),"-",'Main Data'!F26)</f>
        <v>Ashland LLLP</v>
      </c>
      <c r="D40" s="72">
        <v>1E-4</v>
      </c>
      <c r="E40" s="71" t="s">
        <v>166</v>
      </c>
      <c r="F40" s="74">
        <f>INDEX(IncStmt!$B$11:CZ$37,MATCH("NET INCOME / LOSS",IncStmt!$A$11:$A$37,0),MATCH($B40,IncStmt!$B$1:$CZ$1,0))</f>
        <v>-211225</v>
      </c>
      <c r="G40" s="74">
        <f>IF(ISTEXT(F40),F40,F40*D40)</f>
        <v>-21.122500000000002</v>
      </c>
    </row>
    <row r="41" spans="1:7" x14ac:dyDescent="0.25">
      <c r="A41" s="73" t="s">
        <v>162</v>
      </c>
      <c r="B41" s="71">
        <v>70371</v>
      </c>
      <c r="C41" s="75" t="str">
        <f>IF(ISNONTEXT('Main Data'!F27),"-",'Main Data'!F27)</f>
        <v>Fullerton LLLP</v>
      </c>
      <c r="D41" s="72">
        <v>1E-4</v>
      </c>
      <c r="E41" s="71" t="s">
        <v>166</v>
      </c>
      <c r="F41" s="74">
        <f>INDEX(IncStmt!$B$11:CZ$37,MATCH("NET INCOME / LOSS",IncStmt!$A$11:$A$37,0),MATCH($B41,IncStmt!$B$1:$CZ$1,0))</f>
        <v>-176776</v>
      </c>
      <c r="G41" s="74">
        <f>IF(ISTEXT(F41),F41,F41*D41)</f>
        <v>-17.677600000000002</v>
      </c>
    </row>
    <row r="42" spans="1:7" x14ac:dyDescent="0.25">
      <c r="A42" s="73" t="s">
        <v>162</v>
      </c>
      <c r="B42" s="71">
        <v>70372</v>
      </c>
      <c r="C42" s="75" t="str">
        <f>IF(ISNONTEXT('Main Data'!F28),"-",'Main Data'!F28)</f>
        <v>Ashland Park View LLLP</v>
      </c>
      <c r="D42" s="72">
        <v>1E-4</v>
      </c>
      <c r="E42" s="71" t="s">
        <v>166</v>
      </c>
      <c r="F42" s="74">
        <f>INDEX(IncStmt!$B$11:CZ$37,MATCH("NET INCOME / LOSS",IncStmt!$A$11:$A$37,0),MATCH($B42,IncStmt!$B$1:$CZ$1,0))</f>
        <v>-210852</v>
      </c>
      <c r="G42" s="74">
        <f>IF(ISTEXT(F42),F42,F42*D42)</f>
        <v>-21.0852</v>
      </c>
    </row>
    <row r="43" spans="1:7" x14ac:dyDescent="0.25">
      <c r="A43" s="73" t="s">
        <v>162</v>
      </c>
      <c r="B43" s="71">
        <v>70377</v>
      </c>
      <c r="C43" s="75" t="str">
        <f>IF(ISNONTEXT('Main Data'!F33),"-",'Main Data'!F33)</f>
        <v>Randallstown LLLP</v>
      </c>
      <c r="D43" s="72">
        <v>1E-4</v>
      </c>
      <c r="E43" s="71" t="s">
        <v>166</v>
      </c>
      <c r="F43" s="74">
        <f>INDEX(IncStmt!$B$11:CZ$37,MATCH("NET INCOME / LOSS",IncStmt!$A$11:$A$37,0),MATCH($B43,IncStmt!$B$1:$CZ$1,0))</f>
        <v>0</v>
      </c>
      <c r="G43" s="74">
        <f>IF(ISTEXT(F43),F43,F43*D43)</f>
        <v>0</v>
      </c>
    </row>
    <row r="44" spans="1:7" x14ac:dyDescent="0.25">
      <c r="A44" s="73" t="s">
        <v>162</v>
      </c>
      <c r="B44" s="71">
        <v>70378</v>
      </c>
      <c r="C44" s="75" t="str">
        <f>IF(ISNONTEXT('Main Data'!F34),"-",'Main Data'!F34)</f>
        <v>Rosedale LLLP</v>
      </c>
      <c r="D44" s="72">
        <v>1E-4</v>
      </c>
      <c r="E44" s="71" t="s">
        <v>166</v>
      </c>
      <c r="F44" s="74">
        <f>INDEX(IncStmt!$B$11:CZ$37,MATCH("NET INCOME / LOSS",IncStmt!$A$11:$A$37,0),MATCH($B44,IncStmt!$B$1:$CZ$1,0))</f>
        <v>0</v>
      </c>
      <c r="G44" s="74">
        <f>IF(ISTEXT(F44),F44,F44*D44)</f>
        <v>0</v>
      </c>
    </row>
    <row r="45" spans="1:7" x14ac:dyDescent="0.25">
      <c r="A45" s="73" t="s">
        <v>162</v>
      </c>
      <c r="B45" s="71">
        <v>70376</v>
      </c>
      <c r="C45" s="75" t="str">
        <f>IF(ISNONTEXT('Main Data'!F32),"-",'Main Data'!F32)</f>
        <v>Miramar LLLP</v>
      </c>
      <c r="D45" s="72">
        <v>9.4999999999999992E-5</v>
      </c>
      <c r="E45" s="71" t="s">
        <v>166</v>
      </c>
      <c r="F45" s="74">
        <f>INDEX(IncStmt!$B$11:CZ$37,MATCH("NET INCOME / LOSS",IncStmt!$A$11:$A$37,0),MATCH($B45,IncStmt!$B$1:$CZ$1,0))</f>
        <v>0</v>
      </c>
      <c r="G45" s="74">
        <f>IF(ISTEXT(F45),F45,F45*D45)</f>
        <v>0</v>
      </c>
    </row>
    <row r="46" spans="1:7" x14ac:dyDescent="0.25">
      <c r="A46" s="73" t="s">
        <v>162</v>
      </c>
      <c r="B46" s="71">
        <v>70379</v>
      </c>
      <c r="C46" s="75" t="str">
        <f>IF(ISNONTEXT('Main Data'!F35),"-",'Main Data'!F35)</f>
        <v>Timothy House  LLLP</v>
      </c>
      <c r="D46" s="72">
        <v>9.4000000000000008E-5</v>
      </c>
      <c r="E46" s="71" t="s">
        <v>166</v>
      </c>
      <c r="F46" s="74">
        <f>INDEX(IncStmt!$B$11:CZ$37,MATCH("NET INCOME / LOSS",IncStmt!$A$11:$A$37,0),MATCH($B46,IncStmt!$B$1:$CZ$1,0))</f>
        <v>0</v>
      </c>
      <c r="G46" s="74">
        <f>IF(ISTEXT(F46),F46,F46*D46)</f>
        <v>0</v>
      </c>
    </row>
    <row r="47" spans="1:7" x14ac:dyDescent="0.25">
      <c r="A47" s="73" t="s">
        <v>162</v>
      </c>
      <c r="B47" s="71">
        <v>70381</v>
      </c>
      <c r="C47" s="75" t="str">
        <f>IF(ISNONTEXT('Main Data'!F36),"-",'Main Data'!F36)</f>
        <v>Aberdeen Commons LLLP</v>
      </c>
      <c r="D47" s="72">
        <v>9.2499999999999999E-5</v>
      </c>
      <c r="E47" s="71" t="s">
        <v>166</v>
      </c>
      <c r="F47" s="74">
        <f>INDEX(IncStmt!$B$11:CZ$37,MATCH("NET INCOME / LOSS",IncStmt!$A$11:$A$37,0),MATCH($B47,IncStmt!$B$1:$CZ$1,0))</f>
        <v>0</v>
      </c>
      <c r="G47" s="74">
        <f>IF(ISTEXT(F47),F47,F47*D47)</f>
        <v>0</v>
      </c>
    </row>
    <row r="48" spans="1:7" x14ac:dyDescent="0.25">
      <c r="A48" s="73" t="s">
        <v>162</v>
      </c>
      <c r="B48" s="71">
        <v>70363</v>
      </c>
      <c r="C48" s="75" t="str">
        <f>IF(ISNONTEXT('Main Data'!F19),"-",'Main Data'!F19)</f>
        <v>Columbia LLLP</v>
      </c>
      <c r="D48" s="72">
        <v>9.1000000000000003E-5</v>
      </c>
      <c r="E48" s="71" t="s">
        <v>166</v>
      </c>
      <c r="F48" s="74">
        <f>INDEX(IncStmt!$B$11:CZ$37,MATCH("NET INCOME / LOSS",IncStmt!$A$11:$A$37,0),MATCH($B48,IncStmt!$B$1:$CZ$1,0))</f>
        <v>-2414</v>
      </c>
      <c r="G48" s="74">
        <f>IF(ISTEXT(F48),F48,F48*D48)</f>
        <v>-0.21967400000000001</v>
      </c>
    </row>
    <row r="49" spans="1:7" x14ac:dyDescent="0.25">
      <c r="A49" s="73" t="s">
        <v>162</v>
      </c>
      <c r="B49" s="71">
        <v>70354</v>
      </c>
      <c r="C49" s="75" t="str">
        <f>IF(ISNONTEXT('Main Data'!F14),"-",'Main Data'!F14)</f>
        <v>Laurel LLLP</v>
      </c>
      <c r="D49" s="72">
        <v>9.001E-5</v>
      </c>
      <c r="E49" s="71" t="s">
        <v>166</v>
      </c>
      <c r="F49" s="74">
        <f>INDEX(IncStmt!$B$11:CZ$37,MATCH("NET INCOME / LOSS",IncStmt!$A$11:$A$37,0),MATCH($B49,IncStmt!$B$1:$CZ$1,0))</f>
        <v>-29188</v>
      </c>
      <c r="G49" s="74">
        <f>IF(ISTEXT(F49),F49,F49*D49)</f>
        <v>-2.6272118799999999</v>
      </c>
    </row>
    <row r="50" spans="1:7" x14ac:dyDescent="0.25">
      <c r="A50" s="73" t="s">
        <v>162</v>
      </c>
      <c r="B50" s="71">
        <v>70357</v>
      </c>
      <c r="C50" s="75" t="str">
        <f>IF(ISNONTEXT('Main Data'!F15),"-",'Main Data'!F15)</f>
        <v>Emerson LLLP</v>
      </c>
      <c r="D50" s="72">
        <v>9.001E-5</v>
      </c>
      <c r="E50" s="71" t="s">
        <v>166</v>
      </c>
      <c r="F50" s="74">
        <f>INDEX(IncStmt!$B$11:CZ$37,MATCH("NET INCOME / LOSS",IncStmt!$A$11:$A$37,0),MATCH($B50,IncStmt!$B$1:$CZ$1,0))</f>
        <v>-213711</v>
      </c>
      <c r="G50" s="74">
        <f>IF(ISTEXT(F50),F50,F50*D50)</f>
        <v>-19.236127110000002</v>
      </c>
    </row>
    <row r="51" spans="1:7" x14ac:dyDescent="0.25">
      <c r="A51" s="73" t="s">
        <v>162</v>
      </c>
      <c r="B51" s="71">
        <v>70369</v>
      </c>
      <c r="C51" s="75" t="str">
        <f>IF(ISNONTEXT('Main Data'!F25),"-",'Main Data'!F25)</f>
        <v>Severna Park LLLP</v>
      </c>
      <c r="D51" s="72">
        <v>9.001E-5</v>
      </c>
      <c r="E51" s="71" t="s">
        <v>166</v>
      </c>
      <c r="F51" s="74">
        <f>INDEX(IncStmt!$B$11:CZ$37,MATCH("NET INCOME / LOSS",IncStmt!$A$11:$A$37,0),MATCH($B51,IncStmt!$B$1:$CZ$1,0))</f>
        <v>-334646</v>
      </c>
      <c r="G51" s="74">
        <f>IF(ISTEXT(F51),F51,F51*D51)</f>
        <v>-30.12148646</v>
      </c>
    </row>
    <row r="52" spans="1:7" x14ac:dyDescent="0.25">
      <c r="A52" s="73" t="s">
        <v>162</v>
      </c>
      <c r="B52" s="71">
        <v>70341</v>
      </c>
      <c r="C52" s="75" t="str">
        <f>IF(ISNONTEXT('Main Data'!F3),"-",'Main Data'!F3)</f>
        <v>South Pantops Limited Partnership</v>
      </c>
      <c r="D52" s="72">
        <v>8.5000000000000006E-5</v>
      </c>
      <c r="E52" s="71" t="s">
        <v>166</v>
      </c>
      <c r="F52" s="74">
        <f>INDEX(IncStmt!$B$11:CZ$37,MATCH("NET INCOME / LOSS",IncStmt!$A$11:$A$37,0),MATCH($B52,IncStmt!$B$1:$CZ$1,0))</f>
        <v>-2800</v>
      </c>
      <c r="G52" s="74">
        <f>IF(ISTEXT(F52),F52,F52*D52)</f>
        <v>-0.23800000000000002</v>
      </c>
    </row>
    <row r="53" spans="1:7" x14ac:dyDescent="0.25">
      <c r="A53" s="73" t="s">
        <v>162</v>
      </c>
      <c r="B53" s="71">
        <v>70345</v>
      </c>
      <c r="C53" s="75" t="str">
        <f>IF(ISNONTEXT('Main Data'!F7),"-",'Main Data'!F7)</f>
        <v>York Commons Limited Partnership</v>
      </c>
      <c r="D53" s="72">
        <v>7.0000000000000007E-5</v>
      </c>
      <c r="E53" s="71" t="s">
        <v>166</v>
      </c>
      <c r="F53" s="74">
        <f>INDEX(IncStmt!$B$11:CZ$37,MATCH("NET INCOME / LOSS",IncStmt!$A$11:$A$37,0),MATCH($B53,IncStmt!$B$1:$CZ$1,0))</f>
        <v>-208017</v>
      </c>
      <c r="G53" s="74">
        <f>IF(ISTEXT(F53),F53,F53*D53)</f>
        <v>-14.561190000000002</v>
      </c>
    </row>
    <row r="54" spans="1:7" x14ac:dyDescent="0.25">
      <c r="A54" s="73" t="s">
        <v>162</v>
      </c>
      <c r="B54" s="71">
        <v>70347</v>
      </c>
      <c r="C54" s="75" t="str">
        <f>IF(ISNONTEXT('Main Data'!F9),"-",'Main Data'!F9)</f>
        <v>Cheltenham Park View Limited Partnership II</v>
      </c>
      <c r="D54" s="72">
        <v>7.0000000000000007E-5</v>
      </c>
      <c r="E54" s="71" t="s">
        <v>166</v>
      </c>
      <c r="F54" s="74">
        <f>INDEX(IncStmt!$B$11:CZ$37,MATCH("NET INCOME / LOSS",IncStmt!$A$11:$A$37,0),MATCH($B54,IncStmt!$B$1:$CZ$1,0))</f>
        <v>-216730</v>
      </c>
      <c r="G54" s="74">
        <f>IF(ISTEXT(F54),F54,F54*D54)</f>
        <v>-15.171100000000001</v>
      </c>
    </row>
    <row r="56" spans="1:7" ht="15.75" thickBot="1" x14ac:dyDescent="0.3">
      <c r="F56" s="69">
        <f>SUBTOTAL(9,F19:F54)</f>
        <v>-2014045</v>
      </c>
      <c r="G56" s="70">
        <f>SUBTOTAL(9,G19:G54)</f>
        <v>124039.32191054997</v>
      </c>
    </row>
    <row r="57" spans="1:7" ht="15.75" thickTop="1" x14ac:dyDescent="0.25"/>
  </sheetData>
  <autoFilter ref="A19:G47">
    <sortState ref="A20:G54">
      <sortCondition descending="1" ref="D10:D19"/>
    </sortState>
  </autoFilter>
  <sortState ref="A11:G46">
    <sortCondition ref="A10"/>
  </sortState>
  <printOptions horizontalCentered="1"/>
  <pageMargins left="0.25" right="0.25" top="0.75" bottom="0.75" header="0.3" footer="0.3"/>
  <pageSetup scale="50" fitToHeight="0" orientation="landscape" draft="1" r:id="rId1"/>
  <headerFooter>
    <oddHeader>&amp;CEnterprise Homes Preservation Fund, LLC
SUMMARIZED MAIN SHEET
OPERATING PARTNERSHIPS - DETAILS
Unaudited
For period ending December 31, 2017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8194" r:id="rId4" name="GetData">
              <controlPr defaultSize="0" print="0" autoFill="0" autoPict="0" macro="[0]!GetData_Click" altText="Get Data">
                <anchor moveWithCells="1" sizeWithCells="1">
                  <from>
                    <xdr:col>2</xdr:col>
                    <xdr:colOff>1790700</xdr:colOff>
                    <xdr:row>10</xdr:row>
                    <xdr:rowOff>190500</xdr:rowOff>
                  </from>
                  <to>
                    <xdr:col>2</xdr:col>
                    <xdr:colOff>3019425</xdr:colOff>
                    <xdr:row>14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F126"/>
  <sheetViews>
    <sheetView workbookViewId="0">
      <selection activeCell="B2" sqref="B2:B36"/>
    </sheetView>
  </sheetViews>
  <sheetFormatPr defaultRowHeight="15" x14ac:dyDescent="0.25"/>
  <cols>
    <col min="1" max="1" width="10.42578125" bestFit="1" customWidth="1"/>
    <col min="3" max="3" width="30.7109375" bestFit="1" customWidth="1"/>
    <col min="5" max="5" width="36.140625" bestFit="1" customWidth="1"/>
  </cols>
  <sheetData>
    <row r="2" spans="1:6" x14ac:dyDescent="0.25">
      <c r="A2" s="68" t="s">
        <v>162</v>
      </c>
      <c r="B2">
        <v>70340</v>
      </c>
      <c r="C2" t="s">
        <v>165</v>
      </c>
      <c r="D2">
        <v>0.01</v>
      </c>
      <c r="E2" t="s">
        <v>166</v>
      </c>
      <c r="F2" t="s">
        <v>167</v>
      </c>
    </row>
    <row r="3" spans="1:6" x14ac:dyDescent="0.25">
      <c r="A3" s="68" t="s">
        <v>162</v>
      </c>
      <c r="B3">
        <v>70341</v>
      </c>
      <c r="C3" t="s">
        <v>168</v>
      </c>
      <c r="D3">
        <v>8.5000000000000006E-3</v>
      </c>
      <c r="E3" t="s">
        <v>166</v>
      </c>
      <c r="F3" t="s">
        <v>169</v>
      </c>
    </row>
    <row r="4" spans="1:6" x14ac:dyDescent="0.25">
      <c r="A4" s="68" t="s">
        <v>162</v>
      </c>
      <c r="B4">
        <v>70342</v>
      </c>
      <c r="C4" t="s">
        <v>170</v>
      </c>
      <c r="D4">
        <v>99.99</v>
      </c>
      <c r="E4" t="s">
        <v>166</v>
      </c>
      <c r="F4" t="s">
        <v>171</v>
      </c>
    </row>
    <row r="5" spans="1:6" x14ac:dyDescent="0.25">
      <c r="A5" s="68" t="s">
        <v>162</v>
      </c>
      <c r="B5">
        <v>70343</v>
      </c>
      <c r="C5" t="s">
        <v>172</v>
      </c>
      <c r="D5">
        <v>99.99</v>
      </c>
      <c r="E5" t="s">
        <v>166</v>
      </c>
      <c r="F5" t="s">
        <v>173</v>
      </c>
    </row>
    <row r="6" spans="1:6" x14ac:dyDescent="0.25">
      <c r="A6" s="68" t="s">
        <v>162</v>
      </c>
      <c r="B6">
        <v>70344</v>
      </c>
      <c r="C6" t="s">
        <v>174</v>
      </c>
      <c r="D6">
        <v>99.99</v>
      </c>
      <c r="E6" t="s">
        <v>166</v>
      </c>
      <c r="F6" t="s">
        <v>175</v>
      </c>
    </row>
    <row r="7" spans="1:6" x14ac:dyDescent="0.25">
      <c r="A7" s="68" t="s">
        <v>162</v>
      </c>
      <c r="B7">
        <v>70345</v>
      </c>
      <c r="C7" t="s">
        <v>176</v>
      </c>
      <c r="D7">
        <v>7.0000000000000001E-3</v>
      </c>
      <c r="E7" t="s">
        <v>166</v>
      </c>
      <c r="F7" t="s">
        <v>177</v>
      </c>
    </row>
    <row r="8" spans="1:6" x14ac:dyDescent="0.25">
      <c r="A8" s="68" t="s">
        <v>162</v>
      </c>
      <c r="B8">
        <v>70346</v>
      </c>
      <c r="C8" t="s">
        <v>178</v>
      </c>
      <c r="D8">
        <v>99.99</v>
      </c>
      <c r="E8" t="s">
        <v>166</v>
      </c>
      <c r="F8" t="s">
        <v>179</v>
      </c>
    </row>
    <row r="9" spans="1:6" x14ac:dyDescent="0.25">
      <c r="A9" s="68" t="s">
        <v>162</v>
      </c>
      <c r="B9">
        <v>70347</v>
      </c>
      <c r="C9" t="s">
        <v>180</v>
      </c>
      <c r="D9">
        <v>7.0000000000000001E-3</v>
      </c>
      <c r="E9" t="s">
        <v>166</v>
      </c>
      <c r="F9" t="s">
        <v>181</v>
      </c>
    </row>
    <row r="10" spans="1:6" x14ac:dyDescent="0.25">
      <c r="A10" s="68" t="s">
        <v>162</v>
      </c>
      <c r="B10">
        <v>70348</v>
      </c>
      <c r="C10" t="s">
        <v>182</v>
      </c>
      <c r="D10">
        <v>99.99</v>
      </c>
      <c r="E10" t="s">
        <v>166</v>
      </c>
      <c r="F10" t="s">
        <v>183</v>
      </c>
    </row>
    <row r="11" spans="1:6" x14ac:dyDescent="0.25">
      <c r="A11" s="68" t="s">
        <v>162</v>
      </c>
      <c r="B11">
        <v>70349</v>
      </c>
      <c r="C11" t="s">
        <v>184</v>
      </c>
      <c r="D11">
        <v>0.01</v>
      </c>
      <c r="E11" t="s">
        <v>166</v>
      </c>
      <c r="F11" t="s">
        <v>185</v>
      </c>
    </row>
    <row r="12" spans="1:6" x14ac:dyDescent="0.25">
      <c r="A12" s="68" t="s">
        <v>162</v>
      </c>
      <c r="B12">
        <v>70350</v>
      </c>
      <c r="C12" t="s">
        <v>186</v>
      </c>
      <c r="D12">
        <v>99.99</v>
      </c>
      <c r="E12" t="s">
        <v>166</v>
      </c>
      <c r="F12" t="s">
        <v>187</v>
      </c>
    </row>
    <row r="13" spans="1:6" x14ac:dyDescent="0.25">
      <c r="A13" s="68" t="s">
        <v>162</v>
      </c>
      <c r="B13">
        <v>70352</v>
      </c>
      <c r="C13" t="s">
        <v>188</v>
      </c>
      <c r="D13">
        <v>99.99</v>
      </c>
      <c r="E13" t="s">
        <v>166</v>
      </c>
      <c r="F13" t="s">
        <v>189</v>
      </c>
    </row>
    <row r="14" spans="1:6" x14ac:dyDescent="0.25">
      <c r="A14" s="68" t="s">
        <v>162</v>
      </c>
      <c r="B14">
        <v>70354</v>
      </c>
      <c r="C14" t="s">
        <v>190</v>
      </c>
      <c r="D14">
        <v>9.0010000000000003E-3</v>
      </c>
      <c r="E14" t="s">
        <v>166</v>
      </c>
      <c r="F14" t="s">
        <v>191</v>
      </c>
    </row>
    <row r="15" spans="1:6" x14ac:dyDescent="0.25">
      <c r="A15" s="68" t="s">
        <v>162</v>
      </c>
      <c r="B15">
        <v>70357</v>
      </c>
      <c r="C15" t="s">
        <v>192</v>
      </c>
      <c r="D15">
        <v>9.0010000000000003E-3</v>
      </c>
      <c r="E15" t="s">
        <v>166</v>
      </c>
      <c r="F15" t="s">
        <v>193</v>
      </c>
    </row>
    <row r="16" spans="1:6" x14ac:dyDescent="0.25">
      <c r="A16" s="68" t="s">
        <v>162</v>
      </c>
      <c r="B16">
        <v>70358</v>
      </c>
      <c r="C16" t="s">
        <v>194</v>
      </c>
      <c r="D16">
        <v>99.99</v>
      </c>
      <c r="E16" t="s">
        <v>166</v>
      </c>
      <c r="F16" t="s">
        <v>195</v>
      </c>
    </row>
    <row r="17" spans="1:6" x14ac:dyDescent="0.25">
      <c r="A17" s="68" t="s">
        <v>162</v>
      </c>
      <c r="B17">
        <v>70361</v>
      </c>
      <c r="C17" t="s">
        <v>196</v>
      </c>
      <c r="D17">
        <v>99.99</v>
      </c>
      <c r="E17" t="s">
        <v>166</v>
      </c>
      <c r="F17" t="s">
        <v>197</v>
      </c>
    </row>
    <row r="18" spans="1:6" x14ac:dyDescent="0.25">
      <c r="A18" s="68" t="s">
        <v>162</v>
      </c>
      <c r="B18">
        <v>70362</v>
      </c>
      <c r="C18" t="s">
        <v>198</v>
      </c>
      <c r="D18">
        <v>0.01</v>
      </c>
      <c r="E18" t="s">
        <v>166</v>
      </c>
      <c r="F18" t="s">
        <v>199</v>
      </c>
    </row>
    <row r="19" spans="1:6" x14ac:dyDescent="0.25">
      <c r="A19" s="68" t="s">
        <v>162</v>
      </c>
      <c r="B19">
        <v>70363</v>
      </c>
      <c r="C19" t="s">
        <v>200</v>
      </c>
      <c r="D19">
        <v>9.1000000000000004E-3</v>
      </c>
      <c r="E19" t="s">
        <v>166</v>
      </c>
      <c r="F19" t="s">
        <v>201</v>
      </c>
    </row>
    <row r="20" spans="1:6" x14ac:dyDescent="0.25">
      <c r="A20" s="68" t="s">
        <v>162</v>
      </c>
      <c r="B20">
        <v>70364</v>
      </c>
      <c r="C20" t="s">
        <v>202</v>
      </c>
      <c r="D20">
        <v>99.99</v>
      </c>
      <c r="E20" t="s">
        <v>166</v>
      </c>
      <c r="F20" t="s">
        <v>203</v>
      </c>
    </row>
    <row r="21" spans="1:6" x14ac:dyDescent="0.25">
      <c r="A21" s="68" t="s">
        <v>162</v>
      </c>
      <c r="B21">
        <v>70365</v>
      </c>
      <c r="C21" t="s">
        <v>204</v>
      </c>
      <c r="D21">
        <v>99.99</v>
      </c>
      <c r="E21" t="s">
        <v>166</v>
      </c>
      <c r="F21" t="s">
        <v>205</v>
      </c>
    </row>
    <row r="22" spans="1:6" x14ac:dyDescent="0.25">
      <c r="A22" s="68" t="s">
        <v>162</v>
      </c>
      <c r="B22">
        <v>70366</v>
      </c>
      <c r="C22" t="s">
        <v>206</v>
      </c>
      <c r="D22">
        <v>99.99</v>
      </c>
      <c r="E22" t="s">
        <v>166</v>
      </c>
      <c r="F22" t="s">
        <v>207</v>
      </c>
    </row>
    <row r="23" spans="1:6" x14ac:dyDescent="0.25">
      <c r="A23" s="68" t="s">
        <v>162</v>
      </c>
      <c r="B23">
        <v>70367</v>
      </c>
      <c r="C23" t="s">
        <v>208</v>
      </c>
      <c r="D23">
        <v>99.99</v>
      </c>
      <c r="E23" t="s">
        <v>166</v>
      </c>
      <c r="F23" t="s">
        <v>210</v>
      </c>
    </row>
    <row r="24" spans="1:6" x14ac:dyDescent="0.25">
      <c r="A24" s="68" t="s">
        <v>162</v>
      </c>
      <c r="B24">
        <v>70368</v>
      </c>
      <c r="C24" t="s">
        <v>211</v>
      </c>
      <c r="D24">
        <v>99.99</v>
      </c>
      <c r="E24" t="s">
        <v>166</v>
      </c>
      <c r="F24" t="s">
        <v>212</v>
      </c>
    </row>
    <row r="25" spans="1:6" x14ac:dyDescent="0.25">
      <c r="A25" s="68" t="s">
        <v>162</v>
      </c>
      <c r="B25">
        <v>70369</v>
      </c>
      <c r="C25" t="s">
        <v>213</v>
      </c>
      <c r="D25">
        <v>9.0010000000000003E-3</v>
      </c>
      <c r="E25" t="s">
        <v>166</v>
      </c>
      <c r="F25" t="s">
        <v>214</v>
      </c>
    </row>
    <row r="26" spans="1:6" x14ac:dyDescent="0.25">
      <c r="A26" s="68" t="s">
        <v>162</v>
      </c>
      <c r="B26">
        <v>70370</v>
      </c>
      <c r="C26" t="s">
        <v>215</v>
      </c>
      <c r="D26">
        <v>0.01</v>
      </c>
      <c r="E26" t="s">
        <v>166</v>
      </c>
      <c r="F26" t="s">
        <v>216</v>
      </c>
    </row>
    <row r="27" spans="1:6" x14ac:dyDescent="0.25">
      <c r="A27" s="68" t="s">
        <v>162</v>
      </c>
      <c r="B27">
        <v>70371</v>
      </c>
      <c r="C27" t="s">
        <v>217</v>
      </c>
      <c r="D27">
        <v>0.01</v>
      </c>
      <c r="E27" t="s">
        <v>166</v>
      </c>
      <c r="F27" t="s">
        <v>218</v>
      </c>
    </row>
    <row r="28" spans="1:6" x14ac:dyDescent="0.25">
      <c r="A28" s="68" t="s">
        <v>162</v>
      </c>
      <c r="B28">
        <v>70372</v>
      </c>
      <c r="C28" t="s">
        <v>219</v>
      </c>
      <c r="D28">
        <v>0.01</v>
      </c>
      <c r="E28" t="s">
        <v>166</v>
      </c>
      <c r="F28" t="s">
        <v>220</v>
      </c>
    </row>
    <row r="29" spans="1:6" x14ac:dyDescent="0.25">
      <c r="A29" s="68" t="s">
        <v>162</v>
      </c>
      <c r="B29">
        <v>70373</v>
      </c>
      <c r="C29" t="s">
        <v>221</v>
      </c>
      <c r="D29">
        <v>99.99</v>
      </c>
      <c r="E29" t="s">
        <v>209</v>
      </c>
      <c r="F29" t="s">
        <v>222</v>
      </c>
    </row>
    <row r="30" spans="1:6" x14ac:dyDescent="0.25">
      <c r="A30" s="68" t="s">
        <v>162</v>
      </c>
      <c r="B30">
        <v>70374</v>
      </c>
      <c r="C30" t="s">
        <v>223</v>
      </c>
      <c r="D30">
        <v>99.99</v>
      </c>
      <c r="E30" t="s">
        <v>224</v>
      </c>
      <c r="F30" t="s">
        <v>225</v>
      </c>
    </row>
    <row r="31" spans="1:6" x14ac:dyDescent="0.25">
      <c r="A31" s="68" t="s">
        <v>162</v>
      </c>
      <c r="B31">
        <v>70375</v>
      </c>
      <c r="C31" t="s">
        <v>226</v>
      </c>
      <c r="D31">
        <v>99.99</v>
      </c>
      <c r="E31" t="s">
        <v>224</v>
      </c>
      <c r="F31" t="s">
        <v>227</v>
      </c>
    </row>
    <row r="32" spans="1:6" x14ac:dyDescent="0.25">
      <c r="A32" s="68" t="s">
        <v>162</v>
      </c>
      <c r="B32">
        <v>70376</v>
      </c>
      <c r="C32" t="s">
        <v>228</v>
      </c>
      <c r="D32">
        <v>9.4999999999999998E-3</v>
      </c>
      <c r="E32" t="s">
        <v>166</v>
      </c>
      <c r="F32" t="s">
        <v>229</v>
      </c>
    </row>
    <row r="33" spans="1:6" x14ac:dyDescent="0.25">
      <c r="A33" s="68" t="s">
        <v>162</v>
      </c>
      <c r="B33">
        <v>70377</v>
      </c>
      <c r="C33" t="s">
        <v>230</v>
      </c>
      <c r="D33">
        <v>0.01</v>
      </c>
      <c r="E33" t="s">
        <v>166</v>
      </c>
      <c r="F33" t="s">
        <v>231</v>
      </c>
    </row>
    <row r="34" spans="1:6" x14ac:dyDescent="0.25">
      <c r="A34" s="68" t="s">
        <v>162</v>
      </c>
      <c r="B34">
        <v>70378</v>
      </c>
      <c r="C34" t="s">
        <v>232</v>
      </c>
      <c r="D34">
        <v>0.01</v>
      </c>
      <c r="E34" t="s">
        <v>166</v>
      </c>
      <c r="F34" t="s">
        <v>233</v>
      </c>
    </row>
    <row r="35" spans="1:6" x14ac:dyDescent="0.25">
      <c r="A35" s="68" t="s">
        <v>162</v>
      </c>
      <c r="B35">
        <v>70379</v>
      </c>
      <c r="C35" t="s">
        <v>234</v>
      </c>
      <c r="D35">
        <v>9.4000000000000004E-3</v>
      </c>
      <c r="E35" t="s">
        <v>166</v>
      </c>
      <c r="F35" t="s">
        <v>235</v>
      </c>
    </row>
    <row r="36" spans="1:6" x14ac:dyDescent="0.25">
      <c r="A36" s="68" t="s">
        <v>162</v>
      </c>
      <c r="B36">
        <v>70381</v>
      </c>
      <c r="C36" t="s">
        <v>236</v>
      </c>
      <c r="D36">
        <v>9.2499999999999995E-3</v>
      </c>
      <c r="E36" t="s">
        <v>166</v>
      </c>
      <c r="F36" t="s">
        <v>237</v>
      </c>
    </row>
    <row r="37" spans="1:6" x14ac:dyDescent="0.25">
      <c r="A37" s="68" t="s">
        <v>162</v>
      </c>
    </row>
    <row r="38" spans="1:6" x14ac:dyDescent="0.25">
      <c r="A38" s="68" t="s">
        <v>162</v>
      </c>
    </row>
    <row r="39" spans="1:6" x14ac:dyDescent="0.25">
      <c r="A39" s="68" t="s">
        <v>162</v>
      </c>
    </row>
    <row r="40" spans="1:6" x14ac:dyDescent="0.25">
      <c r="A40" s="68" t="s">
        <v>162</v>
      </c>
    </row>
    <row r="41" spans="1:6" x14ac:dyDescent="0.25">
      <c r="A41" s="68" t="s">
        <v>162</v>
      </c>
    </row>
    <row r="42" spans="1:6" x14ac:dyDescent="0.25">
      <c r="A42" s="68" t="s">
        <v>162</v>
      </c>
    </row>
    <row r="43" spans="1:6" x14ac:dyDescent="0.25">
      <c r="A43" s="68" t="s">
        <v>162</v>
      </c>
    </row>
    <row r="44" spans="1:6" x14ac:dyDescent="0.25">
      <c r="A44" s="68" t="s">
        <v>162</v>
      </c>
    </row>
    <row r="45" spans="1:6" x14ac:dyDescent="0.25">
      <c r="A45" s="68" t="s">
        <v>162</v>
      </c>
    </row>
    <row r="46" spans="1:6" x14ac:dyDescent="0.25">
      <c r="A46" s="68" t="s">
        <v>162</v>
      </c>
    </row>
    <row r="47" spans="1:6" x14ac:dyDescent="0.25">
      <c r="A47" s="68" t="s">
        <v>162</v>
      </c>
    </row>
    <row r="48" spans="1:6" x14ac:dyDescent="0.25">
      <c r="A48" s="68" t="s">
        <v>162</v>
      </c>
    </row>
    <row r="49" spans="1:1" x14ac:dyDescent="0.25">
      <c r="A49" s="68" t="s">
        <v>162</v>
      </c>
    </row>
    <row r="50" spans="1:1" x14ac:dyDescent="0.25">
      <c r="A50" s="68" t="s">
        <v>162</v>
      </c>
    </row>
    <row r="51" spans="1:1" x14ac:dyDescent="0.25">
      <c r="A51" s="68" t="s">
        <v>162</v>
      </c>
    </row>
    <row r="52" spans="1:1" x14ac:dyDescent="0.25">
      <c r="A52" s="68" t="s">
        <v>162</v>
      </c>
    </row>
    <row r="53" spans="1:1" x14ac:dyDescent="0.25">
      <c r="A53" s="68" t="s">
        <v>162</v>
      </c>
    </row>
    <row r="54" spans="1:1" x14ac:dyDescent="0.25">
      <c r="A54" s="68" t="s">
        <v>162</v>
      </c>
    </row>
    <row r="55" spans="1:1" x14ac:dyDescent="0.25">
      <c r="A55" s="68" t="s">
        <v>162</v>
      </c>
    </row>
    <row r="56" spans="1:1" x14ac:dyDescent="0.25">
      <c r="A56" s="68" t="s">
        <v>162</v>
      </c>
    </row>
    <row r="57" spans="1:1" x14ac:dyDescent="0.25">
      <c r="A57" s="68" t="s">
        <v>162</v>
      </c>
    </row>
    <row r="58" spans="1:1" x14ac:dyDescent="0.25">
      <c r="A58" s="68" t="s">
        <v>162</v>
      </c>
    </row>
    <row r="59" spans="1:1" x14ac:dyDescent="0.25">
      <c r="A59" s="68" t="s">
        <v>162</v>
      </c>
    </row>
    <row r="60" spans="1:1" x14ac:dyDescent="0.25">
      <c r="A60" s="68" t="s">
        <v>162</v>
      </c>
    </row>
    <row r="61" spans="1:1" x14ac:dyDescent="0.25">
      <c r="A61" s="68" t="s">
        <v>162</v>
      </c>
    </row>
    <row r="62" spans="1:1" x14ac:dyDescent="0.25">
      <c r="A62" s="68" t="s">
        <v>162</v>
      </c>
    </row>
    <row r="63" spans="1:1" x14ac:dyDescent="0.25">
      <c r="A63" s="68" t="s">
        <v>162</v>
      </c>
    </row>
    <row r="64" spans="1:1" x14ac:dyDescent="0.25">
      <c r="A64" s="68" t="s">
        <v>162</v>
      </c>
    </row>
    <row r="65" spans="1:1" x14ac:dyDescent="0.25">
      <c r="A65" s="68" t="s">
        <v>162</v>
      </c>
    </row>
    <row r="66" spans="1:1" x14ac:dyDescent="0.25">
      <c r="A66" s="68" t="s">
        <v>162</v>
      </c>
    </row>
    <row r="67" spans="1:1" x14ac:dyDescent="0.25">
      <c r="A67" s="68" t="s">
        <v>162</v>
      </c>
    </row>
    <row r="68" spans="1:1" x14ac:dyDescent="0.25">
      <c r="A68" s="68" t="s">
        <v>162</v>
      </c>
    </row>
    <row r="69" spans="1:1" x14ac:dyDescent="0.25">
      <c r="A69" s="68" t="s">
        <v>162</v>
      </c>
    </row>
    <row r="70" spans="1:1" x14ac:dyDescent="0.25">
      <c r="A70" s="68" t="s">
        <v>162</v>
      </c>
    </row>
    <row r="71" spans="1:1" x14ac:dyDescent="0.25">
      <c r="A71" s="68" t="s">
        <v>162</v>
      </c>
    </row>
    <row r="72" spans="1:1" x14ac:dyDescent="0.25">
      <c r="A72" s="68" t="s">
        <v>162</v>
      </c>
    </row>
    <row r="73" spans="1:1" x14ac:dyDescent="0.25">
      <c r="A73" s="68" t="s">
        <v>162</v>
      </c>
    </row>
    <row r="74" spans="1:1" x14ac:dyDescent="0.25">
      <c r="A74" s="68" t="s">
        <v>162</v>
      </c>
    </row>
    <row r="75" spans="1:1" x14ac:dyDescent="0.25">
      <c r="A75" s="68" t="s">
        <v>162</v>
      </c>
    </row>
    <row r="76" spans="1:1" x14ac:dyDescent="0.25">
      <c r="A76" s="68" t="s">
        <v>162</v>
      </c>
    </row>
    <row r="77" spans="1:1" x14ac:dyDescent="0.25">
      <c r="A77" s="68" t="s">
        <v>162</v>
      </c>
    </row>
    <row r="78" spans="1:1" x14ac:dyDescent="0.25">
      <c r="A78" s="68" t="s">
        <v>162</v>
      </c>
    </row>
    <row r="79" spans="1:1" x14ac:dyDescent="0.25">
      <c r="A79" s="68" t="s">
        <v>162</v>
      </c>
    </row>
    <row r="80" spans="1:1" x14ac:dyDescent="0.25">
      <c r="A80" s="68" t="s">
        <v>162</v>
      </c>
    </row>
    <row r="81" spans="1:1" x14ac:dyDescent="0.25">
      <c r="A81" s="68" t="s">
        <v>162</v>
      </c>
    </row>
    <row r="82" spans="1:1" x14ac:dyDescent="0.25">
      <c r="A82" s="68" t="s">
        <v>162</v>
      </c>
    </row>
    <row r="83" spans="1:1" x14ac:dyDescent="0.25">
      <c r="A83" s="68" t="s">
        <v>162</v>
      </c>
    </row>
    <row r="84" spans="1:1" x14ac:dyDescent="0.25">
      <c r="A84" s="68" t="s">
        <v>162</v>
      </c>
    </row>
    <row r="85" spans="1:1" x14ac:dyDescent="0.25">
      <c r="A85" s="68" t="s">
        <v>162</v>
      </c>
    </row>
    <row r="86" spans="1:1" x14ac:dyDescent="0.25">
      <c r="A86" s="68" t="s">
        <v>162</v>
      </c>
    </row>
    <row r="87" spans="1:1" x14ac:dyDescent="0.25">
      <c r="A87" s="68" t="s">
        <v>162</v>
      </c>
    </row>
    <row r="88" spans="1:1" x14ac:dyDescent="0.25">
      <c r="A88" s="68" t="s">
        <v>162</v>
      </c>
    </row>
    <row r="89" spans="1:1" x14ac:dyDescent="0.25">
      <c r="A89" s="68" t="s">
        <v>162</v>
      </c>
    </row>
    <row r="90" spans="1:1" x14ac:dyDescent="0.25">
      <c r="A90" s="68" t="s">
        <v>162</v>
      </c>
    </row>
    <row r="91" spans="1:1" x14ac:dyDescent="0.25">
      <c r="A91" s="68" t="s">
        <v>162</v>
      </c>
    </row>
    <row r="92" spans="1:1" x14ac:dyDescent="0.25">
      <c r="A92" s="68" t="s">
        <v>162</v>
      </c>
    </row>
    <row r="93" spans="1:1" x14ac:dyDescent="0.25">
      <c r="A93" s="68" t="s">
        <v>162</v>
      </c>
    </row>
    <row r="94" spans="1:1" x14ac:dyDescent="0.25">
      <c r="A94" s="68" t="s">
        <v>162</v>
      </c>
    </row>
    <row r="95" spans="1:1" x14ac:dyDescent="0.25">
      <c r="A95" s="68" t="s">
        <v>162</v>
      </c>
    </row>
    <row r="96" spans="1:1" x14ac:dyDescent="0.25">
      <c r="A96" s="68" t="s">
        <v>162</v>
      </c>
    </row>
    <row r="97" spans="1:1" x14ac:dyDescent="0.25">
      <c r="A97" s="68" t="s">
        <v>162</v>
      </c>
    </row>
    <row r="98" spans="1:1" x14ac:dyDescent="0.25">
      <c r="A98" s="68" t="s">
        <v>162</v>
      </c>
    </row>
    <row r="99" spans="1:1" x14ac:dyDescent="0.25">
      <c r="A99" s="68" t="s">
        <v>162</v>
      </c>
    </row>
    <row r="100" spans="1:1" x14ac:dyDescent="0.25">
      <c r="A100" s="68" t="s">
        <v>162</v>
      </c>
    </row>
    <row r="101" spans="1:1" x14ac:dyDescent="0.25">
      <c r="A101" t="s">
        <v>162</v>
      </c>
    </row>
    <row r="102" spans="1:1" x14ac:dyDescent="0.25">
      <c r="A102" t="s">
        <v>162</v>
      </c>
    </row>
    <row r="103" spans="1:1" x14ac:dyDescent="0.25">
      <c r="A103" t="s">
        <v>162</v>
      </c>
    </row>
    <row r="104" spans="1:1" x14ac:dyDescent="0.25">
      <c r="A104" t="s">
        <v>162</v>
      </c>
    </row>
    <row r="105" spans="1:1" x14ac:dyDescent="0.25">
      <c r="A105" t="s">
        <v>162</v>
      </c>
    </row>
    <row r="106" spans="1:1" x14ac:dyDescent="0.25">
      <c r="A106" t="s">
        <v>162</v>
      </c>
    </row>
    <row r="107" spans="1:1" x14ac:dyDescent="0.25">
      <c r="A107" t="s">
        <v>162</v>
      </c>
    </row>
    <row r="108" spans="1:1" x14ac:dyDescent="0.25">
      <c r="A108" t="s">
        <v>162</v>
      </c>
    </row>
    <row r="109" spans="1:1" x14ac:dyDescent="0.25">
      <c r="A109" t="s">
        <v>162</v>
      </c>
    </row>
    <row r="110" spans="1:1" x14ac:dyDescent="0.25">
      <c r="A110" t="s">
        <v>162</v>
      </c>
    </row>
    <row r="111" spans="1:1" x14ac:dyDescent="0.25">
      <c r="A111" t="s">
        <v>162</v>
      </c>
    </row>
    <row r="112" spans="1:1" x14ac:dyDescent="0.25">
      <c r="A112" t="s">
        <v>162</v>
      </c>
    </row>
    <row r="113" spans="1:1" x14ac:dyDescent="0.25">
      <c r="A113" t="s">
        <v>162</v>
      </c>
    </row>
    <row r="114" spans="1:1" x14ac:dyDescent="0.25">
      <c r="A114" t="s">
        <v>162</v>
      </c>
    </row>
    <row r="115" spans="1:1" x14ac:dyDescent="0.25">
      <c r="A115" t="s">
        <v>162</v>
      </c>
    </row>
    <row r="116" spans="1:1" x14ac:dyDescent="0.25">
      <c r="A116" t="s">
        <v>162</v>
      </c>
    </row>
    <row r="117" spans="1:1" x14ac:dyDescent="0.25">
      <c r="A117" t="s">
        <v>162</v>
      </c>
    </row>
    <row r="118" spans="1:1" x14ac:dyDescent="0.25">
      <c r="A118" t="s">
        <v>162</v>
      </c>
    </row>
    <row r="119" spans="1:1" x14ac:dyDescent="0.25">
      <c r="A119" t="s">
        <v>162</v>
      </c>
    </row>
    <row r="120" spans="1:1" x14ac:dyDescent="0.25">
      <c r="A120" t="s">
        <v>162</v>
      </c>
    </row>
    <row r="121" spans="1:1" x14ac:dyDescent="0.25">
      <c r="A121" t="s">
        <v>162</v>
      </c>
    </row>
    <row r="122" spans="1:1" x14ac:dyDescent="0.25">
      <c r="A122" t="s">
        <v>162</v>
      </c>
    </row>
    <row r="123" spans="1:1" x14ac:dyDescent="0.25">
      <c r="A123" t="s">
        <v>162</v>
      </c>
    </row>
    <row r="124" spans="1:1" x14ac:dyDescent="0.25">
      <c r="A124" t="s">
        <v>162</v>
      </c>
    </row>
    <row r="125" spans="1:1" x14ac:dyDescent="0.25">
      <c r="A125" t="s">
        <v>162</v>
      </c>
    </row>
    <row r="126" spans="1:1" x14ac:dyDescent="0.25">
      <c r="A126" t="s">
        <v>162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B64"/>
  <sheetViews>
    <sheetView tabSelected="1" topLeftCell="AA5" zoomScale="75" zoomScaleNormal="75" workbookViewId="0">
      <selection activeCell="AK11" sqref="AK11"/>
    </sheetView>
  </sheetViews>
  <sheetFormatPr defaultColWidth="8.85546875" defaultRowHeight="12.75" x14ac:dyDescent="0.2"/>
  <cols>
    <col min="1" max="1" width="44" style="2" customWidth="1"/>
    <col min="2" max="104" width="16.5703125" style="2" customWidth="1"/>
    <col min="105" max="105" width="18.28515625" style="2" bestFit="1" customWidth="1"/>
    <col min="106" max="16384" width="8.85546875" style="2"/>
  </cols>
  <sheetData>
    <row r="1" spans="1:105" s="9" customFormat="1" ht="15" hidden="1" x14ac:dyDescent="0.25">
      <c r="B1" s="9">
        <v>70342</v>
      </c>
      <c r="C1" s="5">
        <v>70343</v>
      </c>
      <c r="D1" s="5">
        <v>70344</v>
      </c>
      <c r="E1" s="5">
        <v>70346</v>
      </c>
      <c r="F1" s="5">
        <v>70348</v>
      </c>
      <c r="G1" s="5">
        <v>70350</v>
      </c>
      <c r="H1" s="5">
        <v>70352</v>
      </c>
      <c r="I1" s="5">
        <v>70358</v>
      </c>
      <c r="J1" s="5">
        <v>70361</v>
      </c>
      <c r="K1" s="5">
        <v>70364</v>
      </c>
      <c r="L1" s="5">
        <v>70365</v>
      </c>
      <c r="M1" s="5">
        <v>70366</v>
      </c>
      <c r="N1" s="5">
        <v>70367</v>
      </c>
      <c r="O1" s="9">
        <v>70368</v>
      </c>
      <c r="P1" s="10">
        <v>70373</v>
      </c>
      <c r="Q1" s="9">
        <v>70374</v>
      </c>
      <c r="R1" s="5">
        <v>70375</v>
      </c>
      <c r="S1" s="5">
        <v>70340</v>
      </c>
      <c r="T1" s="5">
        <v>70349</v>
      </c>
      <c r="U1" s="5">
        <v>70362</v>
      </c>
      <c r="V1" s="5">
        <v>70370</v>
      </c>
      <c r="W1" s="5">
        <v>70371</v>
      </c>
      <c r="X1" s="5">
        <v>70372</v>
      </c>
      <c r="Y1" s="5">
        <v>70377</v>
      </c>
      <c r="Z1" s="5">
        <v>70378</v>
      </c>
      <c r="AA1" s="9">
        <v>70376</v>
      </c>
      <c r="AB1" s="10">
        <v>70379</v>
      </c>
      <c r="AC1" s="9">
        <v>70381</v>
      </c>
      <c r="AD1" s="9">
        <v>70363</v>
      </c>
      <c r="AE1" s="9">
        <v>70354</v>
      </c>
      <c r="AF1" s="9">
        <v>70357</v>
      </c>
      <c r="AG1" s="9">
        <v>70369</v>
      </c>
      <c r="AH1" s="9">
        <v>70341</v>
      </c>
      <c r="AI1" s="9">
        <v>70345</v>
      </c>
      <c r="AJ1" s="9">
        <v>70347</v>
      </c>
      <c r="CP1" s="6"/>
    </row>
    <row r="2" spans="1:105" s="9" customFormat="1" ht="15" x14ac:dyDescent="0.25">
      <c r="C2" s="5"/>
      <c r="D2" s="5"/>
      <c r="E2" s="5"/>
      <c r="F2" s="5"/>
      <c r="G2" s="5"/>
      <c r="H2" s="5"/>
      <c r="I2" s="5"/>
      <c r="J2" s="5"/>
      <c r="K2" s="5"/>
      <c r="L2" s="5"/>
      <c r="M2" s="5"/>
      <c r="N2" s="5"/>
      <c r="P2" s="10"/>
      <c r="R2" s="5"/>
      <c r="S2" s="5"/>
      <c r="T2" s="5"/>
      <c r="U2" s="5"/>
      <c r="V2" s="5"/>
      <c r="W2" s="5"/>
      <c r="X2" s="5"/>
      <c r="Y2" s="5"/>
      <c r="Z2" s="5"/>
      <c r="AB2" s="10"/>
      <c r="CP2" s="6"/>
    </row>
    <row r="3" spans="1:105" s="9" customFormat="1" ht="15" x14ac:dyDescent="0.25">
      <c r="C3" s="5"/>
      <c r="D3" s="5"/>
      <c r="E3" s="5"/>
      <c r="F3" s="5"/>
      <c r="G3" s="5"/>
      <c r="H3" s="5"/>
      <c r="I3" s="5"/>
      <c r="J3" s="5"/>
      <c r="K3" s="5"/>
      <c r="L3" s="5"/>
      <c r="M3" s="5"/>
      <c r="N3" s="5"/>
      <c r="P3" s="10"/>
      <c r="R3" s="5"/>
      <c r="S3" s="5"/>
      <c r="T3" s="5"/>
      <c r="U3" s="5"/>
      <c r="V3" s="5"/>
      <c r="W3" s="5"/>
      <c r="X3" s="5"/>
      <c r="Y3" s="5"/>
      <c r="Z3" s="5"/>
      <c r="AB3" s="10"/>
      <c r="CP3" s="6"/>
    </row>
    <row r="4" spans="1:105" s="9" customFormat="1" ht="15" x14ac:dyDescent="0.25">
      <c r="C4" s="5"/>
      <c r="D4" s="5"/>
      <c r="E4" s="5"/>
      <c r="F4" s="5"/>
      <c r="G4" s="5"/>
      <c r="H4" s="5"/>
      <c r="I4" s="5"/>
      <c r="J4" s="5"/>
      <c r="K4" s="5"/>
      <c r="L4" s="5"/>
      <c r="M4" s="5"/>
      <c r="N4" s="5"/>
      <c r="P4" s="10"/>
      <c r="R4" s="5"/>
      <c r="S4" s="5"/>
      <c r="T4" s="5"/>
      <c r="U4" s="5"/>
      <c r="V4" s="5"/>
      <c r="W4" s="5"/>
      <c r="X4" s="5"/>
      <c r="Y4" s="5"/>
      <c r="Z4" s="5"/>
      <c r="AB4" s="10"/>
      <c r="CP4" s="6"/>
    </row>
    <row r="5" spans="1:105" s="9" customFormat="1" ht="15" x14ac:dyDescent="0.25">
      <c r="C5" s="5"/>
      <c r="D5" s="5"/>
      <c r="E5" s="5"/>
      <c r="F5" s="5"/>
      <c r="G5" s="5"/>
      <c r="H5" s="5"/>
      <c r="I5" s="5"/>
      <c r="J5" s="5"/>
      <c r="K5" s="5"/>
      <c r="L5" s="5"/>
      <c r="M5" s="5"/>
      <c r="N5" s="5"/>
      <c r="P5" s="10"/>
      <c r="R5" s="5"/>
      <c r="S5" s="5"/>
      <c r="T5" s="5"/>
      <c r="U5" s="5"/>
      <c r="V5" s="5"/>
      <c r="W5" s="5"/>
      <c r="X5" s="5"/>
      <c r="Y5" s="5"/>
      <c r="Z5" s="5"/>
      <c r="AB5" s="10"/>
      <c r="CP5" s="6"/>
    </row>
    <row r="6" spans="1:105" s="9" customFormat="1" ht="15" x14ac:dyDescent="0.25">
      <c r="C6" s="5"/>
      <c r="D6" s="5"/>
      <c r="E6" s="5"/>
      <c r="F6" s="5"/>
      <c r="G6" s="5"/>
      <c r="H6" s="5"/>
      <c r="I6" s="5"/>
      <c r="J6" s="5"/>
      <c r="K6" s="5"/>
      <c r="L6" s="5"/>
      <c r="M6" s="5"/>
      <c r="N6" s="5"/>
      <c r="P6" s="10"/>
      <c r="R6" s="5"/>
      <c r="S6" s="5"/>
      <c r="T6" s="5"/>
      <c r="U6" s="5"/>
      <c r="V6" s="5"/>
      <c r="W6" s="5"/>
      <c r="X6" s="5"/>
      <c r="Y6" s="5"/>
      <c r="Z6" s="5"/>
      <c r="AB6" s="10"/>
      <c r="CP6" s="6"/>
    </row>
    <row r="7" spans="1:105" s="9" customFormat="1" ht="15" x14ac:dyDescent="0.25">
      <c r="C7" s="5"/>
      <c r="D7" s="5"/>
      <c r="E7" s="5"/>
      <c r="F7" s="5"/>
      <c r="G7" s="5"/>
      <c r="H7" s="5"/>
      <c r="I7" s="5"/>
      <c r="J7" s="5"/>
      <c r="K7" s="5"/>
      <c r="L7" s="5"/>
      <c r="M7" s="5"/>
      <c r="N7" s="5"/>
      <c r="P7" s="10"/>
      <c r="R7" s="5"/>
      <c r="S7" s="5"/>
      <c r="T7" s="5"/>
      <c r="U7" s="5"/>
      <c r="V7" s="5"/>
      <c r="W7" s="5"/>
      <c r="X7" s="5"/>
      <c r="Y7" s="5"/>
      <c r="Z7" s="5"/>
      <c r="AB7" s="10"/>
      <c r="CP7" s="6"/>
    </row>
    <row r="8" spans="1:105" s="9" customFormat="1" ht="15" x14ac:dyDescent="0.25">
      <c r="C8" s="5"/>
      <c r="D8" s="5"/>
      <c r="E8" s="5"/>
      <c r="F8" s="5"/>
      <c r="G8" s="5"/>
      <c r="H8" s="5"/>
      <c r="I8" s="5"/>
      <c r="J8" s="5"/>
      <c r="K8" s="5"/>
      <c r="L8" s="5"/>
      <c r="M8" s="5"/>
      <c r="N8" s="5"/>
      <c r="P8" s="10"/>
      <c r="R8" s="5"/>
      <c r="S8" s="5"/>
      <c r="T8" s="5"/>
      <c r="U8" s="5"/>
      <c r="V8" s="5"/>
      <c r="W8" s="5"/>
      <c r="X8" s="5"/>
      <c r="Y8" s="5"/>
      <c r="Z8" s="5"/>
      <c r="AB8" s="10"/>
      <c r="CP8" s="6"/>
    </row>
    <row r="9" spans="1:105" s="9" customFormat="1" ht="15" x14ac:dyDescent="0.25">
      <c r="C9" s="5"/>
      <c r="D9" s="5"/>
      <c r="E9" s="5"/>
      <c r="F9" s="5"/>
      <c r="G9" s="5"/>
      <c r="H9" s="5"/>
      <c r="I9" s="5"/>
      <c r="J9" s="5"/>
      <c r="K9" s="5"/>
      <c r="L9" s="5"/>
      <c r="M9" s="5"/>
      <c r="N9" s="5"/>
      <c r="P9" s="10"/>
      <c r="R9" s="5"/>
      <c r="S9" s="5"/>
      <c r="T9" s="5"/>
      <c r="U9" s="5"/>
      <c r="V9" s="5"/>
      <c r="W9" s="5"/>
      <c r="X9" s="5"/>
      <c r="Y9" s="5"/>
      <c r="Z9" s="5"/>
      <c r="AB9" s="10"/>
      <c r="CP9" s="6"/>
    </row>
    <row r="10" spans="1:105" s="9" customFormat="1" ht="15" x14ac:dyDescent="0.25">
      <c r="C10" s="5"/>
      <c r="D10" s="5"/>
      <c r="E10" s="5"/>
      <c r="F10" s="5"/>
      <c r="G10" s="5"/>
      <c r="H10" s="5"/>
      <c r="I10" s="5"/>
      <c r="J10" s="5"/>
      <c r="K10" s="5"/>
      <c r="L10" s="5"/>
      <c r="M10" s="5"/>
      <c r="N10" s="5"/>
      <c r="P10" s="10"/>
      <c r="R10" s="5"/>
      <c r="S10" s="5"/>
      <c r="T10" s="5"/>
      <c r="U10" s="5"/>
      <c r="V10" s="5"/>
      <c r="W10" s="5"/>
      <c r="X10" s="5"/>
      <c r="Y10" s="5"/>
      <c r="Z10" s="5"/>
      <c r="AB10" s="10"/>
      <c r="CP10" s="6"/>
    </row>
    <row r="11" spans="1:105" s="7" customFormat="1" ht="99.75" customHeight="1" x14ac:dyDescent="0.25">
      <c r="B11" s="46" t="str">
        <f>VLOOKUP(B$1,Main!$B$19:$C$2538,2,FALSE)</f>
        <v>Tyler Road Limited Partnership</v>
      </c>
      <c r="C11" s="46" t="str">
        <f>VLOOKUP(C$1,Main!$B$19:$C$2538,2,FALSE)</f>
        <v>West Manchester Limited Partnership</v>
      </c>
      <c r="D11" s="46" t="str">
        <f>VLOOKUP(D$1,Main!$B$19:$C$2538,2,FALSE)</f>
        <v>Naamans Creek Limited Partnership</v>
      </c>
      <c r="E11" s="46" t="str">
        <f>VLOOKUP(E$1,Main!$B$19:$C$2538,2,FALSE)</f>
        <v>Lower Salford Limited Partnership</v>
      </c>
      <c r="F11" s="46" t="str">
        <f>VLOOKUP(F$1,Main!$B$19:$C$2538,2,FALSE)</f>
        <v>Bethlehem Village Limited Partnership</v>
      </c>
      <c r="G11" s="46" t="str">
        <f>VLOOKUP(G$1,Main!$B$19:$C$2538,2,FALSE)</f>
        <v>Easton Limited Partnership</v>
      </c>
      <c r="H11" s="46" t="str">
        <f>VLOOKUP(H$1,Main!$B$19:$C$2538,2,FALSE)</f>
        <v>Somerset Commons LLLP</v>
      </c>
      <c r="I11" s="46" t="str">
        <f>VLOOKUP(I$1,Main!$B$19:$C$2538,2,FALSE)</f>
        <v>Ellicott City II Limited Partnership</v>
      </c>
      <c r="J11" s="46" t="str">
        <f>VLOOKUP(J$1,Main!$B$19:$C$2538,2,FALSE)</f>
        <v>Hickory Ridge Village LLLP</v>
      </c>
      <c r="K11" s="46" t="str">
        <f>VLOOKUP(K$1,Main!$B$19:$C$2538,2,FALSE)</f>
        <v>Woodbridge Commons LLLP</v>
      </c>
      <c r="L11" s="46" t="str">
        <f>VLOOKUP(L$1,Main!$B$19:$C$2538,2,FALSE)</f>
        <v>Park View at Bel Air II LLLP</v>
      </c>
      <c r="M11" s="46" t="str">
        <f>VLOOKUP(M$1,Main!$B$19:$C$2538,2,FALSE)</f>
        <v>Abingdon II LLLP</v>
      </c>
      <c r="N11" s="46" t="str">
        <f>VLOOKUP(N$1,Main!$B$19:$C$2538,2,FALSE)</f>
        <v>College Parkway LLLP</v>
      </c>
      <c r="O11" s="46" t="str">
        <f>VLOOKUP(O$1,Main!$B$19:$C$2538,2,FALSE)</f>
        <v>Glen Burnie LLLP</v>
      </c>
      <c r="P11" s="46" t="str">
        <f>VLOOKUP(P$1,Main!$B$19:$C$2538,2,FALSE)</f>
        <v>Coldspring Limited Partnership</v>
      </c>
      <c r="Q11" s="46" t="str">
        <f>VLOOKUP(Q$1,Main!$B$19:$C$2538,2,FALSE)</f>
        <v>Parkville LLLP</v>
      </c>
      <c r="R11" s="46" t="str">
        <f>VLOOKUP(R$1,Main!$B$19:$C$2538,2,FALSE)</f>
        <v>Woodlawn Apartments Limited Partnership</v>
      </c>
      <c r="S11" s="46" t="str">
        <f>VLOOKUP(S$1,Main!$B$19:$C$2538,2,FALSE)</f>
        <v>Catonsville LLLP</v>
      </c>
      <c r="T11" s="46" t="str">
        <f>VLOOKUP(T$1,Main!$B$19:$C$2538,2,FALSE)</f>
        <v>Salisbury LLLP</v>
      </c>
      <c r="U11" s="46" t="str">
        <f>VLOOKUP(U$1,Main!$B$19:$C$2538,2,FALSE)</f>
        <v>Snowden River LLLP</v>
      </c>
      <c r="V11" s="46" t="str">
        <f>VLOOKUP(V$1,Main!$B$19:$C$2538,2,FALSE)</f>
        <v>Ashland LLLP</v>
      </c>
      <c r="W11" s="46" t="str">
        <f>VLOOKUP(W$1,Main!$B$19:$C$2538,2,FALSE)</f>
        <v>Fullerton LLLP</v>
      </c>
      <c r="X11" s="46" t="str">
        <f>VLOOKUP(X$1,Main!$B$19:$C$2538,2,FALSE)</f>
        <v>Ashland Park View LLLP</v>
      </c>
      <c r="Y11" s="46" t="str">
        <f>VLOOKUP(Y$1,Main!$B$19:$C$2538,2,FALSE)</f>
        <v>Randallstown LLLP</v>
      </c>
      <c r="Z11" s="46" t="str">
        <f>VLOOKUP(Z$1,Main!$B$19:$C$2538,2,FALSE)</f>
        <v>Rosedale LLLP</v>
      </c>
      <c r="AA11" s="46" t="str">
        <f>VLOOKUP(AA$1,Main!$B$19:$C$2538,2,FALSE)</f>
        <v>Miramar LLLP</v>
      </c>
      <c r="AB11" s="46" t="str">
        <f>VLOOKUP(AB$1,Main!$B$19:$C$2538,2,FALSE)</f>
        <v>Timothy House  LLLP</v>
      </c>
      <c r="AC11" s="46" t="str">
        <f>VLOOKUP(AC$1,Main!$B$19:$C$2538,2,FALSE)</f>
        <v>Aberdeen Commons LLLP</v>
      </c>
      <c r="AD11" s="46" t="str">
        <f>VLOOKUP(AD$1,Main!$B$19:$C$2538,2,FALSE)</f>
        <v>Columbia LLLP</v>
      </c>
      <c r="AE11" s="46" t="str">
        <f>VLOOKUP(AE$1,Main!$B$19:$C$2538,2,FALSE)</f>
        <v>Laurel LLLP</v>
      </c>
      <c r="AF11" s="46" t="str">
        <f>VLOOKUP(AF$1,Main!$B$19:$C$2538,2,FALSE)</f>
        <v>Emerson LLLP</v>
      </c>
      <c r="AG11" s="46" t="str">
        <f>VLOOKUP(AG$1,Main!$B$19:$C$2538,2,FALSE)</f>
        <v>Severna Park LLLP</v>
      </c>
      <c r="AH11" s="46" t="str">
        <f>VLOOKUP(AH$1,Main!$B$19:$C$2538,2,FALSE)</f>
        <v>South Pantops Limited Partnership</v>
      </c>
      <c r="AI11" s="46" t="str">
        <f>VLOOKUP(AI$1,Main!$B$19:$C$2538,2,FALSE)</f>
        <v>York Commons Limited Partnership</v>
      </c>
      <c r="AJ11" s="46" t="str">
        <f>VLOOKUP(AJ$1,Main!$B$19:$C$2538,2,FALSE)</f>
        <v>Cheltenham Park View Limited Partnership II</v>
      </c>
      <c r="AK11" s="46" t="e">
        <f>VLOOKUP(AK$1,Main!$B$19:$C$2538,2,FALSE)</f>
        <v>#N/A</v>
      </c>
      <c r="AL11" s="46" t="e">
        <f>VLOOKUP(AL$1,Main!$B$19:$C$2538,2,FALSE)</f>
        <v>#N/A</v>
      </c>
      <c r="AM11" s="46" t="e">
        <f>VLOOKUP(AM$1,Main!$B$19:$C$2538,2,FALSE)</f>
        <v>#N/A</v>
      </c>
      <c r="AN11" s="46" t="e">
        <f>VLOOKUP(AN$1,Main!$B$19:$C$2538,2,FALSE)</f>
        <v>#N/A</v>
      </c>
      <c r="AO11" s="46" t="e">
        <f>VLOOKUP(AO$1,Main!$B$19:$C$2538,2,FALSE)</f>
        <v>#N/A</v>
      </c>
      <c r="AP11" s="46" t="e">
        <f>VLOOKUP(AP$1,Main!$B$19:$C$2538,2,FALSE)</f>
        <v>#N/A</v>
      </c>
      <c r="AQ11" s="46" t="e">
        <f>VLOOKUP(AQ$1,Main!$B$19:$C$2538,2,FALSE)</f>
        <v>#N/A</v>
      </c>
      <c r="AR11" s="46" t="e">
        <f>VLOOKUP(AR$1,Main!$B$19:$C$2538,2,FALSE)</f>
        <v>#N/A</v>
      </c>
      <c r="AS11" s="46" t="e">
        <f>VLOOKUP(AS$1,Main!$B$19:$C$2538,2,FALSE)</f>
        <v>#N/A</v>
      </c>
      <c r="AT11" s="46" t="e">
        <f>VLOOKUP(AT$1,Main!$B$19:$C$2538,2,FALSE)</f>
        <v>#N/A</v>
      </c>
      <c r="AU11" s="46" t="e">
        <f>VLOOKUP(AU$1,Main!$B$19:$C$2538,2,FALSE)</f>
        <v>#N/A</v>
      </c>
      <c r="AV11" s="46" t="e">
        <f>VLOOKUP(AV$1,Main!$B$19:$C$2538,2,FALSE)</f>
        <v>#N/A</v>
      </c>
      <c r="AW11" s="46" t="e">
        <f>VLOOKUP(AW$1,Main!$B$19:$C$2538,2,FALSE)</f>
        <v>#N/A</v>
      </c>
      <c r="AX11" s="46" t="e">
        <f>VLOOKUP(AX$1,Main!$B$19:$C$2538,2,FALSE)</f>
        <v>#N/A</v>
      </c>
      <c r="AY11" s="46" t="e">
        <f>VLOOKUP(AY$1,Main!$B$19:$C$2538,2,FALSE)</f>
        <v>#N/A</v>
      </c>
      <c r="AZ11" s="46" t="e">
        <f>VLOOKUP(AZ$1,Main!$B$19:$C$2538,2,FALSE)</f>
        <v>#N/A</v>
      </c>
      <c r="BA11" s="46" t="e">
        <f>VLOOKUP(BA$1,Main!$B$19:$C$2538,2,FALSE)</f>
        <v>#N/A</v>
      </c>
      <c r="BB11" s="46" t="e">
        <f>VLOOKUP(BB$1,Main!$B$19:$C$2538,2,FALSE)</f>
        <v>#N/A</v>
      </c>
      <c r="BC11" s="46" t="e">
        <f>VLOOKUP(BC$1,Main!$B$19:$C$2538,2,FALSE)</f>
        <v>#N/A</v>
      </c>
      <c r="BD11" s="46" t="e">
        <f>VLOOKUP(BD$1,Main!$B$19:$C$2538,2,FALSE)</f>
        <v>#N/A</v>
      </c>
      <c r="BE11" s="46" t="e">
        <f>VLOOKUP(BE$1,Main!$B$19:$C$2538,2,FALSE)</f>
        <v>#N/A</v>
      </c>
      <c r="BF11" s="46" t="e">
        <f>VLOOKUP(BF$1,Main!$B$19:$C$2538,2,FALSE)</f>
        <v>#N/A</v>
      </c>
      <c r="BG11" s="46" t="e">
        <f>VLOOKUP(BG$1,Main!$B$19:$C$2538,2,FALSE)</f>
        <v>#N/A</v>
      </c>
      <c r="BH11" s="46" t="e">
        <f>VLOOKUP(BH$1,Main!$B$19:$C$2538,2,FALSE)</f>
        <v>#N/A</v>
      </c>
      <c r="BI11" s="46" t="e">
        <f>VLOOKUP(BI$1,Main!$B$19:$C$2538,2,FALSE)</f>
        <v>#N/A</v>
      </c>
      <c r="BJ11" s="46" t="e">
        <f>VLOOKUP(BJ$1,Main!$B$19:$C$2538,2,FALSE)</f>
        <v>#N/A</v>
      </c>
      <c r="BK11" s="46" t="e">
        <f>VLOOKUP(BK$1,Main!$B$19:$C$2538,2,FALSE)</f>
        <v>#N/A</v>
      </c>
      <c r="BL11" s="46" t="e">
        <f>VLOOKUP(BL$1,Main!$B$19:$C$2538,2,FALSE)</f>
        <v>#N/A</v>
      </c>
      <c r="BM11" s="46" t="e">
        <f>VLOOKUP(BM$1,Main!$B$19:$C$2538,2,FALSE)</f>
        <v>#N/A</v>
      </c>
      <c r="BN11" s="46" t="e">
        <f>VLOOKUP(BN$1,Main!$B$19:$C$2538,2,FALSE)</f>
        <v>#N/A</v>
      </c>
      <c r="BO11" s="46" t="e">
        <f>VLOOKUP(BO$1,Main!$B$19:$C$2538,2,FALSE)</f>
        <v>#N/A</v>
      </c>
      <c r="BP11" s="46" t="e">
        <f>VLOOKUP(BP$1,Main!$B$19:$C$2538,2,FALSE)</f>
        <v>#N/A</v>
      </c>
      <c r="BQ11" s="46" t="e">
        <f>VLOOKUP(BQ$1,Main!$B$19:$C$2538,2,FALSE)</f>
        <v>#N/A</v>
      </c>
      <c r="BR11" s="46" t="e">
        <f>VLOOKUP(BR$1,Main!$B$19:$C$2538,2,FALSE)</f>
        <v>#N/A</v>
      </c>
      <c r="BS11" s="46" t="e">
        <f>VLOOKUP(BS$1,Main!$B$19:$C$2538,2,FALSE)</f>
        <v>#N/A</v>
      </c>
      <c r="BT11" s="46" t="e">
        <f>VLOOKUP(BT$1,Main!$B$19:$C$2538,2,FALSE)</f>
        <v>#N/A</v>
      </c>
      <c r="BU11" s="46" t="e">
        <f>VLOOKUP(BU$1,Main!$B$19:$C$2538,2,FALSE)</f>
        <v>#N/A</v>
      </c>
      <c r="BV11" s="46" t="e">
        <f>VLOOKUP(BV$1,Main!$B$19:$C$2538,2,FALSE)</f>
        <v>#N/A</v>
      </c>
      <c r="BW11" s="46" t="e">
        <f>VLOOKUP(BW$1,Main!$B$19:$C$2538,2,FALSE)</f>
        <v>#N/A</v>
      </c>
      <c r="BX11" s="46" t="e">
        <f>VLOOKUP(BX$1,Main!$B$19:$C$2538,2,FALSE)</f>
        <v>#N/A</v>
      </c>
      <c r="BY11" s="46" t="e">
        <f>VLOOKUP(BY$1,Main!$B$19:$C$2538,2,FALSE)</f>
        <v>#N/A</v>
      </c>
      <c r="BZ11" s="46" t="e">
        <f>VLOOKUP(BZ$1,Main!$B$19:$C$2538,2,FALSE)</f>
        <v>#N/A</v>
      </c>
      <c r="CA11" s="46" t="e">
        <f>VLOOKUP(CA$1,Main!$B$19:$C$2538,2,FALSE)</f>
        <v>#N/A</v>
      </c>
      <c r="CB11" s="46" t="e">
        <f>VLOOKUP(CB$1,Main!$B$19:$C$2538,2,FALSE)</f>
        <v>#N/A</v>
      </c>
      <c r="CC11" s="46" t="e">
        <f>VLOOKUP(CC$1,Main!$B$19:$C$2538,2,FALSE)</f>
        <v>#N/A</v>
      </c>
      <c r="CD11" s="46" t="e">
        <f>VLOOKUP(CD$1,Main!$B$19:$C$2538,2,FALSE)</f>
        <v>#N/A</v>
      </c>
      <c r="CE11" s="46" t="e">
        <f>VLOOKUP(CE$1,Main!$B$19:$C$2538,2,FALSE)</f>
        <v>#N/A</v>
      </c>
      <c r="CF11" s="46" t="e">
        <f>VLOOKUP(CF$1,Main!$B$19:$C$2538,2,FALSE)</f>
        <v>#N/A</v>
      </c>
      <c r="CG11" s="46" t="e">
        <f>VLOOKUP(CG$1,Main!$B$19:$C$2538,2,FALSE)</f>
        <v>#N/A</v>
      </c>
      <c r="CH11" s="46" t="e">
        <f>VLOOKUP(CH$1,Main!$B$19:$C$2538,2,FALSE)</f>
        <v>#N/A</v>
      </c>
      <c r="CI11" s="46" t="e">
        <f>VLOOKUP(CI$1,Main!$B$19:$C$2538,2,FALSE)</f>
        <v>#N/A</v>
      </c>
      <c r="CJ11" s="46" t="e">
        <f>VLOOKUP(CJ$1,Main!$B$19:$C$2538,2,FALSE)</f>
        <v>#N/A</v>
      </c>
      <c r="CK11" s="46" t="e">
        <f>VLOOKUP(CK$1,Main!$B$19:$C$2538,2,FALSE)</f>
        <v>#N/A</v>
      </c>
      <c r="CL11" s="46" t="e">
        <f>VLOOKUP(CL$1,Main!$B$19:$C$2538,2,FALSE)</f>
        <v>#N/A</v>
      </c>
      <c r="CM11" s="46" t="e">
        <f>VLOOKUP(CM$1,Main!$B$19:$C$2538,2,FALSE)</f>
        <v>#N/A</v>
      </c>
      <c r="CN11" s="46" t="e">
        <f>VLOOKUP(CN$1,Main!$B$19:$C$2538,2,FALSE)</f>
        <v>#N/A</v>
      </c>
      <c r="CO11" s="46" t="e">
        <f>VLOOKUP(CO$1,Main!$B$19:$C$2538,2,FALSE)</f>
        <v>#N/A</v>
      </c>
      <c r="CP11" s="46" t="e">
        <f>VLOOKUP(CP$1,Main!$B$19:$C$2538,2,FALSE)</f>
        <v>#N/A</v>
      </c>
      <c r="CQ11" s="46" t="e">
        <f>VLOOKUP(CQ$1,Main!$B$19:$C$2538,2,FALSE)</f>
        <v>#N/A</v>
      </c>
      <c r="CR11" s="46" t="e">
        <f>VLOOKUP(CR$1,Main!$B$19:$C$2538,2,FALSE)</f>
        <v>#N/A</v>
      </c>
      <c r="CS11" s="46" t="e">
        <f>VLOOKUP(CS$1,Main!$B$19:$C$2538,2,FALSE)</f>
        <v>#N/A</v>
      </c>
      <c r="CT11" s="46" t="e">
        <f>VLOOKUP(CT$1,Main!$B$19:$C$2538,2,FALSE)</f>
        <v>#N/A</v>
      </c>
      <c r="CU11" s="46" t="e">
        <f>VLOOKUP(CU$1,Main!$B$19:$C$2538,2,FALSE)</f>
        <v>#N/A</v>
      </c>
      <c r="CV11" s="46" t="e">
        <f>VLOOKUP(CV$1,Main!$B$19:$C$2538,2,FALSE)</f>
        <v>#N/A</v>
      </c>
      <c r="CW11" s="46" t="e">
        <f>VLOOKUP(CW$1,Main!$B$19:$C$2538,2,FALSE)</f>
        <v>#N/A</v>
      </c>
      <c r="CX11" s="46" t="e">
        <f>VLOOKUP(CX$1,Main!$B$19:$C$2538,2,FALSE)</f>
        <v>#N/A</v>
      </c>
      <c r="CY11" s="46" t="e">
        <f>VLOOKUP(CY$1,Main!$B$19:$C$2538,2,FALSE)</f>
        <v>#N/A</v>
      </c>
      <c r="CZ11" s="46" t="e">
        <f>VLOOKUP(CZ$1,Main!$B$19:$C$2538,2,FALSE)</f>
        <v>#N/A</v>
      </c>
      <c r="DA11" s="46" t="s">
        <v>386</v>
      </c>
    </row>
    <row r="13" spans="1:105" x14ac:dyDescent="0.2">
      <c r="A13" s="61" t="s">
        <v>147</v>
      </c>
      <c r="B13" s="40"/>
      <c r="C13" s="40"/>
      <c r="D13" s="40"/>
      <c r="E13" s="40"/>
      <c r="F13" s="40"/>
      <c r="G13" s="40"/>
      <c r="H13" s="40"/>
      <c r="I13" s="40"/>
      <c r="J13" s="40"/>
      <c r="K13" s="40"/>
      <c r="L13" s="40"/>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c r="CM13" s="40"/>
      <c r="CN13" s="40"/>
      <c r="CO13" s="40"/>
      <c r="CP13" s="40"/>
      <c r="CQ13" s="40"/>
      <c r="CR13" s="40"/>
      <c r="CS13" s="40"/>
      <c r="CT13" s="40"/>
      <c r="CU13" s="40"/>
      <c r="CV13" s="40"/>
      <c r="CW13" s="40"/>
      <c r="CX13" s="40"/>
      <c r="CY13" s="40"/>
      <c r="CZ13" s="40"/>
      <c r="DA13" s="40"/>
    </row>
    <row r="14" spans="1:105" s="40" customFormat="1" x14ac:dyDescent="0.2">
      <c r="A14" s="2"/>
    </row>
    <row r="15" spans="1:105" s="43" customFormat="1" x14ac:dyDescent="0.2">
      <c r="A15" s="62" t="s">
        <v>148</v>
      </c>
      <c r="B15" s="39">
        <f>IF(B$1,SUMIFS('BalSht Data'!$H$2:$H$2050,'BalSht Data'!$G$2:$G$2050,$A15,'BalSht Data'!$A$2:$A$2050,B$1),#N/A)</f>
        <v>214886</v>
      </c>
      <c r="C15" s="39">
        <f>IF(C$1,SUMIFS('BalSht Data'!$H$2:$H$2050,'BalSht Data'!$G$2:$G$2050,$A15,'BalSht Data'!$A$2:$A$2050,C$1),#N/A)</f>
        <v>413494</v>
      </c>
      <c r="D15" s="39">
        <f>IF(D$1,SUMIFS('BalSht Data'!$H$2:$H$2050,'BalSht Data'!$G$2:$G$2050,$A15,'BalSht Data'!$A$2:$A$2050,D$1),#N/A)</f>
        <v>769214</v>
      </c>
      <c r="E15" s="39">
        <f>IF(E$1,SUMIFS('BalSht Data'!$H$2:$H$2050,'BalSht Data'!$G$2:$G$2050,$A15,'BalSht Data'!$A$2:$A$2050,E$1),#N/A)</f>
        <v>714855</v>
      </c>
      <c r="F15" s="39">
        <f>IF(F$1,SUMIFS('BalSht Data'!$H$2:$H$2050,'BalSht Data'!$G$2:$G$2050,$A15,'BalSht Data'!$A$2:$A$2050,F$1),#N/A)</f>
        <v>1324724</v>
      </c>
      <c r="G15" s="39">
        <f>IF(G$1,SUMIFS('BalSht Data'!$H$2:$H$2050,'BalSht Data'!$G$2:$G$2050,$A15,'BalSht Data'!$A$2:$A$2050,G$1),#N/A)</f>
        <v>208760</v>
      </c>
      <c r="H15" s="39">
        <f>IF(H$1,SUMIFS('BalSht Data'!$H$2:$H$2050,'BalSht Data'!$G$2:$G$2050,$A15,'BalSht Data'!$A$2:$A$2050,H$1),#N/A)</f>
        <v>1212591</v>
      </c>
      <c r="I15" s="39">
        <f>IF(I$1,SUMIFS('BalSht Data'!$H$2:$H$2050,'BalSht Data'!$G$2:$G$2050,$A15,'BalSht Data'!$A$2:$A$2050,I$1),#N/A)</f>
        <v>0</v>
      </c>
      <c r="J15" s="39">
        <f>IF(J$1,SUMIFS('BalSht Data'!$H$2:$H$2050,'BalSht Data'!$G$2:$G$2050,$A15,'BalSht Data'!$A$2:$A$2050,J$1),#N/A)</f>
        <v>0</v>
      </c>
      <c r="K15" s="39">
        <f>IF(K$1,SUMIFS('BalSht Data'!$H$2:$H$2050,'BalSht Data'!$G$2:$G$2050,$A15,'BalSht Data'!$A$2:$A$2050,K$1),#N/A)</f>
        <v>2044951</v>
      </c>
      <c r="L15" s="39">
        <f>IF(L$1,SUMIFS('BalSht Data'!$H$2:$H$2050,'BalSht Data'!$G$2:$G$2050,$A15,'BalSht Data'!$A$2:$A$2050,L$1),#N/A)</f>
        <v>749491</v>
      </c>
      <c r="M15" s="39">
        <f>IF(M$1,SUMIFS('BalSht Data'!$H$2:$H$2050,'BalSht Data'!$G$2:$G$2050,$A15,'BalSht Data'!$A$2:$A$2050,M$1),#N/A)</f>
        <v>667744</v>
      </c>
      <c r="N15" s="39">
        <f>IF(N$1,SUMIFS('BalSht Data'!$H$2:$H$2050,'BalSht Data'!$G$2:$G$2050,$A15,'BalSht Data'!$A$2:$A$2050,N$1),#N/A)</f>
        <v>1879000</v>
      </c>
      <c r="O15" s="39">
        <f>IF(O$1,SUMIFS('BalSht Data'!$H$2:$H$2050,'BalSht Data'!$G$2:$G$2050,$A15,'BalSht Data'!$A$2:$A$2050,O$1),#N/A)</f>
        <v>652531</v>
      </c>
      <c r="P15" s="39">
        <f>IF(P$1,SUMIFS('BalSht Data'!$H$2:$H$2050,'BalSht Data'!$G$2:$G$2050,$A15,'BalSht Data'!$A$2:$A$2050,P$1),#N/A)</f>
        <v>6063</v>
      </c>
      <c r="Q15" s="39">
        <f>IF(Q$1,SUMIFS('BalSht Data'!$H$2:$H$2050,'BalSht Data'!$G$2:$G$2050,$A15,'BalSht Data'!$A$2:$A$2050,Q$1),#N/A)</f>
        <v>400612</v>
      </c>
      <c r="R15" s="39">
        <f>IF(R$1,SUMIFS('BalSht Data'!$H$2:$H$2050,'BalSht Data'!$G$2:$G$2050,$A15,'BalSht Data'!$A$2:$A$2050,R$1),#N/A)</f>
        <v>210936</v>
      </c>
      <c r="S15" s="39">
        <f>IF(S$1,SUMIFS('BalSht Data'!$H$2:$H$2050,'BalSht Data'!$G$2:$G$2050,$A15,'BalSht Data'!$A$2:$A$2050,S$1),#N/A)</f>
        <v>578132</v>
      </c>
      <c r="T15" s="39">
        <f>IF(T$1,SUMIFS('BalSht Data'!$H$2:$H$2050,'BalSht Data'!$G$2:$G$2050,$A15,'BalSht Data'!$A$2:$A$2050,T$1),#N/A)</f>
        <v>827264</v>
      </c>
      <c r="U15" s="39">
        <f>IF(U$1,SUMIFS('BalSht Data'!$H$2:$H$2050,'BalSht Data'!$G$2:$G$2050,$A15,'BalSht Data'!$A$2:$A$2050,U$1),#N/A)</f>
        <v>0</v>
      </c>
      <c r="V15" s="39">
        <f>IF(V$1,SUMIFS('BalSht Data'!$H$2:$H$2050,'BalSht Data'!$G$2:$G$2050,$A15,'BalSht Data'!$A$2:$A$2050,V$1),#N/A)</f>
        <v>784640</v>
      </c>
      <c r="W15" s="39">
        <f>IF(W$1,SUMIFS('BalSht Data'!$H$2:$H$2050,'BalSht Data'!$G$2:$G$2050,$A15,'BalSht Data'!$A$2:$A$2050,W$1),#N/A)</f>
        <v>776886</v>
      </c>
      <c r="X15" s="39">
        <f>IF(X$1,SUMIFS('BalSht Data'!$H$2:$H$2050,'BalSht Data'!$G$2:$G$2050,$A15,'BalSht Data'!$A$2:$A$2050,X$1),#N/A)</f>
        <v>764647</v>
      </c>
      <c r="Y15" s="39">
        <f>IF(Y$1,SUMIFS('BalSht Data'!$H$2:$H$2050,'BalSht Data'!$G$2:$G$2050,$A15,'BalSht Data'!$A$2:$A$2050,Y$1),#N/A)</f>
        <v>685537</v>
      </c>
      <c r="Z15" s="39">
        <f>IF(Z$1,SUMIFS('BalSht Data'!$H$2:$H$2050,'BalSht Data'!$G$2:$G$2050,$A15,'BalSht Data'!$A$2:$A$2050,Z$1),#N/A)</f>
        <v>0</v>
      </c>
      <c r="AA15" s="39">
        <f>IF(AA$1,SUMIFS('BalSht Data'!$H$2:$H$2050,'BalSht Data'!$G$2:$G$2050,$A15,'BalSht Data'!$A$2:$A$2050,AA$1),#N/A)</f>
        <v>654265</v>
      </c>
      <c r="AB15" s="39">
        <f>IF(AB$1,SUMIFS('BalSht Data'!$H$2:$H$2050,'BalSht Data'!$G$2:$G$2050,$A15,'BalSht Data'!$A$2:$A$2050,AB$1),#N/A)</f>
        <v>0</v>
      </c>
      <c r="AC15" s="39">
        <f>IF(AC$1,SUMIFS('BalSht Data'!$H$2:$H$2050,'BalSht Data'!$G$2:$G$2050,$A15,'BalSht Data'!$A$2:$A$2050,AC$1),#N/A)</f>
        <v>0</v>
      </c>
      <c r="AD15" s="39">
        <f>IF(AD$1,SUMIFS('BalSht Data'!$H$2:$H$2050,'BalSht Data'!$G$2:$G$2050,$A15,'BalSht Data'!$A$2:$A$2050,AD$1),#N/A)</f>
        <v>1228734</v>
      </c>
      <c r="AE15" s="39">
        <f>IF(AE$1,SUMIFS('BalSht Data'!$H$2:$H$2050,'BalSht Data'!$G$2:$G$2050,$A15,'BalSht Data'!$A$2:$A$2050,AE$1),#N/A)</f>
        <v>0</v>
      </c>
      <c r="AF15" s="39">
        <f>IF(AF$1,SUMIFS('BalSht Data'!$H$2:$H$2050,'BalSht Data'!$G$2:$G$2050,$A15,'BalSht Data'!$A$2:$A$2050,AF$1),#N/A)</f>
        <v>392991</v>
      </c>
      <c r="AG15" s="39">
        <f>IF(AG$1,SUMIFS('BalSht Data'!$H$2:$H$2050,'BalSht Data'!$G$2:$G$2050,$A15,'BalSht Data'!$A$2:$A$2050,AG$1),#N/A)</f>
        <v>1947185</v>
      </c>
      <c r="AH15" s="39">
        <f>IF(AH$1,SUMIFS('BalSht Data'!$H$2:$H$2050,'BalSht Data'!$G$2:$G$2050,$A15,'BalSht Data'!$A$2:$A$2050,AH$1),#N/A)</f>
        <v>954767</v>
      </c>
      <c r="AI15" s="39">
        <f>IF(AI$1,SUMIFS('BalSht Data'!$H$2:$H$2050,'BalSht Data'!$G$2:$G$2050,$A15,'BalSht Data'!$A$2:$A$2050,AI$1),#N/A)</f>
        <v>965229</v>
      </c>
      <c r="AJ15" s="39">
        <f>IF(AJ$1,SUMIFS('BalSht Data'!$H$2:$H$2050,'BalSht Data'!$G$2:$G$2050,$A15,'BalSht Data'!$A$2:$A$2050,AJ$1),#N/A)</f>
        <v>1220137</v>
      </c>
      <c r="AK15" s="39" t="e">
        <f>IF(AK$1,SUMIFS('BalSht Data'!$H$2:$H$2050,'BalSht Data'!$G$2:$G$2050,$A15,'BalSht Data'!$A$2:$A$2050,AK$1),#N/A)</f>
        <v>#N/A</v>
      </c>
      <c r="AL15" s="39" t="e">
        <f>IF(AL$1,SUMIFS('BalSht Data'!$H$2:$H$2050,'BalSht Data'!$G$2:$G$2050,$A15,'BalSht Data'!$A$2:$A$2050,AL$1),#N/A)</f>
        <v>#N/A</v>
      </c>
      <c r="AM15" s="39" t="e">
        <f>IF(AM$1,SUMIFS('BalSht Data'!$H$2:$H$2050,'BalSht Data'!$G$2:$G$2050,$A15,'BalSht Data'!$A$2:$A$2050,AM$1),#N/A)</f>
        <v>#N/A</v>
      </c>
      <c r="AN15" s="39" t="e">
        <f>IF(AN$1,SUMIFS('BalSht Data'!$H$2:$H$2050,'BalSht Data'!$G$2:$G$2050,$A15,'BalSht Data'!$A$2:$A$2050,AN$1),#N/A)</f>
        <v>#N/A</v>
      </c>
      <c r="AO15" s="39" t="e">
        <f>IF(AO$1,SUMIFS('BalSht Data'!$H$2:$H$2050,'BalSht Data'!$G$2:$G$2050,$A15,'BalSht Data'!$A$2:$A$2050,AO$1),#N/A)</f>
        <v>#N/A</v>
      </c>
      <c r="AP15" s="39" t="e">
        <f>IF(AP$1,SUMIFS('BalSht Data'!$H$2:$H$2050,'BalSht Data'!$G$2:$G$2050,$A15,'BalSht Data'!$A$2:$A$2050,AP$1),#N/A)</f>
        <v>#N/A</v>
      </c>
      <c r="AQ15" s="39" t="e">
        <f>IF(AQ$1,SUMIFS('BalSht Data'!$H$2:$H$2050,'BalSht Data'!$G$2:$G$2050,$A15,'BalSht Data'!$A$2:$A$2050,AQ$1),#N/A)</f>
        <v>#N/A</v>
      </c>
      <c r="AR15" s="39" t="e">
        <f>IF(AR$1,SUMIFS('BalSht Data'!$H$2:$H$2050,'BalSht Data'!$G$2:$G$2050,$A15,'BalSht Data'!$A$2:$A$2050,AR$1),#N/A)</f>
        <v>#N/A</v>
      </c>
      <c r="AS15" s="39" t="e">
        <f>IF(AS$1,SUMIFS('BalSht Data'!$H$2:$H$2050,'BalSht Data'!$G$2:$G$2050,$A15,'BalSht Data'!$A$2:$A$2050,AS$1),#N/A)</f>
        <v>#N/A</v>
      </c>
      <c r="AT15" s="39" t="e">
        <f>IF(AT$1,SUMIFS('BalSht Data'!$H$2:$H$2050,'BalSht Data'!$G$2:$G$2050,$A15,'BalSht Data'!$A$2:$A$2050,AT$1),#N/A)</f>
        <v>#N/A</v>
      </c>
      <c r="AU15" s="39" t="e">
        <f>IF(AU$1,SUMIFS('BalSht Data'!$H$2:$H$2050,'BalSht Data'!$G$2:$G$2050,$A15,'BalSht Data'!$A$2:$A$2050,AU$1),#N/A)</f>
        <v>#N/A</v>
      </c>
      <c r="AV15" s="39" t="e">
        <f>IF(AV$1,SUMIFS('BalSht Data'!$H$2:$H$2050,'BalSht Data'!$G$2:$G$2050,$A15,'BalSht Data'!$A$2:$A$2050,AV$1),#N/A)</f>
        <v>#N/A</v>
      </c>
      <c r="AW15" s="39" t="e">
        <f>IF(AW$1,SUMIFS('BalSht Data'!$H$2:$H$2050,'BalSht Data'!$G$2:$G$2050,$A15,'BalSht Data'!$A$2:$A$2050,AW$1),#N/A)</f>
        <v>#N/A</v>
      </c>
      <c r="AX15" s="39" t="e">
        <f>IF(AX$1,SUMIFS('BalSht Data'!$H$2:$H$2050,'BalSht Data'!$G$2:$G$2050,$A15,'BalSht Data'!$A$2:$A$2050,AX$1),#N/A)</f>
        <v>#N/A</v>
      </c>
      <c r="AY15" s="39" t="e">
        <f>IF(AY$1,SUMIFS('BalSht Data'!$H$2:$H$2050,'BalSht Data'!$G$2:$G$2050,$A15,'BalSht Data'!$A$2:$A$2050,AY$1),#N/A)</f>
        <v>#N/A</v>
      </c>
      <c r="AZ15" s="39" t="e">
        <f>IF(AZ$1,SUMIFS('BalSht Data'!$H$2:$H$2050,'BalSht Data'!$G$2:$G$2050,$A15,'BalSht Data'!$A$2:$A$2050,AZ$1),#N/A)</f>
        <v>#N/A</v>
      </c>
      <c r="BA15" s="39" t="e">
        <f>IF(BA$1,SUMIFS('BalSht Data'!$H$2:$H$2050,'BalSht Data'!$G$2:$G$2050,$A15,'BalSht Data'!$A$2:$A$2050,BA$1),#N/A)</f>
        <v>#N/A</v>
      </c>
      <c r="BB15" s="39" t="e">
        <f>IF(BB$1,SUMIFS('BalSht Data'!$H$2:$H$2050,'BalSht Data'!$G$2:$G$2050,$A15,'BalSht Data'!$A$2:$A$2050,BB$1),#N/A)</f>
        <v>#N/A</v>
      </c>
      <c r="BC15" s="39" t="e">
        <f>IF(BC$1,SUMIFS('BalSht Data'!$H$2:$H$2050,'BalSht Data'!$G$2:$G$2050,$A15,'BalSht Data'!$A$2:$A$2050,BC$1),#N/A)</f>
        <v>#N/A</v>
      </c>
      <c r="BD15" s="39" t="e">
        <f>IF(BD$1,SUMIFS('BalSht Data'!$H$2:$H$2050,'BalSht Data'!$G$2:$G$2050,$A15,'BalSht Data'!$A$2:$A$2050,BD$1),#N/A)</f>
        <v>#N/A</v>
      </c>
      <c r="BE15" s="39" t="e">
        <f>IF(BE$1,SUMIFS('BalSht Data'!$H$2:$H$2050,'BalSht Data'!$G$2:$G$2050,$A15,'BalSht Data'!$A$2:$A$2050,BE$1),#N/A)</f>
        <v>#N/A</v>
      </c>
      <c r="BF15" s="39" t="e">
        <f>IF(BF$1,SUMIFS('BalSht Data'!$H$2:$H$2050,'BalSht Data'!$G$2:$G$2050,$A15,'BalSht Data'!$A$2:$A$2050,BF$1),#N/A)</f>
        <v>#N/A</v>
      </c>
      <c r="BG15" s="39" t="e">
        <f>IF(BG$1,SUMIFS('BalSht Data'!$H$2:$H$2050,'BalSht Data'!$G$2:$G$2050,$A15,'BalSht Data'!$A$2:$A$2050,BG$1),#N/A)</f>
        <v>#N/A</v>
      </c>
      <c r="BH15" s="39" t="e">
        <f>IF(BH$1,SUMIFS('BalSht Data'!$H$2:$H$2050,'BalSht Data'!$G$2:$G$2050,$A15,'BalSht Data'!$A$2:$A$2050,BH$1),#N/A)</f>
        <v>#N/A</v>
      </c>
      <c r="BI15" s="39" t="e">
        <f>IF(BI$1,SUMIFS('BalSht Data'!$H$2:$H$2050,'BalSht Data'!$G$2:$G$2050,$A15,'BalSht Data'!$A$2:$A$2050,BI$1),#N/A)</f>
        <v>#N/A</v>
      </c>
      <c r="BJ15" s="39" t="e">
        <f>IF(BJ$1,SUMIFS('BalSht Data'!$H$2:$H$2050,'BalSht Data'!$G$2:$G$2050,$A15,'BalSht Data'!$A$2:$A$2050,BJ$1),#N/A)</f>
        <v>#N/A</v>
      </c>
      <c r="BK15" s="39" t="e">
        <f>IF(BK$1,SUMIFS('BalSht Data'!$H$2:$H$2050,'BalSht Data'!$G$2:$G$2050,$A15,'BalSht Data'!$A$2:$A$2050,BK$1),#N/A)</f>
        <v>#N/A</v>
      </c>
      <c r="BL15" s="39" t="e">
        <f>IF(BL$1,SUMIFS('BalSht Data'!$H$2:$H$2050,'BalSht Data'!$G$2:$G$2050,$A15,'BalSht Data'!$A$2:$A$2050,BL$1),#N/A)</f>
        <v>#N/A</v>
      </c>
      <c r="BM15" s="39" t="e">
        <f>IF(BM$1,SUMIFS('BalSht Data'!$H$2:$H$2050,'BalSht Data'!$G$2:$G$2050,$A15,'BalSht Data'!$A$2:$A$2050,BM$1),#N/A)</f>
        <v>#N/A</v>
      </c>
      <c r="BN15" s="39" t="e">
        <f>IF(BN$1,SUMIFS('BalSht Data'!$H$2:$H$2050,'BalSht Data'!$G$2:$G$2050,$A15,'BalSht Data'!$A$2:$A$2050,BN$1),#N/A)</f>
        <v>#N/A</v>
      </c>
      <c r="BO15" s="39" t="e">
        <f>IF(BO$1,SUMIFS('BalSht Data'!$H$2:$H$2050,'BalSht Data'!$G$2:$G$2050,$A15,'BalSht Data'!$A$2:$A$2050,BO$1),#N/A)</f>
        <v>#N/A</v>
      </c>
      <c r="BP15" s="39" t="e">
        <f>IF(BP$1,SUMIFS('BalSht Data'!$H$2:$H$2050,'BalSht Data'!$G$2:$G$2050,$A15,'BalSht Data'!$A$2:$A$2050,BP$1),#N/A)</f>
        <v>#N/A</v>
      </c>
      <c r="BQ15" s="39" t="e">
        <f>IF(BQ$1,SUMIFS('BalSht Data'!$H$2:$H$2050,'BalSht Data'!$G$2:$G$2050,$A15,'BalSht Data'!$A$2:$A$2050,BQ$1),#N/A)</f>
        <v>#N/A</v>
      </c>
      <c r="BR15" s="39" t="e">
        <f>IF(BR$1,SUMIFS('BalSht Data'!$H$2:$H$2050,'BalSht Data'!$G$2:$G$2050,$A15,'BalSht Data'!$A$2:$A$2050,BR$1),#N/A)</f>
        <v>#N/A</v>
      </c>
      <c r="BS15" s="39" t="e">
        <f>IF(BS$1,SUMIFS('BalSht Data'!$H$2:$H$2050,'BalSht Data'!$G$2:$G$2050,$A15,'BalSht Data'!$A$2:$A$2050,BS$1),#N/A)</f>
        <v>#N/A</v>
      </c>
      <c r="BT15" s="39" t="e">
        <f>IF(BT$1,SUMIFS('BalSht Data'!$H$2:$H$2050,'BalSht Data'!$G$2:$G$2050,$A15,'BalSht Data'!$A$2:$A$2050,BT$1),#N/A)</f>
        <v>#N/A</v>
      </c>
      <c r="BU15" s="39" t="e">
        <f>IF(BU$1,SUMIFS('BalSht Data'!$H$2:$H$2050,'BalSht Data'!$G$2:$G$2050,$A15,'BalSht Data'!$A$2:$A$2050,BU$1),#N/A)</f>
        <v>#N/A</v>
      </c>
      <c r="BV15" s="39" t="e">
        <f>IF(BV$1,SUMIFS('BalSht Data'!$H$2:$H$2050,'BalSht Data'!$G$2:$G$2050,$A15,'BalSht Data'!$A$2:$A$2050,BV$1),#N/A)</f>
        <v>#N/A</v>
      </c>
      <c r="BW15" s="39" t="e">
        <f>IF(BW$1,SUMIFS('BalSht Data'!$H$2:$H$2050,'BalSht Data'!$G$2:$G$2050,$A15,'BalSht Data'!$A$2:$A$2050,BW$1),#N/A)</f>
        <v>#N/A</v>
      </c>
      <c r="BX15" s="39" t="e">
        <f>IF(BX$1,SUMIFS('BalSht Data'!$H$2:$H$2050,'BalSht Data'!$G$2:$G$2050,$A15,'BalSht Data'!$A$2:$A$2050,BX$1),#N/A)</f>
        <v>#N/A</v>
      </c>
      <c r="BY15" s="39" t="e">
        <f>IF(BY$1,SUMIFS('BalSht Data'!$H$2:$H$2050,'BalSht Data'!$G$2:$G$2050,$A15,'BalSht Data'!$A$2:$A$2050,BY$1),#N/A)</f>
        <v>#N/A</v>
      </c>
      <c r="BZ15" s="39" t="e">
        <f>IF(BZ$1,SUMIFS('BalSht Data'!$H$2:$H$2050,'BalSht Data'!$G$2:$G$2050,$A15,'BalSht Data'!$A$2:$A$2050,BZ$1),#N/A)</f>
        <v>#N/A</v>
      </c>
      <c r="CA15" s="39" t="e">
        <f>IF(CA$1,SUMIFS('BalSht Data'!$H$2:$H$2050,'BalSht Data'!$G$2:$G$2050,$A15,'BalSht Data'!$A$2:$A$2050,CA$1),#N/A)</f>
        <v>#N/A</v>
      </c>
      <c r="CB15" s="39" t="e">
        <f>IF(CB$1,SUMIFS('BalSht Data'!$H$2:$H$2050,'BalSht Data'!$G$2:$G$2050,$A15,'BalSht Data'!$A$2:$A$2050,CB$1),#N/A)</f>
        <v>#N/A</v>
      </c>
      <c r="CC15" s="39" t="e">
        <f>IF(CC$1,SUMIFS('BalSht Data'!$H$2:$H$2050,'BalSht Data'!$G$2:$G$2050,$A15,'BalSht Data'!$A$2:$A$2050,CC$1),#N/A)</f>
        <v>#N/A</v>
      </c>
      <c r="CD15" s="39" t="e">
        <f>IF(CD$1,SUMIFS('BalSht Data'!$H$2:$H$2050,'BalSht Data'!$G$2:$G$2050,$A15,'BalSht Data'!$A$2:$A$2050,CD$1),#N/A)</f>
        <v>#N/A</v>
      </c>
      <c r="CE15" s="39" t="e">
        <f>IF(CE$1,SUMIFS('BalSht Data'!$H$2:$H$2050,'BalSht Data'!$G$2:$G$2050,$A15,'BalSht Data'!$A$2:$A$2050,CE$1),#N/A)</f>
        <v>#N/A</v>
      </c>
      <c r="CF15" s="39" t="e">
        <f>IF(CF$1,SUMIFS('BalSht Data'!$H$2:$H$2050,'BalSht Data'!$G$2:$G$2050,$A15,'BalSht Data'!$A$2:$A$2050,CF$1),#N/A)</f>
        <v>#N/A</v>
      </c>
      <c r="CG15" s="39" t="e">
        <f>IF(CG$1,SUMIFS('BalSht Data'!$H$2:$H$2050,'BalSht Data'!$G$2:$G$2050,$A15,'BalSht Data'!$A$2:$A$2050,CG$1),#N/A)</f>
        <v>#N/A</v>
      </c>
      <c r="CH15" s="39" t="e">
        <f>IF(CH$1,SUMIFS('BalSht Data'!$H$2:$H$2050,'BalSht Data'!$G$2:$G$2050,$A15,'BalSht Data'!$A$2:$A$2050,CH$1),#N/A)</f>
        <v>#N/A</v>
      </c>
      <c r="CI15" s="39" t="e">
        <f>IF(CI$1,SUMIFS('BalSht Data'!$H$2:$H$2050,'BalSht Data'!$G$2:$G$2050,$A15,'BalSht Data'!$A$2:$A$2050,CI$1),#N/A)</f>
        <v>#N/A</v>
      </c>
      <c r="CJ15" s="39" t="e">
        <f>IF(CJ$1,SUMIFS('BalSht Data'!$H$2:$H$2050,'BalSht Data'!$G$2:$G$2050,$A15,'BalSht Data'!$A$2:$A$2050,CJ$1),#N/A)</f>
        <v>#N/A</v>
      </c>
      <c r="CK15" s="39" t="e">
        <f>IF(CK$1,SUMIFS('BalSht Data'!$H$2:$H$2050,'BalSht Data'!$G$2:$G$2050,$A15,'BalSht Data'!$A$2:$A$2050,CK$1),#N/A)</f>
        <v>#N/A</v>
      </c>
      <c r="CL15" s="39" t="e">
        <f>IF(CL$1,SUMIFS('BalSht Data'!$H$2:$H$2050,'BalSht Data'!$G$2:$G$2050,$A15,'BalSht Data'!$A$2:$A$2050,CL$1),#N/A)</f>
        <v>#N/A</v>
      </c>
      <c r="CM15" s="39" t="e">
        <f>IF(CM$1,SUMIFS('BalSht Data'!$H$2:$H$2050,'BalSht Data'!$G$2:$G$2050,$A15,'BalSht Data'!$A$2:$A$2050,CM$1),#N/A)</f>
        <v>#N/A</v>
      </c>
      <c r="CN15" s="39" t="e">
        <f>IF(CN$1,SUMIFS('BalSht Data'!$H$2:$H$2050,'BalSht Data'!$G$2:$G$2050,$A15,'BalSht Data'!$A$2:$A$2050,CN$1),#N/A)</f>
        <v>#N/A</v>
      </c>
      <c r="CO15" s="39" t="e">
        <f>IF(CO$1,SUMIFS('BalSht Data'!$H$2:$H$2050,'BalSht Data'!$G$2:$G$2050,$A15,'BalSht Data'!$A$2:$A$2050,CO$1),#N/A)</f>
        <v>#N/A</v>
      </c>
      <c r="CP15" s="39" t="e">
        <f>IF(CP$1,SUMIFS('BalSht Data'!$H$2:$H$2050,'BalSht Data'!$G$2:$G$2050,$A15,'BalSht Data'!$A$2:$A$2050,CP$1),#N/A)</f>
        <v>#N/A</v>
      </c>
      <c r="CQ15" s="39" t="e">
        <f>IF(CQ$1,SUMIFS('BalSht Data'!$H$2:$H$2050,'BalSht Data'!$G$2:$G$2050,$A15,'BalSht Data'!$A$2:$A$2050,CQ$1),#N/A)</f>
        <v>#N/A</v>
      </c>
      <c r="CR15" s="39" t="e">
        <f>IF(CR$1,SUMIFS('BalSht Data'!$H$2:$H$2050,'BalSht Data'!$G$2:$G$2050,$A15,'BalSht Data'!$A$2:$A$2050,CR$1),#N/A)</f>
        <v>#N/A</v>
      </c>
      <c r="CS15" s="39" t="e">
        <f>IF(CS$1,SUMIFS('BalSht Data'!$H$2:$H$2050,'BalSht Data'!$G$2:$G$2050,$A15,'BalSht Data'!$A$2:$A$2050,CS$1),#N/A)</f>
        <v>#N/A</v>
      </c>
      <c r="CT15" s="39" t="e">
        <f>IF(CT$1,SUMIFS('BalSht Data'!$H$2:$H$2050,'BalSht Data'!$G$2:$G$2050,$A15,'BalSht Data'!$A$2:$A$2050,CT$1),#N/A)</f>
        <v>#N/A</v>
      </c>
      <c r="CU15" s="39" t="e">
        <f>IF(CU$1,SUMIFS('BalSht Data'!$H$2:$H$2050,'BalSht Data'!$G$2:$G$2050,$A15,'BalSht Data'!$A$2:$A$2050,CU$1),#N/A)</f>
        <v>#N/A</v>
      </c>
      <c r="CV15" s="39" t="e">
        <f>IF(CV$1,SUMIFS('BalSht Data'!$H$2:$H$2050,'BalSht Data'!$G$2:$G$2050,$A15,'BalSht Data'!$A$2:$A$2050,CV$1),#N/A)</f>
        <v>#N/A</v>
      </c>
      <c r="CW15" s="39" t="e">
        <f>IF(CW$1,SUMIFS('BalSht Data'!$H$2:$H$2050,'BalSht Data'!$G$2:$G$2050,$A15,'BalSht Data'!$A$2:$A$2050,CW$1),#N/A)</f>
        <v>#N/A</v>
      </c>
      <c r="CX15" s="39" t="e">
        <f>IF(CX$1,SUMIFS('BalSht Data'!$H$2:$H$2050,'BalSht Data'!$G$2:$G$2050,$A15,'BalSht Data'!$A$2:$A$2050,CX$1),#N/A)</f>
        <v>#N/A</v>
      </c>
      <c r="CY15" s="39" t="e">
        <f>IF(CY$1,SUMIFS('BalSht Data'!$H$2:$H$2050,'BalSht Data'!$G$2:$G$2050,$A15,'BalSht Data'!$A$2:$A$2050,CY$1),#N/A)</f>
        <v>#N/A</v>
      </c>
      <c r="CZ15" s="39" t="e">
        <f>IF(CZ$1,SUMIFS('BalSht Data'!$H$2:$H$2050,'BalSht Data'!$G$2:$G$2050,$A15,'BalSht Data'!$A$2:$A$2050,CZ$1),#N/A)</f>
        <v>#N/A</v>
      </c>
      <c r="DA15" s="39">
        <f>SUM(B15:AJ15)</f>
        <v>23250266</v>
      </c>
    </row>
    <row r="16" spans="1:105" s="40" customFormat="1" x14ac:dyDescent="0.2">
      <c r="A16" s="53" t="s">
        <v>13</v>
      </c>
      <c r="B16" s="43">
        <f>IF(B$1,SUMIFS('BalSht Data'!$H$2:$H$2050,'BalSht Data'!$G$2:$G$2050,$A16,'BalSht Data'!$A$2:$A$2050,B$1),#N/A)</f>
        <v>4335982</v>
      </c>
      <c r="C16" s="43">
        <f>IF(C$1,SUMIFS('BalSht Data'!$H$2:$H$2050,'BalSht Data'!$G$2:$G$2050,$A16,'BalSht Data'!$A$2:$A$2050,C$1),#N/A)</f>
        <v>4189975</v>
      </c>
      <c r="D16" s="43">
        <f>IF(D$1,SUMIFS('BalSht Data'!$H$2:$H$2050,'BalSht Data'!$G$2:$G$2050,$A16,'BalSht Data'!$A$2:$A$2050,D$1),#N/A)</f>
        <v>5148497</v>
      </c>
      <c r="E16" s="43">
        <f>IF(E$1,SUMIFS('BalSht Data'!$H$2:$H$2050,'BalSht Data'!$G$2:$G$2050,$A16,'BalSht Data'!$A$2:$A$2050,E$1),#N/A)</f>
        <v>9705285</v>
      </c>
      <c r="F16" s="43">
        <f>IF(F$1,SUMIFS('BalSht Data'!$H$2:$H$2050,'BalSht Data'!$G$2:$G$2050,$A16,'BalSht Data'!$A$2:$A$2050,F$1),#N/A)</f>
        <v>9314310</v>
      </c>
      <c r="G16" s="43">
        <f>IF(G$1,SUMIFS('BalSht Data'!$H$2:$H$2050,'BalSht Data'!$G$2:$G$2050,$A16,'BalSht Data'!$A$2:$A$2050,G$1),#N/A)</f>
        <v>4723007</v>
      </c>
      <c r="H16" s="43">
        <f>IF(H$1,SUMIFS('BalSht Data'!$H$2:$H$2050,'BalSht Data'!$G$2:$G$2050,$A16,'BalSht Data'!$A$2:$A$2050,H$1),#N/A)</f>
        <v>7792375</v>
      </c>
      <c r="I16" s="43">
        <f>IF(I$1,SUMIFS('BalSht Data'!$H$2:$H$2050,'BalSht Data'!$G$2:$G$2050,$A16,'BalSht Data'!$A$2:$A$2050,I$1),#N/A)</f>
        <v>6329049</v>
      </c>
      <c r="J16" s="43">
        <f>IF(J$1,SUMIFS('BalSht Data'!$H$2:$H$2050,'BalSht Data'!$G$2:$G$2050,$A16,'BalSht Data'!$A$2:$A$2050,J$1),#N/A)</f>
        <v>7380856</v>
      </c>
      <c r="K16" s="43">
        <f>IF(K$1,SUMIFS('BalSht Data'!$H$2:$H$2050,'BalSht Data'!$G$2:$G$2050,$A16,'BalSht Data'!$A$2:$A$2050,K$1),#N/A)</f>
        <v>11465916</v>
      </c>
      <c r="L16" s="43">
        <f>IF(L$1,SUMIFS('BalSht Data'!$H$2:$H$2050,'BalSht Data'!$G$2:$G$2050,$A16,'BalSht Data'!$A$2:$A$2050,L$1),#N/A)</f>
        <v>6710114</v>
      </c>
      <c r="M16" s="43">
        <f>IF(M$1,SUMIFS('BalSht Data'!$H$2:$H$2050,'BalSht Data'!$G$2:$G$2050,$A16,'BalSht Data'!$A$2:$A$2050,M$1),#N/A)</f>
        <v>6586026</v>
      </c>
      <c r="N16" s="43">
        <f>IF(N$1,SUMIFS('BalSht Data'!$H$2:$H$2050,'BalSht Data'!$G$2:$G$2050,$A16,'BalSht Data'!$A$2:$A$2050,N$1),#N/A)</f>
        <v>13720368</v>
      </c>
      <c r="O16" s="43">
        <f>IF(O$1,SUMIFS('BalSht Data'!$H$2:$H$2050,'BalSht Data'!$G$2:$G$2050,$A16,'BalSht Data'!$A$2:$A$2050,O$1),#N/A)</f>
        <v>7358498</v>
      </c>
      <c r="P16" s="43">
        <f>IF(P$1,SUMIFS('BalSht Data'!$H$2:$H$2050,'BalSht Data'!$G$2:$G$2050,$A16,'BalSht Data'!$A$2:$A$2050,P$1),#N/A)</f>
        <v>7468257</v>
      </c>
      <c r="Q16" s="43">
        <f>IF(Q$1,SUMIFS('BalSht Data'!$H$2:$H$2050,'BalSht Data'!$G$2:$G$2050,$A16,'BalSht Data'!$A$2:$A$2050,Q$1),#N/A)</f>
        <v>6694612</v>
      </c>
      <c r="R16" s="43">
        <f>IF(R$1,SUMIFS('BalSht Data'!$H$2:$H$2050,'BalSht Data'!$G$2:$G$2050,$A16,'BalSht Data'!$A$2:$A$2050,R$1),#N/A)</f>
        <v>6454815</v>
      </c>
      <c r="S16" s="43">
        <f>IF(S$1,SUMIFS('BalSht Data'!$H$2:$H$2050,'BalSht Data'!$G$2:$G$2050,$A16,'BalSht Data'!$A$2:$A$2050,S$1),#N/A)</f>
        <v>9123282</v>
      </c>
      <c r="T16" s="43">
        <f>IF(T$1,SUMIFS('BalSht Data'!$H$2:$H$2050,'BalSht Data'!$G$2:$G$2050,$A16,'BalSht Data'!$A$2:$A$2050,T$1),#N/A)</f>
        <v>10281479</v>
      </c>
      <c r="U16" s="43">
        <f>IF(U$1,SUMIFS('BalSht Data'!$H$2:$H$2050,'BalSht Data'!$G$2:$G$2050,$A16,'BalSht Data'!$A$2:$A$2050,U$1),#N/A)</f>
        <v>7786537</v>
      </c>
      <c r="V16" s="43">
        <f>IF(V$1,SUMIFS('BalSht Data'!$H$2:$H$2050,'BalSht Data'!$G$2:$G$2050,$A16,'BalSht Data'!$A$2:$A$2050,V$1),#N/A)</f>
        <v>10153070</v>
      </c>
      <c r="W16" s="43">
        <f>IF(W$1,SUMIFS('BalSht Data'!$H$2:$H$2050,'BalSht Data'!$G$2:$G$2050,$A16,'BalSht Data'!$A$2:$A$2050,W$1),#N/A)</f>
        <v>7320156</v>
      </c>
      <c r="X16" s="43">
        <f>IF(X$1,SUMIFS('BalSht Data'!$H$2:$H$2050,'BalSht Data'!$G$2:$G$2050,$A16,'BalSht Data'!$A$2:$A$2050,X$1),#N/A)</f>
        <v>7809239</v>
      </c>
      <c r="Y16" s="43">
        <f>IF(Y$1,SUMIFS('BalSht Data'!$H$2:$H$2050,'BalSht Data'!$G$2:$G$2050,$A16,'BalSht Data'!$A$2:$A$2050,Y$1),#N/A)</f>
        <v>7737100</v>
      </c>
      <c r="Z16" s="43">
        <f>IF(Z$1,SUMIFS('BalSht Data'!$H$2:$H$2050,'BalSht Data'!$G$2:$G$2050,$A16,'BalSht Data'!$A$2:$A$2050,Z$1),#N/A)</f>
        <v>0</v>
      </c>
      <c r="AA16" s="43">
        <f>IF(AA$1,SUMIFS('BalSht Data'!$H$2:$H$2050,'BalSht Data'!$G$2:$G$2050,$A16,'BalSht Data'!$A$2:$A$2050,AA$1),#N/A)</f>
        <v>7748341</v>
      </c>
      <c r="AB16" s="43">
        <f>IF(AB$1,SUMIFS('BalSht Data'!$H$2:$H$2050,'BalSht Data'!$G$2:$G$2050,$A16,'BalSht Data'!$A$2:$A$2050,AB$1),#N/A)</f>
        <v>0</v>
      </c>
      <c r="AC16" s="43">
        <f>IF(AC$1,SUMIFS('BalSht Data'!$H$2:$H$2050,'BalSht Data'!$G$2:$G$2050,$A16,'BalSht Data'!$A$2:$A$2050,AC$1),#N/A)</f>
        <v>0</v>
      </c>
      <c r="AD16" s="43">
        <f>IF(AD$1,SUMIFS('BalSht Data'!$H$2:$H$2050,'BalSht Data'!$G$2:$G$2050,$A16,'BalSht Data'!$A$2:$A$2050,AD$1),#N/A)</f>
        <v>6059845</v>
      </c>
      <c r="AE16" s="43">
        <f>IF(AE$1,SUMIFS('BalSht Data'!$H$2:$H$2050,'BalSht Data'!$G$2:$G$2050,$A16,'BalSht Data'!$A$2:$A$2050,AE$1),#N/A)</f>
        <v>10067698</v>
      </c>
      <c r="AF16" s="43">
        <f>IF(AF$1,SUMIFS('BalSht Data'!$H$2:$H$2050,'BalSht Data'!$G$2:$G$2050,$A16,'BalSht Data'!$A$2:$A$2050,AF$1),#N/A)</f>
        <v>9165615</v>
      </c>
      <c r="AG16" s="43">
        <f>IF(AG$1,SUMIFS('BalSht Data'!$H$2:$H$2050,'BalSht Data'!$G$2:$G$2050,$A16,'BalSht Data'!$A$2:$A$2050,AG$1),#N/A)</f>
        <v>11789767</v>
      </c>
      <c r="AH16" s="43">
        <f>IF(AH$1,SUMIFS('BalSht Data'!$H$2:$H$2050,'BalSht Data'!$G$2:$G$2050,$A16,'BalSht Data'!$A$2:$A$2050,AH$1),#N/A)</f>
        <v>8356155</v>
      </c>
      <c r="AI16" s="43">
        <f>IF(AI$1,SUMIFS('BalSht Data'!$H$2:$H$2050,'BalSht Data'!$G$2:$G$2050,$A16,'BalSht Data'!$A$2:$A$2050,AI$1),#N/A)</f>
        <v>8865618</v>
      </c>
      <c r="AJ16" s="43">
        <f>IF(AJ$1,SUMIFS('BalSht Data'!$H$2:$H$2050,'BalSht Data'!$G$2:$G$2050,$A16,'BalSht Data'!$A$2:$A$2050,AJ$1),#N/A)</f>
        <v>8421994</v>
      </c>
      <c r="AK16" s="43" t="e">
        <f>IF(AK$1,SUMIFS('BalSht Data'!$H$2:$H$2050,'BalSht Data'!$G$2:$G$2050,$A16,'BalSht Data'!$A$2:$A$2050,AK$1),#N/A)</f>
        <v>#N/A</v>
      </c>
      <c r="AL16" s="43" t="e">
        <f>IF(AL$1,SUMIFS('BalSht Data'!$H$2:$H$2050,'BalSht Data'!$G$2:$G$2050,$A16,'BalSht Data'!$A$2:$A$2050,AL$1),#N/A)</f>
        <v>#N/A</v>
      </c>
      <c r="AM16" s="43" t="e">
        <f>IF(AM$1,SUMIFS('BalSht Data'!$H$2:$H$2050,'BalSht Data'!$G$2:$G$2050,$A16,'BalSht Data'!$A$2:$A$2050,AM$1),#N/A)</f>
        <v>#N/A</v>
      </c>
      <c r="AN16" s="43" t="e">
        <f>IF(AN$1,SUMIFS('BalSht Data'!$H$2:$H$2050,'BalSht Data'!$G$2:$G$2050,$A16,'BalSht Data'!$A$2:$A$2050,AN$1),#N/A)</f>
        <v>#N/A</v>
      </c>
      <c r="AO16" s="43" t="e">
        <f>IF(AO$1,SUMIFS('BalSht Data'!$H$2:$H$2050,'BalSht Data'!$G$2:$G$2050,$A16,'BalSht Data'!$A$2:$A$2050,AO$1),#N/A)</f>
        <v>#N/A</v>
      </c>
      <c r="AP16" s="43" t="e">
        <f>IF(AP$1,SUMIFS('BalSht Data'!$H$2:$H$2050,'BalSht Data'!$G$2:$G$2050,$A16,'BalSht Data'!$A$2:$A$2050,AP$1),#N/A)</f>
        <v>#N/A</v>
      </c>
      <c r="AQ16" s="43" t="e">
        <f>IF(AQ$1,SUMIFS('BalSht Data'!$H$2:$H$2050,'BalSht Data'!$G$2:$G$2050,$A16,'BalSht Data'!$A$2:$A$2050,AQ$1),#N/A)</f>
        <v>#N/A</v>
      </c>
      <c r="AR16" s="43" t="e">
        <f>IF(AR$1,SUMIFS('BalSht Data'!$H$2:$H$2050,'BalSht Data'!$G$2:$G$2050,$A16,'BalSht Data'!$A$2:$A$2050,AR$1),#N/A)</f>
        <v>#N/A</v>
      </c>
      <c r="AS16" s="43" t="e">
        <f>IF(AS$1,SUMIFS('BalSht Data'!$H$2:$H$2050,'BalSht Data'!$G$2:$G$2050,$A16,'BalSht Data'!$A$2:$A$2050,AS$1),#N/A)</f>
        <v>#N/A</v>
      </c>
      <c r="AT16" s="43" t="e">
        <f>IF(AT$1,SUMIFS('BalSht Data'!$H$2:$H$2050,'BalSht Data'!$G$2:$G$2050,$A16,'BalSht Data'!$A$2:$A$2050,AT$1),#N/A)</f>
        <v>#N/A</v>
      </c>
      <c r="AU16" s="43" t="e">
        <f>IF(AU$1,SUMIFS('BalSht Data'!$H$2:$H$2050,'BalSht Data'!$G$2:$G$2050,$A16,'BalSht Data'!$A$2:$A$2050,AU$1),#N/A)</f>
        <v>#N/A</v>
      </c>
      <c r="AV16" s="43" t="e">
        <f>IF(AV$1,SUMIFS('BalSht Data'!$H$2:$H$2050,'BalSht Data'!$G$2:$G$2050,$A16,'BalSht Data'!$A$2:$A$2050,AV$1),#N/A)</f>
        <v>#N/A</v>
      </c>
      <c r="AW16" s="43" t="e">
        <f>IF(AW$1,SUMIFS('BalSht Data'!$H$2:$H$2050,'BalSht Data'!$G$2:$G$2050,$A16,'BalSht Data'!$A$2:$A$2050,AW$1),#N/A)</f>
        <v>#N/A</v>
      </c>
      <c r="AX16" s="43" t="e">
        <f>IF(AX$1,SUMIFS('BalSht Data'!$H$2:$H$2050,'BalSht Data'!$G$2:$G$2050,$A16,'BalSht Data'!$A$2:$A$2050,AX$1),#N/A)</f>
        <v>#N/A</v>
      </c>
      <c r="AY16" s="43" t="e">
        <f>IF(AY$1,SUMIFS('BalSht Data'!$H$2:$H$2050,'BalSht Data'!$G$2:$G$2050,$A16,'BalSht Data'!$A$2:$A$2050,AY$1),#N/A)</f>
        <v>#N/A</v>
      </c>
      <c r="AZ16" s="43" t="e">
        <f>IF(AZ$1,SUMIFS('BalSht Data'!$H$2:$H$2050,'BalSht Data'!$G$2:$G$2050,$A16,'BalSht Data'!$A$2:$A$2050,AZ$1),#N/A)</f>
        <v>#N/A</v>
      </c>
      <c r="BA16" s="43" t="e">
        <f>IF(BA$1,SUMIFS('BalSht Data'!$H$2:$H$2050,'BalSht Data'!$G$2:$G$2050,$A16,'BalSht Data'!$A$2:$A$2050,BA$1),#N/A)</f>
        <v>#N/A</v>
      </c>
      <c r="BB16" s="43" t="e">
        <f>IF(BB$1,SUMIFS('BalSht Data'!$H$2:$H$2050,'BalSht Data'!$G$2:$G$2050,$A16,'BalSht Data'!$A$2:$A$2050,BB$1),#N/A)</f>
        <v>#N/A</v>
      </c>
      <c r="BC16" s="43" t="e">
        <f>IF(BC$1,SUMIFS('BalSht Data'!$H$2:$H$2050,'BalSht Data'!$G$2:$G$2050,$A16,'BalSht Data'!$A$2:$A$2050,BC$1),#N/A)</f>
        <v>#N/A</v>
      </c>
      <c r="BD16" s="43" t="e">
        <f>IF(BD$1,SUMIFS('BalSht Data'!$H$2:$H$2050,'BalSht Data'!$G$2:$G$2050,$A16,'BalSht Data'!$A$2:$A$2050,BD$1),#N/A)</f>
        <v>#N/A</v>
      </c>
      <c r="BE16" s="43" t="e">
        <f>IF(BE$1,SUMIFS('BalSht Data'!$H$2:$H$2050,'BalSht Data'!$G$2:$G$2050,$A16,'BalSht Data'!$A$2:$A$2050,BE$1),#N/A)</f>
        <v>#N/A</v>
      </c>
      <c r="BF16" s="43" t="e">
        <f>IF(BF$1,SUMIFS('BalSht Data'!$H$2:$H$2050,'BalSht Data'!$G$2:$G$2050,$A16,'BalSht Data'!$A$2:$A$2050,BF$1),#N/A)</f>
        <v>#N/A</v>
      </c>
      <c r="BG16" s="43" t="e">
        <f>IF(BG$1,SUMIFS('BalSht Data'!$H$2:$H$2050,'BalSht Data'!$G$2:$G$2050,$A16,'BalSht Data'!$A$2:$A$2050,BG$1),#N/A)</f>
        <v>#N/A</v>
      </c>
      <c r="BH16" s="43" t="e">
        <f>IF(BH$1,SUMIFS('BalSht Data'!$H$2:$H$2050,'BalSht Data'!$G$2:$G$2050,$A16,'BalSht Data'!$A$2:$A$2050,BH$1),#N/A)</f>
        <v>#N/A</v>
      </c>
      <c r="BI16" s="43" t="e">
        <f>IF(BI$1,SUMIFS('BalSht Data'!$H$2:$H$2050,'BalSht Data'!$G$2:$G$2050,$A16,'BalSht Data'!$A$2:$A$2050,BI$1),#N/A)</f>
        <v>#N/A</v>
      </c>
      <c r="BJ16" s="43" t="e">
        <f>IF(BJ$1,SUMIFS('BalSht Data'!$H$2:$H$2050,'BalSht Data'!$G$2:$G$2050,$A16,'BalSht Data'!$A$2:$A$2050,BJ$1),#N/A)</f>
        <v>#N/A</v>
      </c>
      <c r="BK16" s="43" t="e">
        <f>IF(BK$1,SUMIFS('BalSht Data'!$H$2:$H$2050,'BalSht Data'!$G$2:$G$2050,$A16,'BalSht Data'!$A$2:$A$2050,BK$1),#N/A)</f>
        <v>#N/A</v>
      </c>
      <c r="BL16" s="43" t="e">
        <f>IF(BL$1,SUMIFS('BalSht Data'!$H$2:$H$2050,'BalSht Data'!$G$2:$G$2050,$A16,'BalSht Data'!$A$2:$A$2050,BL$1),#N/A)</f>
        <v>#N/A</v>
      </c>
      <c r="BM16" s="43" t="e">
        <f>IF(BM$1,SUMIFS('BalSht Data'!$H$2:$H$2050,'BalSht Data'!$G$2:$G$2050,$A16,'BalSht Data'!$A$2:$A$2050,BM$1),#N/A)</f>
        <v>#N/A</v>
      </c>
      <c r="BN16" s="43" t="e">
        <f>IF(BN$1,SUMIFS('BalSht Data'!$H$2:$H$2050,'BalSht Data'!$G$2:$G$2050,$A16,'BalSht Data'!$A$2:$A$2050,BN$1),#N/A)</f>
        <v>#N/A</v>
      </c>
      <c r="BO16" s="43" t="e">
        <f>IF(BO$1,SUMIFS('BalSht Data'!$H$2:$H$2050,'BalSht Data'!$G$2:$G$2050,$A16,'BalSht Data'!$A$2:$A$2050,BO$1),#N/A)</f>
        <v>#N/A</v>
      </c>
      <c r="BP16" s="43" t="e">
        <f>IF(BP$1,SUMIFS('BalSht Data'!$H$2:$H$2050,'BalSht Data'!$G$2:$G$2050,$A16,'BalSht Data'!$A$2:$A$2050,BP$1),#N/A)</f>
        <v>#N/A</v>
      </c>
      <c r="BQ16" s="43" t="e">
        <f>IF(BQ$1,SUMIFS('BalSht Data'!$H$2:$H$2050,'BalSht Data'!$G$2:$G$2050,$A16,'BalSht Data'!$A$2:$A$2050,BQ$1),#N/A)</f>
        <v>#N/A</v>
      </c>
      <c r="BR16" s="43" t="e">
        <f>IF(BR$1,SUMIFS('BalSht Data'!$H$2:$H$2050,'BalSht Data'!$G$2:$G$2050,$A16,'BalSht Data'!$A$2:$A$2050,BR$1),#N/A)</f>
        <v>#N/A</v>
      </c>
      <c r="BS16" s="43" t="e">
        <f>IF(BS$1,SUMIFS('BalSht Data'!$H$2:$H$2050,'BalSht Data'!$G$2:$G$2050,$A16,'BalSht Data'!$A$2:$A$2050,BS$1),#N/A)</f>
        <v>#N/A</v>
      </c>
      <c r="BT16" s="43" t="e">
        <f>IF(BT$1,SUMIFS('BalSht Data'!$H$2:$H$2050,'BalSht Data'!$G$2:$G$2050,$A16,'BalSht Data'!$A$2:$A$2050,BT$1),#N/A)</f>
        <v>#N/A</v>
      </c>
      <c r="BU16" s="43" t="e">
        <f>IF(BU$1,SUMIFS('BalSht Data'!$H$2:$H$2050,'BalSht Data'!$G$2:$G$2050,$A16,'BalSht Data'!$A$2:$A$2050,BU$1),#N/A)</f>
        <v>#N/A</v>
      </c>
      <c r="BV16" s="43" t="e">
        <f>IF(BV$1,SUMIFS('BalSht Data'!$H$2:$H$2050,'BalSht Data'!$G$2:$G$2050,$A16,'BalSht Data'!$A$2:$A$2050,BV$1),#N/A)</f>
        <v>#N/A</v>
      </c>
      <c r="BW16" s="43" t="e">
        <f>IF(BW$1,SUMIFS('BalSht Data'!$H$2:$H$2050,'BalSht Data'!$G$2:$G$2050,$A16,'BalSht Data'!$A$2:$A$2050,BW$1),#N/A)</f>
        <v>#N/A</v>
      </c>
      <c r="BX16" s="43" t="e">
        <f>IF(BX$1,SUMIFS('BalSht Data'!$H$2:$H$2050,'BalSht Data'!$G$2:$G$2050,$A16,'BalSht Data'!$A$2:$A$2050,BX$1),#N/A)</f>
        <v>#N/A</v>
      </c>
      <c r="BY16" s="43" t="e">
        <f>IF(BY$1,SUMIFS('BalSht Data'!$H$2:$H$2050,'BalSht Data'!$G$2:$G$2050,$A16,'BalSht Data'!$A$2:$A$2050,BY$1),#N/A)</f>
        <v>#N/A</v>
      </c>
      <c r="BZ16" s="43" t="e">
        <f>IF(BZ$1,SUMIFS('BalSht Data'!$H$2:$H$2050,'BalSht Data'!$G$2:$G$2050,$A16,'BalSht Data'!$A$2:$A$2050,BZ$1),#N/A)</f>
        <v>#N/A</v>
      </c>
      <c r="CA16" s="43" t="e">
        <f>IF(CA$1,SUMIFS('BalSht Data'!$H$2:$H$2050,'BalSht Data'!$G$2:$G$2050,$A16,'BalSht Data'!$A$2:$A$2050,CA$1),#N/A)</f>
        <v>#N/A</v>
      </c>
      <c r="CB16" s="43" t="e">
        <f>IF(CB$1,SUMIFS('BalSht Data'!$H$2:$H$2050,'BalSht Data'!$G$2:$G$2050,$A16,'BalSht Data'!$A$2:$A$2050,CB$1),#N/A)</f>
        <v>#N/A</v>
      </c>
      <c r="CC16" s="43" t="e">
        <f>IF(CC$1,SUMIFS('BalSht Data'!$H$2:$H$2050,'BalSht Data'!$G$2:$G$2050,$A16,'BalSht Data'!$A$2:$A$2050,CC$1),#N/A)</f>
        <v>#N/A</v>
      </c>
      <c r="CD16" s="43" t="e">
        <f>IF(CD$1,SUMIFS('BalSht Data'!$H$2:$H$2050,'BalSht Data'!$G$2:$G$2050,$A16,'BalSht Data'!$A$2:$A$2050,CD$1),#N/A)</f>
        <v>#N/A</v>
      </c>
      <c r="CE16" s="43" t="e">
        <f>IF(CE$1,SUMIFS('BalSht Data'!$H$2:$H$2050,'BalSht Data'!$G$2:$G$2050,$A16,'BalSht Data'!$A$2:$A$2050,CE$1),#N/A)</f>
        <v>#N/A</v>
      </c>
      <c r="CF16" s="43" t="e">
        <f>IF(CF$1,SUMIFS('BalSht Data'!$H$2:$H$2050,'BalSht Data'!$G$2:$G$2050,$A16,'BalSht Data'!$A$2:$A$2050,CF$1),#N/A)</f>
        <v>#N/A</v>
      </c>
      <c r="CG16" s="43" t="e">
        <f>IF(CG$1,SUMIFS('BalSht Data'!$H$2:$H$2050,'BalSht Data'!$G$2:$G$2050,$A16,'BalSht Data'!$A$2:$A$2050,CG$1),#N/A)</f>
        <v>#N/A</v>
      </c>
      <c r="CH16" s="43" t="e">
        <f>IF(CH$1,SUMIFS('BalSht Data'!$H$2:$H$2050,'BalSht Data'!$G$2:$G$2050,$A16,'BalSht Data'!$A$2:$A$2050,CH$1),#N/A)</f>
        <v>#N/A</v>
      </c>
      <c r="CI16" s="43" t="e">
        <f>IF(CI$1,SUMIFS('BalSht Data'!$H$2:$H$2050,'BalSht Data'!$G$2:$G$2050,$A16,'BalSht Data'!$A$2:$A$2050,CI$1),#N/A)</f>
        <v>#N/A</v>
      </c>
      <c r="CJ16" s="43" t="e">
        <f>IF(CJ$1,SUMIFS('BalSht Data'!$H$2:$H$2050,'BalSht Data'!$G$2:$G$2050,$A16,'BalSht Data'!$A$2:$A$2050,CJ$1),#N/A)</f>
        <v>#N/A</v>
      </c>
      <c r="CK16" s="43" t="e">
        <f>IF(CK$1,SUMIFS('BalSht Data'!$H$2:$H$2050,'BalSht Data'!$G$2:$G$2050,$A16,'BalSht Data'!$A$2:$A$2050,CK$1),#N/A)</f>
        <v>#N/A</v>
      </c>
      <c r="CL16" s="43" t="e">
        <f>IF(CL$1,SUMIFS('BalSht Data'!$H$2:$H$2050,'BalSht Data'!$G$2:$G$2050,$A16,'BalSht Data'!$A$2:$A$2050,CL$1),#N/A)</f>
        <v>#N/A</v>
      </c>
      <c r="CM16" s="43" t="e">
        <f>IF(CM$1,SUMIFS('BalSht Data'!$H$2:$H$2050,'BalSht Data'!$G$2:$G$2050,$A16,'BalSht Data'!$A$2:$A$2050,CM$1),#N/A)</f>
        <v>#N/A</v>
      </c>
      <c r="CN16" s="43" t="e">
        <f>IF(CN$1,SUMIFS('BalSht Data'!$H$2:$H$2050,'BalSht Data'!$G$2:$G$2050,$A16,'BalSht Data'!$A$2:$A$2050,CN$1),#N/A)</f>
        <v>#N/A</v>
      </c>
      <c r="CO16" s="43" t="e">
        <f>IF(CO$1,SUMIFS('BalSht Data'!$H$2:$H$2050,'BalSht Data'!$G$2:$G$2050,$A16,'BalSht Data'!$A$2:$A$2050,CO$1),#N/A)</f>
        <v>#N/A</v>
      </c>
      <c r="CP16" s="43" t="e">
        <f>IF(CP$1,SUMIFS('BalSht Data'!$H$2:$H$2050,'BalSht Data'!$G$2:$G$2050,$A16,'BalSht Data'!$A$2:$A$2050,CP$1),#N/A)</f>
        <v>#N/A</v>
      </c>
      <c r="CQ16" s="43" t="e">
        <f>IF(CQ$1,SUMIFS('BalSht Data'!$H$2:$H$2050,'BalSht Data'!$G$2:$G$2050,$A16,'BalSht Data'!$A$2:$A$2050,CQ$1),#N/A)</f>
        <v>#N/A</v>
      </c>
      <c r="CR16" s="43" t="e">
        <f>IF(CR$1,SUMIFS('BalSht Data'!$H$2:$H$2050,'BalSht Data'!$G$2:$G$2050,$A16,'BalSht Data'!$A$2:$A$2050,CR$1),#N/A)</f>
        <v>#N/A</v>
      </c>
      <c r="CS16" s="43" t="e">
        <f>IF(CS$1,SUMIFS('BalSht Data'!$H$2:$H$2050,'BalSht Data'!$G$2:$G$2050,$A16,'BalSht Data'!$A$2:$A$2050,CS$1),#N/A)</f>
        <v>#N/A</v>
      </c>
      <c r="CT16" s="43" t="e">
        <f>IF(CT$1,SUMIFS('BalSht Data'!$H$2:$H$2050,'BalSht Data'!$G$2:$G$2050,$A16,'BalSht Data'!$A$2:$A$2050,CT$1),#N/A)</f>
        <v>#N/A</v>
      </c>
      <c r="CU16" s="43" t="e">
        <f>IF(CU$1,SUMIFS('BalSht Data'!$H$2:$H$2050,'BalSht Data'!$G$2:$G$2050,$A16,'BalSht Data'!$A$2:$A$2050,CU$1),#N/A)</f>
        <v>#N/A</v>
      </c>
      <c r="CV16" s="43" t="e">
        <f>IF(CV$1,SUMIFS('BalSht Data'!$H$2:$H$2050,'BalSht Data'!$G$2:$G$2050,$A16,'BalSht Data'!$A$2:$A$2050,CV$1),#N/A)</f>
        <v>#N/A</v>
      </c>
      <c r="CW16" s="43" t="e">
        <f>IF(CW$1,SUMIFS('BalSht Data'!$H$2:$H$2050,'BalSht Data'!$G$2:$G$2050,$A16,'BalSht Data'!$A$2:$A$2050,CW$1),#N/A)</f>
        <v>#N/A</v>
      </c>
      <c r="CX16" s="43" t="e">
        <f>IF(CX$1,SUMIFS('BalSht Data'!$H$2:$H$2050,'BalSht Data'!$G$2:$G$2050,$A16,'BalSht Data'!$A$2:$A$2050,CX$1),#N/A)</f>
        <v>#N/A</v>
      </c>
      <c r="CY16" s="43" t="e">
        <f>IF(CY$1,SUMIFS('BalSht Data'!$H$2:$H$2050,'BalSht Data'!$G$2:$G$2050,$A16,'BalSht Data'!$A$2:$A$2050,CY$1),#N/A)</f>
        <v>#N/A</v>
      </c>
      <c r="CZ16" s="43" t="e">
        <f>IF(CZ$1,SUMIFS('BalSht Data'!$H$2:$H$2050,'BalSht Data'!$G$2:$G$2050,$A16,'BalSht Data'!$A$2:$A$2050,CZ$1),#N/A)</f>
        <v>#N/A</v>
      </c>
      <c r="DA16" s="43">
        <f>SUM(B16:AJ16)</f>
        <v>256063838</v>
      </c>
    </row>
    <row r="17" spans="1:105" s="40" customFormat="1" x14ac:dyDescent="0.2">
      <c r="A17" s="53" t="s">
        <v>15</v>
      </c>
      <c r="B17" s="43">
        <f>IF(B$1,SUMIFS('BalSht Data'!$H$2:$H$2050,'BalSht Data'!$G$2:$G$2050,$A17,'BalSht Data'!$A$2:$A$2050,B$1),#N/A)</f>
        <v>294273</v>
      </c>
      <c r="C17" s="43">
        <f>IF(C$1,SUMIFS('BalSht Data'!$H$2:$H$2050,'BalSht Data'!$G$2:$G$2050,$A17,'BalSht Data'!$A$2:$A$2050,C$1),#N/A)</f>
        <v>253722</v>
      </c>
      <c r="D17" s="43">
        <f>IF(D$1,SUMIFS('BalSht Data'!$H$2:$H$2050,'BalSht Data'!$G$2:$G$2050,$A17,'BalSht Data'!$A$2:$A$2050,D$1),#N/A)</f>
        <v>311231</v>
      </c>
      <c r="E17" s="43">
        <f>IF(E$1,SUMIFS('BalSht Data'!$H$2:$H$2050,'BalSht Data'!$G$2:$G$2050,$A17,'BalSht Data'!$A$2:$A$2050,E$1),#N/A)</f>
        <v>467506</v>
      </c>
      <c r="F17" s="43">
        <f>IF(F$1,SUMIFS('BalSht Data'!$H$2:$H$2050,'BalSht Data'!$G$2:$G$2050,$A17,'BalSht Data'!$A$2:$A$2050,F$1),#N/A)</f>
        <v>367155</v>
      </c>
      <c r="G17" s="43">
        <f>IF(G$1,SUMIFS('BalSht Data'!$H$2:$H$2050,'BalSht Data'!$G$2:$G$2050,$A17,'BalSht Data'!$A$2:$A$2050,G$1),#N/A)</f>
        <v>381152</v>
      </c>
      <c r="H17" s="43">
        <f>IF(H$1,SUMIFS('BalSht Data'!$H$2:$H$2050,'BalSht Data'!$G$2:$G$2050,$A17,'BalSht Data'!$A$2:$A$2050,H$1),#N/A)</f>
        <v>351895</v>
      </c>
      <c r="I17" s="43">
        <f>IF(I$1,SUMIFS('BalSht Data'!$H$2:$H$2050,'BalSht Data'!$G$2:$G$2050,$A17,'BalSht Data'!$A$2:$A$2050,I$1),#N/A)</f>
        <v>442567</v>
      </c>
      <c r="J17" s="43">
        <f>IF(J$1,SUMIFS('BalSht Data'!$H$2:$H$2050,'BalSht Data'!$G$2:$G$2050,$A17,'BalSht Data'!$A$2:$A$2050,J$1),#N/A)</f>
        <v>292267</v>
      </c>
      <c r="K17" s="43">
        <f>IF(K$1,SUMIFS('BalSht Data'!$H$2:$H$2050,'BalSht Data'!$G$2:$G$2050,$A17,'BalSht Data'!$A$2:$A$2050,K$1),#N/A)</f>
        <v>756187</v>
      </c>
      <c r="L17" s="43">
        <f>IF(L$1,SUMIFS('BalSht Data'!$H$2:$H$2050,'BalSht Data'!$G$2:$G$2050,$A17,'BalSht Data'!$A$2:$A$2050,L$1),#N/A)</f>
        <v>246920</v>
      </c>
      <c r="M17" s="43">
        <f>IF(M$1,SUMIFS('BalSht Data'!$H$2:$H$2050,'BalSht Data'!$G$2:$G$2050,$A17,'BalSht Data'!$A$2:$A$2050,M$1),#N/A)</f>
        <v>253780</v>
      </c>
      <c r="N17" s="43">
        <f>IF(N$1,SUMIFS('BalSht Data'!$H$2:$H$2050,'BalSht Data'!$G$2:$G$2050,$A17,'BalSht Data'!$A$2:$A$2050,N$1),#N/A)</f>
        <v>511688</v>
      </c>
      <c r="O17" s="43">
        <f>IF(O$1,SUMIFS('BalSht Data'!$H$2:$H$2050,'BalSht Data'!$G$2:$G$2050,$A17,'BalSht Data'!$A$2:$A$2050,O$1),#N/A)</f>
        <v>444307</v>
      </c>
      <c r="P17" s="43">
        <f>IF(P$1,SUMIFS('BalSht Data'!$H$2:$H$2050,'BalSht Data'!$G$2:$G$2050,$A17,'BalSht Data'!$A$2:$A$2050,P$1),#N/A)</f>
        <v>246073</v>
      </c>
      <c r="Q17" s="43">
        <f>IF(Q$1,SUMIFS('BalSht Data'!$H$2:$H$2050,'BalSht Data'!$G$2:$G$2050,$A17,'BalSht Data'!$A$2:$A$2050,Q$1),#N/A)</f>
        <v>361944</v>
      </c>
      <c r="R17" s="43">
        <f>IF(R$1,SUMIFS('BalSht Data'!$H$2:$H$2050,'BalSht Data'!$G$2:$G$2050,$A17,'BalSht Data'!$A$2:$A$2050,R$1),#N/A)</f>
        <v>332418</v>
      </c>
      <c r="S17" s="43">
        <f>IF(S$1,SUMIFS('BalSht Data'!$H$2:$H$2050,'BalSht Data'!$G$2:$G$2050,$A17,'BalSht Data'!$A$2:$A$2050,S$1),#N/A)</f>
        <v>268496</v>
      </c>
      <c r="T17" s="43">
        <f>IF(T$1,SUMIFS('BalSht Data'!$H$2:$H$2050,'BalSht Data'!$G$2:$G$2050,$A17,'BalSht Data'!$A$2:$A$2050,T$1),#N/A)</f>
        <v>641459</v>
      </c>
      <c r="U17" s="43">
        <f>IF(U$1,SUMIFS('BalSht Data'!$H$2:$H$2050,'BalSht Data'!$G$2:$G$2050,$A17,'BalSht Data'!$A$2:$A$2050,U$1),#N/A)</f>
        <v>245505</v>
      </c>
      <c r="V17" s="43">
        <f>IF(V$1,SUMIFS('BalSht Data'!$H$2:$H$2050,'BalSht Data'!$G$2:$G$2050,$A17,'BalSht Data'!$A$2:$A$2050,V$1),#N/A)</f>
        <v>335902</v>
      </c>
      <c r="W17" s="43">
        <f>IF(W$1,SUMIFS('BalSht Data'!$H$2:$H$2050,'BalSht Data'!$G$2:$G$2050,$A17,'BalSht Data'!$A$2:$A$2050,W$1),#N/A)</f>
        <v>256597</v>
      </c>
      <c r="X17" s="43">
        <f>IF(X$1,SUMIFS('BalSht Data'!$H$2:$H$2050,'BalSht Data'!$G$2:$G$2050,$A17,'BalSht Data'!$A$2:$A$2050,X$1),#N/A)</f>
        <v>483015</v>
      </c>
      <c r="Y17" s="43">
        <f>IF(Y$1,SUMIFS('BalSht Data'!$H$2:$H$2050,'BalSht Data'!$G$2:$G$2050,$A17,'BalSht Data'!$A$2:$A$2050,Y$1),#N/A)</f>
        <v>300229</v>
      </c>
      <c r="Z17" s="43">
        <f>IF(Z$1,SUMIFS('BalSht Data'!$H$2:$H$2050,'BalSht Data'!$G$2:$G$2050,$A17,'BalSht Data'!$A$2:$A$2050,Z$1),#N/A)</f>
        <v>0</v>
      </c>
      <c r="AA17" s="43">
        <f>IF(AA$1,SUMIFS('BalSht Data'!$H$2:$H$2050,'BalSht Data'!$G$2:$G$2050,$A17,'BalSht Data'!$A$2:$A$2050,AA$1),#N/A)</f>
        <v>288912</v>
      </c>
      <c r="AB17" s="43">
        <f>IF(AB$1,SUMIFS('BalSht Data'!$H$2:$H$2050,'BalSht Data'!$G$2:$G$2050,$A17,'BalSht Data'!$A$2:$A$2050,AB$1),#N/A)</f>
        <v>0</v>
      </c>
      <c r="AC17" s="43">
        <f>IF(AC$1,SUMIFS('BalSht Data'!$H$2:$H$2050,'BalSht Data'!$G$2:$G$2050,$A17,'BalSht Data'!$A$2:$A$2050,AC$1),#N/A)</f>
        <v>0</v>
      </c>
      <c r="AD17" s="43">
        <f>IF(AD$1,SUMIFS('BalSht Data'!$H$2:$H$2050,'BalSht Data'!$G$2:$G$2050,$A17,'BalSht Data'!$A$2:$A$2050,AD$1),#N/A)</f>
        <v>293118</v>
      </c>
      <c r="AE17" s="43">
        <f>IF(AE$1,SUMIFS('BalSht Data'!$H$2:$H$2050,'BalSht Data'!$G$2:$G$2050,$A17,'BalSht Data'!$A$2:$A$2050,AE$1),#N/A)</f>
        <v>385385</v>
      </c>
      <c r="AF17" s="43">
        <f>IF(AF$1,SUMIFS('BalSht Data'!$H$2:$H$2050,'BalSht Data'!$G$2:$G$2050,$A17,'BalSht Data'!$A$2:$A$2050,AF$1),#N/A)</f>
        <v>373542</v>
      </c>
      <c r="AG17" s="43">
        <f>IF(AG$1,SUMIFS('BalSht Data'!$H$2:$H$2050,'BalSht Data'!$G$2:$G$2050,$A17,'BalSht Data'!$A$2:$A$2050,AG$1),#N/A)</f>
        <v>548924</v>
      </c>
      <c r="AH17" s="43">
        <f>IF(AH$1,SUMIFS('BalSht Data'!$H$2:$H$2050,'BalSht Data'!$G$2:$G$2050,$A17,'BalSht Data'!$A$2:$A$2050,AH$1),#N/A)</f>
        <v>285480</v>
      </c>
      <c r="AI17" s="43">
        <f>IF(AI$1,SUMIFS('BalSht Data'!$H$2:$H$2050,'BalSht Data'!$G$2:$G$2050,$A17,'BalSht Data'!$A$2:$A$2050,AI$1),#N/A)</f>
        <v>474786</v>
      </c>
      <c r="AJ17" s="43">
        <f>IF(AJ$1,SUMIFS('BalSht Data'!$H$2:$H$2050,'BalSht Data'!$G$2:$G$2050,$A17,'BalSht Data'!$A$2:$A$2050,AJ$1),#N/A)</f>
        <v>207875</v>
      </c>
      <c r="AK17" s="43" t="e">
        <f>IF(AK$1,SUMIFS('BalSht Data'!$H$2:$H$2050,'BalSht Data'!$G$2:$G$2050,$A17,'BalSht Data'!$A$2:$A$2050,AK$1),#N/A)</f>
        <v>#N/A</v>
      </c>
      <c r="AL17" s="43" t="e">
        <f>IF(AL$1,SUMIFS('BalSht Data'!$H$2:$H$2050,'BalSht Data'!$G$2:$G$2050,$A17,'BalSht Data'!$A$2:$A$2050,AL$1),#N/A)</f>
        <v>#N/A</v>
      </c>
      <c r="AM17" s="43" t="e">
        <f>IF(AM$1,SUMIFS('BalSht Data'!$H$2:$H$2050,'BalSht Data'!$G$2:$G$2050,$A17,'BalSht Data'!$A$2:$A$2050,AM$1),#N/A)</f>
        <v>#N/A</v>
      </c>
      <c r="AN17" s="43" t="e">
        <f>IF(AN$1,SUMIFS('BalSht Data'!$H$2:$H$2050,'BalSht Data'!$G$2:$G$2050,$A17,'BalSht Data'!$A$2:$A$2050,AN$1),#N/A)</f>
        <v>#N/A</v>
      </c>
      <c r="AO17" s="43" t="e">
        <f>IF(AO$1,SUMIFS('BalSht Data'!$H$2:$H$2050,'BalSht Data'!$G$2:$G$2050,$A17,'BalSht Data'!$A$2:$A$2050,AO$1),#N/A)</f>
        <v>#N/A</v>
      </c>
      <c r="AP17" s="43" t="e">
        <f>IF(AP$1,SUMIFS('BalSht Data'!$H$2:$H$2050,'BalSht Data'!$G$2:$G$2050,$A17,'BalSht Data'!$A$2:$A$2050,AP$1),#N/A)</f>
        <v>#N/A</v>
      </c>
      <c r="AQ17" s="43" t="e">
        <f>IF(AQ$1,SUMIFS('BalSht Data'!$H$2:$H$2050,'BalSht Data'!$G$2:$G$2050,$A17,'BalSht Data'!$A$2:$A$2050,AQ$1),#N/A)</f>
        <v>#N/A</v>
      </c>
      <c r="AR17" s="43" t="e">
        <f>IF(AR$1,SUMIFS('BalSht Data'!$H$2:$H$2050,'BalSht Data'!$G$2:$G$2050,$A17,'BalSht Data'!$A$2:$A$2050,AR$1),#N/A)</f>
        <v>#N/A</v>
      </c>
      <c r="AS17" s="43" t="e">
        <f>IF(AS$1,SUMIFS('BalSht Data'!$H$2:$H$2050,'BalSht Data'!$G$2:$G$2050,$A17,'BalSht Data'!$A$2:$A$2050,AS$1),#N/A)</f>
        <v>#N/A</v>
      </c>
      <c r="AT17" s="43" t="e">
        <f>IF(AT$1,SUMIFS('BalSht Data'!$H$2:$H$2050,'BalSht Data'!$G$2:$G$2050,$A17,'BalSht Data'!$A$2:$A$2050,AT$1),#N/A)</f>
        <v>#N/A</v>
      </c>
      <c r="AU17" s="43" t="e">
        <f>IF(AU$1,SUMIFS('BalSht Data'!$H$2:$H$2050,'BalSht Data'!$G$2:$G$2050,$A17,'BalSht Data'!$A$2:$A$2050,AU$1),#N/A)</f>
        <v>#N/A</v>
      </c>
      <c r="AV17" s="43" t="e">
        <f>IF(AV$1,SUMIFS('BalSht Data'!$H$2:$H$2050,'BalSht Data'!$G$2:$G$2050,$A17,'BalSht Data'!$A$2:$A$2050,AV$1),#N/A)</f>
        <v>#N/A</v>
      </c>
      <c r="AW17" s="43" t="e">
        <f>IF(AW$1,SUMIFS('BalSht Data'!$H$2:$H$2050,'BalSht Data'!$G$2:$G$2050,$A17,'BalSht Data'!$A$2:$A$2050,AW$1),#N/A)</f>
        <v>#N/A</v>
      </c>
      <c r="AX17" s="43" t="e">
        <f>IF(AX$1,SUMIFS('BalSht Data'!$H$2:$H$2050,'BalSht Data'!$G$2:$G$2050,$A17,'BalSht Data'!$A$2:$A$2050,AX$1),#N/A)</f>
        <v>#N/A</v>
      </c>
      <c r="AY17" s="43" t="e">
        <f>IF(AY$1,SUMIFS('BalSht Data'!$H$2:$H$2050,'BalSht Data'!$G$2:$G$2050,$A17,'BalSht Data'!$A$2:$A$2050,AY$1),#N/A)</f>
        <v>#N/A</v>
      </c>
      <c r="AZ17" s="43" t="e">
        <f>IF(AZ$1,SUMIFS('BalSht Data'!$H$2:$H$2050,'BalSht Data'!$G$2:$G$2050,$A17,'BalSht Data'!$A$2:$A$2050,AZ$1),#N/A)</f>
        <v>#N/A</v>
      </c>
      <c r="BA17" s="43" t="e">
        <f>IF(BA$1,SUMIFS('BalSht Data'!$H$2:$H$2050,'BalSht Data'!$G$2:$G$2050,$A17,'BalSht Data'!$A$2:$A$2050,BA$1),#N/A)</f>
        <v>#N/A</v>
      </c>
      <c r="BB17" s="43" t="e">
        <f>IF(BB$1,SUMIFS('BalSht Data'!$H$2:$H$2050,'BalSht Data'!$G$2:$G$2050,$A17,'BalSht Data'!$A$2:$A$2050,BB$1),#N/A)</f>
        <v>#N/A</v>
      </c>
      <c r="BC17" s="43" t="e">
        <f>IF(BC$1,SUMIFS('BalSht Data'!$H$2:$H$2050,'BalSht Data'!$G$2:$G$2050,$A17,'BalSht Data'!$A$2:$A$2050,BC$1),#N/A)</f>
        <v>#N/A</v>
      </c>
      <c r="BD17" s="43" t="e">
        <f>IF(BD$1,SUMIFS('BalSht Data'!$H$2:$H$2050,'BalSht Data'!$G$2:$G$2050,$A17,'BalSht Data'!$A$2:$A$2050,BD$1),#N/A)</f>
        <v>#N/A</v>
      </c>
      <c r="BE17" s="43" t="e">
        <f>IF(BE$1,SUMIFS('BalSht Data'!$H$2:$H$2050,'BalSht Data'!$G$2:$G$2050,$A17,'BalSht Data'!$A$2:$A$2050,BE$1),#N/A)</f>
        <v>#N/A</v>
      </c>
      <c r="BF17" s="43" t="e">
        <f>IF(BF$1,SUMIFS('BalSht Data'!$H$2:$H$2050,'BalSht Data'!$G$2:$G$2050,$A17,'BalSht Data'!$A$2:$A$2050,BF$1),#N/A)</f>
        <v>#N/A</v>
      </c>
      <c r="BG17" s="43" t="e">
        <f>IF(BG$1,SUMIFS('BalSht Data'!$H$2:$H$2050,'BalSht Data'!$G$2:$G$2050,$A17,'BalSht Data'!$A$2:$A$2050,BG$1),#N/A)</f>
        <v>#N/A</v>
      </c>
      <c r="BH17" s="43" t="e">
        <f>IF(BH$1,SUMIFS('BalSht Data'!$H$2:$H$2050,'BalSht Data'!$G$2:$G$2050,$A17,'BalSht Data'!$A$2:$A$2050,BH$1),#N/A)</f>
        <v>#N/A</v>
      </c>
      <c r="BI17" s="43" t="e">
        <f>IF(BI$1,SUMIFS('BalSht Data'!$H$2:$H$2050,'BalSht Data'!$G$2:$G$2050,$A17,'BalSht Data'!$A$2:$A$2050,BI$1),#N/A)</f>
        <v>#N/A</v>
      </c>
      <c r="BJ17" s="43" t="e">
        <f>IF(BJ$1,SUMIFS('BalSht Data'!$H$2:$H$2050,'BalSht Data'!$G$2:$G$2050,$A17,'BalSht Data'!$A$2:$A$2050,BJ$1),#N/A)</f>
        <v>#N/A</v>
      </c>
      <c r="BK17" s="43" t="e">
        <f>IF(BK$1,SUMIFS('BalSht Data'!$H$2:$H$2050,'BalSht Data'!$G$2:$G$2050,$A17,'BalSht Data'!$A$2:$A$2050,BK$1),#N/A)</f>
        <v>#N/A</v>
      </c>
      <c r="BL17" s="43" t="e">
        <f>IF(BL$1,SUMIFS('BalSht Data'!$H$2:$H$2050,'BalSht Data'!$G$2:$G$2050,$A17,'BalSht Data'!$A$2:$A$2050,BL$1),#N/A)</f>
        <v>#N/A</v>
      </c>
      <c r="BM17" s="43" t="e">
        <f>IF(BM$1,SUMIFS('BalSht Data'!$H$2:$H$2050,'BalSht Data'!$G$2:$G$2050,$A17,'BalSht Data'!$A$2:$A$2050,BM$1),#N/A)</f>
        <v>#N/A</v>
      </c>
      <c r="BN17" s="43" t="e">
        <f>IF(BN$1,SUMIFS('BalSht Data'!$H$2:$H$2050,'BalSht Data'!$G$2:$G$2050,$A17,'BalSht Data'!$A$2:$A$2050,BN$1),#N/A)</f>
        <v>#N/A</v>
      </c>
      <c r="BO17" s="43" t="e">
        <f>IF(BO$1,SUMIFS('BalSht Data'!$H$2:$H$2050,'BalSht Data'!$G$2:$G$2050,$A17,'BalSht Data'!$A$2:$A$2050,BO$1),#N/A)</f>
        <v>#N/A</v>
      </c>
      <c r="BP17" s="43" t="e">
        <f>IF(BP$1,SUMIFS('BalSht Data'!$H$2:$H$2050,'BalSht Data'!$G$2:$G$2050,$A17,'BalSht Data'!$A$2:$A$2050,BP$1),#N/A)</f>
        <v>#N/A</v>
      </c>
      <c r="BQ17" s="43" t="e">
        <f>IF(BQ$1,SUMIFS('BalSht Data'!$H$2:$H$2050,'BalSht Data'!$G$2:$G$2050,$A17,'BalSht Data'!$A$2:$A$2050,BQ$1),#N/A)</f>
        <v>#N/A</v>
      </c>
      <c r="BR17" s="43" t="e">
        <f>IF(BR$1,SUMIFS('BalSht Data'!$H$2:$H$2050,'BalSht Data'!$G$2:$G$2050,$A17,'BalSht Data'!$A$2:$A$2050,BR$1),#N/A)</f>
        <v>#N/A</v>
      </c>
      <c r="BS17" s="43" t="e">
        <f>IF(BS$1,SUMIFS('BalSht Data'!$H$2:$H$2050,'BalSht Data'!$G$2:$G$2050,$A17,'BalSht Data'!$A$2:$A$2050,BS$1),#N/A)</f>
        <v>#N/A</v>
      </c>
      <c r="BT17" s="43" t="e">
        <f>IF(BT$1,SUMIFS('BalSht Data'!$H$2:$H$2050,'BalSht Data'!$G$2:$G$2050,$A17,'BalSht Data'!$A$2:$A$2050,BT$1),#N/A)</f>
        <v>#N/A</v>
      </c>
      <c r="BU17" s="43" t="e">
        <f>IF(BU$1,SUMIFS('BalSht Data'!$H$2:$H$2050,'BalSht Data'!$G$2:$G$2050,$A17,'BalSht Data'!$A$2:$A$2050,BU$1),#N/A)</f>
        <v>#N/A</v>
      </c>
      <c r="BV17" s="43" t="e">
        <f>IF(BV$1,SUMIFS('BalSht Data'!$H$2:$H$2050,'BalSht Data'!$G$2:$G$2050,$A17,'BalSht Data'!$A$2:$A$2050,BV$1),#N/A)</f>
        <v>#N/A</v>
      </c>
      <c r="BW17" s="43" t="e">
        <f>IF(BW$1,SUMIFS('BalSht Data'!$H$2:$H$2050,'BalSht Data'!$G$2:$G$2050,$A17,'BalSht Data'!$A$2:$A$2050,BW$1),#N/A)</f>
        <v>#N/A</v>
      </c>
      <c r="BX17" s="43" t="e">
        <f>IF(BX$1,SUMIFS('BalSht Data'!$H$2:$H$2050,'BalSht Data'!$G$2:$G$2050,$A17,'BalSht Data'!$A$2:$A$2050,BX$1),#N/A)</f>
        <v>#N/A</v>
      </c>
      <c r="BY17" s="43" t="e">
        <f>IF(BY$1,SUMIFS('BalSht Data'!$H$2:$H$2050,'BalSht Data'!$G$2:$G$2050,$A17,'BalSht Data'!$A$2:$A$2050,BY$1),#N/A)</f>
        <v>#N/A</v>
      </c>
      <c r="BZ17" s="43" t="e">
        <f>IF(BZ$1,SUMIFS('BalSht Data'!$H$2:$H$2050,'BalSht Data'!$G$2:$G$2050,$A17,'BalSht Data'!$A$2:$A$2050,BZ$1),#N/A)</f>
        <v>#N/A</v>
      </c>
      <c r="CA17" s="43" t="e">
        <f>IF(CA$1,SUMIFS('BalSht Data'!$H$2:$H$2050,'BalSht Data'!$G$2:$G$2050,$A17,'BalSht Data'!$A$2:$A$2050,CA$1),#N/A)</f>
        <v>#N/A</v>
      </c>
      <c r="CB17" s="43" t="e">
        <f>IF(CB$1,SUMIFS('BalSht Data'!$H$2:$H$2050,'BalSht Data'!$G$2:$G$2050,$A17,'BalSht Data'!$A$2:$A$2050,CB$1),#N/A)</f>
        <v>#N/A</v>
      </c>
      <c r="CC17" s="43" t="e">
        <f>IF(CC$1,SUMIFS('BalSht Data'!$H$2:$H$2050,'BalSht Data'!$G$2:$G$2050,$A17,'BalSht Data'!$A$2:$A$2050,CC$1),#N/A)</f>
        <v>#N/A</v>
      </c>
      <c r="CD17" s="43" t="e">
        <f>IF(CD$1,SUMIFS('BalSht Data'!$H$2:$H$2050,'BalSht Data'!$G$2:$G$2050,$A17,'BalSht Data'!$A$2:$A$2050,CD$1),#N/A)</f>
        <v>#N/A</v>
      </c>
      <c r="CE17" s="43" t="e">
        <f>IF(CE$1,SUMIFS('BalSht Data'!$H$2:$H$2050,'BalSht Data'!$G$2:$G$2050,$A17,'BalSht Data'!$A$2:$A$2050,CE$1),#N/A)</f>
        <v>#N/A</v>
      </c>
      <c r="CF17" s="43" t="e">
        <f>IF(CF$1,SUMIFS('BalSht Data'!$H$2:$H$2050,'BalSht Data'!$G$2:$G$2050,$A17,'BalSht Data'!$A$2:$A$2050,CF$1),#N/A)</f>
        <v>#N/A</v>
      </c>
      <c r="CG17" s="43" t="e">
        <f>IF(CG$1,SUMIFS('BalSht Data'!$H$2:$H$2050,'BalSht Data'!$G$2:$G$2050,$A17,'BalSht Data'!$A$2:$A$2050,CG$1),#N/A)</f>
        <v>#N/A</v>
      </c>
      <c r="CH17" s="43" t="e">
        <f>IF(CH$1,SUMIFS('BalSht Data'!$H$2:$H$2050,'BalSht Data'!$G$2:$G$2050,$A17,'BalSht Data'!$A$2:$A$2050,CH$1),#N/A)</f>
        <v>#N/A</v>
      </c>
      <c r="CI17" s="43" t="e">
        <f>IF(CI$1,SUMIFS('BalSht Data'!$H$2:$H$2050,'BalSht Data'!$G$2:$G$2050,$A17,'BalSht Data'!$A$2:$A$2050,CI$1),#N/A)</f>
        <v>#N/A</v>
      </c>
      <c r="CJ17" s="43" t="e">
        <f>IF(CJ$1,SUMIFS('BalSht Data'!$H$2:$H$2050,'BalSht Data'!$G$2:$G$2050,$A17,'BalSht Data'!$A$2:$A$2050,CJ$1),#N/A)</f>
        <v>#N/A</v>
      </c>
      <c r="CK17" s="43" t="e">
        <f>IF(CK$1,SUMIFS('BalSht Data'!$H$2:$H$2050,'BalSht Data'!$G$2:$G$2050,$A17,'BalSht Data'!$A$2:$A$2050,CK$1),#N/A)</f>
        <v>#N/A</v>
      </c>
      <c r="CL17" s="43" t="e">
        <f>IF(CL$1,SUMIFS('BalSht Data'!$H$2:$H$2050,'BalSht Data'!$G$2:$G$2050,$A17,'BalSht Data'!$A$2:$A$2050,CL$1),#N/A)</f>
        <v>#N/A</v>
      </c>
      <c r="CM17" s="43" t="e">
        <f>IF(CM$1,SUMIFS('BalSht Data'!$H$2:$H$2050,'BalSht Data'!$G$2:$G$2050,$A17,'BalSht Data'!$A$2:$A$2050,CM$1),#N/A)</f>
        <v>#N/A</v>
      </c>
      <c r="CN17" s="43" t="e">
        <f>IF(CN$1,SUMIFS('BalSht Data'!$H$2:$H$2050,'BalSht Data'!$G$2:$G$2050,$A17,'BalSht Data'!$A$2:$A$2050,CN$1),#N/A)</f>
        <v>#N/A</v>
      </c>
      <c r="CO17" s="43" t="e">
        <f>IF(CO$1,SUMIFS('BalSht Data'!$H$2:$H$2050,'BalSht Data'!$G$2:$G$2050,$A17,'BalSht Data'!$A$2:$A$2050,CO$1),#N/A)</f>
        <v>#N/A</v>
      </c>
      <c r="CP17" s="43" t="e">
        <f>IF(CP$1,SUMIFS('BalSht Data'!$H$2:$H$2050,'BalSht Data'!$G$2:$G$2050,$A17,'BalSht Data'!$A$2:$A$2050,CP$1),#N/A)</f>
        <v>#N/A</v>
      </c>
      <c r="CQ17" s="43" t="e">
        <f>IF(CQ$1,SUMIFS('BalSht Data'!$H$2:$H$2050,'BalSht Data'!$G$2:$G$2050,$A17,'BalSht Data'!$A$2:$A$2050,CQ$1),#N/A)</f>
        <v>#N/A</v>
      </c>
      <c r="CR17" s="43" t="e">
        <f>IF(CR$1,SUMIFS('BalSht Data'!$H$2:$H$2050,'BalSht Data'!$G$2:$G$2050,$A17,'BalSht Data'!$A$2:$A$2050,CR$1),#N/A)</f>
        <v>#N/A</v>
      </c>
      <c r="CS17" s="43" t="e">
        <f>IF(CS$1,SUMIFS('BalSht Data'!$H$2:$H$2050,'BalSht Data'!$G$2:$G$2050,$A17,'BalSht Data'!$A$2:$A$2050,CS$1),#N/A)</f>
        <v>#N/A</v>
      </c>
      <c r="CT17" s="43" t="e">
        <f>IF(CT$1,SUMIFS('BalSht Data'!$H$2:$H$2050,'BalSht Data'!$G$2:$G$2050,$A17,'BalSht Data'!$A$2:$A$2050,CT$1),#N/A)</f>
        <v>#N/A</v>
      </c>
      <c r="CU17" s="43" t="e">
        <f>IF(CU$1,SUMIFS('BalSht Data'!$H$2:$H$2050,'BalSht Data'!$G$2:$G$2050,$A17,'BalSht Data'!$A$2:$A$2050,CU$1),#N/A)</f>
        <v>#N/A</v>
      </c>
      <c r="CV17" s="43" t="e">
        <f>IF(CV$1,SUMIFS('BalSht Data'!$H$2:$H$2050,'BalSht Data'!$G$2:$G$2050,$A17,'BalSht Data'!$A$2:$A$2050,CV$1),#N/A)</f>
        <v>#N/A</v>
      </c>
      <c r="CW17" s="43" t="e">
        <f>IF(CW$1,SUMIFS('BalSht Data'!$H$2:$H$2050,'BalSht Data'!$G$2:$G$2050,$A17,'BalSht Data'!$A$2:$A$2050,CW$1),#N/A)</f>
        <v>#N/A</v>
      </c>
      <c r="CX17" s="43" t="e">
        <f>IF(CX$1,SUMIFS('BalSht Data'!$H$2:$H$2050,'BalSht Data'!$G$2:$G$2050,$A17,'BalSht Data'!$A$2:$A$2050,CX$1),#N/A)</f>
        <v>#N/A</v>
      </c>
      <c r="CY17" s="43" t="e">
        <f>IF(CY$1,SUMIFS('BalSht Data'!$H$2:$H$2050,'BalSht Data'!$G$2:$G$2050,$A17,'BalSht Data'!$A$2:$A$2050,CY$1),#N/A)</f>
        <v>#N/A</v>
      </c>
      <c r="CZ17" s="43" t="e">
        <f>IF(CZ$1,SUMIFS('BalSht Data'!$H$2:$H$2050,'BalSht Data'!$G$2:$G$2050,$A17,'BalSht Data'!$A$2:$A$2050,CZ$1),#N/A)</f>
        <v>#N/A</v>
      </c>
      <c r="DA17" s="43">
        <f>SUM(B17:AJ17)</f>
        <v>11704310</v>
      </c>
    </row>
    <row r="18" spans="1:105" s="42" customFormat="1" ht="15" x14ac:dyDescent="0.35">
      <c r="A18" s="53" t="s">
        <v>14</v>
      </c>
      <c r="B18" s="49">
        <f>IF(B$1,SUMIFS('BalSht Data'!$H$2:$H$2050,'BalSht Data'!$G$2:$G$2050,$A18,'BalSht Data'!$A$2:$A$2050,B$1),#N/A)</f>
        <v>0</v>
      </c>
      <c r="C18" s="49">
        <f>IF(C$1,SUMIFS('BalSht Data'!$H$2:$H$2050,'BalSht Data'!$G$2:$G$2050,$A18,'BalSht Data'!$A$2:$A$2050,C$1),#N/A)</f>
        <v>0</v>
      </c>
      <c r="D18" s="49">
        <f>IF(D$1,SUMIFS('BalSht Data'!$H$2:$H$2050,'BalSht Data'!$G$2:$G$2050,$A18,'BalSht Data'!$A$2:$A$2050,D$1),#N/A)</f>
        <v>0</v>
      </c>
      <c r="E18" s="49">
        <f>IF(E$1,SUMIFS('BalSht Data'!$H$2:$H$2050,'BalSht Data'!$G$2:$G$2050,$A18,'BalSht Data'!$A$2:$A$2050,E$1),#N/A)</f>
        <v>0</v>
      </c>
      <c r="F18" s="49">
        <f>IF(F$1,SUMIFS('BalSht Data'!$H$2:$H$2050,'BalSht Data'!$G$2:$G$2050,$A18,'BalSht Data'!$A$2:$A$2050,F$1),#N/A)</f>
        <v>0</v>
      </c>
      <c r="G18" s="49">
        <f>IF(G$1,SUMIFS('BalSht Data'!$H$2:$H$2050,'BalSht Data'!$G$2:$G$2050,$A18,'BalSht Data'!$A$2:$A$2050,G$1),#N/A)</f>
        <v>0</v>
      </c>
      <c r="H18" s="49">
        <f>IF(H$1,SUMIFS('BalSht Data'!$H$2:$H$2050,'BalSht Data'!$G$2:$G$2050,$A18,'BalSht Data'!$A$2:$A$2050,H$1),#N/A)</f>
        <v>0</v>
      </c>
      <c r="I18" s="49">
        <f>IF(I$1,SUMIFS('BalSht Data'!$H$2:$H$2050,'BalSht Data'!$G$2:$G$2050,$A18,'BalSht Data'!$A$2:$A$2050,I$1),#N/A)</f>
        <v>0</v>
      </c>
      <c r="J18" s="49">
        <f>IF(J$1,SUMIFS('BalSht Data'!$H$2:$H$2050,'BalSht Data'!$G$2:$G$2050,$A18,'BalSht Data'!$A$2:$A$2050,J$1),#N/A)</f>
        <v>0</v>
      </c>
      <c r="K18" s="49">
        <f>IF(K$1,SUMIFS('BalSht Data'!$H$2:$H$2050,'BalSht Data'!$G$2:$G$2050,$A18,'BalSht Data'!$A$2:$A$2050,K$1),#N/A)</f>
        <v>0</v>
      </c>
      <c r="L18" s="49">
        <f>IF(L$1,SUMIFS('BalSht Data'!$H$2:$H$2050,'BalSht Data'!$G$2:$G$2050,$A18,'BalSht Data'!$A$2:$A$2050,L$1),#N/A)</f>
        <v>0</v>
      </c>
      <c r="M18" s="49">
        <f>IF(M$1,SUMIFS('BalSht Data'!$H$2:$H$2050,'BalSht Data'!$G$2:$G$2050,$A18,'BalSht Data'!$A$2:$A$2050,M$1),#N/A)</f>
        <v>0</v>
      </c>
      <c r="N18" s="49">
        <f>IF(N$1,SUMIFS('BalSht Data'!$H$2:$H$2050,'BalSht Data'!$G$2:$G$2050,$A18,'BalSht Data'!$A$2:$A$2050,N$1),#N/A)</f>
        <v>0</v>
      </c>
      <c r="O18" s="49">
        <f>IF(O$1,SUMIFS('BalSht Data'!$H$2:$H$2050,'BalSht Data'!$G$2:$G$2050,$A18,'BalSht Data'!$A$2:$A$2050,O$1),#N/A)</f>
        <v>0</v>
      </c>
      <c r="P18" s="49">
        <f>IF(P$1,SUMIFS('BalSht Data'!$H$2:$H$2050,'BalSht Data'!$G$2:$G$2050,$A18,'BalSht Data'!$A$2:$A$2050,P$1),#N/A)</f>
        <v>107</v>
      </c>
      <c r="Q18" s="49">
        <f>IF(Q$1,SUMIFS('BalSht Data'!$H$2:$H$2050,'BalSht Data'!$G$2:$G$2050,$A18,'BalSht Data'!$A$2:$A$2050,Q$1),#N/A)</f>
        <v>0</v>
      </c>
      <c r="R18" s="49">
        <f>IF(R$1,SUMIFS('BalSht Data'!$H$2:$H$2050,'BalSht Data'!$G$2:$G$2050,$A18,'BalSht Data'!$A$2:$A$2050,R$1),#N/A)</f>
        <v>0</v>
      </c>
      <c r="S18" s="49">
        <f>IF(S$1,SUMIFS('BalSht Data'!$H$2:$H$2050,'BalSht Data'!$G$2:$G$2050,$A18,'BalSht Data'!$A$2:$A$2050,S$1),#N/A)</f>
        <v>0</v>
      </c>
      <c r="T18" s="49">
        <f>IF(T$1,SUMIFS('BalSht Data'!$H$2:$H$2050,'BalSht Data'!$G$2:$G$2050,$A18,'BalSht Data'!$A$2:$A$2050,T$1),#N/A)</f>
        <v>0</v>
      </c>
      <c r="U18" s="49">
        <f>IF(U$1,SUMIFS('BalSht Data'!$H$2:$H$2050,'BalSht Data'!$G$2:$G$2050,$A18,'BalSht Data'!$A$2:$A$2050,U$1),#N/A)</f>
        <v>0</v>
      </c>
      <c r="V18" s="49">
        <f>IF(V$1,SUMIFS('BalSht Data'!$H$2:$H$2050,'BalSht Data'!$G$2:$G$2050,$A18,'BalSht Data'!$A$2:$A$2050,V$1),#N/A)</f>
        <v>0</v>
      </c>
      <c r="W18" s="49">
        <f>IF(W$1,SUMIFS('BalSht Data'!$H$2:$H$2050,'BalSht Data'!$G$2:$G$2050,$A18,'BalSht Data'!$A$2:$A$2050,W$1),#N/A)</f>
        <v>0</v>
      </c>
      <c r="X18" s="49">
        <f>IF(X$1,SUMIFS('BalSht Data'!$H$2:$H$2050,'BalSht Data'!$G$2:$G$2050,$A18,'BalSht Data'!$A$2:$A$2050,X$1),#N/A)</f>
        <v>0</v>
      </c>
      <c r="Y18" s="49">
        <f>IF(Y$1,SUMIFS('BalSht Data'!$H$2:$H$2050,'BalSht Data'!$G$2:$G$2050,$A18,'BalSht Data'!$A$2:$A$2050,Y$1),#N/A)</f>
        <v>0</v>
      </c>
      <c r="Z18" s="49">
        <f>IF(Z$1,SUMIFS('BalSht Data'!$H$2:$H$2050,'BalSht Data'!$G$2:$G$2050,$A18,'BalSht Data'!$A$2:$A$2050,Z$1),#N/A)</f>
        <v>0</v>
      </c>
      <c r="AA18" s="49">
        <f>IF(AA$1,SUMIFS('BalSht Data'!$H$2:$H$2050,'BalSht Data'!$G$2:$G$2050,$A18,'BalSht Data'!$A$2:$A$2050,AA$1),#N/A)</f>
        <v>0</v>
      </c>
      <c r="AB18" s="49">
        <f>IF(AB$1,SUMIFS('BalSht Data'!$H$2:$H$2050,'BalSht Data'!$G$2:$G$2050,$A18,'BalSht Data'!$A$2:$A$2050,AB$1),#N/A)</f>
        <v>0</v>
      </c>
      <c r="AC18" s="49">
        <f>IF(AC$1,SUMIFS('BalSht Data'!$H$2:$H$2050,'BalSht Data'!$G$2:$G$2050,$A18,'BalSht Data'!$A$2:$A$2050,AC$1),#N/A)</f>
        <v>0</v>
      </c>
      <c r="AD18" s="49">
        <f>IF(AD$1,SUMIFS('BalSht Data'!$H$2:$H$2050,'BalSht Data'!$G$2:$G$2050,$A18,'BalSht Data'!$A$2:$A$2050,AD$1),#N/A)</f>
        <v>0</v>
      </c>
      <c r="AE18" s="49">
        <f>IF(AE$1,SUMIFS('BalSht Data'!$H$2:$H$2050,'BalSht Data'!$G$2:$G$2050,$A18,'BalSht Data'!$A$2:$A$2050,AE$1),#N/A)</f>
        <v>0</v>
      </c>
      <c r="AF18" s="49">
        <f>IF(AF$1,SUMIFS('BalSht Data'!$H$2:$H$2050,'BalSht Data'!$G$2:$G$2050,$A18,'BalSht Data'!$A$2:$A$2050,AF$1),#N/A)</f>
        <v>0</v>
      </c>
      <c r="AG18" s="49">
        <f>IF(AG$1,SUMIFS('BalSht Data'!$H$2:$H$2050,'BalSht Data'!$G$2:$G$2050,$A18,'BalSht Data'!$A$2:$A$2050,AG$1),#N/A)</f>
        <v>0</v>
      </c>
      <c r="AH18" s="49">
        <f>IF(AH$1,SUMIFS('BalSht Data'!$H$2:$H$2050,'BalSht Data'!$G$2:$G$2050,$A18,'BalSht Data'!$A$2:$A$2050,AH$1),#N/A)</f>
        <v>0</v>
      </c>
      <c r="AI18" s="49">
        <f>IF(AI$1,SUMIFS('BalSht Data'!$H$2:$H$2050,'BalSht Data'!$G$2:$G$2050,$A18,'BalSht Data'!$A$2:$A$2050,AI$1),#N/A)</f>
        <v>0</v>
      </c>
      <c r="AJ18" s="49">
        <f>IF(AJ$1,SUMIFS('BalSht Data'!$H$2:$H$2050,'BalSht Data'!$G$2:$G$2050,$A18,'BalSht Data'!$A$2:$A$2050,AJ$1),#N/A)</f>
        <v>0</v>
      </c>
      <c r="AK18" s="49" t="e">
        <f>IF(AK$1,SUMIFS('BalSht Data'!$H$2:$H$2050,'BalSht Data'!$G$2:$G$2050,$A18,'BalSht Data'!$A$2:$A$2050,AK$1),#N/A)</f>
        <v>#N/A</v>
      </c>
      <c r="AL18" s="49" t="e">
        <f>IF(AL$1,SUMIFS('BalSht Data'!$H$2:$H$2050,'BalSht Data'!$G$2:$G$2050,$A18,'BalSht Data'!$A$2:$A$2050,AL$1),#N/A)</f>
        <v>#N/A</v>
      </c>
      <c r="AM18" s="49" t="e">
        <f>IF(AM$1,SUMIFS('BalSht Data'!$H$2:$H$2050,'BalSht Data'!$G$2:$G$2050,$A18,'BalSht Data'!$A$2:$A$2050,AM$1),#N/A)</f>
        <v>#N/A</v>
      </c>
      <c r="AN18" s="49" t="e">
        <f>IF(AN$1,SUMIFS('BalSht Data'!$H$2:$H$2050,'BalSht Data'!$G$2:$G$2050,$A18,'BalSht Data'!$A$2:$A$2050,AN$1),#N/A)</f>
        <v>#N/A</v>
      </c>
      <c r="AO18" s="49" t="e">
        <f>IF(AO$1,SUMIFS('BalSht Data'!$H$2:$H$2050,'BalSht Data'!$G$2:$G$2050,$A18,'BalSht Data'!$A$2:$A$2050,AO$1),#N/A)</f>
        <v>#N/A</v>
      </c>
      <c r="AP18" s="49" t="e">
        <f>IF(AP$1,SUMIFS('BalSht Data'!$H$2:$H$2050,'BalSht Data'!$G$2:$G$2050,$A18,'BalSht Data'!$A$2:$A$2050,AP$1),#N/A)</f>
        <v>#N/A</v>
      </c>
      <c r="AQ18" s="49" t="e">
        <f>IF(AQ$1,SUMIFS('BalSht Data'!$H$2:$H$2050,'BalSht Data'!$G$2:$G$2050,$A18,'BalSht Data'!$A$2:$A$2050,AQ$1),#N/A)</f>
        <v>#N/A</v>
      </c>
      <c r="AR18" s="49" t="e">
        <f>IF(AR$1,SUMIFS('BalSht Data'!$H$2:$H$2050,'BalSht Data'!$G$2:$G$2050,$A18,'BalSht Data'!$A$2:$A$2050,AR$1),#N/A)</f>
        <v>#N/A</v>
      </c>
      <c r="AS18" s="49" t="e">
        <f>IF(AS$1,SUMIFS('BalSht Data'!$H$2:$H$2050,'BalSht Data'!$G$2:$G$2050,$A18,'BalSht Data'!$A$2:$A$2050,AS$1),#N/A)</f>
        <v>#N/A</v>
      </c>
      <c r="AT18" s="49" t="e">
        <f>IF(AT$1,SUMIFS('BalSht Data'!$H$2:$H$2050,'BalSht Data'!$G$2:$G$2050,$A18,'BalSht Data'!$A$2:$A$2050,AT$1),#N/A)</f>
        <v>#N/A</v>
      </c>
      <c r="AU18" s="49" t="e">
        <f>IF(AU$1,SUMIFS('BalSht Data'!$H$2:$H$2050,'BalSht Data'!$G$2:$G$2050,$A18,'BalSht Data'!$A$2:$A$2050,AU$1),#N/A)</f>
        <v>#N/A</v>
      </c>
      <c r="AV18" s="49" t="e">
        <f>IF(AV$1,SUMIFS('BalSht Data'!$H$2:$H$2050,'BalSht Data'!$G$2:$G$2050,$A18,'BalSht Data'!$A$2:$A$2050,AV$1),#N/A)</f>
        <v>#N/A</v>
      </c>
      <c r="AW18" s="49" t="e">
        <f>IF(AW$1,SUMIFS('BalSht Data'!$H$2:$H$2050,'BalSht Data'!$G$2:$G$2050,$A18,'BalSht Data'!$A$2:$A$2050,AW$1),#N/A)</f>
        <v>#N/A</v>
      </c>
      <c r="AX18" s="49" t="e">
        <f>IF(AX$1,SUMIFS('BalSht Data'!$H$2:$H$2050,'BalSht Data'!$G$2:$G$2050,$A18,'BalSht Data'!$A$2:$A$2050,AX$1),#N/A)</f>
        <v>#N/A</v>
      </c>
      <c r="AY18" s="49" t="e">
        <f>IF(AY$1,SUMIFS('BalSht Data'!$H$2:$H$2050,'BalSht Data'!$G$2:$G$2050,$A18,'BalSht Data'!$A$2:$A$2050,AY$1),#N/A)</f>
        <v>#N/A</v>
      </c>
      <c r="AZ18" s="49" t="e">
        <f>IF(AZ$1,SUMIFS('BalSht Data'!$H$2:$H$2050,'BalSht Data'!$G$2:$G$2050,$A18,'BalSht Data'!$A$2:$A$2050,AZ$1),#N/A)</f>
        <v>#N/A</v>
      </c>
      <c r="BA18" s="49" t="e">
        <f>IF(BA$1,SUMIFS('BalSht Data'!$H$2:$H$2050,'BalSht Data'!$G$2:$G$2050,$A18,'BalSht Data'!$A$2:$A$2050,BA$1),#N/A)</f>
        <v>#N/A</v>
      </c>
      <c r="BB18" s="49" t="e">
        <f>IF(BB$1,SUMIFS('BalSht Data'!$H$2:$H$2050,'BalSht Data'!$G$2:$G$2050,$A18,'BalSht Data'!$A$2:$A$2050,BB$1),#N/A)</f>
        <v>#N/A</v>
      </c>
      <c r="BC18" s="49" t="e">
        <f>IF(BC$1,SUMIFS('BalSht Data'!$H$2:$H$2050,'BalSht Data'!$G$2:$G$2050,$A18,'BalSht Data'!$A$2:$A$2050,BC$1),#N/A)</f>
        <v>#N/A</v>
      </c>
      <c r="BD18" s="49" t="e">
        <f>IF(BD$1,SUMIFS('BalSht Data'!$H$2:$H$2050,'BalSht Data'!$G$2:$G$2050,$A18,'BalSht Data'!$A$2:$A$2050,BD$1),#N/A)</f>
        <v>#N/A</v>
      </c>
      <c r="BE18" s="49" t="e">
        <f>IF(BE$1,SUMIFS('BalSht Data'!$H$2:$H$2050,'BalSht Data'!$G$2:$G$2050,$A18,'BalSht Data'!$A$2:$A$2050,BE$1),#N/A)</f>
        <v>#N/A</v>
      </c>
      <c r="BF18" s="49" t="e">
        <f>IF(BF$1,SUMIFS('BalSht Data'!$H$2:$H$2050,'BalSht Data'!$G$2:$G$2050,$A18,'BalSht Data'!$A$2:$A$2050,BF$1),#N/A)</f>
        <v>#N/A</v>
      </c>
      <c r="BG18" s="49" t="e">
        <f>IF(BG$1,SUMIFS('BalSht Data'!$H$2:$H$2050,'BalSht Data'!$G$2:$G$2050,$A18,'BalSht Data'!$A$2:$A$2050,BG$1),#N/A)</f>
        <v>#N/A</v>
      </c>
      <c r="BH18" s="49" t="e">
        <f>IF(BH$1,SUMIFS('BalSht Data'!$H$2:$H$2050,'BalSht Data'!$G$2:$G$2050,$A18,'BalSht Data'!$A$2:$A$2050,BH$1),#N/A)</f>
        <v>#N/A</v>
      </c>
      <c r="BI18" s="49" t="e">
        <f>IF(BI$1,SUMIFS('BalSht Data'!$H$2:$H$2050,'BalSht Data'!$G$2:$G$2050,$A18,'BalSht Data'!$A$2:$A$2050,BI$1),#N/A)</f>
        <v>#N/A</v>
      </c>
      <c r="BJ18" s="49" t="e">
        <f>IF(BJ$1,SUMIFS('BalSht Data'!$H$2:$H$2050,'BalSht Data'!$G$2:$G$2050,$A18,'BalSht Data'!$A$2:$A$2050,BJ$1),#N/A)</f>
        <v>#N/A</v>
      </c>
      <c r="BK18" s="49" t="e">
        <f>IF(BK$1,SUMIFS('BalSht Data'!$H$2:$H$2050,'BalSht Data'!$G$2:$G$2050,$A18,'BalSht Data'!$A$2:$A$2050,BK$1),#N/A)</f>
        <v>#N/A</v>
      </c>
      <c r="BL18" s="49" t="e">
        <f>IF(BL$1,SUMIFS('BalSht Data'!$H$2:$H$2050,'BalSht Data'!$G$2:$G$2050,$A18,'BalSht Data'!$A$2:$A$2050,BL$1),#N/A)</f>
        <v>#N/A</v>
      </c>
      <c r="BM18" s="49" t="e">
        <f>IF(BM$1,SUMIFS('BalSht Data'!$H$2:$H$2050,'BalSht Data'!$G$2:$G$2050,$A18,'BalSht Data'!$A$2:$A$2050,BM$1),#N/A)</f>
        <v>#N/A</v>
      </c>
      <c r="BN18" s="49" t="e">
        <f>IF(BN$1,SUMIFS('BalSht Data'!$H$2:$H$2050,'BalSht Data'!$G$2:$G$2050,$A18,'BalSht Data'!$A$2:$A$2050,BN$1),#N/A)</f>
        <v>#N/A</v>
      </c>
      <c r="BO18" s="49" t="e">
        <f>IF(BO$1,SUMIFS('BalSht Data'!$H$2:$H$2050,'BalSht Data'!$G$2:$G$2050,$A18,'BalSht Data'!$A$2:$A$2050,BO$1),#N/A)</f>
        <v>#N/A</v>
      </c>
      <c r="BP18" s="49" t="e">
        <f>IF(BP$1,SUMIFS('BalSht Data'!$H$2:$H$2050,'BalSht Data'!$G$2:$G$2050,$A18,'BalSht Data'!$A$2:$A$2050,BP$1),#N/A)</f>
        <v>#N/A</v>
      </c>
      <c r="BQ18" s="49" t="e">
        <f>IF(BQ$1,SUMIFS('BalSht Data'!$H$2:$H$2050,'BalSht Data'!$G$2:$G$2050,$A18,'BalSht Data'!$A$2:$A$2050,BQ$1),#N/A)</f>
        <v>#N/A</v>
      </c>
      <c r="BR18" s="49" t="e">
        <f>IF(BR$1,SUMIFS('BalSht Data'!$H$2:$H$2050,'BalSht Data'!$G$2:$G$2050,$A18,'BalSht Data'!$A$2:$A$2050,BR$1),#N/A)</f>
        <v>#N/A</v>
      </c>
      <c r="BS18" s="49" t="e">
        <f>IF(BS$1,SUMIFS('BalSht Data'!$H$2:$H$2050,'BalSht Data'!$G$2:$G$2050,$A18,'BalSht Data'!$A$2:$A$2050,BS$1),#N/A)</f>
        <v>#N/A</v>
      </c>
      <c r="BT18" s="49" t="e">
        <f>IF(BT$1,SUMIFS('BalSht Data'!$H$2:$H$2050,'BalSht Data'!$G$2:$G$2050,$A18,'BalSht Data'!$A$2:$A$2050,BT$1),#N/A)</f>
        <v>#N/A</v>
      </c>
      <c r="BU18" s="49" t="e">
        <f>IF(BU$1,SUMIFS('BalSht Data'!$H$2:$H$2050,'BalSht Data'!$G$2:$G$2050,$A18,'BalSht Data'!$A$2:$A$2050,BU$1),#N/A)</f>
        <v>#N/A</v>
      </c>
      <c r="BV18" s="49" t="e">
        <f>IF(BV$1,SUMIFS('BalSht Data'!$H$2:$H$2050,'BalSht Data'!$G$2:$G$2050,$A18,'BalSht Data'!$A$2:$A$2050,BV$1),#N/A)</f>
        <v>#N/A</v>
      </c>
      <c r="BW18" s="49" t="e">
        <f>IF(BW$1,SUMIFS('BalSht Data'!$H$2:$H$2050,'BalSht Data'!$G$2:$G$2050,$A18,'BalSht Data'!$A$2:$A$2050,BW$1),#N/A)</f>
        <v>#N/A</v>
      </c>
      <c r="BX18" s="49" t="e">
        <f>IF(BX$1,SUMIFS('BalSht Data'!$H$2:$H$2050,'BalSht Data'!$G$2:$G$2050,$A18,'BalSht Data'!$A$2:$A$2050,BX$1),#N/A)</f>
        <v>#N/A</v>
      </c>
      <c r="BY18" s="49" t="e">
        <f>IF(BY$1,SUMIFS('BalSht Data'!$H$2:$H$2050,'BalSht Data'!$G$2:$G$2050,$A18,'BalSht Data'!$A$2:$A$2050,BY$1),#N/A)</f>
        <v>#N/A</v>
      </c>
      <c r="BZ18" s="49" t="e">
        <f>IF(BZ$1,SUMIFS('BalSht Data'!$H$2:$H$2050,'BalSht Data'!$G$2:$G$2050,$A18,'BalSht Data'!$A$2:$A$2050,BZ$1),#N/A)</f>
        <v>#N/A</v>
      </c>
      <c r="CA18" s="49" t="e">
        <f>IF(CA$1,SUMIFS('BalSht Data'!$H$2:$H$2050,'BalSht Data'!$G$2:$G$2050,$A18,'BalSht Data'!$A$2:$A$2050,CA$1),#N/A)</f>
        <v>#N/A</v>
      </c>
      <c r="CB18" s="49" t="e">
        <f>IF(CB$1,SUMIFS('BalSht Data'!$H$2:$H$2050,'BalSht Data'!$G$2:$G$2050,$A18,'BalSht Data'!$A$2:$A$2050,CB$1),#N/A)</f>
        <v>#N/A</v>
      </c>
      <c r="CC18" s="49" t="e">
        <f>IF(CC$1,SUMIFS('BalSht Data'!$H$2:$H$2050,'BalSht Data'!$G$2:$G$2050,$A18,'BalSht Data'!$A$2:$A$2050,CC$1),#N/A)</f>
        <v>#N/A</v>
      </c>
      <c r="CD18" s="49" t="e">
        <f>IF(CD$1,SUMIFS('BalSht Data'!$H$2:$H$2050,'BalSht Data'!$G$2:$G$2050,$A18,'BalSht Data'!$A$2:$A$2050,CD$1),#N/A)</f>
        <v>#N/A</v>
      </c>
      <c r="CE18" s="49" t="e">
        <f>IF(CE$1,SUMIFS('BalSht Data'!$H$2:$H$2050,'BalSht Data'!$G$2:$G$2050,$A18,'BalSht Data'!$A$2:$A$2050,CE$1),#N/A)</f>
        <v>#N/A</v>
      </c>
      <c r="CF18" s="49" t="e">
        <f>IF(CF$1,SUMIFS('BalSht Data'!$H$2:$H$2050,'BalSht Data'!$G$2:$G$2050,$A18,'BalSht Data'!$A$2:$A$2050,CF$1),#N/A)</f>
        <v>#N/A</v>
      </c>
      <c r="CG18" s="49" t="e">
        <f>IF(CG$1,SUMIFS('BalSht Data'!$H$2:$H$2050,'BalSht Data'!$G$2:$G$2050,$A18,'BalSht Data'!$A$2:$A$2050,CG$1),#N/A)</f>
        <v>#N/A</v>
      </c>
      <c r="CH18" s="49" t="e">
        <f>IF(CH$1,SUMIFS('BalSht Data'!$H$2:$H$2050,'BalSht Data'!$G$2:$G$2050,$A18,'BalSht Data'!$A$2:$A$2050,CH$1),#N/A)</f>
        <v>#N/A</v>
      </c>
      <c r="CI18" s="49" t="e">
        <f>IF(CI$1,SUMIFS('BalSht Data'!$H$2:$H$2050,'BalSht Data'!$G$2:$G$2050,$A18,'BalSht Data'!$A$2:$A$2050,CI$1),#N/A)</f>
        <v>#N/A</v>
      </c>
      <c r="CJ18" s="49" t="e">
        <f>IF(CJ$1,SUMIFS('BalSht Data'!$H$2:$H$2050,'BalSht Data'!$G$2:$G$2050,$A18,'BalSht Data'!$A$2:$A$2050,CJ$1),#N/A)</f>
        <v>#N/A</v>
      </c>
      <c r="CK18" s="49" t="e">
        <f>IF(CK$1,SUMIFS('BalSht Data'!$H$2:$H$2050,'BalSht Data'!$G$2:$G$2050,$A18,'BalSht Data'!$A$2:$A$2050,CK$1),#N/A)</f>
        <v>#N/A</v>
      </c>
      <c r="CL18" s="49" t="e">
        <f>IF(CL$1,SUMIFS('BalSht Data'!$H$2:$H$2050,'BalSht Data'!$G$2:$G$2050,$A18,'BalSht Data'!$A$2:$A$2050,CL$1),#N/A)</f>
        <v>#N/A</v>
      </c>
      <c r="CM18" s="49" t="e">
        <f>IF(CM$1,SUMIFS('BalSht Data'!$H$2:$H$2050,'BalSht Data'!$G$2:$G$2050,$A18,'BalSht Data'!$A$2:$A$2050,CM$1),#N/A)</f>
        <v>#N/A</v>
      </c>
      <c r="CN18" s="49" t="e">
        <f>IF(CN$1,SUMIFS('BalSht Data'!$H$2:$H$2050,'BalSht Data'!$G$2:$G$2050,$A18,'BalSht Data'!$A$2:$A$2050,CN$1),#N/A)</f>
        <v>#N/A</v>
      </c>
      <c r="CO18" s="49" t="e">
        <f>IF(CO$1,SUMIFS('BalSht Data'!$H$2:$H$2050,'BalSht Data'!$G$2:$G$2050,$A18,'BalSht Data'!$A$2:$A$2050,CO$1),#N/A)</f>
        <v>#N/A</v>
      </c>
      <c r="CP18" s="49" t="e">
        <f>IF(CP$1,SUMIFS('BalSht Data'!$H$2:$H$2050,'BalSht Data'!$G$2:$G$2050,$A18,'BalSht Data'!$A$2:$A$2050,CP$1),#N/A)</f>
        <v>#N/A</v>
      </c>
      <c r="CQ18" s="49" t="e">
        <f>IF(CQ$1,SUMIFS('BalSht Data'!$H$2:$H$2050,'BalSht Data'!$G$2:$G$2050,$A18,'BalSht Data'!$A$2:$A$2050,CQ$1),#N/A)</f>
        <v>#N/A</v>
      </c>
      <c r="CR18" s="49" t="e">
        <f>IF(CR$1,SUMIFS('BalSht Data'!$H$2:$H$2050,'BalSht Data'!$G$2:$G$2050,$A18,'BalSht Data'!$A$2:$A$2050,CR$1),#N/A)</f>
        <v>#N/A</v>
      </c>
      <c r="CS18" s="49" t="e">
        <f>IF(CS$1,SUMIFS('BalSht Data'!$H$2:$H$2050,'BalSht Data'!$G$2:$G$2050,$A18,'BalSht Data'!$A$2:$A$2050,CS$1),#N/A)</f>
        <v>#N/A</v>
      </c>
      <c r="CT18" s="49" t="e">
        <f>IF(CT$1,SUMIFS('BalSht Data'!$H$2:$H$2050,'BalSht Data'!$G$2:$G$2050,$A18,'BalSht Data'!$A$2:$A$2050,CT$1),#N/A)</f>
        <v>#N/A</v>
      </c>
      <c r="CU18" s="49" t="e">
        <f>IF(CU$1,SUMIFS('BalSht Data'!$H$2:$H$2050,'BalSht Data'!$G$2:$G$2050,$A18,'BalSht Data'!$A$2:$A$2050,CU$1),#N/A)</f>
        <v>#N/A</v>
      </c>
      <c r="CV18" s="49" t="e">
        <f>IF(CV$1,SUMIFS('BalSht Data'!$H$2:$H$2050,'BalSht Data'!$G$2:$G$2050,$A18,'BalSht Data'!$A$2:$A$2050,CV$1),#N/A)</f>
        <v>#N/A</v>
      </c>
      <c r="CW18" s="49" t="e">
        <f>IF(CW$1,SUMIFS('BalSht Data'!$H$2:$H$2050,'BalSht Data'!$G$2:$G$2050,$A18,'BalSht Data'!$A$2:$A$2050,CW$1),#N/A)</f>
        <v>#N/A</v>
      </c>
      <c r="CX18" s="49" t="e">
        <f>IF(CX$1,SUMIFS('BalSht Data'!$H$2:$H$2050,'BalSht Data'!$G$2:$G$2050,$A18,'BalSht Data'!$A$2:$A$2050,CX$1),#N/A)</f>
        <v>#N/A</v>
      </c>
      <c r="CY18" s="49" t="e">
        <f>IF(CY$1,SUMIFS('BalSht Data'!$H$2:$H$2050,'BalSht Data'!$G$2:$G$2050,$A18,'BalSht Data'!$A$2:$A$2050,CY$1),#N/A)</f>
        <v>#N/A</v>
      </c>
      <c r="CZ18" s="49" t="e">
        <f>IF(CZ$1,SUMIFS('BalSht Data'!$H$2:$H$2050,'BalSht Data'!$G$2:$G$2050,$A18,'BalSht Data'!$A$2:$A$2050,CZ$1),#N/A)</f>
        <v>#N/A</v>
      </c>
      <c r="DA18" s="49">
        <f>SUM(B18:AJ18)</f>
        <v>107</v>
      </c>
    </row>
    <row r="19" spans="1:105" s="40" customFormat="1" x14ac:dyDescent="0.2">
      <c r="A19" s="63"/>
      <c r="B19" s="43"/>
      <c r="C19" s="43"/>
      <c r="D19" s="43"/>
      <c r="E19" s="43"/>
      <c r="F19" s="43"/>
      <c r="G19" s="43"/>
      <c r="H19" s="43"/>
      <c r="I19" s="43"/>
      <c r="J19" s="43"/>
      <c r="K19" s="43"/>
      <c r="L19" s="43"/>
      <c r="M19" s="43"/>
      <c r="N19" s="43"/>
      <c r="O19" s="43"/>
      <c r="P19" s="43"/>
      <c r="Q19" s="43"/>
      <c r="R19" s="43"/>
      <c r="S19" s="43"/>
      <c r="T19" s="43"/>
      <c r="U19" s="43"/>
      <c r="V19" s="43"/>
      <c r="W19" s="43"/>
      <c r="X19" s="43"/>
      <c r="Y19" s="43"/>
      <c r="Z19" s="43"/>
      <c r="AA19" s="43"/>
      <c r="AB19" s="43"/>
      <c r="AC19" s="43"/>
      <c r="AD19" s="43"/>
      <c r="AE19" s="43"/>
      <c r="AF19" s="43"/>
      <c r="AG19" s="43"/>
      <c r="AH19" s="43"/>
      <c r="AI19" s="43"/>
      <c r="AJ19" s="43"/>
      <c r="AK19" s="43"/>
      <c r="AL19" s="43"/>
      <c r="AM19" s="43"/>
      <c r="AN19" s="43"/>
      <c r="AO19" s="43"/>
      <c r="AP19" s="43"/>
      <c r="AQ19" s="43"/>
      <c r="AR19" s="43"/>
      <c r="AS19" s="43"/>
      <c r="AT19" s="43"/>
      <c r="AU19" s="43"/>
      <c r="AV19" s="43"/>
      <c r="AW19" s="43"/>
      <c r="AX19" s="43"/>
      <c r="AY19" s="43"/>
      <c r="AZ19" s="43"/>
      <c r="BA19" s="43"/>
      <c r="BB19" s="43"/>
      <c r="BC19" s="43"/>
      <c r="BD19" s="43"/>
      <c r="BE19" s="43"/>
      <c r="BF19" s="43"/>
      <c r="BG19" s="43"/>
      <c r="BH19" s="43"/>
      <c r="BI19" s="43"/>
      <c r="BJ19" s="43"/>
      <c r="BK19" s="43"/>
      <c r="BL19" s="43"/>
      <c r="BM19" s="43"/>
      <c r="BN19" s="43"/>
      <c r="BO19" s="43"/>
      <c r="BP19" s="43"/>
      <c r="BQ19" s="43"/>
      <c r="BR19" s="43"/>
      <c r="BS19" s="43"/>
      <c r="BT19" s="43"/>
      <c r="BU19" s="43"/>
      <c r="BV19" s="43"/>
      <c r="BW19" s="43"/>
      <c r="BX19" s="43"/>
      <c r="BY19" s="43"/>
      <c r="BZ19" s="43"/>
      <c r="CA19" s="43"/>
      <c r="CB19" s="43"/>
      <c r="CC19" s="43"/>
      <c r="CD19" s="43"/>
      <c r="CE19" s="43"/>
      <c r="CF19" s="43"/>
      <c r="CG19" s="43"/>
      <c r="CH19" s="43"/>
      <c r="CI19" s="43"/>
      <c r="CJ19" s="43"/>
      <c r="CK19" s="43"/>
      <c r="CL19" s="43"/>
      <c r="CM19" s="43"/>
      <c r="CN19" s="43"/>
      <c r="CO19" s="43"/>
      <c r="CP19" s="43"/>
      <c r="CQ19" s="43"/>
      <c r="CR19" s="43"/>
      <c r="CS19" s="43"/>
      <c r="CT19" s="43"/>
      <c r="CU19" s="43"/>
      <c r="CV19" s="43"/>
      <c r="CW19" s="43"/>
      <c r="CX19" s="43"/>
      <c r="CY19" s="43"/>
      <c r="CZ19" s="43"/>
      <c r="DA19" s="43"/>
    </row>
    <row r="20" spans="1:105" s="40" customFormat="1" x14ac:dyDescent="0.2">
      <c r="A20" s="63"/>
      <c r="B20" s="40">
        <f t="shared" ref="B20" si="0">SUM(B15:B18)</f>
        <v>4845141</v>
      </c>
      <c r="C20" s="40">
        <f>SUM(C15:C18)</f>
        <v>4857191</v>
      </c>
      <c r="D20" s="40">
        <f>SUM(D15:D18)</f>
        <v>6228942</v>
      </c>
      <c r="E20" s="40">
        <f t="shared" ref="E20:AG20" si="1">SUM(E15:E18)</f>
        <v>10887646</v>
      </c>
      <c r="F20" s="40">
        <f t="shared" si="1"/>
        <v>11006189</v>
      </c>
      <c r="G20" s="40">
        <f t="shared" si="1"/>
        <v>5312919</v>
      </c>
      <c r="H20" s="40">
        <f t="shared" si="1"/>
        <v>9356861</v>
      </c>
      <c r="I20" s="40">
        <f t="shared" si="1"/>
        <v>6771616</v>
      </c>
      <c r="J20" s="40">
        <f t="shared" si="1"/>
        <v>7673123</v>
      </c>
      <c r="K20" s="40">
        <f t="shared" si="1"/>
        <v>14267054</v>
      </c>
      <c r="L20" s="40">
        <f t="shared" si="1"/>
        <v>7706525</v>
      </c>
      <c r="M20" s="40">
        <f t="shared" si="1"/>
        <v>7507550</v>
      </c>
      <c r="N20" s="40">
        <f t="shared" si="1"/>
        <v>16111056</v>
      </c>
      <c r="O20" s="40">
        <f t="shared" si="1"/>
        <v>8455336</v>
      </c>
      <c r="P20" s="40">
        <f t="shared" si="1"/>
        <v>7720500</v>
      </c>
      <c r="Q20" s="40">
        <f t="shared" si="1"/>
        <v>7457168</v>
      </c>
      <c r="R20" s="40">
        <f t="shared" si="1"/>
        <v>6998169</v>
      </c>
      <c r="S20" s="40">
        <f t="shared" si="1"/>
        <v>9969910</v>
      </c>
      <c r="T20" s="40">
        <f t="shared" si="1"/>
        <v>11750202</v>
      </c>
      <c r="U20" s="40">
        <f t="shared" si="1"/>
        <v>8032042</v>
      </c>
      <c r="V20" s="40">
        <f t="shared" si="1"/>
        <v>11273612</v>
      </c>
      <c r="W20" s="40">
        <f t="shared" si="1"/>
        <v>8353639</v>
      </c>
      <c r="X20" s="40">
        <f t="shared" si="1"/>
        <v>9056901</v>
      </c>
      <c r="Y20" s="40">
        <f t="shared" si="1"/>
        <v>8722866</v>
      </c>
      <c r="Z20" s="40">
        <f t="shared" si="1"/>
        <v>0</v>
      </c>
      <c r="AA20" s="40">
        <f t="shared" si="1"/>
        <v>8691518</v>
      </c>
      <c r="AB20" s="40">
        <f t="shared" si="1"/>
        <v>0</v>
      </c>
      <c r="AC20" s="40">
        <f t="shared" si="1"/>
        <v>0</v>
      </c>
      <c r="AD20" s="40">
        <f t="shared" si="1"/>
        <v>7581697</v>
      </c>
      <c r="AE20" s="40">
        <f t="shared" si="1"/>
        <v>10453083</v>
      </c>
      <c r="AF20" s="40">
        <f t="shared" si="1"/>
        <v>9932148</v>
      </c>
      <c r="AG20" s="40">
        <f t="shared" si="1"/>
        <v>14285876</v>
      </c>
      <c r="AH20" s="40">
        <f t="shared" ref="AH20:BM20" si="2">SUM(AH15:AH18)</f>
        <v>9596402</v>
      </c>
      <c r="AI20" s="40">
        <f t="shared" si="2"/>
        <v>10305633</v>
      </c>
      <c r="AJ20" s="40">
        <f t="shared" si="2"/>
        <v>9850006</v>
      </c>
      <c r="AK20" s="40" t="e">
        <f t="shared" ref="AK20" si="3">SUM(AK15:AK18)</f>
        <v>#N/A</v>
      </c>
      <c r="AL20" s="40" t="e">
        <f t="shared" si="2"/>
        <v>#N/A</v>
      </c>
      <c r="AM20" s="40" t="e">
        <f t="shared" si="2"/>
        <v>#N/A</v>
      </c>
      <c r="AN20" s="40" t="e">
        <f t="shared" si="2"/>
        <v>#N/A</v>
      </c>
      <c r="AO20" s="40" t="e">
        <f t="shared" si="2"/>
        <v>#N/A</v>
      </c>
      <c r="AP20" s="40" t="e">
        <f t="shared" si="2"/>
        <v>#N/A</v>
      </c>
      <c r="AQ20" s="40" t="e">
        <f t="shared" si="2"/>
        <v>#N/A</v>
      </c>
      <c r="AR20" s="40" t="e">
        <f t="shared" si="2"/>
        <v>#N/A</v>
      </c>
      <c r="AS20" s="40" t="e">
        <f t="shared" si="2"/>
        <v>#N/A</v>
      </c>
      <c r="AT20" s="40" t="e">
        <f t="shared" si="2"/>
        <v>#N/A</v>
      </c>
      <c r="AU20" s="40" t="e">
        <f t="shared" si="2"/>
        <v>#N/A</v>
      </c>
      <c r="AV20" s="40" t="e">
        <f t="shared" si="2"/>
        <v>#N/A</v>
      </c>
      <c r="AW20" s="40" t="e">
        <f t="shared" si="2"/>
        <v>#N/A</v>
      </c>
      <c r="AX20" s="40" t="e">
        <f t="shared" si="2"/>
        <v>#N/A</v>
      </c>
      <c r="AY20" s="40" t="e">
        <f t="shared" si="2"/>
        <v>#N/A</v>
      </c>
      <c r="AZ20" s="40" t="e">
        <f t="shared" si="2"/>
        <v>#N/A</v>
      </c>
      <c r="BA20" s="40" t="e">
        <f t="shared" si="2"/>
        <v>#N/A</v>
      </c>
      <c r="BB20" s="40" t="e">
        <f t="shared" si="2"/>
        <v>#N/A</v>
      </c>
      <c r="BC20" s="40" t="e">
        <f t="shared" si="2"/>
        <v>#N/A</v>
      </c>
      <c r="BD20" s="40" t="e">
        <f t="shared" si="2"/>
        <v>#N/A</v>
      </c>
      <c r="BE20" s="40" t="e">
        <f t="shared" si="2"/>
        <v>#N/A</v>
      </c>
      <c r="BF20" s="40" t="e">
        <f t="shared" si="2"/>
        <v>#N/A</v>
      </c>
      <c r="BG20" s="40" t="e">
        <f t="shared" si="2"/>
        <v>#N/A</v>
      </c>
      <c r="BH20" s="40" t="e">
        <f t="shared" si="2"/>
        <v>#N/A</v>
      </c>
      <c r="BI20" s="40" t="e">
        <f t="shared" si="2"/>
        <v>#N/A</v>
      </c>
      <c r="BJ20" s="40" t="e">
        <f t="shared" si="2"/>
        <v>#N/A</v>
      </c>
      <c r="BK20" s="40" t="e">
        <f t="shared" si="2"/>
        <v>#N/A</v>
      </c>
      <c r="BL20" s="40" t="e">
        <f t="shared" si="2"/>
        <v>#N/A</v>
      </c>
      <c r="BM20" s="40" t="e">
        <f t="shared" si="2"/>
        <v>#N/A</v>
      </c>
      <c r="BN20" s="40" t="e">
        <f t="shared" ref="BN20:CS20" si="4">SUM(BN15:BN18)</f>
        <v>#N/A</v>
      </c>
      <c r="BO20" s="40" t="e">
        <f t="shared" si="4"/>
        <v>#N/A</v>
      </c>
      <c r="BP20" s="40" t="e">
        <f t="shared" si="4"/>
        <v>#N/A</v>
      </c>
      <c r="BQ20" s="40" t="e">
        <f t="shared" si="4"/>
        <v>#N/A</v>
      </c>
      <c r="BR20" s="40" t="e">
        <f t="shared" si="4"/>
        <v>#N/A</v>
      </c>
      <c r="BS20" s="40" t="e">
        <f t="shared" si="4"/>
        <v>#N/A</v>
      </c>
      <c r="BT20" s="40" t="e">
        <f t="shared" si="4"/>
        <v>#N/A</v>
      </c>
      <c r="BU20" s="40" t="e">
        <f t="shared" si="4"/>
        <v>#N/A</v>
      </c>
      <c r="BV20" s="40" t="e">
        <f t="shared" si="4"/>
        <v>#N/A</v>
      </c>
      <c r="BW20" s="40" t="e">
        <f t="shared" si="4"/>
        <v>#N/A</v>
      </c>
      <c r="BX20" s="40" t="e">
        <f t="shared" si="4"/>
        <v>#N/A</v>
      </c>
      <c r="BY20" s="40" t="e">
        <f t="shared" si="4"/>
        <v>#N/A</v>
      </c>
      <c r="BZ20" s="40" t="e">
        <f t="shared" si="4"/>
        <v>#N/A</v>
      </c>
      <c r="CA20" s="40" t="e">
        <f t="shared" si="4"/>
        <v>#N/A</v>
      </c>
      <c r="CB20" s="40" t="e">
        <f t="shared" si="4"/>
        <v>#N/A</v>
      </c>
      <c r="CC20" s="40" t="e">
        <f t="shared" si="4"/>
        <v>#N/A</v>
      </c>
      <c r="CD20" s="40" t="e">
        <f t="shared" si="4"/>
        <v>#N/A</v>
      </c>
      <c r="CE20" s="40" t="e">
        <f t="shared" si="4"/>
        <v>#N/A</v>
      </c>
      <c r="CF20" s="40" t="e">
        <f t="shared" si="4"/>
        <v>#N/A</v>
      </c>
      <c r="CG20" s="40" t="e">
        <f t="shared" si="4"/>
        <v>#N/A</v>
      </c>
      <c r="CH20" s="40" t="e">
        <f t="shared" si="4"/>
        <v>#N/A</v>
      </c>
      <c r="CI20" s="40" t="e">
        <f t="shared" si="4"/>
        <v>#N/A</v>
      </c>
      <c r="CJ20" s="40" t="e">
        <f t="shared" si="4"/>
        <v>#N/A</v>
      </c>
      <c r="CK20" s="40" t="e">
        <f t="shared" si="4"/>
        <v>#N/A</v>
      </c>
      <c r="CL20" s="40" t="e">
        <f t="shared" si="4"/>
        <v>#N/A</v>
      </c>
      <c r="CM20" s="40" t="e">
        <f t="shared" si="4"/>
        <v>#N/A</v>
      </c>
      <c r="CN20" s="40" t="e">
        <f t="shared" si="4"/>
        <v>#N/A</v>
      </c>
      <c r="CO20" s="40" t="e">
        <f t="shared" si="4"/>
        <v>#N/A</v>
      </c>
      <c r="CP20" s="40" t="e">
        <f t="shared" si="4"/>
        <v>#N/A</v>
      </c>
      <c r="CQ20" s="40" t="e">
        <f t="shared" si="4"/>
        <v>#N/A</v>
      </c>
      <c r="CR20" s="40" t="e">
        <f t="shared" si="4"/>
        <v>#N/A</v>
      </c>
      <c r="CS20" s="40" t="e">
        <f t="shared" si="4"/>
        <v>#N/A</v>
      </c>
      <c r="CT20" s="40" t="e">
        <f t="shared" ref="CT20:CZ20" si="5">SUM(CT15:CT18)</f>
        <v>#N/A</v>
      </c>
      <c r="CU20" s="40" t="e">
        <f t="shared" si="5"/>
        <v>#N/A</v>
      </c>
      <c r="CV20" s="40" t="e">
        <f t="shared" si="5"/>
        <v>#N/A</v>
      </c>
      <c r="CW20" s="40" t="e">
        <f t="shared" si="5"/>
        <v>#N/A</v>
      </c>
      <c r="CX20" s="40" t="e">
        <f t="shared" si="5"/>
        <v>#N/A</v>
      </c>
      <c r="CY20" s="40" t="e">
        <f t="shared" si="5"/>
        <v>#N/A</v>
      </c>
      <c r="CZ20" s="40" t="e">
        <f t="shared" si="5"/>
        <v>#N/A</v>
      </c>
      <c r="DA20" s="40">
        <f>SUM(B20:AJ20)</f>
        <v>291018521</v>
      </c>
    </row>
    <row r="21" spans="1:105" s="40" customFormat="1" x14ac:dyDescent="0.2">
      <c r="A21" s="63"/>
      <c r="B21" s="43"/>
      <c r="C21" s="43"/>
      <c r="D21" s="43"/>
      <c r="E21" s="43"/>
      <c r="F21" s="43"/>
      <c r="G21" s="43"/>
      <c r="H21" s="43"/>
      <c r="I21" s="43"/>
      <c r="J21" s="43"/>
      <c r="K21" s="43"/>
      <c r="L21" s="43"/>
      <c r="M21" s="43"/>
      <c r="N21" s="43"/>
      <c r="O21" s="43"/>
      <c r="P21" s="43"/>
      <c r="Q21" s="43"/>
      <c r="R21" s="43"/>
      <c r="S21" s="43"/>
      <c r="T21" s="43"/>
      <c r="U21" s="43"/>
      <c r="V21" s="43"/>
      <c r="W21" s="43"/>
      <c r="X21" s="43"/>
      <c r="Y21" s="43"/>
      <c r="Z21" s="43"/>
      <c r="AA21" s="43"/>
      <c r="AB21" s="43"/>
      <c r="AC21" s="43"/>
      <c r="AD21" s="43"/>
      <c r="AE21" s="43"/>
      <c r="AF21" s="43"/>
      <c r="AG21" s="43"/>
      <c r="AH21" s="43"/>
      <c r="AI21" s="43"/>
      <c r="AJ21" s="43"/>
      <c r="AK21" s="43"/>
      <c r="AL21" s="43"/>
      <c r="AM21" s="43"/>
      <c r="AN21" s="43"/>
      <c r="AO21" s="43"/>
      <c r="AP21" s="43"/>
      <c r="AQ21" s="43"/>
      <c r="AR21" s="43"/>
      <c r="AS21" s="43"/>
      <c r="AT21" s="43"/>
      <c r="AU21" s="43"/>
      <c r="AV21" s="43"/>
      <c r="AW21" s="43"/>
      <c r="AX21" s="43"/>
      <c r="AY21" s="43"/>
      <c r="AZ21" s="43"/>
      <c r="BA21" s="43"/>
      <c r="BB21" s="43"/>
      <c r="BC21" s="43"/>
      <c r="BD21" s="43"/>
      <c r="BE21" s="43"/>
      <c r="BF21" s="43"/>
      <c r="BG21" s="43"/>
      <c r="BH21" s="43"/>
      <c r="BI21" s="43"/>
      <c r="BJ21" s="43"/>
      <c r="BK21" s="43"/>
      <c r="BL21" s="43"/>
      <c r="BM21" s="43"/>
      <c r="BN21" s="43"/>
      <c r="BO21" s="43"/>
      <c r="BP21" s="43"/>
      <c r="BQ21" s="43"/>
      <c r="BR21" s="43"/>
      <c r="BS21" s="43"/>
      <c r="BT21" s="43"/>
      <c r="BU21" s="43"/>
      <c r="BV21" s="43"/>
      <c r="BW21" s="43"/>
      <c r="BX21" s="43"/>
      <c r="BY21" s="43"/>
      <c r="BZ21" s="43"/>
      <c r="CA21" s="43"/>
      <c r="CB21" s="43"/>
      <c r="CC21" s="43"/>
      <c r="CD21" s="43"/>
      <c r="CE21" s="43"/>
      <c r="CF21" s="43"/>
      <c r="CG21" s="43"/>
      <c r="CH21" s="43"/>
      <c r="CI21" s="43"/>
      <c r="CJ21" s="43"/>
      <c r="CK21" s="43"/>
      <c r="CL21" s="43"/>
      <c r="CM21" s="43"/>
      <c r="CN21" s="43"/>
      <c r="CO21" s="43"/>
      <c r="CP21" s="43"/>
      <c r="CQ21" s="43"/>
      <c r="CR21" s="43"/>
      <c r="CS21" s="43"/>
      <c r="CT21" s="43"/>
      <c r="CU21" s="43"/>
      <c r="CV21" s="43"/>
      <c r="CW21" s="43"/>
      <c r="CX21" s="43"/>
      <c r="CY21" s="43"/>
      <c r="CZ21" s="43"/>
      <c r="DA21" s="43"/>
    </row>
    <row r="22" spans="1:105" s="42" customFormat="1" ht="15" x14ac:dyDescent="0.35">
      <c r="A22" s="53" t="s">
        <v>12</v>
      </c>
      <c r="B22" s="49">
        <f>IF(B$1,SUMIFS('BalSht Data'!$H$2:$H$2050,'BalSht Data'!$G$2:$G$2050,$A22,'BalSht Data'!$A$2:$A$2050,B$1),#N/A)</f>
        <v>-2625445</v>
      </c>
      <c r="C22" s="49">
        <f>IF(C$1,SUMIFS('BalSht Data'!$H$2:$H$2050,'BalSht Data'!$G$2:$G$2050,$A22,'BalSht Data'!$A$2:$A$2050,C$1),#N/A)</f>
        <v>-2213723</v>
      </c>
      <c r="D22" s="49">
        <f>IF(D$1,SUMIFS('BalSht Data'!$H$2:$H$2050,'BalSht Data'!$G$2:$G$2050,$A22,'BalSht Data'!$A$2:$A$2050,D$1),#N/A)</f>
        <v>-2875834</v>
      </c>
      <c r="E22" s="49">
        <f>IF(E$1,SUMIFS('BalSht Data'!$H$2:$H$2050,'BalSht Data'!$G$2:$G$2050,$A22,'BalSht Data'!$A$2:$A$2050,E$1),#N/A)</f>
        <v>-4444704</v>
      </c>
      <c r="F22" s="49">
        <f>IF(F$1,SUMIFS('BalSht Data'!$H$2:$H$2050,'BalSht Data'!$G$2:$G$2050,$A22,'BalSht Data'!$A$2:$A$2050,F$1),#N/A)</f>
        <v>-4143914</v>
      </c>
      <c r="G22" s="49">
        <f>IF(G$1,SUMIFS('BalSht Data'!$H$2:$H$2050,'BalSht Data'!$G$2:$G$2050,$A22,'BalSht Data'!$A$2:$A$2050,G$1),#N/A)</f>
        <v>-2560127</v>
      </c>
      <c r="H22" s="49">
        <f>IF(H$1,SUMIFS('BalSht Data'!$H$2:$H$2050,'BalSht Data'!$G$2:$G$2050,$A22,'BalSht Data'!$A$2:$A$2050,H$1),#N/A)</f>
        <v>-1724611</v>
      </c>
      <c r="I22" s="49">
        <f>IF(I$1,SUMIFS('BalSht Data'!$H$2:$H$2050,'BalSht Data'!$G$2:$G$2050,$A22,'BalSht Data'!$A$2:$A$2050,I$1),#N/A)</f>
        <v>-3936659</v>
      </c>
      <c r="J22" s="49">
        <f>IF(J$1,SUMIFS('BalSht Data'!$H$2:$H$2050,'BalSht Data'!$G$2:$G$2050,$A22,'BalSht Data'!$A$2:$A$2050,J$1),#N/A)</f>
        <v>-2819008</v>
      </c>
      <c r="K22" s="49">
        <f>IF(K$1,SUMIFS('BalSht Data'!$H$2:$H$2050,'BalSht Data'!$G$2:$G$2050,$A22,'BalSht Data'!$A$2:$A$2050,K$1),#N/A)</f>
        <v>-4437734</v>
      </c>
      <c r="L22" s="49">
        <f>IF(L$1,SUMIFS('BalSht Data'!$H$2:$H$2050,'BalSht Data'!$G$2:$G$2050,$A22,'BalSht Data'!$A$2:$A$2050,L$1),#N/A)</f>
        <v>-3007312</v>
      </c>
      <c r="M22" s="49">
        <f>IF(M$1,SUMIFS('BalSht Data'!$H$2:$H$2050,'BalSht Data'!$G$2:$G$2050,$A22,'BalSht Data'!$A$2:$A$2050,M$1),#N/A)</f>
        <v>-3188723</v>
      </c>
      <c r="N22" s="49">
        <f>IF(N$1,SUMIFS('BalSht Data'!$H$2:$H$2050,'BalSht Data'!$G$2:$G$2050,$A22,'BalSht Data'!$A$2:$A$2050,N$1),#N/A)</f>
        <v>-4721912</v>
      </c>
      <c r="O22" s="49">
        <f>IF(O$1,SUMIFS('BalSht Data'!$H$2:$H$2050,'BalSht Data'!$G$2:$G$2050,$A22,'BalSht Data'!$A$2:$A$2050,O$1),#N/A)</f>
        <v>-2999727</v>
      </c>
      <c r="P22" s="49">
        <f>IF(P$1,SUMIFS('BalSht Data'!$H$2:$H$2050,'BalSht Data'!$G$2:$G$2050,$A22,'BalSht Data'!$A$2:$A$2050,P$1),#N/A)</f>
        <v>-4676987</v>
      </c>
      <c r="Q22" s="49">
        <f>IF(Q$1,SUMIFS('BalSht Data'!$H$2:$H$2050,'BalSht Data'!$G$2:$G$2050,$A22,'BalSht Data'!$A$2:$A$2050,Q$1),#N/A)</f>
        <v>-3024112</v>
      </c>
      <c r="R22" s="49">
        <f>IF(R$1,SUMIFS('BalSht Data'!$H$2:$H$2050,'BalSht Data'!$G$2:$G$2050,$A22,'BalSht Data'!$A$2:$A$2050,R$1),#N/A)</f>
        <v>-3238740</v>
      </c>
      <c r="S22" s="49">
        <f>IF(S$1,SUMIFS('BalSht Data'!$H$2:$H$2050,'BalSht Data'!$G$2:$G$2050,$A22,'BalSht Data'!$A$2:$A$2050,S$1),#N/A)</f>
        <v>-2442904</v>
      </c>
      <c r="T22" s="49">
        <f>IF(T$1,SUMIFS('BalSht Data'!$H$2:$H$2050,'BalSht Data'!$G$2:$G$2050,$A22,'BalSht Data'!$A$2:$A$2050,T$1),#N/A)</f>
        <v>-3520279</v>
      </c>
      <c r="U22" s="49">
        <f>IF(U$1,SUMIFS('BalSht Data'!$H$2:$H$2050,'BalSht Data'!$G$2:$G$2050,$A22,'BalSht Data'!$A$2:$A$2050,U$1),#N/A)</f>
        <v>-4076152</v>
      </c>
      <c r="V22" s="49">
        <f>IF(V$1,SUMIFS('BalSht Data'!$H$2:$H$2050,'BalSht Data'!$G$2:$G$2050,$A22,'BalSht Data'!$A$2:$A$2050,V$1),#N/A)</f>
        <v>-2921746</v>
      </c>
      <c r="W22" s="49">
        <f>IF(W$1,SUMIFS('BalSht Data'!$H$2:$H$2050,'BalSht Data'!$G$2:$G$2050,$A22,'BalSht Data'!$A$2:$A$2050,W$1),#N/A)</f>
        <v>-1603192</v>
      </c>
      <c r="X22" s="49">
        <f>IF(X$1,SUMIFS('BalSht Data'!$H$2:$H$2050,'BalSht Data'!$G$2:$G$2050,$A22,'BalSht Data'!$A$2:$A$2050,X$1),#N/A)</f>
        <v>-2431343</v>
      </c>
      <c r="Y22" s="49">
        <f>IF(Y$1,SUMIFS('BalSht Data'!$H$2:$H$2050,'BalSht Data'!$G$2:$G$2050,$A22,'BalSht Data'!$A$2:$A$2050,Y$1),#N/A)</f>
        <v>-1568580</v>
      </c>
      <c r="Z22" s="49">
        <f>IF(Z$1,SUMIFS('BalSht Data'!$H$2:$H$2050,'BalSht Data'!$G$2:$G$2050,$A22,'BalSht Data'!$A$2:$A$2050,Z$1),#N/A)</f>
        <v>0</v>
      </c>
      <c r="AA22" s="49">
        <f>IF(AA$1,SUMIFS('BalSht Data'!$H$2:$H$2050,'BalSht Data'!$G$2:$G$2050,$A22,'BalSht Data'!$A$2:$A$2050,AA$1),#N/A)</f>
        <v>-3668132</v>
      </c>
      <c r="AB22" s="49">
        <f>IF(AB$1,SUMIFS('BalSht Data'!$H$2:$H$2050,'BalSht Data'!$G$2:$G$2050,$A22,'BalSht Data'!$A$2:$A$2050,AB$1),#N/A)</f>
        <v>0</v>
      </c>
      <c r="AC22" s="49">
        <f>IF(AC$1,SUMIFS('BalSht Data'!$H$2:$H$2050,'BalSht Data'!$G$2:$G$2050,$A22,'BalSht Data'!$A$2:$A$2050,AC$1),#N/A)</f>
        <v>0</v>
      </c>
      <c r="AD22" s="49">
        <f>IF(AD$1,SUMIFS('BalSht Data'!$H$2:$H$2050,'BalSht Data'!$G$2:$G$2050,$A22,'BalSht Data'!$A$2:$A$2050,AD$1),#N/A)</f>
        <v>-1341669</v>
      </c>
      <c r="AE22" s="49">
        <f>IF(AE$1,SUMIFS('BalSht Data'!$H$2:$H$2050,'BalSht Data'!$G$2:$G$2050,$A22,'BalSht Data'!$A$2:$A$2050,AE$1),#N/A)</f>
        <v>-2065180</v>
      </c>
      <c r="AF22" s="49">
        <f>IF(AF$1,SUMIFS('BalSht Data'!$H$2:$H$2050,'BalSht Data'!$G$2:$G$2050,$A22,'BalSht Data'!$A$2:$A$2050,AF$1),#N/A)</f>
        <v>-2503615</v>
      </c>
      <c r="AG22" s="49">
        <f>IF(AG$1,SUMIFS('BalSht Data'!$H$2:$H$2050,'BalSht Data'!$G$2:$G$2050,$A22,'BalSht Data'!$A$2:$A$2050,AG$1),#N/A)</f>
        <v>-3520119</v>
      </c>
      <c r="AH22" s="49">
        <f>IF(AH$1,SUMIFS('BalSht Data'!$H$2:$H$2050,'BalSht Data'!$G$2:$G$2050,$A22,'BalSht Data'!$A$2:$A$2050,AH$1),#N/A)</f>
        <v>-2826151</v>
      </c>
      <c r="AI22" s="49">
        <f>IF(AI$1,SUMIFS('BalSht Data'!$H$2:$H$2050,'BalSht Data'!$G$2:$G$2050,$A22,'BalSht Data'!$A$2:$A$2050,AI$1),#N/A)</f>
        <v>-3723150</v>
      </c>
      <c r="AJ22" s="49">
        <f>IF(AJ$1,SUMIFS('BalSht Data'!$H$2:$H$2050,'BalSht Data'!$G$2:$G$2050,$A22,'BalSht Data'!$A$2:$A$2050,AJ$1),#N/A)</f>
        <v>-2652816</v>
      </c>
      <c r="AK22" s="49" t="e">
        <f>IF(AK$1,SUMIFS('BalSht Data'!$H$2:$H$2050,'BalSht Data'!$G$2:$G$2050,$A22,'BalSht Data'!$A$2:$A$2050,AK$1),#N/A)</f>
        <v>#N/A</v>
      </c>
      <c r="AL22" s="49" t="e">
        <f>IF(AL$1,SUMIFS('BalSht Data'!$H$2:$H$2050,'BalSht Data'!$G$2:$G$2050,$A22,'BalSht Data'!$A$2:$A$2050,AL$1),#N/A)</f>
        <v>#N/A</v>
      </c>
      <c r="AM22" s="49" t="e">
        <f>IF(AM$1,SUMIFS('BalSht Data'!$H$2:$H$2050,'BalSht Data'!$G$2:$G$2050,$A22,'BalSht Data'!$A$2:$A$2050,AM$1),#N/A)</f>
        <v>#N/A</v>
      </c>
      <c r="AN22" s="49" t="e">
        <f>IF(AN$1,SUMIFS('BalSht Data'!$H$2:$H$2050,'BalSht Data'!$G$2:$G$2050,$A22,'BalSht Data'!$A$2:$A$2050,AN$1),#N/A)</f>
        <v>#N/A</v>
      </c>
      <c r="AO22" s="49" t="e">
        <f>IF(AO$1,SUMIFS('BalSht Data'!$H$2:$H$2050,'BalSht Data'!$G$2:$G$2050,$A22,'BalSht Data'!$A$2:$A$2050,AO$1),#N/A)</f>
        <v>#N/A</v>
      </c>
      <c r="AP22" s="49" t="e">
        <f>IF(AP$1,SUMIFS('BalSht Data'!$H$2:$H$2050,'BalSht Data'!$G$2:$G$2050,$A22,'BalSht Data'!$A$2:$A$2050,AP$1),#N/A)</f>
        <v>#N/A</v>
      </c>
      <c r="AQ22" s="49" t="e">
        <f>IF(AQ$1,SUMIFS('BalSht Data'!$H$2:$H$2050,'BalSht Data'!$G$2:$G$2050,$A22,'BalSht Data'!$A$2:$A$2050,AQ$1),#N/A)</f>
        <v>#N/A</v>
      </c>
      <c r="AR22" s="49" t="e">
        <f>IF(AR$1,SUMIFS('BalSht Data'!$H$2:$H$2050,'BalSht Data'!$G$2:$G$2050,$A22,'BalSht Data'!$A$2:$A$2050,AR$1),#N/A)</f>
        <v>#N/A</v>
      </c>
      <c r="AS22" s="49" t="e">
        <f>IF(AS$1,SUMIFS('BalSht Data'!$H$2:$H$2050,'BalSht Data'!$G$2:$G$2050,$A22,'BalSht Data'!$A$2:$A$2050,AS$1),#N/A)</f>
        <v>#N/A</v>
      </c>
      <c r="AT22" s="49" t="e">
        <f>IF(AT$1,SUMIFS('BalSht Data'!$H$2:$H$2050,'BalSht Data'!$G$2:$G$2050,$A22,'BalSht Data'!$A$2:$A$2050,AT$1),#N/A)</f>
        <v>#N/A</v>
      </c>
      <c r="AU22" s="49" t="e">
        <f>IF(AU$1,SUMIFS('BalSht Data'!$H$2:$H$2050,'BalSht Data'!$G$2:$G$2050,$A22,'BalSht Data'!$A$2:$A$2050,AU$1),#N/A)</f>
        <v>#N/A</v>
      </c>
      <c r="AV22" s="49" t="e">
        <f>IF(AV$1,SUMIFS('BalSht Data'!$H$2:$H$2050,'BalSht Data'!$G$2:$G$2050,$A22,'BalSht Data'!$A$2:$A$2050,AV$1),#N/A)</f>
        <v>#N/A</v>
      </c>
      <c r="AW22" s="49" t="e">
        <f>IF(AW$1,SUMIFS('BalSht Data'!$H$2:$H$2050,'BalSht Data'!$G$2:$G$2050,$A22,'BalSht Data'!$A$2:$A$2050,AW$1),#N/A)</f>
        <v>#N/A</v>
      </c>
      <c r="AX22" s="49" t="e">
        <f>IF(AX$1,SUMIFS('BalSht Data'!$H$2:$H$2050,'BalSht Data'!$G$2:$G$2050,$A22,'BalSht Data'!$A$2:$A$2050,AX$1),#N/A)</f>
        <v>#N/A</v>
      </c>
      <c r="AY22" s="49" t="e">
        <f>IF(AY$1,SUMIFS('BalSht Data'!$H$2:$H$2050,'BalSht Data'!$G$2:$G$2050,$A22,'BalSht Data'!$A$2:$A$2050,AY$1),#N/A)</f>
        <v>#N/A</v>
      </c>
      <c r="AZ22" s="49" t="e">
        <f>IF(AZ$1,SUMIFS('BalSht Data'!$H$2:$H$2050,'BalSht Data'!$G$2:$G$2050,$A22,'BalSht Data'!$A$2:$A$2050,AZ$1),#N/A)</f>
        <v>#N/A</v>
      </c>
      <c r="BA22" s="49" t="e">
        <f>IF(BA$1,SUMIFS('BalSht Data'!$H$2:$H$2050,'BalSht Data'!$G$2:$G$2050,$A22,'BalSht Data'!$A$2:$A$2050,BA$1),#N/A)</f>
        <v>#N/A</v>
      </c>
      <c r="BB22" s="49" t="e">
        <f>IF(BB$1,SUMIFS('BalSht Data'!$H$2:$H$2050,'BalSht Data'!$G$2:$G$2050,$A22,'BalSht Data'!$A$2:$A$2050,BB$1),#N/A)</f>
        <v>#N/A</v>
      </c>
      <c r="BC22" s="49" t="e">
        <f>IF(BC$1,SUMIFS('BalSht Data'!$H$2:$H$2050,'BalSht Data'!$G$2:$G$2050,$A22,'BalSht Data'!$A$2:$A$2050,BC$1),#N/A)</f>
        <v>#N/A</v>
      </c>
      <c r="BD22" s="49" t="e">
        <f>IF(BD$1,SUMIFS('BalSht Data'!$H$2:$H$2050,'BalSht Data'!$G$2:$G$2050,$A22,'BalSht Data'!$A$2:$A$2050,BD$1),#N/A)</f>
        <v>#N/A</v>
      </c>
      <c r="BE22" s="49" t="e">
        <f>IF(BE$1,SUMIFS('BalSht Data'!$H$2:$H$2050,'BalSht Data'!$G$2:$G$2050,$A22,'BalSht Data'!$A$2:$A$2050,BE$1),#N/A)</f>
        <v>#N/A</v>
      </c>
      <c r="BF22" s="49" t="e">
        <f>IF(BF$1,SUMIFS('BalSht Data'!$H$2:$H$2050,'BalSht Data'!$G$2:$G$2050,$A22,'BalSht Data'!$A$2:$A$2050,BF$1),#N/A)</f>
        <v>#N/A</v>
      </c>
      <c r="BG22" s="49" t="e">
        <f>IF(BG$1,SUMIFS('BalSht Data'!$H$2:$H$2050,'BalSht Data'!$G$2:$G$2050,$A22,'BalSht Data'!$A$2:$A$2050,BG$1),#N/A)</f>
        <v>#N/A</v>
      </c>
      <c r="BH22" s="49" t="e">
        <f>IF(BH$1,SUMIFS('BalSht Data'!$H$2:$H$2050,'BalSht Data'!$G$2:$G$2050,$A22,'BalSht Data'!$A$2:$A$2050,BH$1),#N/A)</f>
        <v>#N/A</v>
      </c>
      <c r="BI22" s="49" t="e">
        <f>IF(BI$1,SUMIFS('BalSht Data'!$H$2:$H$2050,'BalSht Data'!$G$2:$G$2050,$A22,'BalSht Data'!$A$2:$A$2050,BI$1),#N/A)</f>
        <v>#N/A</v>
      </c>
      <c r="BJ22" s="49" t="e">
        <f>IF(BJ$1,SUMIFS('BalSht Data'!$H$2:$H$2050,'BalSht Data'!$G$2:$G$2050,$A22,'BalSht Data'!$A$2:$A$2050,BJ$1),#N/A)</f>
        <v>#N/A</v>
      </c>
      <c r="BK22" s="49" t="e">
        <f>IF(BK$1,SUMIFS('BalSht Data'!$H$2:$H$2050,'BalSht Data'!$G$2:$G$2050,$A22,'BalSht Data'!$A$2:$A$2050,BK$1),#N/A)</f>
        <v>#N/A</v>
      </c>
      <c r="BL22" s="49" t="e">
        <f>IF(BL$1,SUMIFS('BalSht Data'!$H$2:$H$2050,'BalSht Data'!$G$2:$G$2050,$A22,'BalSht Data'!$A$2:$A$2050,BL$1),#N/A)</f>
        <v>#N/A</v>
      </c>
      <c r="BM22" s="49" t="e">
        <f>IF(BM$1,SUMIFS('BalSht Data'!$H$2:$H$2050,'BalSht Data'!$G$2:$G$2050,$A22,'BalSht Data'!$A$2:$A$2050,BM$1),#N/A)</f>
        <v>#N/A</v>
      </c>
      <c r="BN22" s="49" t="e">
        <f>IF(BN$1,SUMIFS('BalSht Data'!$H$2:$H$2050,'BalSht Data'!$G$2:$G$2050,$A22,'BalSht Data'!$A$2:$A$2050,BN$1),#N/A)</f>
        <v>#N/A</v>
      </c>
      <c r="BO22" s="49" t="e">
        <f>IF(BO$1,SUMIFS('BalSht Data'!$H$2:$H$2050,'BalSht Data'!$G$2:$G$2050,$A22,'BalSht Data'!$A$2:$A$2050,BO$1),#N/A)</f>
        <v>#N/A</v>
      </c>
      <c r="BP22" s="49" t="e">
        <f>IF(BP$1,SUMIFS('BalSht Data'!$H$2:$H$2050,'BalSht Data'!$G$2:$G$2050,$A22,'BalSht Data'!$A$2:$A$2050,BP$1),#N/A)</f>
        <v>#N/A</v>
      </c>
      <c r="BQ22" s="49" t="e">
        <f>IF(BQ$1,SUMIFS('BalSht Data'!$H$2:$H$2050,'BalSht Data'!$G$2:$G$2050,$A22,'BalSht Data'!$A$2:$A$2050,BQ$1),#N/A)</f>
        <v>#N/A</v>
      </c>
      <c r="BR22" s="49" t="e">
        <f>IF(BR$1,SUMIFS('BalSht Data'!$H$2:$H$2050,'BalSht Data'!$G$2:$G$2050,$A22,'BalSht Data'!$A$2:$A$2050,BR$1),#N/A)</f>
        <v>#N/A</v>
      </c>
      <c r="BS22" s="49" t="e">
        <f>IF(BS$1,SUMIFS('BalSht Data'!$H$2:$H$2050,'BalSht Data'!$G$2:$G$2050,$A22,'BalSht Data'!$A$2:$A$2050,BS$1),#N/A)</f>
        <v>#N/A</v>
      </c>
      <c r="BT22" s="49" t="e">
        <f>IF(BT$1,SUMIFS('BalSht Data'!$H$2:$H$2050,'BalSht Data'!$G$2:$G$2050,$A22,'BalSht Data'!$A$2:$A$2050,BT$1),#N/A)</f>
        <v>#N/A</v>
      </c>
      <c r="BU22" s="49" t="e">
        <f>IF(BU$1,SUMIFS('BalSht Data'!$H$2:$H$2050,'BalSht Data'!$G$2:$G$2050,$A22,'BalSht Data'!$A$2:$A$2050,BU$1),#N/A)</f>
        <v>#N/A</v>
      </c>
      <c r="BV22" s="49" t="e">
        <f>IF(BV$1,SUMIFS('BalSht Data'!$H$2:$H$2050,'BalSht Data'!$G$2:$G$2050,$A22,'BalSht Data'!$A$2:$A$2050,BV$1),#N/A)</f>
        <v>#N/A</v>
      </c>
      <c r="BW22" s="49" t="e">
        <f>IF(BW$1,SUMIFS('BalSht Data'!$H$2:$H$2050,'BalSht Data'!$G$2:$G$2050,$A22,'BalSht Data'!$A$2:$A$2050,BW$1),#N/A)</f>
        <v>#N/A</v>
      </c>
      <c r="BX22" s="49" t="e">
        <f>IF(BX$1,SUMIFS('BalSht Data'!$H$2:$H$2050,'BalSht Data'!$G$2:$G$2050,$A22,'BalSht Data'!$A$2:$A$2050,BX$1),#N/A)</f>
        <v>#N/A</v>
      </c>
      <c r="BY22" s="49" t="e">
        <f>IF(BY$1,SUMIFS('BalSht Data'!$H$2:$H$2050,'BalSht Data'!$G$2:$G$2050,$A22,'BalSht Data'!$A$2:$A$2050,BY$1),#N/A)</f>
        <v>#N/A</v>
      </c>
      <c r="BZ22" s="49" t="e">
        <f>IF(BZ$1,SUMIFS('BalSht Data'!$H$2:$H$2050,'BalSht Data'!$G$2:$G$2050,$A22,'BalSht Data'!$A$2:$A$2050,BZ$1),#N/A)</f>
        <v>#N/A</v>
      </c>
      <c r="CA22" s="49" t="e">
        <f>IF(CA$1,SUMIFS('BalSht Data'!$H$2:$H$2050,'BalSht Data'!$G$2:$G$2050,$A22,'BalSht Data'!$A$2:$A$2050,CA$1),#N/A)</f>
        <v>#N/A</v>
      </c>
      <c r="CB22" s="49" t="e">
        <f>IF(CB$1,SUMIFS('BalSht Data'!$H$2:$H$2050,'BalSht Data'!$G$2:$G$2050,$A22,'BalSht Data'!$A$2:$A$2050,CB$1),#N/A)</f>
        <v>#N/A</v>
      </c>
      <c r="CC22" s="49" t="e">
        <f>IF(CC$1,SUMIFS('BalSht Data'!$H$2:$H$2050,'BalSht Data'!$G$2:$G$2050,$A22,'BalSht Data'!$A$2:$A$2050,CC$1),#N/A)</f>
        <v>#N/A</v>
      </c>
      <c r="CD22" s="49" t="e">
        <f>IF(CD$1,SUMIFS('BalSht Data'!$H$2:$H$2050,'BalSht Data'!$G$2:$G$2050,$A22,'BalSht Data'!$A$2:$A$2050,CD$1),#N/A)</f>
        <v>#N/A</v>
      </c>
      <c r="CE22" s="49" t="e">
        <f>IF(CE$1,SUMIFS('BalSht Data'!$H$2:$H$2050,'BalSht Data'!$G$2:$G$2050,$A22,'BalSht Data'!$A$2:$A$2050,CE$1),#N/A)</f>
        <v>#N/A</v>
      </c>
      <c r="CF22" s="49" t="e">
        <f>IF(CF$1,SUMIFS('BalSht Data'!$H$2:$H$2050,'BalSht Data'!$G$2:$G$2050,$A22,'BalSht Data'!$A$2:$A$2050,CF$1),#N/A)</f>
        <v>#N/A</v>
      </c>
      <c r="CG22" s="49" t="e">
        <f>IF(CG$1,SUMIFS('BalSht Data'!$H$2:$H$2050,'BalSht Data'!$G$2:$G$2050,$A22,'BalSht Data'!$A$2:$A$2050,CG$1),#N/A)</f>
        <v>#N/A</v>
      </c>
      <c r="CH22" s="49" t="e">
        <f>IF(CH$1,SUMIFS('BalSht Data'!$H$2:$H$2050,'BalSht Data'!$G$2:$G$2050,$A22,'BalSht Data'!$A$2:$A$2050,CH$1),#N/A)</f>
        <v>#N/A</v>
      </c>
      <c r="CI22" s="49" t="e">
        <f>IF(CI$1,SUMIFS('BalSht Data'!$H$2:$H$2050,'BalSht Data'!$G$2:$G$2050,$A22,'BalSht Data'!$A$2:$A$2050,CI$1),#N/A)</f>
        <v>#N/A</v>
      </c>
      <c r="CJ22" s="49" t="e">
        <f>IF(CJ$1,SUMIFS('BalSht Data'!$H$2:$H$2050,'BalSht Data'!$G$2:$G$2050,$A22,'BalSht Data'!$A$2:$A$2050,CJ$1),#N/A)</f>
        <v>#N/A</v>
      </c>
      <c r="CK22" s="49" t="e">
        <f>IF(CK$1,SUMIFS('BalSht Data'!$H$2:$H$2050,'BalSht Data'!$G$2:$G$2050,$A22,'BalSht Data'!$A$2:$A$2050,CK$1),#N/A)</f>
        <v>#N/A</v>
      </c>
      <c r="CL22" s="49" t="e">
        <f>IF(CL$1,SUMIFS('BalSht Data'!$H$2:$H$2050,'BalSht Data'!$G$2:$G$2050,$A22,'BalSht Data'!$A$2:$A$2050,CL$1),#N/A)</f>
        <v>#N/A</v>
      </c>
      <c r="CM22" s="49" t="e">
        <f>IF(CM$1,SUMIFS('BalSht Data'!$H$2:$H$2050,'BalSht Data'!$G$2:$G$2050,$A22,'BalSht Data'!$A$2:$A$2050,CM$1),#N/A)</f>
        <v>#N/A</v>
      </c>
      <c r="CN22" s="49" t="e">
        <f>IF(CN$1,SUMIFS('BalSht Data'!$H$2:$H$2050,'BalSht Data'!$G$2:$G$2050,$A22,'BalSht Data'!$A$2:$A$2050,CN$1),#N/A)</f>
        <v>#N/A</v>
      </c>
      <c r="CO22" s="49" t="e">
        <f>IF(CO$1,SUMIFS('BalSht Data'!$H$2:$H$2050,'BalSht Data'!$G$2:$G$2050,$A22,'BalSht Data'!$A$2:$A$2050,CO$1),#N/A)</f>
        <v>#N/A</v>
      </c>
      <c r="CP22" s="49" t="e">
        <f>IF(CP$1,SUMIFS('BalSht Data'!$H$2:$H$2050,'BalSht Data'!$G$2:$G$2050,$A22,'BalSht Data'!$A$2:$A$2050,CP$1),#N/A)</f>
        <v>#N/A</v>
      </c>
      <c r="CQ22" s="49" t="e">
        <f>IF(CQ$1,SUMIFS('BalSht Data'!$H$2:$H$2050,'BalSht Data'!$G$2:$G$2050,$A22,'BalSht Data'!$A$2:$A$2050,CQ$1),#N/A)</f>
        <v>#N/A</v>
      </c>
      <c r="CR22" s="49" t="e">
        <f>IF(CR$1,SUMIFS('BalSht Data'!$H$2:$H$2050,'BalSht Data'!$G$2:$G$2050,$A22,'BalSht Data'!$A$2:$A$2050,CR$1),#N/A)</f>
        <v>#N/A</v>
      </c>
      <c r="CS22" s="49" t="e">
        <f>IF(CS$1,SUMIFS('BalSht Data'!$H$2:$H$2050,'BalSht Data'!$G$2:$G$2050,$A22,'BalSht Data'!$A$2:$A$2050,CS$1),#N/A)</f>
        <v>#N/A</v>
      </c>
      <c r="CT22" s="49" t="e">
        <f>IF(CT$1,SUMIFS('BalSht Data'!$H$2:$H$2050,'BalSht Data'!$G$2:$G$2050,$A22,'BalSht Data'!$A$2:$A$2050,CT$1),#N/A)</f>
        <v>#N/A</v>
      </c>
      <c r="CU22" s="49" t="e">
        <f>IF(CU$1,SUMIFS('BalSht Data'!$H$2:$H$2050,'BalSht Data'!$G$2:$G$2050,$A22,'BalSht Data'!$A$2:$A$2050,CU$1),#N/A)</f>
        <v>#N/A</v>
      </c>
      <c r="CV22" s="49" t="e">
        <f>IF(CV$1,SUMIFS('BalSht Data'!$H$2:$H$2050,'BalSht Data'!$G$2:$G$2050,$A22,'BalSht Data'!$A$2:$A$2050,CV$1),#N/A)</f>
        <v>#N/A</v>
      </c>
      <c r="CW22" s="49" t="e">
        <f>IF(CW$1,SUMIFS('BalSht Data'!$H$2:$H$2050,'BalSht Data'!$G$2:$G$2050,$A22,'BalSht Data'!$A$2:$A$2050,CW$1),#N/A)</f>
        <v>#N/A</v>
      </c>
      <c r="CX22" s="49" t="e">
        <f>IF(CX$1,SUMIFS('BalSht Data'!$H$2:$H$2050,'BalSht Data'!$G$2:$G$2050,$A22,'BalSht Data'!$A$2:$A$2050,CX$1),#N/A)</f>
        <v>#N/A</v>
      </c>
      <c r="CY22" s="49" t="e">
        <f>IF(CY$1,SUMIFS('BalSht Data'!$H$2:$H$2050,'BalSht Data'!$G$2:$G$2050,$A22,'BalSht Data'!$A$2:$A$2050,CY$1),#N/A)</f>
        <v>#N/A</v>
      </c>
      <c r="CZ22" s="49" t="e">
        <f>IF(CZ$1,SUMIFS('BalSht Data'!$H$2:$H$2050,'BalSht Data'!$G$2:$G$2050,$A22,'BalSht Data'!$A$2:$A$2050,CZ$1),#N/A)</f>
        <v>#N/A</v>
      </c>
      <c r="DA22" s="49">
        <f>SUM(B22:AJ22)</f>
        <v>-97504300</v>
      </c>
    </row>
    <row r="23" spans="1:105" s="40" customFormat="1" x14ac:dyDescent="0.2">
      <c r="A23" s="63"/>
      <c r="B23" s="43"/>
      <c r="C23" s="43"/>
      <c r="D23" s="43"/>
      <c r="E23" s="43"/>
      <c r="F23" s="43"/>
      <c r="G23" s="43"/>
      <c r="H23" s="43"/>
      <c r="I23" s="43"/>
      <c r="J23" s="43"/>
      <c r="K23" s="43"/>
      <c r="L23" s="43"/>
      <c r="M23" s="43"/>
      <c r="N23" s="43"/>
      <c r="O23" s="43"/>
      <c r="P23" s="43"/>
      <c r="Q23" s="43"/>
      <c r="R23" s="43"/>
      <c r="S23" s="43"/>
      <c r="T23" s="43"/>
      <c r="U23" s="43"/>
      <c r="V23" s="43"/>
      <c r="W23" s="43"/>
      <c r="X23" s="43"/>
      <c r="Y23" s="43"/>
      <c r="Z23" s="43"/>
      <c r="AA23" s="43"/>
      <c r="AB23" s="43"/>
      <c r="AC23" s="43"/>
      <c r="AD23" s="43"/>
      <c r="AE23" s="43"/>
      <c r="AF23" s="43"/>
      <c r="AG23" s="43"/>
      <c r="AH23" s="43"/>
      <c r="AI23" s="43"/>
      <c r="AJ23" s="43"/>
      <c r="AK23" s="43"/>
      <c r="AL23" s="43"/>
      <c r="AM23" s="43"/>
      <c r="AN23" s="43"/>
      <c r="AO23" s="43"/>
      <c r="AP23" s="43"/>
      <c r="AQ23" s="43"/>
      <c r="AR23" s="43"/>
      <c r="AS23" s="43"/>
      <c r="AT23" s="43"/>
      <c r="AU23" s="43"/>
      <c r="AV23" s="43"/>
      <c r="AW23" s="43"/>
      <c r="AX23" s="43"/>
      <c r="AY23" s="43"/>
      <c r="AZ23" s="43"/>
      <c r="BA23" s="43"/>
      <c r="BB23" s="43"/>
      <c r="BC23" s="43"/>
      <c r="BD23" s="43"/>
      <c r="BE23" s="43"/>
      <c r="BF23" s="43"/>
      <c r="BG23" s="43"/>
      <c r="BH23" s="43"/>
      <c r="BI23" s="43"/>
      <c r="BJ23" s="43"/>
      <c r="BK23" s="43"/>
      <c r="BL23" s="43"/>
      <c r="BM23" s="43"/>
      <c r="BN23" s="43"/>
      <c r="BO23" s="43"/>
      <c r="BP23" s="43"/>
      <c r="BQ23" s="43"/>
      <c r="BR23" s="43"/>
      <c r="BS23" s="43"/>
      <c r="BT23" s="43"/>
      <c r="BU23" s="43"/>
      <c r="BV23" s="43"/>
      <c r="BW23" s="43"/>
      <c r="BX23" s="43"/>
      <c r="BY23" s="43"/>
      <c r="BZ23" s="43"/>
      <c r="CA23" s="43"/>
      <c r="CB23" s="43"/>
      <c r="CC23" s="43"/>
      <c r="CD23" s="43"/>
      <c r="CE23" s="43"/>
      <c r="CF23" s="43"/>
      <c r="CG23" s="43"/>
      <c r="CH23" s="43"/>
      <c r="CI23" s="43"/>
      <c r="CJ23" s="43"/>
      <c r="CK23" s="43"/>
      <c r="CL23" s="43"/>
      <c r="CM23" s="43"/>
      <c r="CN23" s="43"/>
      <c r="CO23" s="43"/>
      <c r="CP23" s="43"/>
      <c r="CQ23" s="43"/>
      <c r="CR23" s="43"/>
      <c r="CS23" s="43"/>
      <c r="CT23" s="43"/>
      <c r="CU23" s="43"/>
      <c r="CV23" s="43"/>
      <c r="CW23" s="43"/>
      <c r="CX23" s="43"/>
      <c r="CY23" s="43"/>
      <c r="CZ23" s="43"/>
      <c r="DA23" s="43"/>
    </row>
    <row r="24" spans="1:105" s="40" customFormat="1" x14ac:dyDescent="0.2">
      <c r="A24" s="53" t="s">
        <v>149</v>
      </c>
      <c r="B24" s="40">
        <f t="shared" ref="B24:I24" si="6">+SUM(B20:B22)</f>
        <v>2219696</v>
      </c>
      <c r="C24" s="40">
        <f t="shared" si="6"/>
        <v>2643468</v>
      </c>
      <c r="D24" s="40">
        <f t="shared" si="6"/>
        <v>3353108</v>
      </c>
      <c r="E24" s="40">
        <f t="shared" si="6"/>
        <v>6442942</v>
      </c>
      <c r="F24" s="40">
        <f t="shared" si="6"/>
        <v>6862275</v>
      </c>
      <c r="G24" s="40">
        <f t="shared" si="6"/>
        <v>2752792</v>
      </c>
      <c r="H24" s="40">
        <f t="shared" si="6"/>
        <v>7632250</v>
      </c>
      <c r="I24" s="40">
        <f t="shared" si="6"/>
        <v>2834957</v>
      </c>
      <c r="J24" s="40">
        <f t="shared" ref="J24:BN24" si="7">+SUM(J20:J22)</f>
        <v>4854115</v>
      </c>
      <c r="K24" s="40">
        <f t="shared" si="7"/>
        <v>9829320</v>
      </c>
      <c r="L24" s="40">
        <f t="shared" si="7"/>
        <v>4699213</v>
      </c>
      <c r="M24" s="40">
        <f t="shared" si="7"/>
        <v>4318827</v>
      </c>
      <c r="N24" s="40">
        <f t="shared" si="7"/>
        <v>11389144</v>
      </c>
      <c r="O24" s="40">
        <f t="shared" si="7"/>
        <v>5455609</v>
      </c>
      <c r="P24" s="40">
        <f t="shared" si="7"/>
        <v>3043513</v>
      </c>
      <c r="Q24" s="40">
        <f t="shared" si="7"/>
        <v>4433056</v>
      </c>
      <c r="R24" s="40">
        <f t="shared" si="7"/>
        <v>3759429</v>
      </c>
      <c r="S24" s="40">
        <f t="shared" si="7"/>
        <v>7527006</v>
      </c>
      <c r="T24" s="40">
        <f t="shared" si="7"/>
        <v>8229923</v>
      </c>
      <c r="U24" s="40">
        <f t="shared" si="7"/>
        <v>3955890</v>
      </c>
      <c r="V24" s="40">
        <f t="shared" si="7"/>
        <v>8351866</v>
      </c>
      <c r="W24" s="40">
        <f t="shared" si="7"/>
        <v>6750447</v>
      </c>
      <c r="X24" s="40">
        <f t="shared" si="7"/>
        <v>6625558</v>
      </c>
      <c r="Y24" s="40">
        <f t="shared" si="7"/>
        <v>7154286</v>
      </c>
      <c r="Z24" s="40">
        <f t="shared" si="7"/>
        <v>0</v>
      </c>
      <c r="AA24" s="40">
        <f t="shared" si="7"/>
        <v>5023386</v>
      </c>
      <c r="AB24" s="40">
        <f t="shared" si="7"/>
        <v>0</v>
      </c>
      <c r="AC24" s="40">
        <f t="shared" si="7"/>
        <v>0</v>
      </c>
      <c r="AD24" s="40">
        <f t="shared" si="7"/>
        <v>6240028</v>
      </c>
      <c r="AE24" s="40">
        <f t="shared" si="7"/>
        <v>8387903</v>
      </c>
      <c r="AF24" s="40">
        <f t="shared" si="7"/>
        <v>7428533</v>
      </c>
      <c r="AG24" s="40">
        <f t="shared" si="7"/>
        <v>10765757</v>
      </c>
      <c r="AH24" s="40">
        <f t="shared" si="7"/>
        <v>6770251</v>
      </c>
      <c r="AI24" s="40">
        <f t="shared" si="7"/>
        <v>6582483</v>
      </c>
      <c r="AJ24" s="40">
        <f t="shared" si="7"/>
        <v>7197190</v>
      </c>
      <c r="AK24" s="40" t="e">
        <f t="shared" ref="AK24" si="8">+SUM(AK20:AK22)</f>
        <v>#N/A</v>
      </c>
      <c r="AL24" s="40" t="e">
        <f t="shared" si="7"/>
        <v>#N/A</v>
      </c>
      <c r="AM24" s="40" t="e">
        <f t="shared" si="7"/>
        <v>#N/A</v>
      </c>
      <c r="AN24" s="40" t="e">
        <f t="shared" si="7"/>
        <v>#N/A</v>
      </c>
      <c r="AO24" s="40" t="e">
        <f t="shared" si="7"/>
        <v>#N/A</v>
      </c>
      <c r="AP24" s="40" t="e">
        <f t="shared" si="7"/>
        <v>#N/A</v>
      </c>
      <c r="AQ24" s="40" t="e">
        <f t="shared" si="7"/>
        <v>#N/A</v>
      </c>
      <c r="AR24" s="40" t="e">
        <f t="shared" si="7"/>
        <v>#N/A</v>
      </c>
      <c r="AS24" s="40" t="e">
        <f t="shared" si="7"/>
        <v>#N/A</v>
      </c>
      <c r="AT24" s="40" t="e">
        <f t="shared" si="7"/>
        <v>#N/A</v>
      </c>
      <c r="AU24" s="40" t="e">
        <f t="shared" si="7"/>
        <v>#N/A</v>
      </c>
      <c r="AV24" s="40" t="e">
        <f t="shared" si="7"/>
        <v>#N/A</v>
      </c>
      <c r="AW24" s="40" t="e">
        <f t="shared" si="7"/>
        <v>#N/A</v>
      </c>
      <c r="AX24" s="40" t="e">
        <f t="shared" si="7"/>
        <v>#N/A</v>
      </c>
      <c r="AY24" s="40" t="e">
        <f t="shared" si="7"/>
        <v>#N/A</v>
      </c>
      <c r="AZ24" s="40" t="e">
        <f t="shared" si="7"/>
        <v>#N/A</v>
      </c>
      <c r="BA24" s="40" t="e">
        <f t="shared" si="7"/>
        <v>#N/A</v>
      </c>
      <c r="BB24" s="40" t="e">
        <f t="shared" si="7"/>
        <v>#N/A</v>
      </c>
      <c r="BC24" s="40" t="e">
        <f t="shared" si="7"/>
        <v>#N/A</v>
      </c>
      <c r="BD24" s="40" t="e">
        <f t="shared" si="7"/>
        <v>#N/A</v>
      </c>
      <c r="BE24" s="40" t="e">
        <f t="shared" si="7"/>
        <v>#N/A</v>
      </c>
      <c r="BF24" s="40" t="e">
        <f t="shared" si="7"/>
        <v>#N/A</v>
      </c>
      <c r="BG24" s="40" t="e">
        <f t="shared" si="7"/>
        <v>#N/A</v>
      </c>
      <c r="BH24" s="40" t="e">
        <f t="shared" si="7"/>
        <v>#N/A</v>
      </c>
      <c r="BI24" s="40" t="e">
        <f t="shared" si="7"/>
        <v>#N/A</v>
      </c>
      <c r="BJ24" s="40" t="e">
        <f t="shared" si="7"/>
        <v>#N/A</v>
      </c>
      <c r="BK24" s="40" t="e">
        <f t="shared" si="7"/>
        <v>#N/A</v>
      </c>
      <c r="BL24" s="40" t="e">
        <f t="shared" si="7"/>
        <v>#N/A</v>
      </c>
      <c r="BM24" s="40" t="e">
        <f t="shared" si="7"/>
        <v>#N/A</v>
      </c>
      <c r="BN24" s="40" t="e">
        <f t="shared" si="7"/>
        <v>#N/A</v>
      </c>
      <c r="BO24" s="40" t="e">
        <f t="shared" ref="BO24:CZ24" si="9">+SUM(BO20:BO22)</f>
        <v>#N/A</v>
      </c>
      <c r="BP24" s="40" t="e">
        <f t="shared" si="9"/>
        <v>#N/A</v>
      </c>
      <c r="BQ24" s="40" t="e">
        <f t="shared" si="9"/>
        <v>#N/A</v>
      </c>
      <c r="BR24" s="40" t="e">
        <f t="shared" si="9"/>
        <v>#N/A</v>
      </c>
      <c r="BS24" s="40" t="e">
        <f t="shared" si="9"/>
        <v>#N/A</v>
      </c>
      <c r="BT24" s="40" t="e">
        <f t="shared" si="9"/>
        <v>#N/A</v>
      </c>
      <c r="BU24" s="40" t="e">
        <f t="shared" si="9"/>
        <v>#N/A</v>
      </c>
      <c r="BV24" s="40" t="e">
        <f t="shared" si="9"/>
        <v>#N/A</v>
      </c>
      <c r="BW24" s="40" t="e">
        <f t="shared" si="9"/>
        <v>#N/A</v>
      </c>
      <c r="BX24" s="40" t="e">
        <f t="shared" si="9"/>
        <v>#N/A</v>
      </c>
      <c r="BY24" s="40" t="e">
        <f t="shared" si="9"/>
        <v>#N/A</v>
      </c>
      <c r="BZ24" s="40" t="e">
        <f t="shared" si="9"/>
        <v>#N/A</v>
      </c>
      <c r="CA24" s="40" t="e">
        <f t="shared" si="9"/>
        <v>#N/A</v>
      </c>
      <c r="CB24" s="40" t="e">
        <f t="shared" si="9"/>
        <v>#N/A</v>
      </c>
      <c r="CC24" s="40" t="e">
        <f t="shared" si="9"/>
        <v>#N/A</v>
      </c>
      <c r="CD24" s="40" t="e">
        <f t="shared" si="9"/>
        <v>#N/A</v>
      </c>
      <c r="CE24" s="40" t="e">
        <f t="shared" si="9"/>
        <v>#N/A</v>
      </c>
      <c r="CF24" s="40" t="e">
        <f t="shared" si="9"/>
        <v>#N/A</v>
      </c>
      <c r="CG24" s="40" t="e">
        <f t="shared" si="9"/>
        <v>#N/A</v>
      </c>
      <c r="CH24" s="40" t="e">
        <f t="shared" si="9"/>
        <v>#N/A</v>
      </c>
      <c r="CI24" s="40" t="e">
        <f t="shared" si="9"/>
        <v>#N/A</v>
      </c>
      <c r="CJ24" s="40" t="e">
        <f t="shared" si="9"/>
        <v>#N/A</v>
      </c>
      <c r="CK24" s="40" t="e">
        <f t="shared" si="9"/>
        <v>#N/A</v>
      </c>
      <c r="CL24" s="40" t="e">
        <f t="shared" si="9"/>
        <v>#N/A</v>
      </c>
      <c r="CM24" s="40" t="e">
        <f t="shared" si="9"/>
        <v>#N/A</v>
      </c>
      <c r="CN24" s="40" t="e">
        <f t="shared" si="9"/>
        <v>#N/A</v>
      </c>
      <c r="CO24" s="40" t="e">
        <f t="shared" si="9"/>
        <v>#N/A</v>
      </c>
      <c r="CP24" s="40" t="e">
        <f t="shared" si="9"/>
        <v>#N/A</v>
      </c>
      <c r="CQ24" s="40" t="e">
        <f t="shared" si="9"/>
        <v>#N/A</v>
      </c>
      <c r="CR24" s="40" t="e">
        <f t="shared" si="9"/>
        <v>#N/A</v>
      </c>
      <c r="CS24" s="40" t="e">
        <f t="shared" si="9"/>
        <v>#N/A</v>
      </c>
      <c r="CT24" s="40" t="e">
        <f t="shared" si="9"/>
        <v>#N/A</v>
      </c>
      <c r="CU24" s="40" t="e">
        <f t="shared" si="9"/>
        <v>#N/A</v>
      </c>
      <c r="CV24" s="40" t="e">
        <f t="shared" si="9"/>
        <v>#N/A</v>
      </c>
      <c r="CW24" s="40" t="e">
        <f t="shared" si="9"/>
        <v>#N/A</v>
      </c>
      <c r="CX24" s="40" t="e">
        <f t="shared" si="9"/>
        <v>#N/A</v>
      </c>
      <c r="CY24" s="40" t="e">
        <f t="shared" si="9"/>
        <v>#N/A</v>
      </c>
      <c r="CZ24" s="40" t="e">
        <f t="shared" si="9"/>
        <v>#N/A</v>
      </c>
      <c r="DA24" s="40">
        <f>SUM(B24:AJ24)</f>
        <v>193514221</v>
      </c>
    </row>
    <row r="25" spans="1:105" s="40" customFormat="1" x14ac:dyDescent="0.2">
      <c r="A25" s="2"/>
      <c r="B25" s="43"/>
      <c r="C25" s="43"/>
      <c r="D25" s="43"/>
      <c r="E25" s="43"/>
      <c r="F25" s="43"/>
      <c r="G25" s="43"/>
      <c r="H25" s="43"/>
      <c r="I25" s="43"/>
      <c r="J25" s="43"/>
      <c r="K25" s="43"/>
      <c r="L25" s="43"/>
      <c r="M25" s="43"/>
      <c r="N25" s="43"/>
      <c r="O25" s="43"/>
      <c r="P25" s="43"/>
      <c r="Q25" s="43"/>
      <c r="R25" s="43"/>
      <c r="S25" s="43"/>
      <c r="T25" s="43"/>
      <c r="U25" s="43"/>
      <c r="V25" s="43"/>
      <c r="W25" s="43"/>
      <c r="X25" s="43"/>
      <c r="Y25" s="43"/>
      <c r="Z25" s="43"/>
      <c r="AA25" s="43"/>
      <c r="AB25" s="43"/>
      <c r="AC25" s="43"/>
      <c r="AD25" s="43"/>
      <c r="AE25" s="43"/>
      <c r="AF25" s="43"/>
      <c r="AG25" s="43"/>
      <c r="AH25" s="43"/>
      <c r="AI25" s="43"/>
      <c r="AJ25" s="43"/>
      <c r="AK25" s="43"/>
      <c r="AL25" s="43"/>
      <c r="AM25" s="43"/>
      <c r="AN25" s="43"/>
      <c r="AO25" s="43"/>
      <c r="AP25" s="43"/>
      <c r="AQ25" s="43"/>
      <c r="AR25" s="43"/>
      <c r="AS25" s="43"/>
      <c r="AT25" s="43"/>
      <c r="AU25" s="43"/>
      <c r="AV25" s="43"/>
      <c r="AW25" s="43"/>
      <c r="AX25" s="43"/>
      <c r="AY25" s="43"/>
      <c r="AZ25" s="43"/>
      <c r="BA25" s="43"/>
      <c r="BB25" s="43"/>
      <c r="BC25" s="43"/>
      <c r="BD25" s="43"/>
      <c r="BE25" s="43"/>
      <c r="BF25" s="43"/>
      <c r="BG25" s="43"/>
      <c r="BH25" s="43"/>
      <c r="BI25" s="43"/>
      <c r="BJ25" s="43"/>
      <c r="BK25" s="43"/>
      <c r="BL25" s="43"/>
      <c r="BM25" s="43"/>
      <c r="BN25" s="43"/>
      <c r="BO25" s="43"/>
      <c r="BP25" s="43"/>
      <c r="BQ25" s="43"/>
      <c r="BR25" s="43"/>
      <c r="BS25" s="43"/>
      <c r="BT25" s="43"/>
      <c r="BU25" s="43"/>
      <c r="BV25" s="43"/>
      <c r="BW25" s="43"/>
      <c r="BX25" s="43"/>
      <c r="BY25" s="43"/>
      <c r="BZ25" s="43"/>
      <c r="CA25" s="43"/>
      <c r="CB25" s="43"/>
      <c r="CC25" s="43"/>
      <c r="CD25" s="43"/>
      <c r="CE25" s="43"/>
      <c r="CF25" s="43"/>
      <c r="CG25" s="43"/>
      <c r="CH25" s="43"/>
      <c r="CI25" s="43"/>
      <c r="CJ25" s="43"/>
      <c r="CK25" s="43"/>
      <c r="CL25" s="43"/>
      <c r="CM25" s="43"/>
      <c r="CN25" s="43"/>
      <c r="CO25" s="43"/>
      <c r="CP25" s="43"/>
      <c r="CQ25" s="43"/>
      <c r="CR25" s="43"/>
      <c r="CS25" s="43"/>
      <c r="CT25" s="43"/>
      <c r="CU25" s="43"/>
      <c r="CV25" s="43"/>
      <c r="CW25" s="43"/>
      <c r="CX25" s="43"/>
      <c r="CY25" s="43"/>
      <c r="CZ25" s="43"/>
      <c r="DA25" s="43"/>
    </row>
    <row r="26" spans="1:105" s="40" customFormat="1" x14ac:dyDescent="0.2">
      <c r="A26" s="3" t="s">
        <v>150</v>
      </c>
      <c r="B26" s="43"/>
      <c r="C26" s="43"/>
      <c r="D26" s="43"/>
      <c r="E26" s="43"/>
      <c r="F26" s="43"/>
      <c r="G26" s="43"/>
      <c r="H26" s="43"/>
      <c r="I26" s="43"/>
      <c r="J26" s="43"/>
      <c r="K26" s="43"/>
      <c r="L26" s="43"/>
      <c r="M26" s="43"/>
      <c r="N26" s="43"/>
      <c r="O26" s="43"/>
      <c r="P26" s="43"/>
      <c r="Q26" s="43"/>
      <c r="R26" s="43"/>
      <c r="S26" s="43"/>
      <c r="T26" s="43"/>
      <c r="U26" s="43"/>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c r="AT26" s="43"/>
      <c r="AU26" s="43"/>
      <c r="AV26" s="43"/>
      <c r="AW26" s="43"/>
      <c r="AX26" s="43"/>
      <c r="AY26" s="43"/>
      <c r="AZ26" s="43"/>
      <c r="BA26" s="43"/>
      <c r="BB26" s="43"/>
      <c r="BC26" s="43"/>
      <c r="BD26" s="43"/>
      <c r="BE26" s="43"/>
      <c r="BF26" s="43"/>
      <c r="BG26" s="43"/>
      <c r="BH26" s="43"/>
      <c r="BI26" s="43"/>
      <c r="BJ26" s="43"/>
      <c r="BK26" s="43"/>
      <c r="BL26" s="43"/>
      <c r="BM26" s="43"/>
      <c r="BN26" s="43"/>
      <c r="BO26" s="43"/>
      <c r="BP26" s="43"/>
      <c r="BQ26" s="43"/>
      <c r="BR26" s="43"/>
      <c r="BS26" s="43"/>
      <c r="BT26" s="43"/>
      <c r="BU26" s="43"/>
      <c r="BV26" s="43"/>
      <c r="BW26" s="43"/>
      <c r="BX26" s="43"/>
      <c r="BY26" s="43"/>
      <c r="BZ26" s="43"/>
      <c r="CA26" s="43"/>
      <c r="CB26" s="43"/>
      <c r="CC26" s="43"/>
      <c r="CD26" s="43"/>
      <c r="CE26" s="43"/>
      <c r="CF26" s="43"/>
      <c r="CG26" s="43"/>
      <c r="CH26" s="43"/>
      <c r="CI26" s="43"/>
      <c r="CJ26" s="43"/>
      <c r="CK26" s="43"/>
      <c r="CL26" s="43"/>
      <c r="CM26" s="43"/>
      <c r="CN26" s="43"/>
      <c r="CO26" s="43"/>
      <c r="CP26" s="43"/>
      <c r="CQ26" s="43"/>
      <c r="CR26" s="43"/>
      <c r="CS26" s="43"/>
      <c r="CT26" s="43"/>
      <c r="CU26" s="43"/>
      <c r="CV26" s="43"/>
      <c r="CW26" s="43"/>
      <c r="CX26" s="43"/>
      <c r="CY26" s="43"/>
      <c r="CZ26" s="43"/>
      <c r="DA26" s="43"/>
    </row>
    <row r="27" spans="1:105" s="40" customFormat="1" x14ac:dyDescent="0.2">
      <c r="A27" s="52" t="s">
        <v>18</v>
      </c>
      <c r="B27" s="43">
        <f>IF(B$1,SUMIFS('BalSht Data'!$H$2:$H$2050,'BalSht Data'!$G$2:$G$2050,$A27,'BalSht Data'!$A$2:$A$2050,B$1),#N/A)</f>
        <v>132995</v>
      </c>
      <c r="C27" s="43">
        <f>IF(C$1,SUMIFS('BalSht Data'!$H$2:$H$2050,'BalSht Data'!$G$2:$G$2050,$A27,'BalSht Data'!$A$2:$A$2050,C$1),#N/A)</f>
        <v>123004</v>
      </c>
      <c r="D27" s="43">
        <f>IF(D$1,SUMIFS('BalSht Data'!$H$2:$H$2050,'BalSht Data'!$G$2:$G$2050,$A27,'BalSht Data'!$A$2:$A$2050,D$1),#N/A)</f>
        <v>254823</v>
      </c>
      <c r="E27" s="43">
        <f>IF(E$1,SUMIFS('BalSht Data'!$H$2:$H$2050,'BalSht Data'!$G$2:$G$2050,$A27,'BalSht Data'!$A$2:$A$2050,E$1),#N/A)</f>
        <v>277725</v>
      </c>
      <c r="F27" s="43">
        <f>IF(F$1,SUMIFS('BalSht Data'!$H$2:$H$2050,'BalSht Data'!$G$2:$G$2050,$A27,'BalSht Data'!$A$2:$A$2050,F$1),#N/A)</f>
        <v>253673</v>
      </c>
      <c r="G27" s="43">
        <f>IF(G$1,SUMIFS('BalSht Data'!$H$2:$H$2050,'BalSht Data'!$G$2:$G$2050,$A27,'BalSht Data'!$A$2:$A$2050,G$1),#N/A)</f>
        <v>198875</v>
      </c>
      <c r="H27" s="43">
        <f>IF(H$1,SUMIFS('BalSht Data'!$H$2:$H$2050,'BalSht Data'!$G$2:$G$2050,$A27,'BalSht Data'!$A$2:$A$2050,H$1),#N/A)</f>
        <v>540908</v>
      </c>
      <c r="I27" s="43">
        <f>IF(I$1,SUMIFS('BalSht Data'!$H$2:$H$2050,'BalSht Data'!$G$2:$G$2050,$A27,'BalSht Data'!$A$2:$A$2050,I$1),#N/A)</f>
        <v>328320</v>
      </c>
      <c r="J27" s="43">
        <f>IF(J$1,SUMIFS('BalSht Data'!$H$2:$H$2050,'BalSht Data'!$G$2:$G$2050,$A27,'BalSht Data'!$A$2:$A$2050,J$1),#N/A)</f>
        <v>668795</v>
      </c>
      <c r="K27" s="43">
        <f>IF(K$1,SUMIFS('BalSht Data'!$H$2:$H$2050,'BalSht Data'!$G$2:$G$2050,$A27,'BalSht Data'!$A$2:$A$2050,K$1),#N/A)</f>
        <v>547921</v>
      </c>
      <c r="L27" s="43">
        <f>IF(L$1,SUMIFS('BalSht Data'!$H$2:$H$2050,'BalSht Data'!$G$2:$G$2050,$A27,'BalSht Data'!$A$2:$A$2050,L$1),#N/A)</f>
        <v>345439</v>
      </c>
      <c r="M27" s="43">
        <f>IF(M$1,SUMIFS('BalSht Data'!$H$2:$H$2050,'BalSht Data'!$G$2:$G$2050,$A27,'BalSht Data'!$A$2:$A$2050,M$1),#N/A)</f>
        <v>394074</v>
      </c>
      <c r="N27" s="43">
        <f>IF(N$1,SUMIFS('BalSht Data'!$H$2:$H$2050,'BalSht Data'!$G$2:$G$2050,$A27,'BalSht Data'!$A$2:$A$2050,N$1),#N/A)</f>
        <v>731886</v>
      </c>
      <c r="O27" s="43">
        <f>IF(O$1,SUMIFS('BalSht Data'!$H$2:$H$2050,'BalSht Data'!$G$2:$G$2050,$A27,'BalSht Data'!$A$2:$A$2050,O$1),#N/A)</f>
        <v>312439</v>
      </c>
      <c r="P27" s="43">
        <f>IF(P$1,SUMIFS('BalSht Data'!$H$2:$H$2050,'BalSht Data'!$G$2:$G$2050,$A27,'BalSht Data'!$A$2:$A$2050,P$1),#N/A)</f>
        <v>344359</v>
      </c>
      <c r="Q27" s="43">
        <f>IF(Q$1,SUMIFS('BalSht Data'!$H$2:$H$2050,'BalSht Data'!$G$2:$G$2050,$A27,'BalSht Data'!$A$2:$A$2050,Q$1),#N/A)</f>
        <v>371963</v>
      </c>
      <c r="R27" s="43">
        <f>IF(R$1,SUMIFS('BalSht Data'!$H$2:$H$2050,'BalSht Data'!$G$2:$G$2050,$A27,'BalSht Data'!$A$2:$A$2050,R$1),#N/A)</f>
        <v>383471</v>
      </c>
      <c r="S27" s="43">
        <f>IF(S$1,SUMIFS('BalSht Data'!$H$2:$H$2050,'BalSht Data'!$G$2:$G$2050,$A27,'BalSht Data'!$A$2:$A$2050,S$1),#N/A)</f>
        <v>303910</v>
      </c>
      <c r="T27" s="43">
        <f>IF(T$1,SUMIFS('BalSht Data'!$H$2:$H$2050,'BalSht Data'!$G$2:$G$2050,$A27,'BalSht Data'!$A$2:$A$2050,T$1),#N/A)</f>
        <v>106127</v>
      </c>
      <c r="U27" s="43">
        <f>IF(U$1,SUMIFS('BalSht Data'!$H$2:$H$2050,'BalSht Data'!$G$2:$G$2050,$A27,'BalSht Data'!$A$2:$A$2050,U$1),#N/A)</f>
        <v>265979</v>
      </c>
      <c r="V27" s="43">
        <f>IF(V$1,SUMIFS('BalSht Data'!$H$2:$H$2050,'BalSht Data'!$G$2:$G$2050,$A27,'BalSht Data'!$A$2:$A$2050,V$1),#N/A)</f>
        <v>153413</v>
      </c>
      <c r="W27" s="43">
        <f>IF(W$1,SUMIFS('BalSht Data'!$H$2:$H$2050,'BalSht Data'!$G$2:$G$2050,$A27,'BalSht Data'!$A$2:$A$2050,W$1),#N/A)</f>
        <v>242053</v>
      </c>
      <c r="X27" s="43">
        <f>IF(X$1,SUMIFS('BalSht Data'!$H$2:$H$2050,'BalSht Data'!$G$2:$G$2050,$A27,'BalSht Data'!$A$2:$A$2050,X$1),#N/A)</f>
        <v>148805</v>
      </c>
      <c r="Y27" s="43">
        <f>IF(Y$1,SUMIFS('BalSht Data'!$H$2:$H$2050,'BalSht Data'!$G$2:$G$2050,$A27,'BalSht Data'!$A$2:$A$2050,Y$1),#N/A)</f>
        <v>421396</v>
      </c>
      <c r="Z27" s="43">
        <f>IF(Z$1,SUMIFS('BalSht Data'!$H$2:$H$2050,'BalSht Data'!$G$2:$G$2050,$A27,'BalSht Data'!$A$2:$A$2050,Z$1),#N/A)</f>
        <v>0</v>
      </c>
      <c r="AA27" s="43">
        <f>IF(AA$1,SUMIFS('BalSht Data'!$H$2:$H$2050,'BalSht Data'!$G$2:$G$2050,$A27,'BalSht Data'!$A$2:$A$2050,AA$1),#N/A)</f>
        <v>366043</v>
      </c>
      <c r="AB27" s="43">
        <f>IF(AB$1,SUMIFS('BalSht Data'!$H$2:$H$2050,'BalSht Data'!$G$2:$G$2050,$A27,'BalSht Data'!$A$2:$A$2050,AB$1),#N/A)</f>
        <v>0</v>
      </c>
      <c r="AC27" s="43">
        <f>IF(AC$1,SUMIFS('BalSht Data'!$H$2:$H$2050,'BalSht Data'!$G$2:$G$2050,$A27,'BalSht Data'!$A$2:$A$2050,AC$1),#N/A)</f>
        <v>0</v>
      </c>
      <c r="AD27" s="43">
        <f>IF(AD$1,SUMIFS('BalSht Data'!$H$2:$H$2050,'BalSht Data'!$G$2:$G$2050,$A27,'BalSht Data'!$A$2:$A$2050,AD$1),#N/A)</f>
        <v>415139</v>
      </c>
      <c r="AE27" s="43">
        <f>IF(AE$1,SUMIFS('BalSht Data'!$H$2:$H$2050,'BalSht Data'!$G$2:$G$2050,$A27,'BalSht Data'!$A$2:$A$2050,AE$1),#N/A)</f>
        <v>454241</v>
      </c>
      <c r="AF27" s="43">
        <f>IF(AF$1,SUMIFS('BalSht Data'!$H$2:$H$2050,'BalSht Data'!$G$2:$G$2050,$A27,'BalSht Data'!$A$2:$A$2050,AF$1),#N/A)</f>
        <v>198152</v>
      </c>
      <c r="AG27" s="43">
        <f>IF(AG$1,SUMIFS('BalSht Data'!$H$2:$H$2050,'BalSht Data'!$G$2:$G$2050,$A27,'BalSht Data'!$A$2:$A$2050,AG$1),#N/A)</f>
        <v>375227</v>
      </c>
      <c r="AH27" s="43">
        <f>IF(AH$1,SUMIFS('BalSht Data'!$H$2:$H$2050,'BalSht Data'!$G$2:$G$2050,$A27,'BalSht Data'!$A$2:$A$2050,AH$1),#N/A)</f>
        <v>311671</v>
      </c>
      <c r="AI27" s="43">
        <f>IF(AI$1,SUMIFS('BalSht Data'!$H$2:$H$2050,'BalSht Data'!$G$2:$G$2050,$A27,'BalSht Data'!$A$2:$A$2050,AI$1),#N/A)</f>
        <v>125245</v>
      </c>
      <c r="AJ27" s="43">
        <f>IF(AJ$1,SUMIFS('BalSht Data'!$H$2:$H$2050,'BalSht Data'!$G$2:$G$2050,$A27,'BalSht Data'!$A$2:$A$2050,AJ$1),#N/A)</f>
        <v>102210</v>
      </c>
      <c r="AK27" s="43" t="e">
        <f>IF(AK$1,SUMIFS('BalSht Data'!$H$2:$H$2050,'BalSht Data'!$G$2:$G$2050,$A27,'BalSht Data'!$A$2:$A$2050,AK$1),#N/A)</f>
        <v>#N/A</v>
      </c>
      <c r="AL27" s="43" t="e">
        <f>IF(AL$1,SUMIFS('BalSht Data'!$H$2:$H$2050,'BalSht Data'!$G$2:$G$2050,$A27,'BalSht Data'!$A$2:$A$2050,AL$1),#N/A)</f>
        <v>#N/A</v>
      </c>
      <c r="AM27" s="43" t="e">
        <f>IF(AM$1,SUMIFS('BalSht Data'!$H$2:$H$2050,'BalSht Data'!$G$2:$G$2050,$A27,'BalSht Data'!$A$2:$A$2050,AM$1),#N/A)</f>
        <v>#N/A</v>
      </c>
      <c r="AN27" s="43" t="e">
        <f>IF(AN$1,SUMIFS('BalSht Data'!$H$2:$H$2050,'BalSht Data'!$G$2:$G$2050,$A27,'BalSht Data'!$A$2:$A$2050,AN$1),#N/A)</f>
        <v>#N/A</v>
      </c>
      <c r="AO27" s="43" t="e">
        <f>IF(AO$1,SUMIFS('BalSht Data'!$H$2:$H$2050,'BalSht Data'!$G$2:$G$2050,$A27,'BalSht Data'!$A$2:$A$2050,AO$1),#N/A)</f>
        <v>#N/A</v>
      </c>
      <c r="AP27" s="43" t="e">
        <f>IF(AP$1,SUMIFS('BalSht Data'!$H$2:$H$2050,'BalSht Data'!$G$2:$G$2050,$A27,'BalSht Data'!$A$2:$A$2050,AP$1),#N/A)</f>
        <v>#N/A</v>
      </c>
      <c r="AQ27" s="43" t="e">
        <f>IF(AQ$1,SUMIFS('BalSht Data'!$H$2:$H$2050,'BalSht Data'!$G$2:$G$2050,$A27,'BalSht Data'!$A$2:$A$2050,AQ$1),#N/A)</f>
        <v>#N/A</v>
      </c>
      <c r="AR27" s="43" t="e">
        <f>IF(AR$1,SUMIFS('BalSht Data'!$H$2:$H$2050,'BalSht Data'!$G$2:$G$2050,$A27,'BalSht Data'!$A$2:$A$2050,AR$1),#N/A)</f>
        <v>#N/A</v>
      </c>
      <c r="AS27" s="43" t="e">
        <f>IF(AS$1,SUMIFS('BalSht Data'!$H$2:$H$2050,'BalSht Data'!$G$2:$G$2050,$A27,'BalSht Data'!$A$2:$A$2050,AS$1),#N/A)</f>
        <v>#N/A</v>
      </c>
      <c r="AT27" s="43" t="e">
        <f>IF(AT$1,SUMIFS('BalSht Data'!$H$2:$H$2050,'BalSht Data'!$G$2:$G$2050,$A27,'BalSht Data'!$A$2:$A$2050,AT$1),#N/A)</f>
        <v>#N/A</v>
      </c>
      <c r="AU27" s="43" t="e">
        <f>IF(AU$1,SUMIFS('BalSht Data'!$H$2:$H$2050,'BalSht Data'!$G$2:$G$2050,$A27,'BalSht Data'!$A$2:$A$2050,AU$1),#N/A)</f>
        <v>#N/A</v>
      </c>
      <c r="AV27" s="43" t="e">
        <f>IF(AV$1,SUMIFS('BalSht Data'!$H$2:$H$2050,'BalSht Data'!$G$2:$G$2050,$A27,'BalSht Data'!$A$2:$A$2050,AV$1),#N/A)</f>
        <v>#N/A</v>
      </c>
      <c r="AW27" s="43" t="e">
        <f>IF(AW$1,SUMIFS('BalSht Data'!$H$2:$H$2050,'BalSht Data'!$G$2:$G$2050,$A27,'BalSht Data'!$A$2:$A$2050,AW$1),#N/A)</f>
        <v>#N/A</v>
      </c>
      <c r="AX27" s="43" t="e">
        <f>IF(AX$1,SUMIFS('BalSht Data'!$H$2:$H$2050,'BalSht Data'!$G$2:$G$2050,$A27,'BalSht Data'!$A$2:$A$2050,AX$1),#N/A)</f>
        <v>#N/A</v>
      </c>
      <c r="AY27" s="43" t="e">
        <f>IF(AY$1,SUMIFS('BalSht Data'!$H$2:$H$2050,'BalSht Data'!$G$2:$G$2050,$A27,'BalSht Data'!$A$2:$A$2050,AY$1),#N/A)</f>
        <v>#N/A</v>
      </c>
      <c r="AZ27" s="43" t="e">
        <f>IF(AZ$1,SUMIFS('BalSht Data'!$H$2:$H$2050,'BalSht Data'!$G$2:$G$2050,$A27,'BalSht Data'!$A$2:$A$2050,AZ$1),#N/A)</f>
        <v>#N/A</v>
      </c>
      <c r="BA27" s="43" t="e">
        <f>IF(BA$1,SUMIFS('BalSht Data'!$H$2:$H$2050,'BalSht Data'!$G$2:$G$2050,$A27,'BalSht Data'!$A$2:$A$2050,BA$1),#N/A)</f>
        <v>#N/A</v>
      </c>
      <c r="BB27" s="43" t="e">
        <f>IF(BB$1,SUMIFS('BalSht Data'!$H$2:$H$2050,'BalSht Data'!$G$2:$G$2050,$A27,'BalSht Data'!$A$2:$A$2050,BB$1),#N/A)</f>
        <v>#N/A</v>
      </c>
      <c r="BC27" s="43" t="e">
        <f>IF(BC$1,SUMIFS('BalSht Data'!$H$2:$H$2050,'BalSht Data'!$G$2:$G$2050,$A27,'BalSht Data'!$A$2:$A$2050,BC$1),#N/A)</f>
        <v>#N/A</v>
      </c>
      <c r="BD27" s="43" t="e">
        <f>IF(BD$1,SUMIFS('BalSht Data'!$H$2:$H$2050,'BalSht Data'!$G$2:$G$2050,$A27,'BalSht Data'!$A$2:$A$2050,BD$1),#N/A)</f>
        <v>#N/A</v>
      </c>
      <c r="BE27" s="43" t="e">
        <f>IF(BE$1,SUMIFS('BalSht Data'!$H$2:$H$2050,'BalSht Data'!$G$2:$G$2050,$A27,'BalSht Data'!$A$2:$A$2050,BE$1),#N/A)</f>
        <v>#N/A</v>
      </c>
      <c r="BF27" s="43" t="e">
        <f>IF(BF$1,SUMIFS('BalSht Data'!$H$2:$H$2050,'BalSht Data'!$G$2:$G$2050,$A27,'BalSht Data'!$A$2:$A$2050,BF$1),#N/A)</f>
        <v>#N/A</v>
      </c>
      <c r="BG27" s="43" t="e">
        <f>IF(BG$1,SUMIFS('BalSht Data'!$H$2:$H$2050,'BalSht Data'!$G$2:$G$2050,$A27,'BalSht Data'!$A$2:$A$2050,BG$1),#N/A)</f>
        <v>#N/A</v>
      </c>
      <c r="BH27" s="43" t="e">
        <f>IF(BH$1,SUMIFS('BalSht Data'!$H$2:$H$2050,'BalSht Data'!$G$2:$G$2050,$A27,'BalSht Data'!$A$2:$A$2050,BH$1),#N/A)</f>
        <v>#N/A</v>
      </c>
      <c r="BI27" s="43" t="e">
        <f>IF(BI$1,SUMIFS('BalSht Data'!$H$2:$H$2050,'BalSht Data'!$G$2:$G$2050,$A27,'BalSht Data'!$A$2:$A$2050,BI$1),#N/A)</f>
        <v>#N/A</v>
      </c>
      <c r="BJ27" s="43" t="e">
        <f>IF(BJ$1,SUMIFS('BalSht Data'!$H$2:$H$2050,'BalSht Data'!$G$2:$G$2050,$A27,'BalSht Data'!$A$2:$A$2050,BJ$1),#N/A)</f>
        <v>#N/A</v>
      </c>
      <c r="BK27" s="43" t="e">
        <f>IF(BK$1,SUMIFS('BalSht Data'!$H$2:$H$2050,'BalSht Data'!$G$2:$G$2050,$A27,'BalSht Data'!$A$2:$A$2050,BK$1),#N/A)</f>
        <v>#N/A</v>
      </c>
      <c r="BL27" s="43" t="e">
        <f>IF(BL$1,SUMIFS('BalSht Data'!$H$2:$H$2050,'BalSht Data'!$G$2:$G$2050,$A27,'BalSht Data'!$A$2:$A$2050,BL$1),#N/A)</f>
        <v>#N/A</v>
      </c>
      <c r="BM27" s="43" t="e">
        <f>IF(BM$1,SUMIFS('BalSht Data'!$H$2:$H$2050,'BalSht Data'!$G$2:$G$2050,$A27,'BalSht Data'!$A$2:$A$2050,BM$1),#N/A)</f>
        <v>#N/A</v>
      </c>
      <c r="BN27" s="43" t="e">
        <f>IF(BN$1,SUMIFS('BalSht Data'!$H$2:$H$2050,'BalSht Data'!$G$2:$G$2050,$A27,'BalSht Data'!$A$2:$A$2050,BN$1),#N/A)</f>
        <v>#N/A</v>
      </c>
      <c r="BO27" s="43" t="e">
        <f>IF(BO$1,SUMIFS('BalSht Data'!$H$2:$H$2050,'BalSht Data'!$G$2:$G$2050,$A27,'BalSht Data'!$A$2:$A$2050,BO$1),#N/A)</f>
        <v>#N/A</v>
      </c>
      <c r="BP27" s="43" t="e">
        <f>IF(BP$1,SUMIFS('BalSht Data'!$H$2:$H$2050,'BalSht Data'!$G$2:$G$2050,$A27,'BalSht Data'!$A$2:$A$2050,BP$1),#N/A)</f>
        <v>#N/A</v>
      </c>
      <c r="BQ27" s="43" t="e">
        <f>IF(BQ$1,SUMIFS('BalSht Data'!$H$2:$H$2050,'BalSht Data'!$G$2:$G$2050,$A27,'BalSht Data'!$A$2:$A$2050,BQ$1),#N/A)</f>
        <v>#N/A</v>
      </c>
      <c r="BR27" s="43" t="e">
        <f>IF(BR$1,SUMIFS('BalSht Data'!$H$2:$H$2050,'BalSht Data'!$G$2:$G$2050,$A27,'BalSht Data'!$A$2:$A$2050,BR$1),#N/A)</f>
        <v>#N/A</v>
      </c>
      <c r="BS27" s="43" t="e">
        <f>IF(BS$1,SUMIFS('BalSht Data'!$H$2:$H$2050,'BalSht Data'!$G$2:$G$2050,$A27,'BalSht Data'!$A$2:$A$2050,BS$1),#N/A)</f>
        <v>#N/A</v>
      </c>
      <c r="BT27" s="43" t="e">
        <f>IF(BT$1,SUMIFS('BalSht Data'!$H$2:$H$2050,'BalSht Data'!$G$2:$G$2050,$A27,'BalSht Data'!$A$2:$A$2050,BT$1),#N/A)</f>
        <v>#N/A</v>
      </c>
      <c r="BU27" s="43" t="e">
        <f>IF(BU$1,SUMIFS('BalSht Data'!$H$2:$H$2050,'BalSht Data'!$G$2:$G$2050,$A27,'BalSht Data'!$A$2:$A$2050,BU$1),#N/A)</f>
        <v>#N/A</v>
      </c>
      <c r="BV27" s="43" t="e">
        <f>IF(BV$1,SUMIFS('BalSht Data'!$H$2:$H$2050,'BalSht Data'!$G$2:$G$2050,$A27,'BalSht Data'!$A$2:$A$2050,BV$1),#N/A)</f>
        <v>#N/A</v>
      </c>
      <c r="BW27" s="43" t="e">
        <f>IF(BW$1,SUMIFS('BalSht Data'!$H$2:$H$2050,'BalSht Data'!$G$2:$G$2050,$A27,'BalSht Data'!$A$2:$A$2050,BW$1),#N/A)</f>
        <v>#N/A</v>
      </c>
      <c r="BX27" s="43" t="e">
        <f>IF(BX$1,SUMIFS('BalSht Data'!$H$2:$H$2050,'BalSht Data'!$G$2:$G$2050,$A27,'BalSht Data'!$A$2:$A$2050,BX$1),#N/A)</f>
        <v>#N/A</v>
      </c>
      <c r="BY27" s="43" t="e">
        <f>IF(BY$1,SUMIFS('BalSht Data'!$H$2:$H$2050,'BalSht Data'!$G$2:$G$2050,$A27,'BalSht Data'!$A$2:$A$2050,BY$1),#N/A)</f>
        <v>#N/A</v>
      </c>
      <c r="BZ27" s="43" t="e">
        <f>IF(BZ$1,SUMIFS('BalSht Data'!$H$2:$H$2050,'BalSht Data'!$G$2:$G$2050,$A27,'BalSht Data'!$A$2:$A$2050,BZ$1),#N/A)</f>
        <v>#N/A</v>
      </c>
      <c r="CA27" s="43" t="e">
        <f>IF(CA$1,SUMIFS('BalSht Data'!$H$2:$H$2050,'BalSht Data'!$G$2:$G$2050,$A27,'BalSht Data'!$A$2:$A$2050,CA$1),#N/A)</f>
        <v>#N/A</v>
      </c>
      <c r="CB27" s="43" t="e">
        <f>IF(CB$1,SUMIFS('BalSht Data'!$H$2:$H$2050,'BalSht Data'!$G$2:$G$2050,$A27,'BalSht Data'!$A$2:$A$2050,CB$1),#N/A)</f>
        <v>#N/A</v>
      </c>
      <c r="CC27" s="43" t="e">
        <f>IF(CC$1,SUMIFS('BalSht Data'!$H$2:$H$2050,'BalSht Data'!$G$2:$G$2050,$A27,'BalSht Data'!$A$2:$A$2050,CC$1),#N/A)</f>
        <v>#N/A</v>
      </c>
      <c r="CD27" s="43" t="e">
        <f>IF(CD$1,SUMIFS('BalSht Data'!$H$2:$H$2050,'BalSht Data'!$G$2:$G$2050,$A27,'BalSht Data'!$A$2:$A$2050,CD$1),#N/A)</f>
        <v>#N/A</v>
      </c>
      <c r="CE27" s="43" t="e">
        <f>IF(CE$1,SUMIFS('BalSht Data'!$H$2:$H$2050,'BalSht Data'!$G$2:$G$2050,$A27,'BalSht Data'!$A$2:$A$2050,CE$1),#N/A)</f>
        <v>#N/A</v>
      </c>
      <c r="CF27" s="43" t="e">
        <f>IF(CF$1,SUMIFS('BalSht Data'!$H$2:$H$2050,'BalSht Data'!$G$2:$G$2050,$A27,'BalSht Data'!$A$2:$A$2050,CF$1),#N/A)</f>
        <v>#N/A</v>
      </c>
      <c r="CG27" s="43" t="e">
        <f>IF(CG$1,SUMIFS('BalSht Data'!$H$2:$H$2050,'BalSht Data'!$G$2:$G$2050,$A27,'BalSht Data'!$A$2:$A$2050,CG$1),#N/A)</f>
        <v>#N/A</v>
      </c>
      <c r="CH27" s="43" t="e">
        <f>IF(CH$1,SUMIFS('BalSht Data'!$H$2:$H$2050,'BalSht Data'!$G$2:$G$2050,$A27,'BalSht Data'!$A$2:$A$2050,CH$1),#N/A)</f>
        <v>#N/A</v>
      </c>
      <c r="CI27" s="43" t="e">
        <f>IF(CI$1,SUMIFS('BalSht Data'!$H$2:$H$2050,'BalSht Data'!$G$2:$G$2050,$A27,'BalSht Data'!$A$2:$A$2050,CI$1),#N/A)</f>
        <v>#N/A</v>
      </c>
      <c r="CJ27" s="43" t="e">
        <f>IF(CJ$1,SUMIFS('BalSht Data'!$H$2:$H$2050,'BalSht Data'!$G$2:$G$2050,$A27,'BalSht Data'!$A$2:$A$2050,CJ$1),#N/A)</f>
        <v>#N/A</v>
      </c>
      <c r="CK27" s="43" t="e">
        <f>IF(CK$1,SUMIFS('BalSht Data'!$H$2:$H$2050,'BalSht Data'!$G$2:$G$2050,$A27,'BalSht Data'!$A$2:$A$2050,CK$1),#N/A)</f>
        <v>#N/A</v>
      </c>
      <c r="CL27" s="43" t="e">
        <f>IF(CL$1,SUMIFS('BalSht Data'!$H$2:$H$2050,'BalSht Data'!$G$2:$G$2050,$A27,'BalSht Data'!$A$2:$A$2050,CL$1),#N/A)</f>
        <v>#N/A</v>
      </c>
      <c r="CM27" s="43" t="e">
        <f>IF(CM$1,SUMIFS('BalSht Data'!$H$2:$H$2050,'BalSht Data'!$G$2:$G$2050,$A27,'BalSht Data'!$A$2:$A$2050,CM$1),#N/A)</f>
        <v>#N/A</v>
      </c>
      <c r="CN27" s="43" t="e">
        <f>IF(CN$1,SUMIFS('BalSht Data'!$H$2:$H$2050,'BalSht Data'!$G$2:$G$2050,$A27,'BalSht Data'!$A$2:$A$2050,CN$1),#N/A)</f>
        <v>#N/A</v>
      </c>
      <c r="CO27" s="43" t="e">
        <f>IF(CO$1,SUMIFS('BalSht Data'!$H$2:$H$2050,'BalSht Data'!$G$2:$G$2050,$A27,'BalSht Data'!$A$2:$A$2050,CO$1),#N/A)</f>
        <v>#N/A</v>
      </c>
      <c r="CP27" s="43" t="e">
        <f>IF(CP$1,SUMIFS('BalSht Data'!$H$2:$H$2050,'BalSht Data'!$G$2:$G$2050,$A27,'BalSht Data'!$A$2:$A$2050,CP$1),#N/A)</f>
        <v>#N/A</v>
      </c>
      <c r="CQ27" s="43" t="e">
        <f>IF(CQ$1,SUMIFS('BalSht Data'!$H$2:$H$2050,'BalSht Data'!$G$2:$G$2050,$A27,'BalSht Data'!$A$2:$A$2050,CQ$1),#N/A)</f>
        <v>#N/A</v>
      </c>
      <c r="CR27" s="43" t="e">
        <f>IF(CR$1,SUMIFS('BalSht Data'!$H$2:$H$2050,'BalSht Data'!$G$2:$G$2050,$A27,'BalSht Data'!$A$2:$A$2050,CR$1),#N/A)</f>
        <v>#N/A</v>
      </c>
      <c r="CS27" s="43" t="e">
        <f>IF(CS$1,SUMIFS('BalSht Data'!$H$2:$H$2050,'BalSht Data'!$G$2:$G$2050,$A27,'BalSht Data'!$A$2:$A$2050,CS$1),#N/A)</f>
        <v>#N/A</v>
      </c>
      <c r="CT27" s="43" t="e">
        <f>IF(CT$1,SUMIFS('BalSht Data'!$H$2:$H$2050,'BalSht Data'!$G$2:$G$2050,$A27,'BalSht Data'!$A$2:$A$2050,CT$1),#N/A)</f>
        <v>#N/A</v>
      </c>
      <c r="CU27" s="43" t="e">
        <f>IF(CU$1,SUMIFS('BalSht Data'!$H$2:$H$2050,'BalSht Data'!$G$2:$G$2050,$A27,'BalSht Data'!$A$2:$A$2050,CU$1),#N/A)</f>
        <v>#N/A</v>
      </c>
      <c r="CV27" s="43" t="e">
        <f>IF(CV$1,SUMIFS('BalSht Data'!$H$2:$H$2050,'BalSht Data'!$G$2:$G$2050,$A27,'BalSht Data'!$A$2:$A$2050,CV$1),#N/A)</f>
        <v>#N/A</v>
      </c>
      <c r="CW27" s="43" t="e">
        <f>IF(CW$1,SUMIFS('BalSht Data'!$H$2:$H$2050,'BalSht Data'!$G$2:$G$2050,$A27,'BalSht Data'!$A$2:$A$2050,CW$1),#N/A)</f>
        <v>#N/A</v>
      </c>
      <c r="CX27" s="43" t="e">
        <f>IF(CX$1,SUMIFS('BalSht Data'!$H$2:$H$2050,'BalSht Data'!$G$2:$G$2050,$A27,'BalSht Data'!$A$2:$A$2050,CX$1),#N/A)</f>
        <v>#N/A</v>
      </c>
      <c r="CY27" s="43" t="e">
        <f>IF(CY$1,SUMIFS('BalSht Data'!$H$2:$H$2050,'BalSht Data'!$G$2:$G$2050,$A27,'BalSht Data'!$A$2:$A$2050,CY$1),#N/A)</f>
        <v>#N/A</v>
      </c>
      <c r="CZ27" s="43" t="e">
        <f>IF(CZ$1,SUMIFS('BalSht Data'!$H$2:$H$2050,'BalSht Data'!$G$2:$G$2050,$A27,'BalSht Data'!$A$2:$A$2050,CZ$1),#N/A)</f>
        <v>#N/A</v>
      </c>
      <c r="DA27" s="43">
        <f>SUM(B27:AJ27)</f>
        <v>10200281</v>
      </c>
    </row>
    <row r="28" spans="1:105" s="40" customFormat="1" x14ac:dyDescent="0.2">
      <c r="A28" s="52" t="s">
        <v>19</v>
      </c>
      <c r="B28" s="43">
        <f>IF(B$1,SUMIFS('BalSht Data'!$H$2:$H$2050,'BalSht Data'!$G$2:$G$2050,$A28,'BalSht Data'!$A$2:$A$2050,B$1),#N/A)</f>
        <v>413688</v>
      </c>
      <c r="C28" s="43">
        <f>IF(C$1,SUMIFS('BalSht Data'!$H$2:$H$2050,'BalSht Data'!$G$2:$G$2050,$A28,'BalSht Data'!$A$2:$A$2050,C$1),#N/A)</f>
        <v>289028</v>
      </c>
      <c r="D28" s="43">
        <f>IF(D$1,SUMIFS('BalSht Data'!$H$2:$H$2050,'BalSht Data'!$G$2:$G$2050,$A28,'BalSht Data'!$A$2:$A$2050,D$1),#N/A)</f>
        <v>419692</v>
      </c>
      <c r="E28" s="43">
        <f>IF(E$1,SUMIFS('BalSht Data'!$H$2:$H$2050,'BalSht Data'!$G$2:$G$2050,$A28,'BalSht Data'!$A$2:$A$2050,E$1),#N/A)</f>
        <v>509739</v>
      </c>
      <c r="F28" s="43">
        <f>IF(F$1,SUMIFS('BalSht Data'!$H$2:$H$2050,'BalSht Data'!$G$2:$G$2050,$A28,'BalSht Data'!$A$2:$A$2050,F$1),#N/A)</f>
        <v>525854</v>
      </c>
      <c r="G28" s="43">
        <f>IF(G$1,SUMIFS('BalSht Data'!$H$2:$H$2050,'BalSht Data'!$G$2:$G$2050,$A28,'BalSht Data'!$A$2:$A$2050,G$1),#N/A)</f>
        <v>138581</v>
      </c>
      <c r="H28" s="43">
        <f>IF(H$1,SUMIFS('BalSht Data'!$H$2:$H$2050,'BalSht Data'!$G$2:$G$2050,$A28,'BalSht Data'!$A$2:$A$2050,H$1),#N/A)</f>
        <v>133467</v>
      </c>
      <c r="I28" s="43">
        <f>IF(I$1,SUMIFS('BalSht Data'!$H$2:$H$2050,'BalSht Data'!$G$2:$G$2050,$A28,'BalSht Data'!$A$2:$A$2050,I$1),#N/A)</f>
        <v>172016</v>
      </c>
      <c r="J28" s="43">
        <f>IF(J$1,SUMIFS('BalSht Data'!$H$2:$H$2050,'BalSht Data'!$G$2:$G$2050,$A28,'BalSht Data'!$A$2:$A$2050,J$1),#N/A)</f>
        <v>279188</v>
      </c>
      <c r="K28" s="43">
        <f>IF(K$1,SUMIFS('BalSht Data'!$H$2:$H$2050,'BalSht Data'!$G$2:$G$2050,$A28,'BalSht Data'!$A$2:$A$2050,K$1),#N/A)</f>
        <v>328052</v>
      </c>
      <c r="L28" s="43">
        <f>IF(L$1,SUMIFS('BalSht Data'!$H$2:$H$2050,'BalSht Data'!$G$2:$G$2050,$A28,'BalSht Data'!$A$2:$A$2050,L$1),#N/A)</f>
        <v>191931</v>
      </c>
      <c r="M28" s="43">
        <f>IF(M$1,SUMIFS('BalSht Data'!$H$2:$H$2050,'BalSht Data'!$G$2:$G$2050,$A28,'BalSht Data'!$A$2:$A$2050,M$1),#N/A)</f>
        <v>185238</v>
      </c>
      <c r="N28" s="43">
        <f>IF(N$1,SUMIFS('BalSht Data'!$H$2:$H$2050,'BalSht Data'!$G$2:$G$2050,$A28,'BalSht Data'!$A$2:$A$2050,N$1),#N/A)</f>
        <v>447164</v>
      </c>
      <c r="O28" s="43">
        <f>IF(O$1,SUMIFS('BalSht Data'!$H$2:$H$2050,'BalSht Data'!$G$2:$G$2050,$A28,'BalSht Data'!$A$2:$A$2050,O$1),#N/A)</f>
        <v>354981</v>
      </c>
      <c r="P28" s="43">
        <f>IF(P$1,SUMIFS('BalSht Data'!$H$2:$H$2050,'BalSht Data'!$G$2:$G$2050,$A28,'BalSht Data'!$A$2:$A$2050,P$1),#N/A)</f>
        <v>194169</v>
      </c>
      <c r="Q28" s="43">
        <f>IF(Q$1,SUMIFS('BalSht Data'!$H$2:$H$2050,'BalSht Data'!$G$2:$G$2050,$A28,'BalSht Data'!$A$2:$A$2050,Q$1),#N/A)</f>
        <v>171236</v>
      </c>
      <c r="R28" s="43">
        <f>IF(R$1,SUMIFS('BalSht Data'!$H$2:$H$2050,'BalSht Data'!$G$2:$G$2050,$A28,'BalSht Data'!$A$2:$A$2050,R$1),#N/A)</f>
        <v>159826</v>
      </c>
      <c r="S28" s="43">
        <f>IF(S$1,SUMIFS('BalSht Data'!$H$2:$H$2050,'BalSht Data'!$G$2:$G$2050,$A28,'BalSht Data'!$A$2:$A$2050,S$1),#N/A)</f>
        <v>869278</v>
      </c>
      <c r="T28" s="43">
        <f>IF(T$1,SUMIFS('BalSht Data'!$H$2:$H$2050,'BalSht Data'!$G$2:$G$2050,$A28,'BalSht Data'!$A$2:$A$2050,T$1),#N/A)</f>
        <v>505741</v>
      </c>
      <c r="U28" s="43">
        <f>IF(U$1,SUMIFS('BalSht Data'!$H$2:$H$2050,'BalSht Data'!$G$2:$G$2050,$A28,'BalSht Data'!$A$2:$A$2050,U$1),#N/A)</f>
        <v>431029</v>
      </c>
      <c r="V28" s="43">
        <f>IF(V$1,SUMIFS('BalSht Data'!$H$2:$H$2050,'BalSht Data'!$G$2:$G$2050,$A28,'BalSht Data'!$A$2:$A$2050,V$1),#N/A)</f>
        <v>536170</v>
      </c>
      <c r="W28" s="43">
        <f>IF(W$1,SUMIFS('BalSht Data'!$H$2:$H$2050,'BalSht Data'!$G$2:$G$2050,$A28,'BalSht Data'!$A$2:$A$2050,W$1),#N/A)</f>
        <v>498725</v>
      </c>
      <c r="X28" s="43">
        <f>IF(X$1,SUMIFS('BalSht Data'!$H$2:$H$2050,'BalSht Data'!$G$2:$G$2050,$A28,'BalSht Data'!$A$2:$A$2050,X$1),#N/A)</f>
        <v>511543</v>
      </c>
      <c r="Y28" s="43">
        <f>IF(Y$1,SUMIFS('BalSht Data'!$H$2:$H$2050,'BalSht Data'!$G$2:$G$2050,$A28,'BalSht Data'!$A$2:$A$2050,Y$1),#N/A)</f>
        <v>0</v>
      </c>
      <c r="Z28" s="43">
        <f>IF(Z$1,SUMIFS('BalSht Data'!$H$2:$H$2050,'BalSht Data'!$G$2:$G$2050,$A28,'BalSht Data'!$A$2:$A$2050,Z$1),#N/A)</f>
        <v>0</v>
      </c>
      <c r="AA28" s="43">
        <f>IF(AA$1,SUMIFS('BalSht Data'!$H$2:$H$2050,'BalSht Data'!$G$2:$G$2050,$A28,'BalSht Data'!$A$2:$A$2050,AA$1),#N/A)</f>
        <v>383783</v>
      </c>
      <c r="AB28" s="43">
        <f>IF(AB$1,SUMIFS('BalSht Data'!$H$2:$H$2050,'BalSht Data'!$G$2:$G$2050,$A28,'BalSht Data'!$A$2:$A$2050,AB$1),#N/A)</f>
        <v>0</v>
      </c>
      <c r="AC28" s="43">
        <f>IF(AC$1,SUMIFS('BalSht Data'!$H$2:$H$2050,'BalSht Data'!$G$2:$G$2050,$A28,'BalSht Data'!$A$2:$A$2050,AC$1),#N/A)</f>
        <v>0</v>
      </c>
      <c r="AD28" s="43">
        <f>IF(AD$1,SUMIFS('BalSht Data'!$H$2:$H$2050,'BalSht Data'!$G$2:$G$2050,$A28,'BalSht Data'!$A$2:$A$2050,AD$1),#N/A)</f>
        <v>956075</v>
      </c>
      <c r="AE28" s="43">
        <f>IF(AE$1,SUMIFS('BalSht Data'!$H$2:$H$2050,'BalSht Data'!$G$2:$G$2050,$A28,'BalSht Data'!$A$2:$A$2050,AE$1),#N/A)</f>
        <v>931866</v>
      </c>
      <c r="AF28" s="43">
        <f>IF(AF$1,SUMIFS('BalSht Data'!$H$2:$H$2050,'BalSht Data'!$G$2:$G$2050,$A28,'BalSht Data'!$A$2:$A$2050,AF$1),#N/A)</f>
        <v>379784</v>
      </c>
      <c r="AG28" s="43">
        <f>IF(AG$1,SUMIFS('BalSht Data'!$H$2:$H$2050,'BalSht Data'!$G$2:$G$2050,$A28,'BalSht Data'!$A$2:$A$2050,AG$1),#N/A)</f>
        <v>672996</v>
      </c>
      <c r="AH28" s="43">
        <f>IF(AH$1,SUMIFS('BalSht Data'!$H$2:$H$2050,'BalSht Data'!$G$2:$G$2050,$A28,'BalSht Data'!$A$2:$A$2050,AH$1),#N/A)</f>
        <v>266236</v>
      </c>
      <c r="AI28" s="43">
        <f>IF(AI$1,SUMIFS('BalSht Data'!$H$2:$H$2050,'BalSht Data'!$G$2:$G$2050,$A28,'BalSht Data'!$A$2:$A$2050,AI$1),#N/A)</f>
        <v>577338</v>
      </c>
      <c r="AJ28" s="43">
        <f>IF(AJ$1,SUMIFS('BalSht Data'!$H$2:$H$2050,'BalSht Data'!$G$2:$G$2050,$A28,'BalSht Data'!$A$2:$A$2050,AJ$1),#N/A)</f>
        <v>349724</v>
      </c>
      <c r="AK28" s="43" t="e">
        <f>IF(AK$1,SUMIFS('BalSht Data'!$H$2:$H$2050,'BalSht Data'!$G$2:$G$2050,$A28,'BalSht Data'!$A$2:$A$2050,AK$1),#N/A)</f>
        <v>#N/A</v>
      </c>
      <c r="AL28" s="43" t="e">
        <f>IF(AL$1,SUMIFS('BalSht Data'!$H$2:$H$2050,'BalSht Data'!$G$2:$G$2050,$A28,'BalSht Data'!$A$2:$A$2050,AL$1),#N/A)</f>
        <v>#N/A</v>
      </c>
      <c r="AM28" s="43" t="e">
        <f>IF(AM$1,SUMIFS('BalSht Data'!$H$2:$H$2050,'BalSht Data'!$G$2:$G$2050,$A28,'BalSht Data'!$A$2:$A$2050,AM$1),#N/A)</f>
        <v>#N/A</v>
      </c>
      <c r="AN28" s="43" t="e">
        <f>IF(AN$1,SUMIFS('BalSht Data'!$H$2:$H$2050,'BalSht Data'!$G$2:$G$2050,$A28,'BalSht Data'!$A$2:$A$2050,AN$1),#N/A)</f>
        <v>#N/A</v>
      </c>
      <c r="AO28" s="43" t="e">
        <f>IF(AO$1,SUMIFS('BalSht Data'!$H$2:$H$2050,'BalSht Data'!$G$2:$G$2050,$A28,'BalSht Data'!$A$2:$A$2050,AO$1),#N/A)</f>
        <v>#N/A</v>
      </c>
      <c r="AP28" s="43" t="e">
        <f>IF(AP$1,SUMIFS('BalSht Data'!$H$2:$H$2050,'BalSht Data'!$G$2:$G$2050,$A28,'BalSht Data'!$A$2:$A$2050,AP$1),#N/A)</f>
        <v>#N/A</v>
      </c>
      <c r="AQ28" s="43" t="e">
        <f>IF(AQ$1,SUMIFS('BalSht Data'!$H$2:$H$2050,'BalSht Data'!$G$2:$G$2050,$A28,'BalSht Data'!$A$2:$A$2050,AQ$1),#N/A)</f>
        <v>#N/A</v>
      </c>
      <c r="AR28" s="43" t="e">
        <f>IF(AR$1,SUMIFS('BalSht Data'!$H$2:$H$2050,'BalSht Data'!$G$2:$G$2050,$A28,'BalSht Data'!$A$2:$A$2050,AR$1),#N/A)</f>
        <v>#N/A</v>
      </c>
      <c r="AS28" s="43" t="e">
        <f>IF(AS$1,SUMIFS('BalSht Data'!$H$2:$H$2050,'BalSht Data'!$G$2:$G$2050,$A28,'BalSht Data'!$A$2:$A$2050,AS$1),#N/A)</f>
        <v>#N/A</v>
      </c>
      <c r="AT28" s="43" t="e">
        <f>IF(AT$1,SUMIFS('BalSht Data'!$H$2:$H$2050,'BalSht Data'!$G$2:$G$2050,$A28,'BalSht Data'!$A$2:$A$2050,AT$1),#N/A)</f>
        <v>#N/A</v>
      </c>
      <c r="AU28" s="43" t="e">
        <f>IF(AU$1,SUMIFS('BalSht Data'!$H$2:$H$2050,'BalSht Data'!$G$2:$G$2050,$A28,'BalSht Data'!$A$2:$A$2050,AU$1),#N/A)</f>
        <v>#N/A</v>
      </c>
      <c r="AV28" s="43" t="e">
        <f>IF(AV$1,SUMIFS('BalSht Data'!$H$2:$H$2050,'BalSht Data'!$G$2:$G$2050,$A28,'BalSht Data'!$A$2:$A$2050,AV$1),#N/A)</f>
        <v>#N/A</v>
      </c>
      <c r="AW28" s="43" t="e">
        <f>IF(AW$1,SUMIFS('BalSht Data'!$H$2:$H$2050,'BalSht Data'!$G$2:$G$2050,$A28,'BalSht Data'!$A$2:$A$2050,AW$1),#N/A)</f>
        <v>#N/A</v>
      </c>
      <c r="AX28" s="43" t="e">
        <f>IF(AX$1,SUMIFS('BalSht Data'!$H$2:$H$2050,'BalSht Data'!$G$2:$G$2050,$A28,'BalSht Data'!$A$2:$A$2050,AX$1),#N/A)</f>
        <v>#N/A</v>
      </c>
      <c r="AY28" s="43" t="e">
        <f>IF(AY$1,SUMIFS('BalSht Data'!$H$2:$H$2050,'BalSht Data'!$G$2:$G$2050,$A28,'BalSht Data'!$A$2:$A$2050,AY$1),#N/A)</f>
        <v>#N/A</v>
      </c>
      <c r="AZ28" s="43" t="e">
        <f>IF(AZ$1,SUMIFS('BalSht Data'!$H$2:$H$2050,'BalSht Data'!$G$2:$G$2050,$A28,'BalSht Data'!$A$2:$A$2050,AZ$1),#N/A)</f>
        <v>#N/A</v>
      </c>
      <c r="BA28" s="43" t="e">
        <f>IF(BA$1,SUMIFS('BalSht Data'!$H$2:$H$2050,'BalSht Data'!$G$2:$G$2050,$A28,'BalSht Data'!$A$2:$A$2050,BA$1),#N/A)</f>
        <v>#N/A</v>
      </c>
      <c r="BB28" s="43" t="e">
        <f>IF(BB$1,SUMIFS('BalSht Data'!$H$2:$H$2050,'BalSht Data'!$G$2:$G$2050,$A28,'BalSht Data'!$A$2:$A$2050,BB$1),#N/A)</f>
        <v>#N/A</v>
      </c>
      <c r="BC28" s="43" t="e">
        <f>IF(BC$1,SUMIFS('BalSht Data'!$H$2:$H$2050,'BalSht Data'!$G$2:$G$2050,$A28,'BalSht Data'!$A$2:$A$2050,BC$1),#N/A)</f>
        <v>#N/A</v>
      </c>
      <c r="BD28" s="43" t="e">
        <f>IF(BD$1,SUMIFS('BalSht Data'!$H$2:$H$2050,'BalSht Data'!$G$2:$G$2050,$A28,'BalSht Data'!$A$2:$A$2050,BD$1),#N/A)</f>
        <v>#N/A</v>
      </c>
      <c r="BE28" s="43" t="e">
        <f>IF(BE$1,SUMIFS('BalSht Data'!$H$2:$H$2050,'BalSht Data'!$G$2:$G$2050,$A28,'BalSht Data'!$A$2:$A$2050,BE$1),#N/A)</f>
        <v>#N/A</v>
      </c>
      <c r="BF28" s="43" t="e">
        <f>IF(BF$1,SUMIFS('BalSht Data'!$H$2:$H$2050,'BalSht Data'!$G$2:$G$2050,$A28,'BalSht Data'!$A$2:$A$2050,BF$1),#N/A)</f>
        <v>#N/A</v>
      </c>
      <c r="BG28" s="43" t="e">
        <f>IF(BG$1,SUMIFS('BalSht Data'!$H$2:$H$2050,'BalSht Data'!$G$2:$G$2050,$A28,'BalSht Data'!$A$2:$A$2050,BG$1),#N/A)</f>
        <v>#N/A</v>
      </c>
      <c r="BH28" s="43" t="e">
        <f>IF(BH$1,SUMIFS('BalSht Data'!$H$2:$H$2050,'BalSht Data'!$G$2:$G$2050,$A28,'BalSht Data'!$A$2:$A$2050,BH$1),#N/A)</f>
        <v>#N/A</v>
      </c>
      <c r="BI28" s="43" t="e">
        <f>IF(BI$1,SUMIFS('BalSht Data'!$H$2:$H$2050,'BalSht Data'!$G$2:$G$2050,$A28,'BalSht Data'!$A$2:$A$2050,BI$1),#N/A)</f>
        <v>#N/A</v>
      </c>
      <c r="BJ28" s="43" t="e">
        <f>IF(BJ$1,SUMIFS('BalSht Data'!$H$2:$H$2050,'BalSht Data'!$G$2:$G$2050,$A28,'BalSht Data'!$A$2:$A$2050,BJ$1),#N/A)</f>
        <v>#N/A</v>
      </c>
      <c r="BK28" s="43" t="e">
        <f>IF(BK$1,SUMIFS('BalSht Data'!$H$2:$H$2050,'BalSht Data'!$G$2:$G$2050,$A28,'BalSht Data'!$A$2:$A$2050,BK$1),#N/A)</f>
        <v>#N/A</v>
      </c>
      <c r="BL28" s="43" t="e">
        <f>IF(BL$1,SUMIFS('BalSht Data'!$H$2:$H$2050,'BalSht Data'!$G$2:$G$2050,$A28,'BalSht Data'!$A$2:$A$2050,BL$1),#N/A)</f>
        <v>#N/A</v>
      </c>
      <c r="BM28" s="43" t="e">
        <f>IF(BM$1,SUMIFS('BalSht Data'!$H$2:$H$2050,'BalSht Data'!$G$2:$G$2050,$A28,'BalSht Data'!$A$2:$A$2050,BM$1),#N/A)</f>
        <v>#N/A</v>
      </c>
      <c r="BN28" s="43" t="e">
        <f>IF(BN$1,SUMIFS('BalSht Data'!$H$2:$H$2050,'BalSht Data'!$G$2:$G$2050,$A28,'BalSht Data'!$A$2:$A$2050,BN$1),#N/A)</f>
        <v>#N/A</v>
      </c>
      <c r="BO28" s="43" t="e">
        <f>IF(BO$1,SUMIFS('BalSht Data'!$H$2:$H$2050,'BalSht Data'!$G$2:$G$2050,$A28,'BalSht Data'!$A$2:$A$2050,BO$1),#N/A)</f>
        <v>#N/A</v>
      </c>
      <c r="BP28" s="43" t="e">
        <f>IF(BP$1,SUMIFS('BalSht Data'!$H$2:$H$2050,'BalSht Data'!$G$2:$G$2050,$A28,'BalSht Data'!$A$2:$A$2050,BP$1),#N/A)</f>
        <v>#N/A</v>
      </c>
      <c r="BQ28" s="43" t="e">
        <f>IF(BQ$1,SUMIFS('BalSht Data'!$H$2:$H$2050,'BalSht Data'!$G$2:$G$2050,$A28,'BalSht Data'!$A$2:$A$2050,BQ$1),#N/A)</f>
        <v>#N/A</v>
      </c>
      <c r="BR28" s="43" t="e">
        <f>IF(BR$1,SUMIFS('BalSht Data'!$H$2:$H$2050,'BalSht Data'!$G$2:$G$2050,$A28,'BalSht Data'!$A$2:$A$2050,BR$1),#N/A)</f>
        <v>#N/A</v>
      </c>
      <c r="BS28" s="43" t="e">
        <f>IF(BS$1,SUMIFS('BalSht Data'!$H$2:$H$2050,'BalSht Data'!$G$2:$G$2050,$A28,'BalSht Data'!$A$2:$A$2050,BS$1),#N/A)</f>
        <v>#N/A</v>
      </c>
      <c r="BT28" s="43" t="e">
        <f>IF(BT$1,SUMIFS('BalSht Data'!$H$2:$H$2050,'BalSht Data'!$G$2:$G$2050,$A28,'BalSht Data'!$A$2:$A$2050,BT$1),#N/A)</f>
        <v>#N/A</v>
      </c>
      <c r="BU28" s="43" t="e">
        <f>IF(BU$1,SUMIFS('BalSht Data'!$H$2:$H$2050,'BalSht Data'!$G$2:$G$2050,$A28,'BalSht Data'!$A$2:$A$2050,BU$1),#N/A)</f>
        <v>#N/A</v>
      </c>
      <c r="BV28" s="43" t="e">
        <f>IF(BV$1,SUMIFS('BalSht Data'!$H$2:$H$2050,'BalSht Data'!$G$2:$G$2050,$A28,'BalSht Data'!$A$2:$A$2050,BV$1),#N/A)</f>
        <v>#N/A</v>
      </c>
      <c r="BW28" s="43" t="e">
        <f>IF(BW$1,SUMIFS('BalSht Data'!$H$2:$H$2050,'BalSht Data'!$G$2:$G$2050,$A28,'BalSht Data'!$A$2:$A$2050,BW$1),#N/A)</f>
        <v>#N/A</v>
      </c>
      <c r="BX28" s="43" t="e">
        <f>IF(BX$1,SUMIFS('BalSht Data'!$H$2:$H$2050,'BalSht Data'!$G$2:$G$2050,$A28,'BalSht Data'!$A$2:$A$2050,BX$1),#N/A)</f>
        <v>#N/A</v>
      </c>
      <c r="BY28" s="43" t="e">
        <f>IF(BY$1,SUMIFS('BalSht Data'!$H$2:$H$2050,'BalSht Data'!$G$2:$G$2050,$A28,'BalSht Data'!$A$2:$A$2050,BY$1),#N/A)</f>
        <v>#N/A</v>
      </c>
      <c r="BZ28" s="43" t="e">
        <f>IF(BZ$1,SUMIFS('BalSht Data'!$H$2:$H$2050,'BalSht Data'!$G$2:$G$2050,$A28,'BalSht Data'!$A$2:$A$2050,BZ$1),#N/A)</f>
        <v>#N/A</v>
      </c>
      <c r="CA28" s="43" t="e">
        <f>IF(CA$1,SUMIFS('BalSht Data'!$H$2:$H$2050,'BalSht Data'!$G$2:$G$2050,$A28,'BalSht Data'!$A$2:$A$2050,CA$1),#N/A)</f>
        <v>#N/A</v>
      </c>
      <c r="CB28" s="43" t="e">
        <f>IF(CB$1,SUMIFS('BalSht Data'!$H$2:$H$2050,'BalSht Data'!$G$2:$G$2050,$A28,'BalSht Data'!$A$2:$A$2050,CB$1),#N/A)</f>
        <v>#N/A</v>
      </c>
      <c r="CC28" s="43" t="e">
        <f>IF(CC$1,SUMIFS('BalSht Data'!$H$2:$H$2050,'BalSht Data'!$G$2:$G$2050,$A28,'BalSht Data'!$A$2:$A$2050,CC$1),#N/A)</f>
        <v>#N/A</v>
      </c>
      <c r="CD28" s="43" t="e">
        <f>IF(CD$1,SUMIFS('BalSht Data'!$H$2:$H$2050,'BalSht Data'!$G$2:$G$2050,$A28,'BalSht Data'!$A$2:$A$2050,CD$1),#N/A)</f>
        <v>#N/A</v>
      </c>
      <c r="CE28" s="43" t="e">
        <f>IF(CE$1,SUMIFS('BalSht Data'!$H$2:$H$2050,'BalSht Data'!$G$2:$G$2050,$A28,'BalSht Data'!$A$2:$A$2050,CE$1),#N/A)</f>
        <v>#N/A</v>
      </c>
      <c r="CF28" s="43" t="e">
        <f>IF(CF$1,SUMIFS('BalSht Data'!$H$2:$H$2050,'BalSht Data'!$G$2:$G$2050,$A28,'BalSht Data'!$A$2:$A$2050,CF$1),#N/A)</f>
        <v>#N/A</v>
      </c>
      <c r="CG28" s="43" t="e">
        <f>IF(CG$1,SUMIFS('BalSht Data'!$H$2:$H$2050,'BalSht Data'!$G$2:$G$2050,$A28,'BalSht Data'!$A$2:$A$2050,CG$1),#N/A)</f>
        <v>#N/A</v>
      </c>
      <c r="CH28" s="43" t="e">
        <f>IF(CH$1,SUMIFS('BalSht Data'!$H$2:$H$2050,'BalSht Data'!$G$2:$G$2050,$A28,'BalSht Data'!$A$2:$A$2050,CH$1),#N/A)</f>
        <v>#N/A</v>
      </c>
      <c r="CI28" s="43" t="e">
        <f>IF(CI$1,SUMIFS('BalSht Data'!$H$2:$H$2050,'BalSht Data'!$G$2:$G$2050,$A28,'BalSht Data'!$A$2:$A$2050,CI$1),#N/A)</f>
        <v>#N/A</v>
      </c>
      <c r="CJ28" s="43" t="e">
        <f>IF(CJ$1,SUMIFS('BalSht Data'!$H$2:$H$2050,'BalSht Data'!$G$2:$G$2050,$A28,'BalSht Data'!$A$2:$A$2050,CJ$1),#N/A)</f>
        <v>#N/A</v>
      </c>
      <c r="CK28" s="43" t="e">
        <f>IF(CK$1,SUMIFS('BalSht Data'!$H$2:$H$2050,'BalSht Data'!$G$2:$G$2050,$A28,'BalSht Data'!$A$2:$A$2050,CK$1),#N/A)</f>
        <v>#N/A</v>
      </c>
      <c r="CL28" s="43" t="e">
        <f>IF(CL$1,SUMIFS('BalSht Data'!$H$2:$H$2050,'BalSht Data'!$G$2:$G$2050,$A28,'BalSht Data'!$A$2:$A$2050,CL$1),#N/A)</f>
        <v>#N/A</v>
      </c>
      <c r="CM28" s="43" t="e">
        <f>IF(CM$1,SUMIFS('BalSht Data'!$H$2:$H$2050,'BalSht Data'!$G$2:$G$2050,$A28,'BalSht Data'!$A$2:$A$2050,CM$1),#N/A)</f>
        <v>#N/A</v>
      </c>
      <c r="CN28" s="43" t="e">
        <f>IF(CN$1,SUMIFS('BalSht Data'!$H$2:$H$2050,'BalSht Data'!$G$2:$G$2050,$A28,'BalSht Data'!$A$2:$A$2050,CN$1),#N/A)</f>
        <v>#N/A</v>
      </c>
      <c r="CO28" s="43" t="e">
        <f>IF(CO$1,SUMIFS('BalSht Data'!$H$2:$H$2050,'BalSht Data'!$G$2:$G$2050,$A28,'BalSht Data'!$A$2:$A$2050,CO$1),#N/A)</f>
        <v>#N/A</v>
      </c>
      <c r="CP28" s="43" t="e">
        <f>IF(CP$1,SUMIFS('BalSht Data'!$H$2:$H$2050,'BalSht Data'!$G$2:$G$2050,$A28,'BalSht Data'!$A$2:$A$2050,CP$1),#N/A)</f>
        <v>#N/A</v>
      </c>
      <c r="CQ28" s="43" t="e">
        <f>IF(CQ$1,SUMIFS('BalSht Data'!$H$2:$H$2050,'BalSht Data'!$G$2:$G$2050,$A28,'BalSht Data'!$A$2:$A$2050,CQ$1),#N/A)</f>
        <v>#N/A</v>
      </c>
      <c r="CR28" s="43" t="e">
        <f>IF(CR$1,SUMIFS('BalSht Data'!$H$2:$H$2050,'BalSht Data'!$G$2:$G$2050,$A28,'BalSht Data'!$A$2:$A$2050,CR$1),#N/A)</f>
        <v>#N/A</v>
      </c>
      <c r="CS28" s="43" t="e">
        <f>IF(CS$1,SUMIFS('BalSht Data'!$H$2:$H$2050,'BalSht Data'!$G$2:$G$2050,$A28,'BalSht Data'!$A$2:$A$2050,CS$1),#N/A)</f>
        <v>#N/A</v>
      </c>
      <c r="CT28" s="43" t="e">
        <f>IF(CT$1,SUMIFS('BalSht Data'!$H$2:$H$2050,'BalSht Data'!$G$2:$G$2050,$A28,'BalSht Data'!$A$2:$A$2050,CT$1),#N/A)</f>
        <v>#N/A</v>
      </c>
      <c r="CU28" s="43" t="e">
        <f>IF(CU$1,SUMIFS('BalSht Data'!$H$2:$H$2050,'BalSht Data'!$G$2:$G$2050,$A28,'BalSht Data'!$A$2:$A$2050,CU$1),#N/A)</f>
        <v>#N/A</v>
      </c>
      <c r="CV28" s="43" t="e">
        <f>IF(CV$1,SUMIFS('BalSht Data'!$H$2:$H$2050,'BalSht Data'!$G$2:$G$2050,$A28,'BalSht Data'!$A$2:$A$2050,CV$1),#N/A)</f>
        <v>#N/A</v>
      </c>
      <c r="CW28" s="43" t="e">
        <f>IF(CW$1,SUMIFS('BalSht Data'!$H$2:$H$2050,'BalSht Data'!$G$2:$G$2050,$A28,'BalSht Data'!$A$2:$A$2050,CW$1),#N/A)</f>
        <v>#N/A</v>
      </c>
      <c r="CX28" s="43" t="e">
        <f>IF(CX$1,SUMIFS('BalSht Data'!$H$2:$H$2050,'BalSht Data'!$G$2:$G$2050,$A28,'BalSht Data'!$A$2:$A$2050,CX$1),#N/A)</f>
        <v>#N/A</v>
      </c>
      <c r="CY28" s="43" t="e">
        <f>IF(CY$1,SUMIFS('BalSht Data'!$H$2:$H$2050,'BalSht Data'!$G$2:$G$2050,$A28,'BalSht Data'!$A$2:$A$2050,CY$1),#N/A)</f>
        <v>#N/A</v>
      </c>
      <c r="CZ28" s="43" t="e">
        <f>IF(CZ$1,SUMIFS('BalSht Data'!$H$2:$H$2050,'BalSht Data'!$G$2:$G$2050,$A28,'BalSht Data'!$A$2:$A$2050,CZ$1),#N/A)</f>
        <v>#N/A</v>
      </c>
      <c r="DA28" s="43">
        <f>SUM(B28:AJ28)</f>
        <v>12784138</v>
      </c>
    </row>
    <row r="29" spans="1:105" s="40" customFormat="1" x14ac:dyDescent="0.2">
      <c r="A29" s="52" t="s">
        <v>16</v>
      </c>
      <c r="B29" s="43">
        <f>IF(B$1,SUMIFS('BalSht Data'!$H$2:$H$2050,'BalSht Data'!$G$2:$G$2050,$A29,'BalSht Data'!$A$2:$A$2050,B$1),#N/A)</f>
        <v>15403</v>
      </c>
      <c r="C29" s="43">
        <f>IF(C$1,SUMIFS('BalSht Data'!$H$2:$H$2050,'BalSht Data'!$G$2:$G$2050,$A29,'BalSht Data'!$A$2:$A$2050,C$1),#N/A)</f>
        <v>0</v>
      </c>
      <c r="D29" s="43">
        <f>IF(D$1,SUMIFS('BalSht Data'!$H$2:$H$2050,'BalSht Data'!$G$2:$G$2050,$A29,'BalSht Data'!$A$2:$A$2050,D$1),#N/A)</f>
        <v>5861</v>
      </c>
      <c r="E29" s="43">
        <f>IF(E$1,SUMIFS('BalSht Data'!$H$2:$H$2050,'BalSht Data'!$G$2:$G$2050,$A29,'BalSht Data'!$A$2:$A$2050,E$1),#N/A)</f>
        <v>0</v>
      </c>
      <c r="F29" s="43">
        <f>IF(F$1,SUMIFS('BalSht Data'!$H$2:$H$2050,'BalSht Data'!$G$2:$G$2050,$A29,'BalSht Data'!$A$2:$A$2050,F$1),#N/A)</f>
        <v>2605</v>
      </c>
      <c r="G29" s="43">
        <f>IF(G$1,SUMIFS('BalSht Data'!$H$2:$H$2050,'BalSht Data'!$G$2:$G$2050,$A29,'BalSht Data'!$A$2:$A$2050,G$1),#N/A)</f>
        <v>36</v>
      </c>
      <c r="H29" s="43">
        <f>IF(H$1,SUMIFS('BalSht Data'!$H$2:$H$2050,'BalSht Data'!$G$2:$G$2050,$A29,'BalSht Data'!$A$2:$A$2050,H$1),#N/A)</f>
        <v>8219</v>
      </c>
      <c r="I29" s="43">
        <f>IF(I$1,SUMIFS('BalSht Data'!$H$2:$H$2050,'BalSht Data'!$G$2:$G$2050,$A29,'BalSht Data'!$A$2:$A$2050,I$1),#N/A)</f>
        <v>14789</v>
      </c>
      <c r="J29" s="43">
        <f>IF(J$1,SUMIFS('BalSht Data'!$H$2:$H$2050,'BalSht Data'!$G$2:$G$2050,$A29,'BalSht Data'!$A$2:$A$2050,J$1),#N/A)</f>
        <v>29688</v>
      </c>
      <c r="K29" s="43">
        <f>IF(K$1,SUMIFS('BalSht Data'!$H$2:$H$2050,'BalSht Data'!$G$2:$G$2050,$A29,'BalSht Data'!$A$2:$A$2050,K$1),#N/A)</f>
        <v>37264</v>
      </c>
      <c r="L29" s="43">
        <f>IF(L$1,SUMIFS('BalSht Data'!$H$2:$H$2050,'BalSht Data'!$G$2:$G$2050,$A29,'BalSht Data'!$A$2:$A$2050,L$1),#N/A)</f>
        <v>32</v>
      </c>
      <c r="M29" s="43">
        <f>IF(M$1,SUMIFS('BalSht Data'!$H$2:$H$2050,'BalSht Data'!$G$2:$G$2050,$A29,'BalSht Data'!$A$2:$A$2050,M$1),#N/A)</f>
        <v>22</v>
      </c>
      <c r="N29" s="43">
        <f>IF(N$1,SUMIFS('BalSht Data'!$H$2:$H$2050,'BalSht Data'!$G$2:$G$2050,$A29,'BalSht Data'!$A$2:$A$2050,N$1),#N/A)</f>
        <v>268381</v>
      </c>
      <c r="O29" s="43">
        <f>IF(O$1,SUMIFS('BalSht Data'!$H$2:$H$2050,'BalSht Data'!$G$2:$G$2050,$A29,'BalSht Data'!$A$2:$A$2050,O$1),#N/A)</f>
        <v>7405</v>
      </c>
      <c r="P29" s="43">
        <f>IF(P$1,SUMIFS('BalSht Data'!$H$2:$H$2050,'BalSht Data'!$G$2:$G$2050,$A29,'BalSht Data'!$A$2:$A$2050,P$1),#N/A)</f>
        <v>2149</v>
      </c>
      <c r="Q29" s="43">
        <f>IF(Q$1,SUMIFS('BalSht Data'!$H$2:$H$2050,'BalSht Data'!$G$2:$G$2050,$A29,'BalSht Data'!$A$2:$A$2050,Q$1),#N/A)</f>
        <v>185</v>
      </c>
      <c r="R29" s="43">
        <f>IF(R$1,SUMIFS('BalSht Data'!$H$2:$H$2050,'BalSht Data'!$G$2:$G$2050,$A29,'BalSht Data'!$A$2:$A$2050,R$1),#N/A)</f>
        <v>819</v>
      </c>
      <c r="S29" s="43">
        <f>IF(S$1,SUMIFS('BalSht Data'!$H$2:$H$2050,'BalSht Data'!$G$2:$G$2050,$A29,'BalSht Data'!$A$2:$A$2050,S$1),#N/A)</f>
        <v>3636</v>
      </c>
      <c r="T29" s="43">
        <f>IF(T$1,SUMIFS('BalSht Data'!$H$2:$H$2050,'BalSht Data'!$G$2:$G$2050,$A29,'BalSht Data'!$A$2:$A$2050,T$1),#N/A)</f>
        <v>15580</v>
      </c>
      <c r="U29" s="43">
        <f>IF(U$1,SUMIFS('BalSht Data'!$H$2:$H$2050,'BalSht Data'!$G$2:$G$2050,$A29,'BalSht Data'!$A$2:$A$2050,U$1),#N/A)</f>
        <v>6754</v>
      </c>
      <c r="V29" s="43">
        <f>IF(V$1,SUMIFS('BalSht Data'!$H$2:$H$2050,'BalSht Data'!$G$2:$G$2050,$A29,'BalSht Data'!$A$2:$A$2050,V$1),#N/A)</f>
        <v>6635</v>
      </c>
      <c r="W29" s="43">
        <f>IF(W$1,SUMIFS('BalSht Data'!$H$2:$H$2050,'BalSht Data'!$G$2:$G$2050,$A29,'BalSht Data'!$A$2:$A$2050,W$1),#N/A)</f>
        <v>2940</v>
      </c>
      <c r="X29" s="43">
        <f>IF(X$1,SUMIFS('BalSht Data'!$H$2:$H$2050,'BalSht Data'!$G$2:$G$2050,$A29,'BalSht Data'!$A$2:$A$2050,X$1),#N/A)</f>
        <v>4252</v>
      </c>
      <c r="Y29" s="43">
        <f>IF(Y$1,SUMIFS('BalSht Data'!$H$2:$H$2050,'BalSht Data'!$G$2:$G$2050,$A29,'BalSht Data'!$A$2:$A$2050,Y$1),#N/A)</f>
        <v>1630</v>
      </c>
      <c r="Z29" s="43">
        <f>IF(Z$1,SUMIFS('BalSht Data'!$H$2:$H$2050,'BalSht Data'!$G$2:$G$2050,$A29,'BalSht Data'!$A$2:$A$2050,Z$1),#N/A)</f>
        <v>0</v>
      </c>
      <c r="AA29" s="43">
        <f>IF(AA$1,SUMIFS('BalSht Data'!$H$2:$H$2050,'BalSht Data'!$G$2:$G$2050,$A29,'BalSht Data'!$A$2:$A$2050,AA$1),#N/A)</f>
        <v>4241</v>
      </c>
      <c r="AB29" s="43">
        <f>IF(AB$1,SUMIFS('BalSht Data'!$H$2:$H$2050,'BalSht Data'!$G$2:$G$2050,$A29,'BalSht Data'!$A$2:$A$2050,AB$1),#N/A)</f>
        <v>0</v>
      </c>
      <c r="AC29" s="43">
        <f>IF(AC$1,SUMIFS('BalSht Data'!$H$2:$H$2050,'BalSht Data'!$G$2:$G$2050,$A29,'BalSht Data'!$A$2:$A$2050,AC$1),#N/A)</f>
        <v>0</v>
      </c>
      <c r="AD29" s="43">
        <f>IF(AD$1,SUMIFS('BalSht Data'!$H$2:$H$2050,'BalSht Data'!$G$2:$G$2050,$A29,'BalSht Data'!$A$2:$A$2050,AD$1),#N/A)</f>
        <v>4986</v>
      </c>
      <c r="AE29" s="43">
        <f>IF(AE$1,SUMIFS('BalSht Data'!$H$2:$H$2050,'BalSht Data'!$G$2:$G$2050,$A29,'BalSht Data'!$A$2:$A$2050,AE$1),#N/A)</f>
        <v>11588</v>
      </c>
      <c r="AF29" s="43">
        <f>IF(AF$1,SUMIFS('BalSht Data'!$H$2:$H$2050,'BalSht Data'!$G$2:$G$2050,$A29,'BalSht Data'!$A$2:$A$2050,AF$1),#N/A)</f>
        <v>3292</v>
      </c>
      <c r="AG29" s="43">
        <f>IF(AG$1,SUMIFS('BalSht Data'!$H$2:$H$2050,'BalSht Data'!$G$2:$G$2050,$A29,'BalSht Data'!$A$2:$A$2050,AG$1),#N/A)</f>
        <v>11865</v>
      </c>
      <c r="AH29" s="43">
        <f>IF(AH$1,SUMIFS('BalSht Data'!$H$2:$H$2050,'BalSht Data'!$G$2:$G$2050,$A29,'BalSht Data'!$A$2:$A$2050,AH$1),#N/A)</f>
        <v>9346</v>
      </c>
      <c r="AI29" s="43">
        <f>IF(AI$1,SUMIFS('BalSht Data'!$H$2:$H$2050,'BalSht Data'!$G$2:$G$2050,$A29,'BalSht Data'!$A$2:$A$2050,AI$1),#N/A)</f>
        <v>13689</v>
      </c>
      <c r="AJ29" s="43">
        <f>IF(AJ$1,SUMIFS('BalSht Data'!$H$2:$H$2050,'BalSht Data'!$G$2:$G$2050,$A29,'BalSht Data'!$A$2:$A$2050,AJ$1),#N/A)</f>
        <v>16451</v>
      </c>
      <c r="AK29" s="43" t="e">
        <f>IF(AK$1,SUMIFS('BalSht Data'!$H$2:$H$2050,'BalSht Data'!$G$2:$G$2050,$A29,'BalSht Data'!$A$2:$A$2050,AK$1),#N/A)</f>
        <v>#N/A</v>
      </c>
      <c r="AL29" s="43" t="e">
        <f>IF(AL$1,SUMIFS('BalSht Data'!$H$2:$H$2050,'BalSht Data'!$G$2:$G$2050,$A29,'BalSht Data'!$A$2:$A$2050,AL$1),#N/A)</f>
        <v>#N/A</v>
      </c>
      <c r="AM29" s="43" t="e">
        <f>IF(AM$1,SUMIFS('BalSht Data'!$H$2:$H$2050,'BalSht Data'!$G$2:$G$2050,$A29,'BalSht Data'!$A$2:$A$2050,AM$1),#N/A)</f>
        <v>#N/A</v>
      </c>
      <c r="AN29" s="43" t="e">
        <f>IF(AN$1,SUMIFS('BalSht Data'!$H$2:$H$2050,'BalSht Data'!$G$2:$G$2050,$A29,'BalSht Data'!$A$2:$A$2050,AN$1),#N/A)</f>
        <v>#N/A</v>
      </c>
      <c r="AO29" s="43" t="e">
        <f>IF(AO$1,SUMIFS('BalSht Data'!$H$2:$H$2050,'BalSht Data'!$G$2:$G$2050,$A29,'BalSht Data'!$A$2:$A$2050,AO$1),#N/A)</f>
        <v>#N/A</v>
      </c>
      <c r="AP29" s="43" t="e">
        <f>IF(AP$1,SUMIFS('BalSht Data'!$H$2:$H$2050,'BalSht Data'!$G$2:$G$2050,$A29,'BalSht Data'!$A$2:$A$2050,AP$1),#N/A)</f>
        <v>#N/A</v>
      </c>
      <c r="AQ29" s="43" t="e">
        <f>IF(AQ$1,SUMIFS('BalSht Data'!$H$2:$H$2050,'BalSht Data'!$G$2:$G$2050,$A29,'BalSht Data'!$A$2:$A$2050,AQ$1),#N/A)</f>
        <v>#N/A</v>
      </c>
      <c r="AR29" s="43" t="e">
        <f>IF(AR$1,SUMIFS('BalSht Data'!$H$2:$H$2050,'BalSht Data'!$G$2:$G$2050,$A29,'BalSht Data'!$A$2:$A$2050,AR$1),#N/A)</f>
        <v>#N/A</v>
      </c>
      <c r="AS29" s="43" t="e">
        <f>IF(AS$1,SUMIFS('BalSht Data'!$H$2:$H$2050,'BalSht Data'!$G$2:$G$2050,$A29,'BalSht Data'!$A$2:$A$2050,AS$1),#N/A)</f>
        <v>#N/A</v>
      </c>
      <c r="AT29" s="43" t="e">
        <f>IF(AT$1,SUMIFS('BalSht Data'!$H$2:$H$2050,'BalSht Data'!$G$2:$G$2050,$A29,'BalSht Data'!$A$2:$A$2050,AT$1),#N/A)</f>
        <v>#N/A</v>
      </c>
      <c r="AU29" s="43" t="e">
        <f>IF(AU$1,SUMIFS('BalSht Data'!$H$2:$H$2050,'BalSht Data'!$G$2:$G$2050,$A29,'BalSht Data'!$A$2:$A$2050,AU$1),#N/A)</f>
        <v>#N/A</v>
      </c>
      <c r="AV29" s="43" t="e">
        <f>IF(AV$1,SUMIFS('BalSht Data'!$H$2:$H$2050,'BalSht Data'!$G$2:$G$2050,$A29,'BalSht Data'!$A$2:$A$2050,AV$1),#N/A)</f>
        <v>#N/A</v>
      </c>
      <c r="AW29" s="43" t="e">
        <f>IF(AW$1,SUMIFS('BalSht Data'!$H$2:$H$2050,'BalSht Data'!$G$2:$G$2050,$A29,'BalSht Data'!$A$2:$A$2050,AW$1),#N/A)</f>
        <v>#N/A</v>
      </c>
      <c r="AX29" s="43" t="e">
        <f>IF(AX$1,SUMIFS('BalSht Data'!$H$2:$H$2050,'BalSht Data'!$G$2:$G$2050,$A29,'BalSht Data'!$A$2:$A$2050,AX$1),#N/A)</f>
        <v>#N/A</v>
      </c>
      <c r="AY29" s="43" t="e">
        <f>IF(AY$1,SUMIFS('BalSht Data'!$H$2:$H$2050,'BalSht Data'!$G$2:$G$2050,$A29,'BalSht Data'!$A$2:$A$2050,AY$1),#N/A)</f>
        <v>#N/A</v>
      </c>
      <c r="AZ29" s="43" t="e">
        <f>IF(AZ$1,SUMIFS('BalSht Data'!$H$2:$H$2050,'BalSht Data'!$G$2:$G$2050,$A29,'BalSht Data'!$A$2:$A$2050,AZ$1),#N/A)</f>
        <v>#N/A</v>
      </c>
      <c r="BA29" s="43" t="e">
        <f>IF(BA$1,SUMIFS('BalSht Data'!$H$2:$H$2050,'BalSht Data'!$G$2:$G$2050,$A29,'BalSht Data'!$A$2:$A$2050,BA$1),#N/A)</f>
        <v>#N/A</v>
      </c>
      <c r="BB29" s="43" t="e">
        <f>IF(BB$1,SUMIFS('BalSht Data'!$H$2:$H$2050,'BalSht Data'!$G$2:$G$2050,$A29,'BalSht Data'!$A$2:$A$2050,BB$1),#N/A)</f>
        <v>#N/A</v>
      </c>
      <c r="BC29" s="43" t="e">
        <f>IF(BC$1,SUMIFS('BalSht Data'!$H$2:$H$2050,'BalSht Data'!$G$2:$G$2050,$A29,'BalSht Data'!$A$2:$A$2050,BC$1),#N/A)</f>
        <v>#N/A</v>
      </c>
      <c r="BD29" s="43" t="e">
        <f>IF(BD$1,SUMIFS('BalSht Data'!$H$2:$H$2050,'BalSht Data'!$G$2:$G$2050,$A29,'BalSht Data'!$A$2:$A$2050,BD$1),#N/A)</f>
        <v>#N/A</v>
      </c>
      <c r="BE29" s="43" t="e">
        <f>IF(BE$1,SUMIFS('BalSht Data'!$H$2:$H$2050,'BalSht Data'!$G$2:$G$2050,$A29,'BalSht Data'!$A$2:$A$2050,BE$1),#N/A)</f>
        <v>#N/A</v>
      </c>
      <c r="BF29" s="43" t="e">
        <f>IF(BF$1,SUMIFS('BalSht Data'!$H$2:$H$2050,'BalSht Data'!$G$2:$G$2050,$A29,'BalSht Data'!$A$2:$A$2050,BF$1),#N/A)</f>
        <v>#N/A</v>
      </c>
      <c r="BG29" s="43" t="e">
        <f>IF(BG$1,SUMIFS('BalSht Data'!$H$2:$H$2050,'BalSht Data'!$G$2:$G$2050,$A29,'BalSht Data'!$A$2:$A$2050,BG$1),#N/A)</f>
        <v>#N/A</v>
      </c>
      <c r="BH29" s="43" t="e">
        <f>IF(BH$1,SUMIFS('BalSht Data'!$H$2:$H$2050,'BalSht Data'!$G$2:$G$2050,$A29,'BalSht Data'!$A$2:$A$2050,BH$1),#N/A)</f>
        <v>#N/A</v>
      </c>
      <c r="BI29" s="43" t="e">
        <f>IF(BI$1,SUMIFS('BalSht Data'!$H$2:$H$2050,'BalSht Data'!$G$2:$G$2050,$A29,'BalSht Data'!$A$2:$A$2050,BI$1),#N/A)</f>
        <v>#N/A</v>
      </c>
      <c r="BJ29" s="43" t="e">
        <f>IF(BJ$1,SUMIFS('BalSht Data'!$H$2:$H$2050,'BalSht Data'!$G$2:$G$2050,$A29,'BalSht Data'!$A$2:$A$2050,BJ$1),#N/A)</f>
        <v>#N/A</v>
      </c>
      <c r="BK29" s="43" t="e">
        <f>IF(BK$1,SUMIFS('BalSht Data'!$H$2:$H$2050,'BalSht Data'!$G$2:$G$2050,$A29,'BalSht Data'!$A$2:$A$2050,BK$1),#N/A)</f>
        <v>#N/A</v>
      </c>
      <c r="BL29" s="43" t="e">
        <f>IF(BL$1,SUMIFS('BalSht Data'!$H$2:$H$2050,'BalSht Data'!$G$2:$G$2050,$A29,'BalSht Data'!$A$2:$A$2050,BL$1),#N/A)</f>
        <v>#N/A</v>
      </c>
      <c r="BM29" s="43" t="e">
        <f>IF(BM$1,SUMIFS('BalSht Data'!$H$2:$H$2050,'BalSht Data'!$G$2:$G$2050,$A29,'BalSht Data'!$A$2:$A$2050,BM$1),#N/A)</f>
        <v>#N/A</v>
      </c>
      <c r="BN29" s="43" t="e">
        <f>IF(BN$1,SUMIFS('BalSht Data'!$H$2:$H$2050,'BalSht Data'!$G$2:$G$2050,$A29,'BalSht Data'!$A$2:$A$2050,BN$1),#N/A)</f>
        <v>#N/A</v>
      </c>
      <c r="BO29" s="43" t="e">
        <f>IF(BO$1,SUMIFS('BalSht Data'!$H$2:$H$2050,'BalSht Data'!$G$2:$G$2050,$A29,'BalSht Data'!$A$2:$A$2050,BO$1),#N/A)</f>
        <v>#N/A</v>
      </c>
      <c r="BP29" s="43" t="e">
        <f>IF(BP$1,SUMIFS('BalSht Data'!$H$2:$H$2050,'BalSht Data'!$G$2:$G$2050,$A29,'BalSht Data'!$A$2:$A$2050,BP$1),#N/A)</f>
        <v>#N/A</v>
      </c>
      <c r="BQ29" s="43" t="e">
        <f>IF(BQ$1,SUMIFS('BalSht Data'!$H$2:$H$2050,'BalSht Data'!$G$2:$G$2050,$A29,'BalSht Data'!$A$2:$A$2050,BQ$1),#N/A)</f>
        <v>#N/A</v>
      </c>
      <c r="BR29" s="43" t="e">
        <f>IF(BR$1,SUMIFS('BalSht Data'!$H$2:$H$2050,'BalSht Data'!$G$2:$G$2050,$A29,'BalSht Data'!$A$2:$A$2050,BR$1),#N/A)</f>
        <v>#N/A</v>
      </c>
      <c r="BS29" s="43" t="e">
        <f>IF(BS$1,SUMIFS('BalSht Data'!$H$2:$H$2050,'BalSht Data'!$G$2:$G$2050,$A29,'BalSht Data'!$A$2:$A$2050,BS$1),#N/A)</f>
        <v>#N/A</v>
      </c>
      <c r="BT29" s="43" t="e">
        <f>IF(BT$1,SUMIFS('BalSht Data'!$H$2:$H$2050,'BalSht Data'!$G$2:$G$2050,$A29,'BalSht Data'!$A$2:$A$2050,BT$1),#N/A)</f>
        <v>#N/A</v>
      </c>
      <c r="BU29" s="43" t="e">
        <f>IF(BU$1,SUMIFS('BalSht Data'!$H$2:$H$2050,'BalSht Data'!$G$2:$G$2050,$A29,'BalSht Data'!$A$2:$A$2050,BU$1),#N/A)</f>
        <v>#N/A</v>
      </c>
      <c r="BV29" s="43" t="e">
        <f>IF(BV$1,SUMIFS('BalSht Data'!$H$2:$H$2050,'BalSht Data'!$G$2:$G$2050,$A29,'BalSht Data'!$A$2:$A$2050,BV$1),#N/A)</f>
        <v>#N/A</v>
      </c>
      <c r="BW29" s="43" t="e">
        <f>IF(BW$1,SUMIFS('BalSht Data'!$H$2:$H$2050,'BalSht Data'!$G$2:$G$2050,$A29,'BalSht Data'!$A$2:$A$2050,BW$1),#N/A)</f>
        <v>#N/A</v>
      </c>
      <c r="BX29" s="43" t="e">
        <f>IF(BX$1,SUMIFS('BalSht Data'!$H$2:$H$2050,'BalSht Data'!$G$2:$G$2050,$A29,'BalSht Data'!$A$2:$A$2050,BX$1),#N/A)</f>
        <v>#N/A</v>
      </c>
      <c r="BY29" s="43" t="e">
        <f>IF(BY$1,SUMIFS('BalSht Data'!$H$2:$H$2050,'BalSht Data'!$G$2:$G$2050,$A29,'BalSht Data'!$A$2:$A$2050,BY$1),#N/A)</f>
        <v>#N/A</v>
      </c>
      <c r="BZ29" s="43" t="e">
        <f>IF(BZ$1,SUMIFS('BalSht Data'!$H$2:$H$2050,'BalSht Data'!$G$2:$G$2050,$A29,'BalSht Data'!$A$2:$A$2050,BZ$1),#N/A)</f>
        <v>#N/A</v>
      </c>
      <c r="CA29" s="43" t="e">
        <f>IF(CA$1,SUMIFS('BalSht Data'!$H$2:$H$2050,'BalSht Data'!$G$2:$G$2050,$A29,'BalSht Data'!$A$2:$A$2050,CA$1),#N/A)</f>
        <v>#N/A</v>
      </c>
      <c r="CB29" s="43" t="e">
        <f>IF(CB$1,SUMIFS('BalSht Data'!$H$2:$H$2050,'BalSht Data'!$G$2:$G$2050,$A29,'BalSht Data'!$A$2:$A$2050,CB$1),#N/A)</f>
        <v>#N/A</v>
      </c>
      <c r="CC29" s="43" t="e">
        <f>IF(CC$1,SUMIFS('BalSht Data'!$H$2:$H$2050,'BalSht Data'!$G$2:$G$2050,$A29,'BalSht Data'!$A$2:$A$2050,CC$1),#N/A)</f>
        <v>#N/A</v>
      </c>
      <c r="CD29" s="43" t="e">
        <f>IF(CD$1,SUMIFS('BalSht Data'!$H$2:$H$2050,'BalSht Data'!$G$2:$G$2050,$A29,'BalSht Data'!$A$2:$A$2050,CD$1),#N/A)</f>
        <v>#N/A</v>
      </c>
      <c r="CE29" s="43" t="e">
        <f>IF(CE$1,SUMIFS('BalSht Data'!$H$2:$H$2050,'BalSht Data'!$G$2:$G$2050,$A29,'BalSht Data'!$A$2:$A$2050,CE$1),#N/A)</f>
        <v>#N/A</v>
      </c>
      <c r="CF29" s="43" t="e">
        <f>IF(CF$1,SUMIFS('BalSht Data'!$H$2:$H$2050,'BalSht Data'!$G$2:$G$2050,$A29,'BalSht Data'!$A$2:$A$2050,CF$1),#N/A)</f>
        <v>#N/A</v>
      </c>
      <c r="CG29" s="43" t="e">
        <f>IF(CG$1,SUMIFS('BalSht Data'!$H$2:$H$2050,'BalSht Data'!$G$2:$G$2050,$A29,'BalSht Data'!$A$2:$A$2050,CG$1),#N/A)</f>
        <v>#N/A</v>
      </c>
      <c r="CH29" s="43" t="e">
        <f>IF(CH$1,SUMIFS('BalSht Data'!$H$2:$H$2050,'BalSht Data'!$G$2:$G$2050,$A29,'BalSht Data'!$A$2:$A$2050,CH$1),#N/A)</f>
        <v>#N/A</v>
      </c>
      <c r="CI29" s="43" t="e">
        <f>IF(CI$1,SUMIFS('BalSht Data'!$H$2:$H$2050,'BalSht Data'!$G$2:$G$2050,$A29,'BalSht Data'!$A$2:$A$2050,CI$1),#N/A)</f>
        <v>#N/A</v>
      </c>
      <c r="CJ29" s="43" t="e">
        <f>IF(CJ$1,SUMIFS('BalSht Data'!$H$2:$H$2050,'BalSht Data'!$G$2:$G$2050,$A29,'BalSht Data'!$A$2:$A$2050,CJ$1),#N/A)</f>
        <v>#N/A</v>
      </c>
      <c r="CK29" s="43" t="e">
        <f>IF(CK$1,SUMIFS('BalSht Data'!$H$2:$H$2050,'BalSht Data'!$G$2:$G$2050,$A29,'BalSht Data'!$A$2:$A$2050,CK$1),#N/A)</f>
        <v>#N/A</v>
      </c>
      <c r="CL29" s="43" t="e">
        <f>IF(CL$1,SUMIFS('BalSht Data'!$H$2:$H$2050,'BalSht Data'!$G$2:$G$2050,$A29,'BalSht Data'!$A$2:$A$2050,CL$1),#N/A)</f>
        <v>#N/A</v>
      </c>
      <c r="CM29" s="43" t="e">
        <f>IF(CM$1,SUMIFS('BalSht Data'!$H$2:$H$2050,'BalSht Data'!$G$2:$G$2050,$A29,'BalSht Data'!$A$2:$A$2050,CM$1),#N/A)</f>
        <v>#N/A</v>
      </c>
      <c r="CN29" s="43" t="e">
        <f>IF(CN$1,SUMIFS('BalSht Data'!$H$2:$H$2050,'BalSht Data'!$G$2:$G$2050,$A29,'BalSht Data'!$A$2:$A$2050,CN$1),#N/A)</f>
        <v>#N/A</v>
      </c>
      <c r="CO29" s="43" t="e">
        <f>IF(CO$1,SUMIFS('BalSht Data'!$H$2:$H$2050,'BalSht Data'!$G$2:$G$2050,$A29,'BalSht Data'!$A$2:$A$2050,CO$1),#N/A)</f>
        <v>#N/A</v>
      </c>
      <c r="CP29" s="43" t="e">
        <f>IF(CP$1,SUMIFS('BalSht Data'!$H$2:$H$2050,'BalSht Data'!$G$2:$G$2050,$A29,'BalSht Data'!$A$2:$A$2050,CP$1),#N/A)</f>
        <v>#N/A</v>
      </c>
      <c r="CQ29" s="43" t="e">
        <f>IF(CQ$1,SUMIFS('BalSht Data'!$H$2:$H$2050,'BalSht Data'!$G$2:$G$2050,$A29,'BalSht Data'!$A$2:$A$2050,CQ$1),#N/A)</f>
        <v>#N/A</v>
      </c>
      <c r="CR29" s="43" t="e">
        <f>IF(CR$1,SUMIFS('BalSht Data'!$H$2:$H$2050,'BalSht Data'!$G$2:$G$2050,$A29,'BalSht Data'!$A$2:$A$2050,CR$1),#N/A)</f>
        <v>#N/A</v>
      </c>
      <c r="CS29" s="43" t="e">
        <f>IF(CS$1,SUMIFS('BalSht Data'!$H$2:$H$2050,'BalSht Data'!$G$2:$G$2050,$A29,'BalSht Data'!$A$2:$A$2050,CS$1),#N/A)</f>
        <v>#N/A</v>
      </c>
      <c r="CT29" s="43" t="e">
        <f>IF(CT$1,SUMIFS('BalSht Data'!$H$2:$H$2050,'BalSht Data'!$G$2:$G$2050,$A29,'BalSht Data'!$A$2:$A$2050,CT$1),#N/A)</f>
        <v>#N/A</v>
      </c>
      <c r="CU29" s="43" t="e">
        <f>IF(CU$1,SUMIFS('BalSht Data'!$H$2:$H$2050,'BalSht Data'!$G$2:$G$2050,$A29,'BalSht Data'!$A$2:$A$2050,CU$1),#N/A)</f>
        <v>#N/A</v>
      </c>
      <c r="CV29" s="43" t="e">
        <f>IF(CV$1,SUMIFS('BalSht Data'!$H$2:$H$2050,'BalSht Data'!$G$2:$G$2050,$A29,'BalSht Data'!$A$2:$A$2050,CV$1),#N/A)</f>
        <v>#N/A</v>
      </c>
      <c r="CW29" s="43" t="e">
        <f>IF(CW$1,SUMIFS('BalSht Data'!$H$2:$H$2050,'BalSht Data'!$G$2:$G$2050,$A29,'BalSht Data'!$A$2:$A$2050,CW$1),#N/A)</f>
        <v>#N/A</v>
      </c>
      <c r="CX29" s="43" t="e">
        <f>IF(CX$1,SUMIFS('BalSht Data'!$H$2:$H$2050,'BalSht Data'!$G$2:$G$2050,$A29,'BalSht Data'!$A$2:$A$2050,CX$1),#N/A)</f>
        <v>#N/A</v>
      </c>
      <c r="CY29" s="43" t="e">
        <f>IF(CY$1,SUMIFS('BalSht Data'!$H$2:$H$2050,'BalSht Data'!$G$2:$G$2050,$A29,'BalSht Data'!$A$2:$A$2050,CY$1),#N/A)</f>
        <v>#N/A</v>
      </c>
      <c r="CZ29" s="43" t="e">
        <f>IF(CZ$1,SUMIFS('BalSht Data'!$H$2:$H$2050,'BalSht Data'!$G$2:$G$2050,$A29,'BalSht Data'!$A$2:$A$2050,CZ$1),#N/A)</f>
        <v>#N/A</v>
      </c>
      <c r="DA29" s="43">
        <f>SUM(B29:AJ29)</f>
        <v>509743</v>
      </c>
    </row>
    <row r="30" spans="1:105" s="40" customFormat="1" x14ac:dyDescent="0.2">
      <c r="A30" s="52" t="s">
        <v>17</v>
      </c>
      <c r="B30" s="43">
        <f>IF(B$1,SUMIFS('BalSht Data'!$H$2:$H$2050,'BalSht Data'!$G$2:$G$2050,$A30,'BalSht Data'!$A$2:$A$2050,B$1),#N/A)</f>
        <v>0</v>
      </c>
      <c r="C30" s="43">
        <f>IF(C$1,SUMIFS('BalSht Data'!$H$2:$H$2050,'BalSht Data'!$G$2:$G$2050,$A30,'BalSht Data'!$A$2:$A$2050,C$1),#N/A)</f>
        <v>0</v>
      </c>
      <c r="D30" s="43">
        <f>IF(D$1,SUMIFS('BalSht Data'!$H$2:$H$2050,'BalSht Data'!$G$2:$G$2050,$A30,'BalSht Data'!$A$2:$A$2050,D$1),#N/A)</f>
        <v>0</v>
      </c>
      <c r="E30" s="43">
        <f>IF(E$1,SUMIFS('BalSht Data'!$H$2:$H$2050,'BalSht Data'!$G$2:$G$2050,$A30,'BalSht Data'!$A$2:$A$2050,E$1),#N/A)</f>
        <v>0</v>
      </c>
      <c r="F30" s="43">
        <f>IF(F$1,SUMIFS('BalSht Data'!$H$2:$H$2050,'BalSht Data'!$G$2:$G$2050,$A30,'BalSht Data'!$A$2:$A$2050,F$1),#N/A)</f>
        <v>0</v>
      </c>
      <c r="G30" s="43">
        <f>IF(G$1,SUMIFS('BalSht Data'!$H$2:$H$2050,'BalSht Data'!$G$2:$G$2050,$A30,'BalSht Data'!$A$2:$A$2050,G$1),#N/A)</f>
        <v>0</v>
      </c>
      <c r="H30" s="43">
        <f>IF(H$1,SUMIFS('BalSht Data'!$H$2:$H$2050,'BalSht Data'!$G$2:$G$2050,$A30,'BalSht Data'!$A$2:$A$2050,H$1),#N/A)</f>
        <v>0</v>
      </c>
      <c r="I30" s="43">
        <f>IF(I$1,SUMIFS('BalSht Data'!$H$2:$H$2050,'BalSht Data'!$G$2:$G$2050,$A30,'BalSht Data'!$A$2:$A$2050,I$1),#N/A)</f>
        <v>0</v>
      </c>
      <c r="J30" s="43">
        <f>IF(J$1,SUMIFS('BalSht Data'!$H$2:$H$2050,'BalSht Data'!$G$2:$G$2050,$A30,'BalSht Data'!$A$2:$A$2050,J$1),#N/A)</f>
        <v>0</v>
      </c>
      <c r="K30" s="43">
        <f>IF(K$1,SUMIFS('BalSht Data'!$H$2:$H$2050,'BalSht Data'!$G$2:$G$2050,$A30,'BalSht Data'!$A$2:$A$2050,K$1),#N/A)</f>
        <v>0</v>
      </c>
      <c r="L30" s="43">
        <f>IF(L$1,SUMIFS('BalSht Data'!$H$2:$H$2050,'BalSht Data'!$G$2:$G$2050,$A30,'BalSht Data'!$A$2:$A$2050,L$1),#N/A)</f>
        <v>0</v>
      </c>
      <c r="M30" s="43">
        <f>IF(M$1,SUMIFS('BalSht Data'!$H$2:$H$2050,'BalSht Data'!$G$2:$G$2050,$A30,'BalSht Data'!$A$2:$A$2050,M$1),#N/A)</f>
        <v>0</v>
      </c>
      <c r="N30" s="43">
        <f>IF(N$1,SUMIFS('BalSht Data'!$H$2:$H$2050,'BalSht Data'!$G$2:$G$2050,$A30,'BalSht Data'!$A$2:$A$2050,N$1),#N/A)</f>
        <v>0</v>
      </c>
      <c r="O30" s="43">
        <f>IF(O$1,SUMIFS('BalSht Data'!$H$2:$H$2050,'BalSht Data'!$G$2:$G$2050,$A30,'BalSht Data'!$A$2:$A$2050,O$1),#N/A)</f>
        <v>0</v>
      </c>
      <c r="P30" s="43">
        <f>IF(P$1,SUMIFS('BalSht Data'!$H$2:$H$2050,'BalSht Data'!$G$2:$G$2050,$A30,'BalSht Data'!$A$2:$A$2050,P$1),#N/A)</f>
        <v>0</v>
      </c>
      <c r="Q30" s="43">
        <f>IF(Q$1,SUMIFS('BalSht Data'!$H$2:$H$2050,'BalSht Data'!$G$2:$G$2050,$A30,'BalSht Data'!$A$2:$A$2050,Q$1),#N/A)</f>
        <v>0</v>
      </c>
      <c r="R30" s="43">
        <f>IF(R$1,SUMIFS('BalSht Data'!$H$2:$H$2050,'BalSht Data'!$G$2:$G$2050,$A30,'BalSht Data'!$A$2:$A$2050,R$1),#N/A)</f>
        <v>0</v>
      </c>
      <c r="S30" s="43">
        <f>IF(S$1,SUMIFS('BalSht Data'!$H$2:$H$2050,'BalSht Data'!$G$2:$G$2050,$A30,'BalSht Data'!$A$2:$A$2050,S$1),#N/A)</f>
        <v>0</v>
      </c>
      <c r="T30" s="43">
        <f>IF(T$1,SUMIFS('BalSht Data'!$H$2:$H$2050,'BalSht Data'!$G$2:$G$2050,$A30,'BalSht Data'!$A$2:$A$2050,T$1),#N/A)</f>
        <v>0</v>
      </c>
      <c r="U30" s="43">
        <f>IF(U$1,SUMIFS('BalSht Data'!$H$2:$H$2050,'BalSht Data'!$G$2:$G$2050,$A30,'BalSht Data'!$A$2:$A$2050,U$1),#N/A)</f>
        <v>0</v>
      </c>
      <c r="V30" s="43">
        <f>IF(V$1,SUMIFS('BalSht Data'!$H$2:$H$2050,'BalSht Data'!$G$2:$G$2050,$A30,'BalSht Data'!$A$2:$A$2050,V$1),#N/A)</f>
        <v>0</v>
      </c>
      <c r="W30" s="43">
        <f>IF(W$1,SUMIFS('BalSht Data'!$H$2:$H$2050,'BalSht Data'!$G$2:$G$2050,$A30,'BalSht Data'!$A$2:$A$2050,W$1),#N/A)</f>
        <v>0</v>
      </c>
      <c r="X30" s="43">
        <f>IF(X$1,SUMIFS('BalSht Data'!$H$2:$H$2050,'BalSht Data'!$G$2:$G$2050,$A30,'BalSht Data'!$A$2:$A$2050,X$1),#N/A)</f>
        <v>0</v>
      </c>
      <c r="Y30" s="43">
        <f>IF(Y$1,SUMIFS('BalSht Data'!$H$2:$H$2050,'BalSht Data'!$G$2:$G$2050,$A30,'BalSht Data'!$A$2:$A$2050,Y$1),#N/A)</f>
        <v>0</v>
      </c>
      <c r="Z30" s="43">
        <f>IF(Z$1,SUMIFS('BalSht Data'!$H$2:$H$2050,'BalSht Data'!$G$2:$G$2050,$A30,'BalSht Data'!$A$2:$A$2050,Z$1),#N/A)</f>
        <v>0</v>
      </c>
      <c r="AA30" s="43">
        <f>IF(AA$1,SUMIFS('BalSht Data'!$H$2:$H$2050,'BalSht Data'!$G$2:$G$2050,$A30,'BalSht Data'!$A$2:$A$2050,AA$1),#N/A)</f>
        <v>0</v>
      </c>
      <c r="AB30" s="43">
        <f>IF(AB$1,SUMIFS('BalSht Data'!$H$2:$H$2050,'BalSht Data'!$G$2:$G$2050,$A30,'BalSht Data'!$A$2:$A$2050,AB$1),#N/A)</f>
        <v>0</v>
      </c>
      <c r="AC30" s="43">
        <f>IF(AC$1,SUMIFS('BalSht Data'!$H$2:$H$2050,'BalSht Data'!$G$2:$G$2050,$A30,'BalSht Data'!$A$2:$A$2050,AC$1),#N/A)</f>
        <v>0</v>
      </c>
      <c r="AD30" s="43">
        <f>IF(AD$1,SUMIFS('BalSht Data'!$H$2:$H$2050,'BalSht Data'!$G$2:$G$2050,$A30,'BalSht Data'!$A$2:$A$2050,AD$1),#N/A)</f>
        <v>0</v>
      </c>
      <c r="AE30" s="43">
        <f>IF(AE$1,SUMIFS('BalSht Data'!$H$2:$H$2050,'BalSht Data'!$G$2:$G$2050,$A30,'BalSht Data'!$A$2:$A$2050,AE$1),#N/A)</f>
        <v>0</v>
      </c>
      <c r="AF30" s="43">
        <f>IF(AF$1,SUMIFS('BalSht Data'!$H$2:$H$2050,'BalSht Data'!$G$2:$G$2050,$A30,'BalSht Data'!$A$2:$A$2050,AF$1),#N/A)</f>
        <v>0</v>
      </c>
      <c r="AG30" s="43">
        <f>IF(AG$1,SUMIFS('BalSht Data'!$H$2:$H$2050,'BalSht Data'!$G$2:$G$2050,$A30,'BalSht Data'!$A$2:$A$2050,AG$1),#N/A)</f>
        <v>0</v>
      </c>
      <c r="AH30" s="43">
        <f>IF(AH$1,SUMIFS('BalSht Data'!$H$2:$H$2050,'BalSht Data'!$G$2:$G$2050,$A30,'BalSht Data'!$A$2:$A$2050,AH$1),#N/A)</f>
        <v>0</v>
      </c>
      <c r="AI30" s="43">
        <f>IF(AI$1,SUMIFS('BalSht Data'!$H$2:$H$2050,'BalSht Data'!$G$2:$G$2050,$A30,'BalSht Data'!$A$2:$A$2050,AI$1),#N/A)</f>
        <v>0</v>
      </c>
      <c r="AJ30" s="43">
        <f>IF(AJ$1,SUMIFS('BalSht Data'!$H$2:$H$2050,'BalSht Data'!$G$2:$G$2050,$A30,'BalSht Data'!$A$2:$A$2050,AJ$1),#N/A)</f>
        <v>0</v>
      </c>
      <c r="AK30" s="43" t="e">
        <f>IF(AK$1,SUMIFS('BalSht Data'!$H$2:$H$2050,'BalSht Data'!$G$2:$G$2050,$A30,'BalSht Data'!$A$2:$A$2050,AK$1),#N/A)</f>
        <v>#N/A</v>
      </c>
      <c r="AL30" s="43" t="e">
        <f>IF(AL$1,SUMIFS('BalSht Data'!$H$2:$H$2050,'BalSht Data'!$G$2:$G$2050,$A30,'BalSht Data'!$A$2:$A$2050,AL$1),#N/A)</f>
        <v>#N/A</v>
      </c>
      <c r="AM30" s="43" t="e">
        <f>IF(AM$1,SUMIFS('BalSht Data'!$H$2:$H$2050,'BalSht Data'!$G$2:$G$2050,$A30,'BalSht Data'!$A$2:$A$2050,AM$1),#N/A)</f>
        <v>#N/A</v>
      </c>
      <c r="AN30" s="43" t="e">
        <f>IF(AN$1,SUMIFS('BalSht Data'!$H$2:$H$2050,'BalSht Data'!$G$2:$G$2050,$A30,'BalSht Data'!$A$2:$A$2050,AN$1),#N/A)</f>
        <v>#N/A</v>
      </c>
      <c r="AO30" s="43" t="e">
        <f>IF(AO$1,SUMIFS('BalSht Data'!$H$2:$H$2050,'BalSht Data'!$G$2:$G$2050,$A30,'BalSht Data'!$A$2:$A$2050,AO$1),#N/A)</f>
        <v>#N/A</v>
      </c>
      <c r="AP30" s="43" t="e">
        <f>IF(AP$1,SUMIFS('BalSht Data'!$H$2:$H$2050,'BalSht Data'!$G$2:$G$2050,$A30,'BalSht Data'!$A$2:$A$2050,AP$1),#N/A)</f>
        <v>#N/A</v>
      </c>
      <c r="AQ30" s="43" t="e">
        <f>IF(AQ$1,SUMIFS('BalSht Data'!$H$2:$H$2050,'BalSht Data'!$G$2:$G$2050,$A30,'BalSht Data'!$A$2:$A$2050,AQ$1),#N/A)</f>
        <v>#N/A</v>
      </c>
      <c r="AR30" s="43" t="e">
        <f>IF(AR$1,SUMIFS('BalSht Data'!$H$2:$H$2050,'BalSht Data'!$G$2:$G$2050,$A30,'BalSht Data'!$A$2:$A$2050,AR$1),#N/A)</f>
        <v>#N/A</v>
      </c>
      <c r="AS30" s="43" t="e">
        <f>IF(AS$1,SUMIFS('BalSht Data'!$H$2:$H$2050,'BalSht Data'!$G$2:$G$2050,$A30,'BalSht Data'!$A$2:$A$2050,AS$1),#N/A)</f>
        <v>#N/A</v>
      </c>
      <c r="AT30" s="43" t="e">
        <f>IF(AT$1,SUMIFS('BalSht Data'!$H$2:$H$2050,'BalSht Data'!$G$2:$G$2050,$A30,'BalSht Data'!$A$2:$A$2050,AT$1),#N/A)</f>
        <v>#N/A</v>
      </c>
      <c r="AU30" s="43" t="e">
        <f>IF(AU$1,SUMIFS('BalSht Data'!$H$2:$H$2050,'BalSht Data'!$G$2:$G$2050,$A30,'BalSht Data'!$A$2:$A$2050,AU$1),#N/A)</f>
        <v>#N/A</v>
      </c>
      <c r="AV30" s="43" t="e">
        <f>IF(AV$1,SUMIFS('BalSht Data'!$H$2:$H$2050,'BalSht Data'!$G$2:$G$2050,$A30,'BalSht Data'!$A$2:$A$2050,AV$1),#N/A)</f>
        <v>#N/A</v>
      </c>
      <c r="AW30" s="43" t="e">
        <f>IF(AW$1,SUMIFS('BalSht Data'!$H$2:$H$2050,'BalSht Data'!$G$2:$G$2050,$A30,'BalSht Data'!$A$2:$A$2050,AW$1),#N/A)</f>
        <v>#N/A</v>
      </c>
      <c r="AX30" s="43" t="e">
        <f>IF(AX$1,SUMIFS('BalSht Data'!$H$2:$H$2050,'BalSht Data'!$G$2:$G$2050,$A30,'BalSht Data'!$A$2:$A$2050,AX$1),#N/A)</f>
        <v>#N/A</v>
      </c>
      <c r="AY30" s="43" t="e">
        <f>IF(AY$1,SUMIFS('BalSht Data'!$H$2:$H$2050,'BalSht Data'!$G$2:$G$2050,$A30,'BalSht Data'!$A$2:$A$2050,AY$1),#N/A)</f>
        <v>#N/A</v>
      </c>
      <c r="AZ30" s="43" t="e">
        <f>IF(AZ$1,SUMIFS('BalSht Data'!$H$2:$H$2050,'BalSht Data'!$G$2:$G$2050,$A30,'BalSht Data'!$A$2:$A$2050,AZ$1),#N/A)</f>
        <v>#N/A</v>
      </c>
      <c r="BA30" s="43" t="e">
        <f>IF(BA$1,SUMIFS('BalSht Data'!$H$2:$H$2050,'BalSht Data'!$G$2:$G$2050,$A30,'BalSht Data'!$A$2:$A$2050,BA$1),#N/A)</f>
        <v>#N/A</v>
      </c>
      <c r="BB30" s="43" t="e">
        <f>IF(BB$1,SUMIFS('BalSht Data'!$H$2:$H$2050,'BalSht Data'!$G$2:$G$2050,$A30,'BalSht Data'!$A$2:$A$2050,BB$1),#N/A)</f>
        <v>#N/A</v>
      </c>
      <c r="BC30" s="43" t="e">
        <f>IF(BC$1,SUMIFS('BalSht Data'!$H$2:$H$2050,'BalSht Data'!$G$2:$G$2050,$A30,'BalSht Data'!$A$2:$A$2050,BC$1),#N/A)</f>
        <v>#N/A</v>
      </c>
      <c r="BD30" s="43" t="e">
        <f>IF(BD$1,SUMIFS('BalSht Data'!$H$2:$H$2050,'BalSht Data'!$G$2:$G$2050,$A30,'BalSht Data'!$A$2:$A$2050,BD$1),#N/A)</f>
        <v>#N/A</v>
      </c>
      <c r="BE30" s="43" t="e">
        <f>IF(BE$1,SUMIFS('BalSht Data'!$H$2:$H$2050,'BalSht Data'!$G$2:$G$2050,$A30,'BalSht Data'!$A$2:$A$2050,BE$1),#N/A)</f>
        <v>#N/A</v>
      </c>
      <c r="BF30" s="43" t="e">
        <f>IF(BF$1,SUMIFS('BalSht Data'!$H$2:$H$2050,'BalSht Data'!$G$2:$G$2050,$A30,'BalSht Data'!$A$2:$A$2050,BF$1),#N/A)</f>
        <v>#N/A</v>
      </c>
      <c r="BG30" s="43" t="e">
        <f>IF(BG$1,SUMIFS('BalSht Data'!$H$2:$H$2050,'BalSht Data'!$G$2:$G$2050,$A30,'BalSht Data'!$A$2:$A$2050,BG$1),#N/A)</f>
        <v>#N/A</v>
      </c>
      <c r="BH30" s="43" t="e">
        <f>IF(BH$1,SUMIFS('BalSht Data'!$H$2:$H$2050,'BalSht Data'!$G$2:$G$2050,$A30,'BalSht Data'!$A$2:$A$2050,BH$1),#N/A)</f>
        <v>#N/A</v>
      </c>
      <c r="BI30" s="43" t="e">
        <f>IF(BI$1,SUMIFS('BalSht Data'!$H$2:$H$2050,'BalSht Data'!$G$2:$G$2050,$A30,'BalSht Data'!$A$2:$A$2050,BI$1),#N/A)</f>
        <v>#N/A</v>
      </c>
      <c r="BJ30" s="43" t="e">
        <f>IF(BJ$1,SUMIFS('BalSht Data'!$H$2:$H$2050,'BalSht Data'!$G$2:$G$2050,$A30,'BalSht Data'!$A$2:$A$2050,BJ$1),#N/A)</f>
        <v>#N/A</v>
      </c>
      <c r="BK30" s="43" t="e">
        <f>IF(BK$1,SUMIFS('BalSht Data'!$H$2:$H$2050,'BalSht Data'!$G$2:$G$2050,$A30,'BalSht Data'!$A$2:$A$2050,BK$1),#N/A)</f>
        <v>#N/A</v>
      </c>
      <c r="BL30" s="43" t="e">
        <f>IF(BL$1,SUMIFS('BalSht Data'!$H$2:$H$2050,'BalSht Data'!$G$2:$G$2050,$A30,'BalSht Data'!$A$2:$A$2050,BL$1),#N/A)</f>
        <v>#N/A</v>
      </c>
      <c r="BM30" s="43" t="e">
        <f>IF(BM$1,SUMIFS('BalSht Data'!$H$2:$H$2050,'BalSht Data'!$G$2:$G$2050,$A30,'BalSht Data'!$A$2:$A$2050,BM$1),#N/A)</f>
        <v>#N/A</v>
      </c>
      <c r="BN30" s="43" t="e">
        <f>IF(BN$1,SUMIFS('BalSht Data'!$H$2:$H$2050,'BalSht Data'!$G$2:$G$2050,$A30,'BalSht Data'!$A$2:$A$2050,BN$1),#N/A)</f>
        <v>#N/A</v>
      </c>
      <c r="BO30" s="43" t="e">
        <f>IF(BO$1,SUMIFS('BalSht Data'!$H$2:$H$2050,'BalSht Data'!$G$2:$G$2050,$A30,'BalSht Data'!$A$2:$A$2050,BO$1),#N/A)</f>
        <v>#N/A</v>
      </c>
      <c r="BP30" s="43" t="e">
        <f>IF(BP$1,SUMIFS('BalSht Data'!$H$2:$H$2050,'BalSht Data'!$G$2:$G$2050,$A30,'BalSht Data'!$A$2:$A$2050,BP$1),#N/A)</f>
        <v>#N/A</v>
      </c>
      <c r="BQ30" s="43" t="e">
        <f>IF(BQ$1,SUMIFS('BalSht Data'!$H$2:$H$2050,'BalSht Data'!$G$2:$G$2050,$A30,'BalSht Data'!$A$2:$A$2050,BQ$1),#N/A)</f>
        <v>#N/A</v>
      </c>
      <c r="BR30" s="43" t="e">
        <f>IF(BR$1,SUMIFS('BalSht Data'!$H$2:$H$2050,'BalSht Data'!$G$2:$G$2050,$A30,'BalSht Data'!$A$2:$A$2050,BR$1),#N/A)</f>
        <v>#N/A</v>
      </c>
      <c r="BS30" s="43" t="e">
        <f>IF(BS$1,SUMIFS('BalSht Data'!$H$2:$H$2050,'BalSht Data'!$G$2:$G$2050,$A30,'BalSht Data'!$A$2:$A$2050,BS$1),#N/A)</f>
        <v>#N/A</v>
      </c>
      <c r="BT30" s="43" t="e">
        <f>IF(BT$1,SUMIFS('BalSht Data'!$H$2:$H$2050,'BalSht Data'!$G$2:$G$2050,$A30,'BalSht Data'!$A$2:$A$2050,BT$1),#N/A)</f>
        <v>#N/A</v>
      </c>
      <c r="BU30" s="43" t="e">
        <f>IF(BU$1,SUMIFS('BalSht Data'!$H$2:$H$2050,'BalSht Data'!$G$2:$G$2050,$A30,'BalSht Data'!$A$2:$A$2050,BU$1),#N/A)</f>
        <v>#N/A</v>
      </c>
      <c r="BV30" s="43" t="e">
        <f>IF(BV$1,SUMIFS('BalSht Data'!$H$2:$H$2050,'BalSht Data'!$G$2:$G$2050,$A30,'BalSht Data'!$A$2:$A$2050,BV$1),#N/A)</f>
        <v>#N/A</v>
      </c>
      <c r="BW30" s="43" t="e">
        <f>IF(BW$1,SUMIFS('BalSht Data'!$H$2:$H$2050,'BalSht Data'!$G$2:$G$2050,$A30,'BalSht Data'!$A$2:$A$2050,BW$1),#N/A)</f>
        <v>#N/A</v>
      </c>
      <c r="BX30" s="43" t="e">
        <f>IF(BX$1,SUMIFS('BalSht Data'!$H$2:$H$2050,'BalSht Data'!$G$2:$G$2050,$A30,'BalSht Data'!$A$2:$A$2050,BX$1),#N/A)</f>
        <v>#N/A</v>
      </c>
      <c r="BY30" s="43" t="e">
        <f>IF(BY$1,SUMIFS('BalSht Data'!$H$2:$H$2050,'BalSht Data'!$G$2:$G$2050,$A30,'BalSht Data'!$A$2:$A$2050,BY$1),#N/A)</f>
        <v>#N/A</v>
      </c>
      <c r="BZ30" s="43" t="e">
        <f>IF(BZ$1,SUMIFS('BalSht Data'!$H$2:$H$2050,'BalSht Data'!$G$2:$G$2050,$A30,'BalSht Data'!$A$2:$A$2050,BZ$1),#N/A)</f>
        <v>#N/A</v>
      </c>
      <c r="CA30" s="43" t="e">
        <f>IF(CA$1,SUMIFS('BalSht Data'!$H$2:$H$2050,'BalSht Data'!$G$2:$G$2050,$A30,'BalSht Data'!$A$2:$A$2050,CA$1),#N/A)</f>
        <v>#N/A</v>
      </c>
      <c r="CB30" s="43" t="e">
        <f>IF(CB$1,SUMIFS('BalSht Data'!$H$2:$H$2050,'BalSht Data'!$G$2:$G$2050,$A30,'BalSht Data'!$A$2:$A$2050,CB$1),#N/A)</f>
        <v>#N/A</v>
      </c>
      <c r="CC30" s="43" t="e">
        <f>IF(CC$1,SUMIFS('BalSht Data'!$H$2:$H$2050,'BalSht Data'!$G$2:$G$2050,$A30,'BalSht Data'!$A$2:$A$2050,CC$1),#N/A)</f>
        <v>#N/A</v>
      </c>
      <c r="CD30" s="43" t="e">
        <f>IF(CD$1,SUMIFS('BalSht Data'!$H$2:$H$2050,'BalSht Data'!$G$2:$G$2050,$A30,'BalSht Data'!$A$2:$A$2050,CD$1),#N/A)</f>
        <v>#N/A</v>
      </c>
      <c r="CE30" s="43" t="e">
        <f>IF(CE$1,SUMIFS('BalSht Data'!$H$2:$H$2050,'BalSht Data'!$G$2:$G$2050,$A30,'BalSht Data'!$A$2:$A$2050,CE$1),#N/A)</f>
        <v>#N/A</v>
      </c>
      <c r="CF30" s="43" t="e">
        <f>IF(CF$1,SUMIFS('BalSht Data'!$H$2:$H$2050,'BalSht Data'!$G$2:$G$2050,$A30,'BalSht Data'!$A$2:$A$2050,CF$1),#N/A)</f>
        <v>#N/A</v>
      </c>
      <c r="CG30" s="43" t="e">
        <f>IF(CG$1,SUMIFS('BalSht Data'!$H$2:$H$2050,'BalSht Data'!$G$2:$G$2050,$A30,'BalSht Data'!$A$2:$A$2050,CG$1),#N/A)</f>
        <v>#N/A</v>
      </c>
      <c r="CH30" s="43" t="e">
        <f>IF(CH$1,SUMIFS('BalSht Data'!$H$2:$H$2050,'BalSht Data'!$G$2:$G$2050,$A30,'BalSht Data'!$A$2:$A$2050,CH$1),#N/A)</f>
        <v>#N/A</v>
      </c>
      <c r="CI30" s="43" t="e">
        <f>IF(CI$1,SUMIFS('BalSht Data'!$H$2:$H$2050,'BalSht Data'!$G$2:$G$2050,$A30,'BalSht Data'!$A$2:$A$2050,CI$1),#N/A)</f>
        <v>#N/A</v>
      </c>
      <c r="CJ30" s="43" t="e">
        <f>IF(CJ$1,SUMIFS('BalSht Data'!$H$2:$H$2050,'BalSht Data'!$G$2:$G$2050,$A30,'BalSht Data'!$A$2:$A$2050,CJ$1),#N/A)</f>
        <v>#N/A</v>
      </c>
      <c r="CK30" s="43" t="e">
        <f>IF(CK$1,SUMIFS('BalSht Data'!$H$2:$H$2050,'BalSht Data'!$G$2:$G$2050,$A30,'BalSht Data'!$A$2:$A$2050,CK$1),#N/A)</f>
        <v>#N/A</v>
      </c>
      <c r="CL30" s="43" t="e">
        <f>IF(CL$1,SUMIFS('BalSht Data'!$H$2:$H$2050,'BalSht Data'!$G$2:$G$2050,$A30,'BalSht Data'!$A$2:$A$2050,CL$1),#N/A)</f>
        <v>#N/A</v>
      </c>
      <c r="CM30" s="43" t="e">
        <f>IF(CM$1,SUMIFS('BalSht Data'!$H$2:$H$2050,'BalSht Data'!$G$2:$G$2050,$A30,'BalSht Data'!$A$2:$A$2050,CM$1),#N/A)</f>
        <v>#N/A</v>
      </c>
      <c r="CN30" s="43" t="e">
        <f>IF(CN$1,SUMIFS('BalSht Data'!$H$2:$H$2050,'BalSht Data'!$G$2:$G$2050,$A30,'BalSht Data'!$A$2:$A$2050,CN$1),#N/A)</f>
        <v>#N/A</v>
      </c>
      <c r="CO30" s="43" t="e">
        <f>IF(CO$1,SUMIFS('BalSht Data'!$H$2:$H$2050,'BalSht Data'!$G$2:$G$2050,$A30,'BalSht Data'!$A$2:$A$2050,CO$1),#N/A)</f>
        <v>#N/A</v>
      </c>
      <c r="CP30" s="43" t="e">
        <f>IF(CP$1,SUMIFS('BalSht Data'!$H$2:$H$2050,'BalSht Data'!$G$2:$G$2050,$A30,'BalSht Data'!$A$2:$A$2050,CP$1),#N/A)</f>
        <v>#N/A</v>
      </c>
      <c r="CQ30" s="43" t="e">
        <f>IF(CQ$1,SUMIFS('BalSht Data'!$H$2:$H$2050,'BalSht Data'!$G$2:$G$2050,$A30,'BalSht Data'!$A$2:$A$2050,CQ$1),#N/A)</f>
        <v>#N/A</v>
      </c>
      <c r="CR30" s="43" t="e">
        <f>IF(CR$1,SUMIFS('BalSht Data'!$H$2:$H$2050,'BalSht Data'!$G$2:$G$2050,$A30,'BalSht Data'!$A$2:$A$2050,CR$1),#N/A)</f>
        <v>#N/A</v>
      </c>
      <c r="CS30" s="43" t="e">
        <f>IF(CS$1,SUMIFS('BalSht Data'!$H$2:$H$2050,'BalSht Data'!$G$2:$G$2050,$A30,'BalSht Data'!$A$2:$A$2050,CS$1),#N/A)</f>
        <v>#N/A</v>
      </c>
      <c r="CT30" s="43" t="e">
        <f>IF(CT$1,SUMIFS('BalSht Data'!$H$2:$H$2050,'BalSht Data'!$G$2:$G$2050,$A30,'BalSht Data'!$A$2:$A$2050,CT$1),#N/A)</f>
        <v>#N/A</v>
      </c>
      <c r="CU30" s="43" t="e">
        <f>IF(CU$1,SUMIFS('BalSht Data'!$H$2:$H$2050,'BalSht Data'!$G$2:$G$2050,$A30,'BalSht Data'!$A$2:$A$2050,CU$1),#N/A)</f>
        <v>#N/A</v>
      </c>
      <c r="CV30" s="43" t="e">
        <f>IF(CV$1,SUMIFS('BalSht Data'!$H$2:$H$2050,'BalSht Data'!$G$2:$G$2050,$A30,'BalSht Data'!$A$2:$A$2050,CV$1),#N/A)</f>
        <v>#N/A</v>
      </c>
      <c r="CW30" s="43" t="e">
        <f>IF(CW$1,SUMIFS('BalSht Data'!$H$2:$H$2050,'BalSht Data'!$G$2:$G$2050,$A30,'BalSht Data'!$A$2:$A$2050,CW$1),#N/A)</f>
        <v>#N/A</v>
      </c>
      <c r="CX30" s="43" t="e">
        <f>IF(CX$1,SUMIFS('BalSht Data'!$H$2:$H$2050,'BalSht Data'!$G$2:$G$2050,$A30,'BalSht Data'!$A$2:$A$2050,CX$1),#N/A)</f>
        <v>#N/A</v>
      </c>
      <c r="CY30" s="43" t="e">
        <f>IF(CY$1,SUMIFS('BalSht Data'!$H$2:$H$2050,'BalSht Data'!$G$2:$G$2050,$A30,'BalSht Data'!$A$2:$A$2050,CY$1),#N/A)</f>
        <v>#N/A</v>
      </c>
      <c r="CZ30" s="43" t="e">
        <f>IF(CZ$1,SUMIFS('BalSht Data'!$H$2:$H$2050,'BalSht Data'!$G$2:$G$2050,$A30,'BalSht Data'!$A$2:$A$2050,CZ$1),#N/A)</f>
        <v>#N/A</v>
      </c>
      <c r="DA30" s="43">
        <f>SUM(B30:AJ30)</f>
        <v>0</v>
      </c>
    </row>
    <row r="31" spans="1:105" s="40" customFormat="1" x14ac:dyDescent="0.2">
      <c r="A31" s="52" t="s">
        <v>151</v>
      </c>
      <c r="B31" s="43">
        <f>IF(B$1,SUMIFS('BalSht Data'!$H$2:$H$2050,'BalSht Data'!$G$2:$G$2050,$A31,'BalSht Data'!$A$2:$A$2050,B$1),#N/A)</f>
        <v>0</v>
      </c>
      <c r="C31" s="43">
        <f>IF(C$1,SUMIFS('BalSht Data'!$H$2:$H$2050,'BalSht Data'!$G$2:$G$2050,$A31,'BalSht Data'!$A$2:$A$2050,C$1),#N/A)</f>
        <v>0</v>
      </c>
      <c r="D31" s="43">
        <f>IF(D$1,SUMIFS('BalSht Data'!$H$2:$H$2050,'BalSht Data'!$G$2:$G$2050,$A31,'BalSht Data'!$A$2:$A$2050,D$1),#N/A)</f>
        <v>0</v>
      </c>
      <c r="E31" s="43">
        <f>IF(E$1,SUMIFS('BalSht Data'!$H$2:$H$2050,'BalSht Data'!$G$2:$G$2050,$A31,'BalSht Data'!$A$2:$A$2050,E$1),#N/A)</f>
        <v>0</v>
      </c>
      <c r="F31" s="43">
        <f>IF(F$1,SUMIFS('BalSht Data'!$H$2:$H$2050,'BalSht Data'!$G$2:$G$2050,$A31,'BalSht Data'!$A$2:$A$2050,F$1),#N/A)</f>
        <v>0</v>
      </c>
      <c r="G31" s="43">
        <f>IF(G$1,SUMIFS('BalSht Data'!$H$2:$H$2050,'BalSht Data'!$G$2:$G$2050,$A31,'BalSht Data'!$A$2:$A$2050,G$1),#N/A)</f>
        <v>0</v>
      </c>
      <c r="H31" s="43">
        <f>IF(H$1,SUMIFS('BalSht Data'!$H$2:$H$2050,'BalSht Data'!$G$2:$G$2050,$A31,'BalSht Data'!$A$2:$A$2050,H$1),#N/A)</f>
        <v>0</v>
      </c>
      <c r="I31" s="43">
        <f>IF(I$1,SUMIFS('BalSht Data'!$H$2:$H$2050,'BalSht Data'!$G$2:$G$2050,$A31,'BalSht Data'!$A$2:$A$2050,I$1),#N/A)</f>
        <v>0</v>
      </c>
      <c r="J31" s="43">
        <f>IF(J$1,SUMIFS('BalSht Data'!$H$2:$H$2050,'BalSht Data'!$G$2:$G$2050,$A31,'BalSht Data'!$A$2:$A$2050,J$1),#N/A)</f>
        <v>0</v>
      </c>
      <c r="K31" s="43">
        <f>IF(K$1,SUMIFS('BalSht Data'!$H$2:$H$2050,'BalSht Data'!$G$2:$G$2050,$A31,'BalSht Data'!$A$2:$A$2050,K$1),#N/A)</f>
        <v>0</v>
      </c>
      <c r="L31" s="43">
        <f>IF(L$1,SUMIFS('BalSht Data'!$H$2:$H$2050,'BalSht Data'!$G$2:$G$2050,$A31,'BalSht Data'!$A$2:$A$2050,L$1),#N/A)</f>
        <v>0</v>
      </c>
      <c r="M31" s="43">
        <f>IF(M$1,SUMIFS('BalSht Data'!$H$2:$H$2050,'BalSht Data'!$G$2:$G$2050,$A31,'BalSht Data'!$A$2:$A$2050,M$1),#N/A)</f>
        <v>0</v>
      </c>
      <c r="N31" s="43">
        <f>IF(N$1,SUMIFS('BalSht Data'!$H$2:$H$2050,'BalSht Data'!$G$2:$G$2050,$A31,'BalSht Data'!$A$2:$A$2050,N$1),#N/A)</f>
        <v>0</v>
      </c>
      <c r="O31" s="43">
        <f>IF(O$1,SUMIFS('BalSht Data'!$H$2:$H$2050,'BalSht Data'!$G$2:$G$2050,$A31,'BalSht Data'!$A$2:$A$2050,O$1),#N/A)</f>
        <v>0</v>
      </c>
      <c r="P31" s="43">
        <f>IF(P$1,SUMIFS('BalSht Data'!$H$2:$H$2050,'BalSht Data'!$G$2:$G$2050,$A31,'BalSht Data'!$A$2:$A$2050,P$1),#N/A)</f>
        <v>0</v>
      </c>
      <c r="Q31" s="43">
        <f>IF(Q$1,SUMIFS('BalSht Data'!$H$2:$H$2050,'BalSht Data'!$G$2:$G$2050,$A31,'BalSht Data'!$A$2:$A$2050,Q$1),#N/A)</f>
        <v>0</v>
      </c>
      <c r="R31" s="43">
        <f>IF(R$1,SUMIFS('BalSht Data'!$H$2:$H$2050,'BalSht Data'!$G$2:$G$2050,$A31,'BalSht Data'!$A$2:$A$2050,R$1),#N/A)</f>
        <v>0</v>
      </c>
      <c r="S31" s="43">
        <f>IF(S$1,SUMIFS('BalSht Data'!$H$2:$H$2050,'BalSht Data'!$G$2:$G$2050,$A31,'BalSht Data'!$A$2:$A$2050,S$1),#N/A)</f>
        <v>0</v>
      </c>
      <c r="T31" s="43">
        <f>IF(T$1,SUMIFS('BalSht Data'!$H$2:$H$2050,'BalSht Data'!$G$2:$G$2050,$A31,'BalSht Data'!$A$2:$A$2050,T$1),#N/A)</f>
        <v>0</v>
      </c>
      <c r="U31" s="43">
        <f>IF(U$1,SUMIFS('BalSht Data'!$H$2:$H$2050,'BalSht Data'!$G$2:$G$2050,$A31,'BalSht Data'!$A$2:$A$2050,U$1),#N/A)</f>
        <v>0</v>
      </c>
      <c r="V31" s="43">
        <f>IF(V$1,SUMIFS('BalSht Data'!$H$2:$H$2050,'BalSht Data'!$G$2:$G$2050,$A31,'BalSht Data'!$A$2:$A$2050,V$1),#N/A)</f>
        <v>0</v>
      </c>
      <c r="W31" s="43">
        <f>IF(W$1,SUMIFS('BalSht Data'!$H$2:$H$2050,'BalSht Data'!$G$2:$G$2050,$A31,'BalSht Data'!$A$2:$A$2050,W$1),#N/A)</f>
        <v>0</v>
      </c>
      <c r="X31" s="43">
        <f>IF(X$1,SUMIFS('BalSht Data'!$H$2:$H$2050,'BalSht Data'!$G$2:$G$2050,$A31,'BalSht Data'!$A$2:$A$2050,X$1),#N/A)</f>
        <v>0</v>
      </c>
      <c r="Y31" s="43">
        <f>IF(Y$1,SUMIFS('BalSht Data'!$H$2:$H$2050,'BalSht Data'!$G$2:$G$2050,$A31,'BalSht Data'!$A$2:$A$2050,Y$1),#N/A)</f>
        <v>0</v>
      </c>
      <c r="Z31" s="43">
        <f>IF(Z$1,SUMIFS('BalSht Data'!$H$2:$H$2050,'BalSht Data'!$G$2:$G$2050,$A31,'BalSht Data'!$A$2:$A$2050,Z$1),#N/A)</f>
        <v>0</v>
      </c>
      <c r="AA31" s="43">
        <f>IF(AA$1,SUMIFS('BalSht Data'!$H$2:$H$2050,'BalSht Data'!$G$2:$G$2050,$A31,'BalSht Data'!$A$2:$A$2050,AA$1),#N/A)</f>
        <v>0</v>
      </c>
      <c r="AB31" s="43">
        <f>IF(AB$1,SUMIFS('BalSht Data'!$H$2:$H$2050,'BalSht Data'!$G$2:$G$2050,$A31,'BalSht Data'!$A$2:$A$2050,AB$1),#N/A)</f>
        <v>0</v>
      </c>
      <c r="AC31" s="43">
        <f>IF(AC$1,SUMIFS('BalSht Data'!$H$2:$H$2050,'BalSht Data'!$G$2:$G$2050,$A31,'BalSht Data'!$A$2:$A$2050,AC$1),#N/A)</f>
        <v>0</v>
      </c>
      <c r="AD31" s="43">
        <f>IF(AD$1,SUMIFS('BalSht Data'!$H$2:$H$2050,'BalSht Data'!$G$2:$G$2050,$A31,'BalSht Data'!$A$2:$A$2050,AD$1),#N/A)</f>
        <v>0</v>
      </c>
      <c r="AE31" s="43">
        <f>IF(AE$1,SUMIFS('BalSht Data'!$H$2:$H$2050,'BalSht Data'!$G$2:$G$2050,$A31,'BalSht Data'!$A$2:$A$2050,AE$1),#N/A)</f>
        <v>0</v>
      </c>
      <c r="AF31" s="43">
        <f>IF(AF$1,SUMIFS('BalSht Data'!$H$2:$H$2050,'BalSht Data'!$G$2:$G$2050,$A31,'BalSht Data'!$A$2:$A$2050,AF$1),#N/A)</f>
        <v>0</v>
      </c>
      <c r="AG31" s="43">
        <f>IF(AG$1,SUMIFS('BalSht Data'!$H$2:$H$2050,'BalSht Data'!$G$2:$G$2050,$A31,'BalSht Data'!$A$2:$A$2050,AG$1),#N/A)</f>
        <v>0</v>
      </c>
      <c r="AH31" s="43">
        <f>IF(AH$1,SUMIFS('BalSht Data'!$H$2:$H$2050,'BalSht Data'!$G$2:$G$2050,$A31,'BalSht Data'!$A$2:$A$2050,AH$1),#N/A)</f>
        <v>0</v>
      </c>
      <c r="AI31" s="43">
        <f>IF(AI$1,SUMIFS('BalSht Data'!$H$2:$H$2050,'BalSht Data'!$G$2:$G$2050,$A31,'BalSht Data'!$A$2:$A$2050,AI$1),#N/A)</f>
        <v>0</v>
      </c>
      <c r="AJ31" s="43">
        <f>IF(AJ$1,SUMIFS('BalSht Data'!$H$2:$H$2050,'BalSht Data'!$G$2:$G$2050,$A31,'BalSht Data'!$A$2:$A$2050,AJ$1),#N/A)</f>
        <v>0</v>
      </c>
      <c r="AK31" s="43" t="e">
        <f>IF(AK$1,SUMIFS('BalSht Data'!$H$2:$H$2050,'BalSht Data'!$G$2:$G$2050,$A31,'BalSht Data'!$A$2:$A$2050,AK$1),#N/A)</f>
        <v>#N/A</v>
      </c>
      <c r="AL31" s="43" t="e">
        <f>IF(AL$1,SUMIFS('BalSht Data'!$H$2:$H$2050,'BalSht Data'!$G$2:$G$2050,$A31,'BalSht Data'!$A$2:$A$2050,AL$1),#N/A)</f>
        <v>#N/A</v>
      </c>
      <c r="AM31" s="43" t="e">
        <f>IF(AM$1,SUMIFS('BalSht Data'!$H$2:$H$2050,'BalSht Data'!$G$2:$G$2050,$A31,'BalSht Data'!$A$2:$A$2050,AM$1),#N/A)</f>
        <v>#N/A</v>
      </c>
      <c r="AN31" s="43" t="e">
        <f>IF(AN$1,SUMIFS('BalSht Data'!$H$2:$H$2050,'BalSht Data'!$G$2:$G$2050,$A31,'BalSht Data'!$A$2:$A$2050,AN$1),#N/A)</f>
        <v>#N/A</v>
      </c>
      <c r="AO31" s="43" t="e">
        <f>IF(AO$1,SUMIFS('BalSht Data'!$H$2:$H$2050,'BalSht Data'!$G$2:$G$2050,$A31,'BalSht Data'!$A$2:$A$2050,AO$1),#N/A)</f>
        <v>#N/A</v>
      </c>
      <c r="AP31" s="43" t="e">
        <f>IF(AP$1,SUMIFS('BalSht Data'!$H$2:$H$2050,'BalSht Data'!$G$2:$G$2050,$A31,'BalSht Data'!$A$2:$A$2050,AP$1),#N/A)</f>
        <v>#N/A</v>
      </c>
      <c r="AQ31" s="43" t="e">
        <f>IF(AQ$1,SUMIFS('BalSht Data'!$H$2:$H$2050,'BalSht Data'!$G$2:$G$2050,$A31,'BalSht Data'!$A$2:$A$2050,AQ$1),#N/A)</f>
        <v>#N/A</v>
      </c>
      <c r="AR31" s="43" t="e">
        <f>IF(AR$1,SUMIFS('BalSht Data'!$H$2:$H$2050,'BalSht Data'!$G$2:$G$2050,$A31,'BalSht Data'!$A$2:$A$2050,AR$1),#N/A)</f>
        <v>#N/A</v>
      </c>
      <c r="AS31" s="43" t="e">
        <f>IF(AS$1,SUMIFS('BalSht Data'!$H$2:$H$2050,'BalSht Data'!$G$2:$G$2050,$A31,'BalSht Data'!$A$2:$A$2050,AS$1),#N/A)</f>
        <v>#N/A</v>
      </c>
      <c r="AT31" s="43" t="e">
        <f>IF(AT$1,SUMIFS('BalSht Data'!$H$2:$H$2050,'BalSht Data'!$G$2:$G$2050,$A31,'BalSht Data'!$A$2:$A$2050,AT$1),#N/A)</f>
        <v>#N/A</v>
      </c>
      <c r="AU31" s="43" t="e">
        <f>IF(AU$1,SUMIFS('BalSht Data'!$H$2:$H$2050,'BalSht Data'!$G$2:$G$2050,$A31,'BalSht Data'!$A$2:$A$2050,AU$1),#N/A)</f>
        <v>#N/A</v>
      </c>
      <c r="AV31" s="43" t="e">
        <f>IF(AV$1,SUMIFS('BalSht Data'!$H$2:$H$2050,'BalSht Data'!$G$2:$G$2050,$A31,'BalSht Data'!$A$2:$A$2050,AV$1),#N/A)</f>
        <v>#N/A</v>
      </c>
      <c r="AW31" s="43" t="e">
        <f>IF(AW$1,SUMIFS('BalSht Data'!$H$2:$H$2050,'BalSht Data'!$G$2:$G$2050,$A31,'BalSht Data'!$A$2:$A$2050,AW$1),#N/A)</f>
        <v>#N/A</v>
      </c>
      <c r="AX31" s="43" t="e">
        <f>IF(AX$1,SUMIFS('BalSht Data'!$H$2:$H$2050,'BalSht Data'!$G$2:$G$2050,$A31,'BalSht Data'!$A$2:$A$2050,AX$1),#N/A)</f>
        <v>#N/A</v>
      </c>
      <c r="AY31" s="43" t="e">
        <f>IF(AY$1,SUMIFS('BalSht Data'!$H$2:$H$2050,'BalSht Data'!$G$2:$G$2050,$A31,'BalSht Data'!$A$2:$A$2050,AY$1),#N/A)</f>
        <v>#N/A</v>
      </c>
      <c r="AZ31" s="43" t="e">
        <f>IF(AZ$1,SUMIFS('BalSht Data'!$H$2:$H$2050,'BalSht Data'!$G$2:$G$2050,$A31,'BalSht Data'!$A$2:$A$2050,AZ$1),#N/A)</f>
        <v>#N/A</v>
      </c>
      <c r="BA31" s="43" t="e">
        <f>IF(BA$1,SUMIFS('BalSht Data'!$H$2:$H$2050,'BalSht Data'!$G$2:$G$2050,$A31,'BalSht Data'!$A$2:$A$2050,BA$1),#N/A)</f>
        <v>#N/A</v>
      </c>
      <c r="BB31" s="43" t="e">
        <f>IF(BB$1,SUMIFS('BalSht Data'!$H$2:$H$2050,'BalSht Data'!$G$2:$G$2050,$A31,'BalSht Data'!$A$2:$A$2050,BB$1),#N/A)</f>
        <v>#N/A</v>
      </c>
      <c r="BC31" s="43" t="e">
        <f>IF(BC$1,SUMIFS('BalSht Data'!$H$2:$H$2050,'BalSht Data'!$G$2:$G$2050,$A31,'BalSht Data'!$A$2:$A$2050,BC$1),#N/A)</f>
        <v>#N/A</v>
      </c>
      <c r="BD31" s="43" t="e">
        <f>IF(BD$1,SUMIFS('BalSht Data'!$H$2:$H$2050,'BalSht Data'!$G$2:$G$2050,$A31,'BalSht Data'!$A$2:$A$2050,BD$1),#N/A)</f>
        <v>#N/A</v>
      </c>
      <c r="BE31" s="43" t="e">
        <f>IF(BE$1,SUMIFS('BalSht Data'!$H$2:$H$2050,'BalSht Data'!$G$2:$G$2050,$A31,'BalSht Data'!$A$2:$A$2050,BE$1),#N/A)</f>
        <v>#N/A</v>
      </c>
      <c r="BF31" s="43" t="e">
        <f>IF(BF$1,SUMIFS('BalSht Data'!$H$2:$H$2050,'BalSht Data'!$G$2:$G$2050,$A31,'BalSht Data'!$A$2:$A$2050,BF$1),#N/A)</f>
        <v>#N/A</v>
      </c>
      <c r="BG31" s="43" t="e">
        <f>IF(BG$1,SUMIFS('BalSht Data'!$H$2:$H$2050,'BalSht Data'!$G$2:$G$2050,$A31,'BalSht Data'!$A$2:$A$2050,BG$1),#N/A)</f>
        <v>#N/A</v>
      </c>
      <c r="BH31" s="43" t="e">
        <f>IF(BH$1,SUMIFS('BalSht Data'!$H$2:$H$2050,'BalSht Data'!$G$2:$G$2050,$A31,'BalSht Data'!$A$2:$A$2050,BH$1),#N/A)</f>
        <v>#N/A</v>
      </c>
      <c r="BI31" s="43" t="e">
        <f>IF(BI$1,SUMIFS('BalSht Data'!$H$2:$H$2050,'BalSht Data'!$G$2:$G$2050,$A31,'BalSht Data'!$A$2:$A$2050,BI$1),#N/A)</f>
        <v>#N/A</v>
      </c>
      <c r="BJ31" s="43" t="e">
        <f>IF(BJ$1,SUMIFS('BalSht Data'!$H$2:$H$2050,'BalSht Data'!$G$2:$G$2050,$A31,'BalSht Data'!$A$2:$A$2050,BJ$1),#N/A)</f>
        <v>#N/A</v>
      </c>
      <c r="BK31" s="43" t="e">
        <f>IF(BK$1,SUMIFS('BalSht Data'!$H$2:$H$2050,'BalSht Data'!$G$2:$G$2050,$A31,'BalSht Data'!$A$2:$A$2050,BK$1),#N/A)</f>
        <v>#N/A</v>
      </c>
      <c r="BL31" s="43" t="e">
        <f>IF(BL$1,SUMIFS('BalSht Data'!$H$2:$H$2050,'BalSht Data'!$G$2:$G$2050,$A31,'BalSht Data'!$A$2:$A$2050,BL$1),#N/A)</f>
        <v>#N/A</v>
      </c>
      <c r="BM31" s="43" t="e">
        <f>IF(BM$1,SUMIFS('BalSht Data'!$H$2:$H$2050,'BalSht Data'!$G$2:$G$2050,$A31,'BalSht Data'!$A$2:$A$2050,BM$1),#N/A)</f>
        <v>#N/A</v>
      </c>
      <c r="BN31" s="43" t="e">
        <f>IF(BN$1,SUMIFS('BalSht Data'!$H$2:$H$2050,'BalSht Data'!$G$2:$G$2050,$A31,'BalSht Data'!$A$2:$A$2050,BN$1),#N/A)</f>
        <v>#N/A</v>
      </c>
      <c r="BO31" s="43" t="e">
        <f>IF(BO$1,SUMIFS('BalSht Data'!$H$2:$H$2050,'BalSht Data'!$G$2:$G$2050,$A31,'BalSht Data'!$A$2:$A$2050,BO$1),#N/A)</f>
        <v>#N/A</v>
      </c>
      <c r="BP31" s="43" t="e">
        <f>IF(BP$1,SUMIFS('BalSht Data'!$H$2:$H$2050,'BalSht Data'!$G$2:$G$2050,$A31,'BalSht Data'!$A$2:$A$2050,BP$1),#N/A)</f>
        <v>#N/A</v>
      </c>
      <c r="BQ31" s="43" t="e">
        <f>IF(BQ$1,SUMIFS('BalSht Data'!$H$2:$H$2050,'BalSht Data'!$G$2:$G$2050,$A31,'BalSht Data'!$A$2:$A$2050,BQ$1),#N/A)</f>
        <v>#N/A</v>
      </c>
      <c r="BR31" s="43" t="e">
        <f>IF(BR$1,SUMIFS('BalSht Data'!$H$2:$H$2050,'BalSht Data'!$G$2:$G$2050,$A31,'BalSht Data'!$A$2:$A$2050,BR$1),#N/A)</f>
        <v>#N/A</v>
      </c>
      <c r="BS31" s="43" t="e">
        <f>IF(BS$1,SUMIFS('BalSht Data'!$H$2:$H$2050,'BalSht Data'!$G$2:$G$2050,$A31,'BalSht Data'!$A$2:$A$2050,BS$1),#N/A)</f>
        <v>#N/A</v>
      </c>
      <c r="BT31" s="43" t="e">
        <f>IF(BT$1,SUMIFS('BalSht Data'!$H$2:$H$2050,'BalSht Data'!$G$2:$G$2050,$A31,'BalSht Data'!$A$2:$A$2050,BT$1),#N/A)</f>
        <v>#N/A</v>
      </c>
      <c r="BU31" s="43" t="e">
        <f>IF(BU$1,SUMIFS('BalSht Data'!$H$2:$H$2050,'BalSht Data'!$G$2:$G$2050,$A31,'BalSht Data'!$A$2:$A$2050,BU$1),#N/A)</f>
        <v>#N/A</v>
      </c>
      <c r="BV31" s="43" t="e">
        <f>IF(BV$1,SUMIFS('BalSht Data'!$H$2:$H$2050,'BalSht Data'!$G$2:$G$2050,$A31,'BalSht Data'!$A$2:$A$2050,BV$1),#N/A)</f>
        <v>#N/A</v>
      </c>
      <c r="BW31" s="43" t="e">
        <f>IF(BW$1,SUMIFS('BalSht Data'!$H$2:$H$2050,'BalSht Data'!$G$2:$G$2050,$A31,'BalSht Data'!$A$2:$A$2050,BW$1),#N/A)</f>
        <v>#N/A</v>
      </c>
      <c r="BX31" s="43" t="e">
        <f>IF(BX$1,SUMIFS('BalSht Data'!$H$2:$H$2050,'BalSht Data'!$G$2:$G$2050,$A31,'BalSht Data'!$A$2:$A$2050,BX$1),#N/A)</f>
        <v>#N/A</v>
      </c>
      <c r="BY31" s="43" t="e">
        <f>IF(BY$1,SUMIFS('BalSht Data'!$H$2:$H$2050,'BalSht Data'!$G$2:$G$2050,$A31,'BalSht Data'!$A$2:$A$2050,BY$1),#N/A)</f>
        <v>#N/A</v>
      </c>
      <c r="BZ31" s="43" t="e">
        <f>IF(BZ$1,SUMIFS('BalSht Data'!$H$2:$H$2050,'BalSht Data'!$G$2:$G$2050,$A31,'BalSht Data'!$A$2:$A$2050,BZ$1),#N/A)</f>
        <v>#N/A</v>
      </c>
      <c r="CA31" s="43" t="e">
        <f>IF(CA$1,SUMIFS('BalSht Data'!$H$2:$H$2050,'BalSht Data'!$G$2:$G$2050,$A31,'BalSht Data'!$A$2:$A$2050,CA$1),#N/A)</f>
        <v>#N/A</v>
      </c>
      <c r="CB31" s="43" t="e">
        <f>IF(CB$1,SUMIFS('BalSht Data'!$H$2:$H$2050,'BalSht Data'!$G$2:$G$2050,$A31,'BalSht Data'!$A$2:$A$2050,CB$1),#N/A)</f>
        <v>#N/A</v>
      </c>
      <c r="CC31" s="43" t="e">
        <f>IF(CC$1,SUMIFS('BalSht Data'!$H$2:$H$2050,'BalSht Data'!$G$2:$G$2050,$A31,'BalSht Data'!$A$2:$A$2050,CC$1),#N/A)</f>
        <v>#N/A</v>
      </c>
      <c r="CD31" s="43" t="e">
        <f>IF(CD$1,SUMIFS('BalSht Data'!$H$2:$H$2050,'BalSht Data'!$G$2:$G$2050,$A31,'BalSht Data'!$A$2:$A$2050,CD$1),#N/A)</f>
        <v>#N/A</v>
      </c>
      <c r="CE31" s="43" t="e">
        <f>IF(CE$1,SUMIFS('BalSht Data'!$H$2:$H$2050,'BalSht Data'!$G$2:$G$2050,$A31,'BalSht Data'!$A$2:$A$2050,CE$1),#N/A)</f>
        <v>#N/A</v>
      </c>
      <c r="CF31" s="43" t="e">
        <f>IF(CF$1,SUMIFS('BalSht Data'!$H$2:$H$2050,'BalSht Data'!$G$2:$G$2050,$A31,'BalSht Data'!$A$2:$A$2050,CF$1),#N/A)</f>
        <v>#N/A</v>
      </c>
      <c r="CG31" s="43" t="e">
        <f>IF(CG$1,SUMIFS('BalSht Data'!$H$2:$H$2050,'BalSht Data'!$G$2:$G$2050,$A31,'BalSht Data'!$A$2:$A$2050,CG$1),#N/A)</f>
        <v>#N/A</v>
      </c>
      <c r="CH31" s="43" t="e">
        <f>IF(CH$1,SUMIFS('BalSht Data'!$H$2:$H$2050,'BalSht Data'!$G$2:$G$2050,$A31,'BalSht Data'!$A$2:$A$2050,CH$1),#N/A)</f>
        <v>#N/A</v>
      </c>
      <c r="CI31" s="43" t="e">
        <f>IF(CI$1,SUMIFS('BalSht Data'!$H$2:$H$2050,'BalSht Data'!$G$2:$G$2050,$A31,'BalSht Data'!$A$2:$A$2050,CI$1),#N/A)</f>
        <v>#N/A</v>
      </c>
      <c r="CJ31" s="43" t="e">
        <f>IF(CJ$1,SUMIFS('BalSht Data'!$H$2:$H$2050,'BalSht Data'!$G$2:$G$2050,$A31,'BalSht Data'!$A$2:$A$2050,CJ$1),#N/A)</f>
        <v>#N/A</v>
      </c>
      <c r="CK31" s="43" t="e">
        <f>IF(CK$1,SUMIFS('BalSht Data'!$H$2:$H$2050,'BalSht Data'!$G$2:$G$2050,$A31,'BalSht Data'!$A$2:$A$2050,CK$1),#N/A)</f>
        <v>#N/A</v>
      </c>
      <c r="CL31" s="43" t="e">
        <f>IF(CL$1,SUMIFS('BalSht Data'!$H$2:$H$2050,'BalSht Data'!$G$2:$G$2050,$A31,'BalSht Data'!$A$2:$A$2050,CL$1),#N/A)</f>
        <v>#N/A</v>
      </c>
      <c r="CM31" s="43" t="e">
        <f>IF(CM$1,SUMIFS('BalSht Data'!$H$2:$H$2050,'BalSht Data'!$G$2:$G$2050,$A31,'BalSht Data'!$A$2:$A$2050,CM$1),#N/A)</f>
        <v>#N/A</v>
      </c>
      <c r="CN31" s="43" t="e">
        <f>IF(CN$1,SUMIFS('BalSht Data'!$H$2:$H$2050,'BalSht Data'!$G$2:$G$2050,$A31,'BalSht Data'!$A$2:$A$2050,CN$1),#N/A)</f>
        <v>#N/A</v>
      </c>
      <c r="CO31" s="43" t="e">
        <f>IF(CO$1,SUMIFS('BalSht Data'!$H$2:$H$2050,'BalSht Data'!$G$2:$G$2050,$A31,'BalSht Data'!$A$2:$A$2050,CO$1),#N/A)</f>
        <v>#N/A</v>
      </c>
      <c r="CP31" s="43" t="e">
        <f>IF(CP$1,SUMIFS('BalSht Data'!$H$2:$H$2050,'BalSht Data'!$G$2:$G$2050,$A31,'BalSht Data'!$A$2:$A$2050,CP$1),#N/A)</f>
        <v>#N/A</v>
      </c>
      <c r="CQ31" s="43" t="e">
        <f>IF(CQ$1,SUMIFS('BalSht Data'!$H$2:$H$2050,'BalSht Data'!$G$2:$G$2050,$A31,'BalSht Data'!$A$2:$A$2050,CQ$1),#N/A)</f>
        <v>#N/A</v>
      </c>
      <c r="CR31" s="43" t="e">
        <f>IF(CR$1,SUMIFS('BalSht Data'!$H$2:$H$2050,'BalSht Data'!$G$2:$G$2050,$A31,'BalSht Data'!$A$2:$A$2050,CR$1),#N/A)</f>
        <v>#N/A</v>
      </c>
      <c r="CS31" s="43" t="e">
        <f>IF(CS$1,SUMIFS('BalSht Data'!$H$2:$H$2050,'BalSht Data'!$G$2:$G$2050,$A31,'BalSht Data'!$A$2:$A$2050,CS$1),#N/A)</f>
        <v>#N/A</v>
      </c>
      <c r="CT31" s="43" t="e">
        <f>IF(CT$1,SUMIFS('BalSht Data'!$H$2:$H$2050,'BalSht Data'!$G$2:$G$2050,$A31,'BalSht Data'!$A$2:$A$2050,CT$1),#N/A)</f>
        <v>#N/A</v>
      </c>
      <c r="CU31" s="43" t="e">
        <f>IF(CU$1,SUMIFS('BalSht Data'!$H$2:$H$2050,'BalSht Data'!$G$2:$G$2050,$A31,'BalSht Data'!$A$2:$A$2050,CU$1),#N/A)</f>
        <v>#N/A</v>
      </c>
      <c r="CV31" s="43" t="e">
        <f>IF(CV$1,SUMIFS('BalSht Data'!$H$2:$H$2050,'BalSht Data'!$G$2:$G$2050,$A31,'BalSht Data'!$A$2:$A$2050,CV$1),#N/A)</f>
        <v>#N/A</v>
      </c>
      <c r="CW31" s="43" t="e">
        <f>IF(CW$1,SUMIFS('BalSht Data'!$H$2:$H$2050,'BalSht Data'!$G$2:$G$2050,$A31,'BalSht Data'!$A$2:$A$2050,CW$1),#N/A)</f>
        <v>#N/A</v>
      </c>
      <c r="CX31" s="43" t="e">
        <f>IF(CX$1,SUMIFS('BalSht Data'!$H$2:$H$2050,'BalSht Data'!$G$2:$G$2050,$A31,'BalSht Data'!$A$2:$A$2050,CX$1),#N/A)</f>
        <v>#N/A</v>
      </c>
      <c r="CY31" s="43" t="e">
        <f>IF(CY$1,SUMIFS('BalSht Data'!$H$2:$H$2050,'BalSht Data'!$G$2:$G$2050,$A31,'BalSht Data'!$A$2:$A$2050,CY$1),#N/A)</f>
        <v>#N/A</v>
      </c>
      <c r="CZ31" s="43" t="e">
        <f>IF(CZ$1,SUMIFS('BalSht Data'!$H$2:$H$2050,'BalSht Data'!$G$2:$G$2050,$A31,'BalSht Data'!$A$2:$A$2050,CZ$1),#N/A)</f>
        <v>#N/A</v>
      </c>
      <c r="DA31" s="43">
        <f>SUM(B31:AJ31)</f>
        <v>0</v>
      </c>
    </row>
    <row r="32" spans="1:105" s="40" customFormat="1" x14ac:dyDescent="0.2">
      <c r="A32" s="54" t="s">
        <v>152</v>
      </c>
      <c r="B32" s="43">
        <f>IF(B$1,SUMIFS('BalSht Data'!$H$2:$H$2050,'BalSht Data'!$G$2:$G$2050,$A32,'BalSht Data'!$A$2:$A$2050,B$1),#N/A)</f>
        <v>39109</v>
      </c>
      <c r="C32" s="43">
        <f>IF(C$1,SUMIFS('BalSht Data'!$H$2:$H$2050,'BalSht Data'!$G$2:$G$2050,$A32,'BalSht Data'!$A$2:$A$2050,C$1),#N/A)</f>
        <v>29521</v>
      </c>
      <c r="D32" s="43">
        <f>IF(D$1,SUMIFS('BalSht Data'!$H$2:$H$2050,'BalSht Data'!$G$2:$G$2050,$A32,'BalSht Data'!$A$2:$A$2050,D$1),#N/A)</f>
        <v>41269</v>
      </c>
      <c r="E32" s="43">
        <f>IF(E$1,SUMIFS('BalSht Data'!$H$2:$H$2050,'BalSht Data'!$G$2:$G$2050,$A32,'BalSht Data'!$A$2:$A$2050,E$1),#N/A)</f>
        <v>51077</v>
      </c>
      <c r="F32" s="43">
        <f>IF(F$1,SUMIFS('BalSht Data'!$H$2:$H$2050,'BalSht Data'!$G$2:$G$2050,$A32,'BalSht Data'!$A$2:$A$2050,F$1),#N/A)</f>
        <v>56660</v>
      </c>
      <c r="G32" s="43">
        <f>IF(G$1,SUMIFS('BalSht Data'!$H$2:$H$2050,'BalSht Data'!$G$2:$G$2050,$A32,'BalSht Data'!$A$2:$A$2050,G$1),#N/A)</f>
        <v>23890</v>
      </c>
      <c r="H32" s="43">
        <f>IF(H$1,SUMIFS('BalSht Data'!$H$2:$H$2050,'BalSht Data'!$G$2:$G$2050,$A32,'BalSht Data'!$A$2:$A$2050,H$1),#N/A)</f>
        <v>35535</v>
      </c>
      <c r="I32" s="43">
        <f>IF(I$1,SUMIFS('BalSht Data'!$H$2:$H$2050,'BalSht Data'!$G$2:$G$2050,$A32,'BalSht Data'!$A$2:$A$2050,I$1),#N/A)</f>
        <v>128668</v>
      </c>
      <c r="J32" s="43">
        <f>IF(J$1,SUMIFS('BalSht Data'!$H$2:$H$2050,'BalSht Data'!$G$2:$G$2050,$A32,'BalSht Data'!$A$2:$A$2050,J$1),#N/A)</f>
        <v>464420</v>
      </c>
      <c r="K32" s="43">
        <f>IF(K$1,SUMIFS('BalSht Data'!$H$2:$H$2050,'BalSht Data'!$G$2:$G$2050,$A32,'BalSht Data'!$A$2:$A$2050,K$1),#N/A)</f>
        <v>40099</v>
      </c>
      <c r="L32" s="43">
        <f>IF(L$1,SUMIFS('BalSht Data'!$H$2:$H$2050,'BalSht Data'!$G$2:$G$2050,$A32,'BalSht Data'!$A$2:$A$2050,L$1),#N/A)</f>
        <v>30337</v>
      </c>
      <c r="M32" s="43">
        <f>IF(M$1,SUMIFS('BalSht Data'!$H$2:$H$2050,'BalSht Data'!$G$2:$G$2050,$A32,'BalSht Data'!$A$2:$A$2050,M$1),#N/A)</f>
        <v>24235</v>
      </c>
      <c r="N32" s="43">
        <f>IF(N$1,SUMIFS('BalSht Data'!$H$2:$H$2050,'BalSht Data'!$G$2:$G$2050,$A32,'BalSht Data'!$A$2:$A$2050,N$1),#N/A)</f>
        <v>107749</v>
      </c>
      <c r="O32" s="43">
        <f>IF(O$1,SUMIFS('BalSht Data'!$H$2:$H$2050,'BalSht Data'!$G$2:$G$2050,$A32,'BalSht Data'!$A$2:$A$2050,O$1),#N/A)</f>
        <v>37579</v>
      </c>
      <c r="P32" s="43">
        <f>IF(P$1,SUMIFS('BalSht Data'!$H$2:$H$2050,'BalSht Data'!$G$2:$G$2050,$A32,'BalSht Data'!$A$2:$A$2050,P$1),#N/A)</f>
        <v>20623</v>
      </c>
      <c r="Q32" s="43">
        <f>IF(Q$1,SUMIFS('BalSht Data'!$H$2:$H$2050,'BalSht Data'!$G$2:$G$2050,$A32,'BalSht Data'!$A$2:$A$2050,Q$1),#N/A)</f>
        <v>25067</v>
      </c>
      <c r="R32" s="43">
        <f>IF(R$1,SUMIFS('BalSht Data'!$H$2:$H$2050,'BalSht Data'!$G$2:$G$2050,$A32,'BalSht Data'!$A$2:$A$2050,R$1),#N/A)</f>
        <v>27728</v>
      </c>
      <c r="S32" s="43">
        <f>IF(S$1,SUMIFS('BalSht Data'!$H$2:$H$2050,'BalSht Data'!$G$2:$G$2050,$A32,'BalSht Data'!$A$2:$A$2050,S$1),#N/A)</f>
        <v>28204</v>
      </c>
      <c r="T32" s="43">
        <f>IF(T$1,SUMIFS('BalSht Data'!$H$2:$H$2050,'BalSht Data'!$G$2:$G$2050,$A32,'BalSht Data'!$A$2:$A$2050,T$1),#N/A)</f>
        <v>42904</v>
      </c>
      <c r="U32" s="43">
        <f>IF(U$1,SUMIFS('BalSht Data'!$H$2:$H$2050,'BalSht Data'!$G$2:$G$2050,$A32,'BalSht Data'!$A$2:$A$2050,U$1),#N/A)</f>
        <v>34083</v>
      </c>
      <c r="V32" s="43">
        <f>IF(V$1,SUMIFS('BalSht Data'!$H$2:$H$2050,'BalSht Data'!$G$2:$G$2050,$A32,'BalSht Data'!$A$2:$A$2050,V$1),#N/A)</f>
        <v>53608</v>
      </c>
      <c r="W32" s="43">
        <f>IF(W$1,SUMIFS('BalSht Data'!$H$2:$H$2050,'BalSht Data'!$G$2:$G$2050,$A32,'BalSht Data'!$A$2:$A$2050,W$1),#N/A)</f>
        <v>39806</v>
      </c>
      <c r="X32" s="43">
        <f>IF(X$1,SUMIFS('BalSht Data'!$H$2:$H$2050,'BalSht Data'!$G$2:$G$2050,$A32,'BalSht Data'!$A$2:$A$2050,X$1),#N/A)</f>
        <v>29617</v>
      </c>
      <c r="Y32" s="43">
        <f>IF(Y$1,SUMIFS('BalSht Data'!$H$2:$H$2050,'BalSht Data'!$G$2:$G$2050,$A32,'BalSht Data'!$A$2:$A$2050,Y$1),#N/A)</f>
        <v>0</v>
      </c>
      <c r="Z32" s="43">
        <f>IF(Z$1,SUMIFS('BalSht Data'!$H$2:$H$2050,'BalSht Data'!$G$2:$G$2050,$A32,'BalSht Data'!$A$2:$A$2050,Z$1),#N/A)</f>
        <v>0</v>
      </c>
      <c r="AA32" s="43">
        <f>IF(AA$1,SUMIFS('BalSht Data'!$H$2:$H$2050,'BalSht Data'!$G$2:$G$2050,$A32,'BalSht Data'!$A$2:$A$2050,AA$1),#N/A)</f>
        <v>29744</v>
      </c>
      <c r="AB32" s="43">
        <f>IF(AB$1,SUMIFS('BalSht Data'!$H$2:$H$2050,'BalSht Data'!$G$2:$G$2050,$A32,'BalSht Data'!$A$2:$A$2050,AB$1),#N/A)</f>
        <v>0</v>
      </c>
      <c r="AC32" s="43">
        <f>IF(AC$1,SUMIFS('BalSht Data'!$H$2:$H$2050,'BalSht Data'!$G$2:$G$2050,$A32,'BalSht Data'!$A$2:$A$2050,AC$1),#N/A)</f>
        <v>0</v>
      </c>
      <c r="AD32" s="43">
        <f>IF(AD$1,SUMIFS('BalSht Data'!$H$2:$H$2050,'BalSht Data'!$G$2:$G$2050,$A32,'BalSht Data'!$A$2:$A$2050,AD$1),#N/A)</f>
        <v>52780</v>
      </c>
      <c r="AE32" s="43">
        <f>IF(AE$1,SUMIFS('BalSht Data'!$H$2:$H$2050,'BalSht Data'!$G$2:$G$2050,$A32,'BalSht Data'!$A$2:$A$2050,AE$1),#N/A)</f>
        <v>73387</v>
      </c>
      <c r="AF32" s="43">
        <f>IF(AF$1,SUMIFS('BalSht Data'!$H$2:$H$2050,'BalSht Data'!$G$2:$G$2050,$A32,'BalSht Data'!$A$2:$A$2050,AF$1),#N/A)</f>
        <v>33686</v>
      </c>
      <c r="AG32" s="43">
        <f>IF(AG$1,SUMIFS('BalSht Data'!$H$2:$H$2050,'BalSht Data'!$G$2:$G$2050,$A32,'BalSht Data'!$A$2:$A$2050,AG$1),#N/A)</f>
        <v>37524</v>
      </c>
      <c r="AH32" s="43">
        <f>IF(AH$1,SUMIFS('BalSht Data'!$H$2:$H$2050,'BalSht Data'!$G$2:$G$2050,$A32,'BalSht Data'!$A$2:$A$2050,AH$1),#N/A)</f>
        <v>19641</v>
      </c>
      <c r="AI32" s="43">
        <f>IF(AI$1,SUMIFS('BalSht Data'!$H$2:$H$2050,'BalSht Data'!$G$2:$G$2050,$A32,'BalSht Data'!$A$2:$A$2050,AI$1),#N/A)</f>
        <v>59958</v>
      </c>
      <c r="AJ32" s="43">
        <f>IF(AJ$1,SUMIFS('BalSht Data'!$H$2:$H$2050,'BalSht Data'!$G$2:$G$2050,$A32,'BalSht Data'!$A$2:$A$2050,AJ$1),#N/A)</f>
        <v>52617</v>
      </c>
      <c r="AK32" s="43" t="e">
        <f>IF(AK$1,SUMIFS('BalSht Data'!$H$2:$H$2050,'BalSht Data'!$G$2:$G$2050,$A32,'BalSht Data'!$A$2:$A$2050,AK$1),#N/A)</f>
        <v>#N/A</v>
      </c>
      <c r="AL32" s="43" t="e">
        <f>IF(AL$1,SUMIFS('BalSht Data'!$H$2:$H$2050,'BalSht Data'!$G$2:$G$2050,$A32,'BalSht Data'!$A$2:$A$2050,AL$1),#N/A)</f>
        <v>#N/A</v>
      </c>
      <c r="AM32" s="43" t="e">
        <f>IF(AM$1,SUMIFS('BalSht Data'!$H$2:$H$2050,'BalSht Data'!$G$2:$G$2050,$A32,'BalSht Data'!$A$2:$A$2050,AM$1),#N/A)</f>
        <v>#N/A</v>
      </c>
      <c r="AN32" s="43" t="e">
        <f>IF(AN$1,SUMIFS('BalSht Data'!$H$2:$H$2050,'BalSht Data'!$G$2:$G$2050,$A32,'BalSht Data'!$A$2:$A$2050,AN$1),#N/A)</f>
        <v>#N/A</v>
      </c>
      <c r="AO32" s="43" t="e">
        <f>IF(AO$1,SUMIFS('BalSht Data'!$H$2:$H$2050,'BalSht Data'!$G$2:$G$2050,$A32,'BalSht Data'!$A$2:$A$2050,AO$1),#N/A)</f>
        <v>#N/A</v>
      </c>
      <c r="AP32" s="43" t="e">
        <f>IF(AP$1,SUMIFS('BalSht Data'!$H$2:$H$2050,'BalSht Data'!$G$2:$G$2050,$A32,'BalSht Data'!$A$2:$A$2050,AP$1),#N/A)</f>
        <v>#N/A</v>
      </c>
      <c r="AQ32" s="43" t="e">
        <f>IF(AQ$1,SUMIFS('BalSht Data'!$H$2:$H$2050,'BalSht Data'!$G$2:$G$2050,$A32,'BalSht Data'!$A$2:$A$2050,AQ$1),#N/A)</f>
        <v>#N/A</v>
      </c>
      <c r="AR32" s="43" t="e">
        <f>IF(AR$1,SUMIFS('BalSht Data'!$H$2:$H$2050,'BalSht Data'!$G$2:$G$2050,$A32,'BalSht Data'!$A$2:$A$2050,AR$1),#N/A)</f>
        <v>#N/A</v>
      </c>
      <c r="AS32" s="43" t="e">
        <f>IF(AS$1,SUMIFS('BalSht Data'!$H$2:$H$2050,'BalSht Data'!$G$2:$G$2050,$A32,'BalSht Data'!$A$2:$A$2050,AS$1),#N/A)</f>
        <v>#N/A</v>
      </c>
      <c r="AT32" s="43" t="e">
        <f>IF(AT$1,SUMIFS('BalSht Data'!$H$2:$H$2050,'BalSht Data'!$G$2:$G$2050,$A32,'BalSht Data'!$A$2:$A$2050,AT$1),#N/A)</f>
        <v>#N/A</v>
      </c>
      <c r="AU32" s="43" t="e">
        <f>IF(AU$1,SUMIFS('BalSht Data'!$H$2:$H$2050,'BalSht Data'!$G$2:$G$2050,$A32,'BalSht Data'!$A$2:$A$2050,AU$1),#N/A)</f>
        <v>#N/A</v>
      </c>
      <c r="AV32" s="43" t="e">
        <f>IF(AV$1,SUMIFS('BalSht Data'!$H$2:$H$2050,'BalSht Data'!$G$2:$G$2050,$A32,'BalSht Data'!$A$2:$A$2050,AV$1),#N/A)</f>
        <v>#N/A</v>
      </c>
      <c r="AW32" s="43" t="e">
        <f>IF(AW$1,SUMIFS('BalSht Data'!$H$2:$H$2050,'BalSht Data'!$G$2:$G$2050,$A32,'BalSht Data'!$A$2:$A$2050,AW$1),#N/A)</f>
        <v>#N/A</v>
      </c>
      <c r="AX32" s="43" t="e">
        <f>IF(AX$1,SUMIFS('BalSht Data'!$H$2:$H$2050,'BalSht Data'!$G$2:$G$2050,$A32,'BalSht Data'!$A$2:$A$2050,AX$1),#N/A)</f>
        <v>#N/A</v>
      </c>
      <c r="AY32" s="43" t="e">
        <f>IF(AY$1,SUMIFS('BalSht Data'!$H$2:$H$2050,'BalSht Data'!$G$2:$G$2050,$A32,'BalSht Data'!$A$2:$A$2050,AY$1),#N/A)</f>
        <v>#N/A</v>
      </c>
      <c r="AZ32" s="43" t="e">
        <f>IF(AZ$1,SUMIFS('BalSht Data'!$H$2:$H$2050,'BalSht Data'!$G$2:$G$2050,$A32,'BalSht Data'!$A$2:$A$2050,AZ$1),#N/A)</f>
        <v>#N/A</v>
      </c>
      <c r="BA32" s="43" t="e">
        <f>IF(BA$1,SUMIFS('BalSht Data'!$H$2:$H$2050,'BalSht Data'!$G$2:$G$2050,$A32,'BalSht Data'!$A$2:$A$2050,BA$1),#N/A)</f>
        <v>#N/A</v>
      </c>
      <c r="BB32" s="43" t="e">
        <f>IF(BB$1,SUMIFS('BalSht Data'!$H$2:$H$2050,'BalSht Data'!$G$2:$G$2050,$A32,'BalSht Data'!$A$2:$A$2050,BB$1),#N/A)</f>
        <v>#N/A</v>
      </c>
      <c r="BC32" s="43" t="e">
        <f>IF(BC$1,SUMIFS('BalSht Data'!$H$2:$H$2050,'BalSht Data'!$G$2:$G$2050,$A32,'BalSht Data'!$A$2:$A$2050,BC$1),#N/A)</f>
        <v>#N/A</v>
      </c>
      <c r="BD32" s="43" t="e">
        <f>IF(BD$1,SUMIFS('BalSht Data'!$H$2:$H$2050,'BalSht Data'!$G$2:$G$2050,$A32,'BalSht Data'!$A$2:$A$2050,BD$1),#N/A)</f>
        <v>#N/A</v>
      </c>
      <c r="BE32" s="43" t="e">
        <f>IF(BE$1,SUMIFS('BalSht Data'!$H$2:$H$2050,'BalSht Data'!$G$2:$G$2050,$A32,'BalSht Data'!$A$2:$A$2050,BE$1),#N/A)</f>
        <v>#N/A</v>
      </c>
      <c r="BF32" s="43" t="e">
        <f>IF(BF$1,SUMIFS('BalSht Data'!$H$2:$H$2050,'BalSht Data'!$G$2:$G$2050,$A32,'BalSht Data'!$A$2:$A$2050,BF$1),#N/A)</f>
        <v>#N/A</v>
      </c>
      <c r="BG32" s="43" t="e">
        <f>IF(BG$1,SUMIFS('BalSht Data'!$H$2:$H$2050,'BalSht Data'!$G$2:$G$2050,$A32,'BalSht Data'!$A$2:$A$2050,BG$1),#N/A)</f>
        <v>#N/A</v>
      </c>
      <c r="BH32" s="43" t="e">
        <f>IF(BH$1,SUMIFS('BalSht Data'!$H$2:$H$2050,'BalSht Data'!$G$2:$G$2050,$A32,'BalSht Data'!$A$2:$A$2050,BH$1),#N/A)</f>
        <v>#N/A</v>
      </c>
      <c r="BI32" s="43" t="e">
        <f>IF(BI$1,SUMIFS('BalSht Data'!$H$2:$H$2050,'BalSht Data'!$G$2:$G$2050,$A32,'BalSht Data'!$A$2:$A$2050,BI$1),#N/A)</f>
        <v>#N/A</v>
      </c>
      <c r="BJ32" s="43" t="e">
        <f>IF(BJ$1,SUMIFS('BalSht Data'!$H$2:$H$2050,'BalSht Data'!$G$2:$G$2050,$A32,'BalSht Data'!$A$2:$A$2050,BJ$1),#N/A)</f>
        <v>#N/A</v>
      </c>
      <c r="BK32" s="43" t="e">
        <f>IF(BK$1,SUMIFS('BalSht Data'!$H$2:$H$2050,'BalSht Data'!$G$2:$G$2050,$A32,'BalSht Data'!$A$2:$A$2050,BK$1),#N/A)</f>
        <v>#N/A</v>
      </c>
      <c r="BL32" s="43" t="e">
        <f>IF(BL$1,SUMIFS('BalSht Data'!$H$2:$H$2050,'BalSht Data'!$G$2:$G$2050,$A32,'BalSht Data'!$A$2:$A$2050,BL$1),#N/A)</f>
        <v>#N/A</v>
      </c>
      <c r="BM32" s="43" t="e">
        <f>IF(BM$1,SUMIFS('BalSht Data'!$H$2:$H$2050,'BalSht Data'!$G$2:$G$2050,$A32,'BalSht Data'!$A$2:$A$2050,BM$1),#N/A)</f>
        <v>#N/A</v>
      </c>
      <c r="BN32" s="43" t="e">
        <f>IF(BN$1,SUMIFS('BalSht Data'!$H$2:$H$2050,'BalSht Data'!$G$2:$G$2050,$A32,'BalSht Data'!$A$2:$A$2050,BN$1),#N/A)</f>
        <v>#N/A</v>
      </c>
      <c r="BO32" s="43" t="e">
        <f>IF(BO$1,SUMIFS('BalSht Data'!$H$2:$H$2050,'BalSht Data'!$G$2:$G$2050,$A32,'BalSht Data'!$A$2:$A$2050,BO$1),#N/A)</f>
        <v>#N/A</v>
      </c>
      <c r="BP32" s="43" t="e">
        <f>IF(BP$1,SUMIFS('BalSht Data'!$H$2:$H$2050,'BalSht Data'!$G$2:$G$2050,$A32,'BalSht Data'!$A$2:$A$2050,BP$1),#N/A)</f>
        <v>#N/A</v>
      </c>
      <c r="BQ32" s="43" t="e">
        <f>IF(BQ$1,SUMIFS('BalSht Data'!$H$2:$H$2050,'BalSht Data'!$G$2:$G$2050,$A32,'BalSht Data'!$A$2:$A$2050,BQ$1),#N/A)</f>
        <v>#N/A</v>
      </c>
      <c r="BR32" s="43" t="e">
        <f>IF(BR$1,SUMIFS('BalSht Data'!$H$2:$H$2050,'BalSht Data'!$G$2:$G$2050,$A32,'BalSht Data'!$A$2:$A$2050,BR$1),#N/A)</f>
        <v>#N/A</v>
      </c>
      <c r="BS32" s="43" t="e">
        <f>IF(BS$1,SUMIFS('BalSht Data'!$H$2:$H$2050,'BalSht Data'!$G$2:$G$2050,$A32,'BalSht Data'!$A$2:$A$2050,BS$1),#N/A)</f>
        <v>#N/A</v>
      </c>
      <c r="BT32" s="43" t="e">
        <f>IF(BT$1,SUMIFS('BalSht Data'!$H$2:$H$2050,'BalSht Data'!$G$2:$G$2050,$A32,'BalSht Data'!$A$2:$A$2050,BT$1),#N/A)</f>
        <v>#N/A</v>
      </c>
      <c r="BU32" s="43" t="e">
        <f>IF(BU$1,SUMIFS('BalSht Data'!$H$2:$H$2050,'BalSht Data'!$G$2:$G$2050,$A32,'BalSht Data'!$A$2:$A$2050,BU$1),#N/A)</f>
        <v>#N/A</v>
      </c>
      <c r="BV32" s="43" t="e">
        <f>IF(BV$1,SUMIFS('BalSht Data'!$H$2:$H$2050,'BalSht Data'!$G$2:$G$2050,$A32,'BalSht Data'!$A$2:$A$2050,BV$1),#N/A)</f>
        <v>#N/A</v>
      </c>
      <c r="BW32" s="43" t="e">
        <f>IF(BW$1,SUMIFS('BalSht Data'!$H$2:$H$2050,'BalSht Data'!$G$2:$G$2050,$A32,'BalSht Data'!$A$2:$A$2050,BW$1),#N/A)</f>
        <v>#N/A</v>
      </c>
      <c r="BX32" s="43" t="e">
        <f>IF(BX$1,SUMIFS('BalSht Data'!$H$2:$H$2050,'BalSht Data'!$G$2:$G$2050,$A32,'BalSht Data'!$A$2:$A$2050,BX$1),#N/A)</f>
        <v>#N/A</v>
      </c>
      <c r="BY32" s="43" t="e">
        <f>IF(BY$1,SUMIFS('BalSht Data'!$H$2:$H$2050,'BalSht Data'!$G$2:$G$2050,$A32,'BalSht Data'!$A$2:$A$2050,BY$1),#N/A)</f>
        <v>#N/A</v>
      </c>
      <c r="BZ32" s="43" t="e">
        <f>IF(BZ$1,SUMIFS('BalSht Data'!$H$2:$H$2050,'BalSht Data'!$G$2:$G$2050,$A32,'BalSht Data'!$A$2:$A$2050,BZ$1),#N/A)</f>
        <v>#N/A</v>
      </c>
      <c r="CA32" s="43" t="e">
        <f>IF(CA$1,SUMIFS('BalSht Data'!$H$2:$H$2050,'BalSht Data'!$G$2:$G$2050,$A32,'BalSht Data'!$A$2:$A$2050,CA$1),#N/A)</f>
        <v>#N/A</v>
      </c>
      <c r="CB32" s="43" t="e">
        <f>IF(CB$1,SUMIFS('BalSht Data'!$H$2:$H$2050,'BalSht Data'!$G$2:$G$2050,$A32,'BalSht Data'!$A$2:$A$2050,CB$1),#N/A)</f>
        <v>#N/A</v>
      </c>
      <c r="CC32" s="43" t="e">
        <f>IF(CC$1,SUMIFS('BalSht Data'!$H$2:$H$2050,'BalSht Data'!$G$2:$G$2050,$A32,'BalSht Data'!$A$2:$A$2050,CC$1),#N/A)</f>
        <v>#N/A</v>
      </c>
      <c r="CD32" s="43" t="e">
        <f>IF(CD$1,SUMIFS('BalSht Data'!$H$2:$H$2050,'BalSht Data'!$G$2:$G$2050,$A32,'BalSht Data'!$A$2:$A$2050,CD$1),#N/A)</f>
        <v>#N/A</v>
      </c>
      <c r="CE32" s="43" t="e">
        <f>IF(CE$1,SUMIFS('BalSht Data'!$H$2:$H$2050,'BalSht Data'!$G$2:$G$2050,$A32,'BalSht Data'!$A$2:$A$2050,CE$1),#N/A)</f>
        <v>#N/A</v>
      </c>
      <c r="CF32" s="43" t="e">
        <f>IF(CF$1,SUMIFS('BalSht Data'!$H$2:$H$2050,'BalSht Data'!$G$2:$G$2050,$A32,'BalSht Data'!$A$2:$A$2050,CF$1),#N/A)</f>
        <v>#N/A</v>
      </c>
      <c r="CG32" s="43" t="e">
        <f>IF(CG$1,SUMIFS('BalSht Data'!$H$2:$H$2050,'BalSht Data'!$G$2:$G$2050,$A32,'BalSht Data'!$A$2:$A$2050,CG$1),#N/A)</f>
        <v>#N/A</v>
      </c>
      <c r="CH32" s="43" t="e">
        <f>IF(CH$1,SUMIFS('BalSht Data'!$H$2:$H$2050,'BalSht Data'!$G$2:$G$2050,$A32,'BalSht Data'!$A$2:$A$2050,CH$1),#N/A)</f>
        <v>#N/A</v>
      </c>
      <c r="CI32" s="43" t="e">
        <f>IF(CI$1,SUMIFS('BalSht Data'!$H$2:$H$2050,'BalSht Data'!$G$2:$G$2050,$A32,'BalSht Data'!$A$2:$A$2050,CI$1),#N/A)</f>
        <v>#N/A</v>
      </c>
      <c r="CJ32" s="43" t="e">
        <f>IF(CJ$1,SUMIFS('BalSht Data'!$H$2:$H$2050,'BalSht Data'!$G$2:$G$2050,$A32,'BalSht Data'!$A$2:$A$2050,CJ$1),#N/A)</f>
        <v>#N/A</v>
      </c>
      <c r="CK32" s="43" t="e">
        <f>IF(CK$1,SUMIFS('BalSht Data'!$H$2:$H$2050,'BalSht Data'!$G$2:$G$2050,$A32,'BalSht Data'!$A$2:$A$2050,CK$1),#N/A)</f>
        <v>#N/A</v>
      </c>
      <c r="CL32" s="43" t="e">
        <f>IF(CL$1,SUMIFS('BalSht Data'!$H$2:$H$2050,'BalSht Data'!$G$2:$G$2050,$A32,'BalSht Data'!$A$2:$A$2050,CL$1),#N/A)</f>
        <v>#N/A</v>
      </c>
      <c r="CM32" s="43" t="e">
        <f>IF(CM$1,SUMIFS('BalSht Data'!$H$2:$H$2050,'BalSht Data'!$G$2:$G$2050,$A32,'BalSht Data'!$A$2:$A$2050,CM$1),#N/A)</f>
        <v>#N/A</v>
      </c>
      <c r="CN32" s="43" t="e">
        <f>IF(CN$1,SUMIFS('BalSht Data'!$H$2:$H$2050,'BalSht Data'!$G$2:$G$2050,$A32,'BalSht Data'!$A$2:$A$2050,CN$1),#N/A)</f>
        <v>#N/A</v>
      </c>
      <c r="CO32" s="43" t="e">
        <f>IF(CO$1,SUMIFS('BalSht Data'!$H$2:$H$2050,'BalSht Data'!$G$2:$G$2050,$A32,'BalSht Data'!$A$2:$A$2050,CO$1),#N/A)</f>
        <v>#N/A</v>
      </c>
      <c r="CP32" s="43" t="e">
        <f>IF(CP$1,SUMIFS('BalSht Data'!$H$2:$H$2050,'BalSht Data'!$G$2:$G$2050,$A32,'BalSht Data'!$A$2:$A$2050,CP$1),#N/A)</f>
        <v>#N/A</v>
      </c>
      <c r="CQ32" s="43" t="e">
        <f>IF(CQ$1,SUMIFS('BalSht Data'!$H$2:$H$2050,'BalSht Data'!$G$2:$G$2050,$A32,'BalSht Data'!$A$2:$A$2050,CQ$1),#N/A)</f>
        <v>#N/A</v>
      </c>
      <c r="CR32" s="43" t="e">
        <f>IF(CR$1,SUMIFS('BalSht Data'!$H$2:$H$2050,'BalSht Data'!$G$2:$G$2050,$A32,'BalSht Data'!$A$2:$A$2050,CR$1),#N/A)</f>
        <v>#N/A</v>
      </c>
      <c r="CS32" s="43" t="e">
        <f>IF(CS$1,SUMIFS('BalSht Data'!$H$2:$H$2050,'BalSht Data'!$G$2:$G$2050,$A32,'BalSht Data'!$A$2:$A$2050,CS$1),#N/A)</f>
        <v>#N/A</v>
      </c>
      <c r="CT32" s="43" t="e">
        <f>IF(CT$1,SUMIFS('BalSht Data'!$H$2:$H$2050,'BalSht Data'!$G$2:$G$2050,$A32,'BalSht Data'!$A$2:$A$2050,CT$1),#N/A)</f>
        <v>#N/A</v>
      </c>
      <c r="CU32" s="43" t="e">
        <f>IF(CU$1,SUMIFS('BalSht Data'!$H$2:$H$2050,'BalSht Data'!$G$2:$G$2050,$A32,'BalSht Data'!$A$2:$A$2050,CU$1),#N/A)</f>
        <v>#N/A</v>
      </c>
      <c r="CV32" s="43" t="e">
        <f>IF(CV$1,SUMIFS('BalSht Data'!$H$2:$H$2050,'BalSht Data'!$G$2:$G$2050,$A32,'BalSht Data'!$A$2:$A$2050,CV$1),#N/A)</f>
        <v>#N/A</v>
      </c>
      <c r="CW32" s="43" t="e">
        <f>IF(CW$1,SUMIFS('BalSht Data'!$H$2:$H$2050,'BalSht Data'!$G$2:$G$2050,$A32,'BalSht Data'!$A$2:$A$2050,CW$1),#N/A)</f>
        <v>#N/A</v>
      </c>
      <c r="CX32" s="43" t="e">
        <f>IF(CX$1,SUMIFS('BalSht Data'!$H$2:$H$2050,'BalSht Data'!$G$2:$G$2050,$A32,'BalSht Data'!$A$2:$A$2050,CX$1),#N/A)</f>
        <v>#N/A</v>
      </c>
      <c r="CY32" s="43" t="e">
        <f>IF(CY$1,SUMIFS('BalSht Data'!$H$2:$H$2050,'BalSht Data'!$G$2:$G$2050,$A32,'BalSht Data'!$A$2:$A$2050,CY$1),#N/A)</f>
        <v>#N/A</v>
      </c>
      <c r="CZ32" s="43" t="e">
        <f>IF(CZ$1,SUMIFS('BalSht Data'!$H$2:$H$2050,'BalSht Data'!$G$2:$G$2050,$A32,'BalSht Data'!$A$2:$A$2050,CZ$1),#N/A)</f>
        <v>#N/A</v>
      </c>
      <c r="DA32" s="43">
        <f>SUM(B32:AJ32)</f>
        <v>1771125</v>
      </c>
    </row>
    <row r="33" spans="1:105" s="40" customFormat="1" x14ac:dyDescent="0.2">
      <c r="A33" s="52" t="s">
        <v>20</v>
      </c>
      <c r="B33" s="43">
        <f>IF(B$1,SUMIFS('BalSht Data'!$H$2:$H$2050,'BalSht Data'!$G$2:$G$2050,$A33,'BalSht Data'!$A$2:$A$2050,B$1),#N/A)</f>
        <v>47582</v>
      </c>
      <c r="C33" s="43">
        <f>IF(C$1,SUMIFS('BalSht Data'!$H$2:$H$2050,'BalSht Data'!$G$2:$G$2050,$A33,'BalSht Data'!$A$2:$A$2050,C$1),#N/A)</f>
        <v>42600</v>
      </c>
      <c r="D33" s="43">
        <f>IF(D$1,SUMIFS('BalSht Data'!$H$2:$H$2050,'BalSht Data'!$G$2:$G$2050,$A33,'BalSht Data'!$A$2:$A$2050,D$1),#N/A)</f>
        <v>56541</v>
      </c>
      <c r="E33" s="43">
        <f>IF(E$1,SUMIFS('BalSht Data'!$H$2:$H$2050,'BalSht Data'!$G$2:$G$2050,$A33,'BalSht Data'!$A$2:$A$2050,E$1),#N/A)</f>
        <v>81805</v>
      </c>
      <c r="F33" s="43">
        <f>IF(F$1,SUMIFS('BalSht Data'!$H$2:$H$2050,'BalSht Data'!$G$2:$G$2050,$A33,'BalSht Data'!$A$2:$A$2050,F$1),#N/A)</f>
        <v>30028</v>
      </c>
      <c r="G33" s="43">
        <f>IF(G$1,SUMIFS('BalSht Data'!$H$2:$H$2050,'BalSht Data'!$G$2:$G$2050,$A33,'BalSht Data'!$A$2:$A$2050,G$1),#N/A)</f>
        <v>-3806</v>
      </c>
      <c r="H33" s="43">
        <f>IF(H$1,SUMIFS('BalSht Data'!$H$2:$H$2050,'BalSht Data'!$G$2:$G$2050,$A33,'BalSht Data'!$A$2:$A$2050,H$1),#N/A)</f>
        <v>119259</v>
      </c>
      <c r="I33" s="43">
        <f>IF(I$1,SUMIFS('BalSht Data'!$H$2:$H$2050,'BalSht Data'!$G$2:$G$2050,$A33,'BalSht Data'!$A$2:$A$2050,I$1),#N/A)</f>
        <v>102515</v>
      </c>
      <c r="J33" s="43">
        <f>IF(J$1,SUMIFS('BalSht Data'!$H$2:$H$2050,'BalSht Data'!$G$2:$G$2050,$A33,'BalSht Data'!$A$2:$A$2050,J$1),#N/A)</f>
        <v>223675</v>
      </c>
      <c r="K33" s="43">
        <f>IF(K$1,SUMIFS('BalSht Data'!$H$2:$H$2050,'BalSht Data'!$G$2:$G$2050,$A33,'BalSht Data'!$A$2:$A$2050,K$1),#N/A)</f>
        <v>186719</v>
      </c>
      <c r="L33" s="43">
        <f>IF(L$1,SUMIFS('BalSht Data'!$H$2:$H$2050,'BalSht Data'!$G$2:$G$2050,$A33,'BalSht Data'!$A$2:$A$2050,L$1),#N/A)</f>
        <v>-5658</v>
      </c>
      <c r="M33" s="43">
        <f>IF(M$1,SUMIFS('BalSht Data'!$H$2:$H$2050,'BalSht Data'!$G$2:$G$2050,$A33,'BalSht Data'!$A$2:$A$2050,M$1),#N/A)</f>
        <v>-5107</v>
      </c>
      <c r="N33" s="43">
        <f>IF(N$1,SUMIFS('BalSht Data'!$H$2:$H$2050,'BalSht Data'!$G$2:$G$2050,$A33,'BalSht Data'!$A$2:$A$2050,N$1),#N/A)</f>
        <v>762595</v>
      </c>
      <c r="O33" s="43">
        <f>IF(O$1,SUMIFS('BalSht Data'!$H$2:$H$2050,'BalSht Data'!$G$2:$G$2050,$A33,'BalSht Data'!$A$2:$A$2050,O$1),#N/A)</f>
        <v>123920</v>
      </c>
      <c r="P33" s="43">
        <f>IF(P$1,SUMIFS('BalSht Data'!$H$2:$H$2050,'BalSht Data'!$G$2:$G$2050,$A33,'BalSht Data'!$A$2:$A$2050,P$1),#N/A)</f>
        <v>168745</v>
      </c>
      <c r="Q33" s="43">
        <f>IF(Q$1,SUMIFS('BalSht Data'!$H$2:$H$2050,'BalSht Data'!$G$2:$G$2050,$A33,'BalSht Data'!$A$2:$A$2050,Q$1),#N/A)</f>
        <v>160879</v>
      </c>
      <c r="R33" s="43">
        <f>IF(R$1,SUMIFS('BalSht Data'!$H$2:$H$2050,'BalSht Data'!$G$2:$G$2050,$A33,'BalSht Data'!$A$2:$A$2050,R$1),#N/A)</f>
        <v>130588</v>
      </c>
      <c r="S33" s="43">
        <f>IF(S$1,SUMIFS('BalSht Data'!$H$2:$H$2050,'BalSht Data'!$G$2:$G$2050,$A33,'BalSht Data'!$A$2:$A$2050,S$1),#N/A)</f>
        <v>561468</v>
      </c>
      <c r="T33" s="43">
        <f>IF(T$1,SUMIFS('BalSht Data'!$H$2:$H$2050,'BalSht Data'!$G$2:$G$2050,$A33,'BalSht Data'!$A$2:$A$2050,T$1),#N/A)</f>
        <v>144414</v>
      </c>
      <c r="U33" s="43">
        <f>IF(U$1,SUMIFS('BalSht Data'!$H$2:$H$2050,'BalSht Data'!$G$2:$G$2050,$A33,'BalSht Data'!$A$2:$A$2050,U$1),#N/A)</f>
        <v>690603</v>
      </c>
      <c r="V33" s="43">
        <f>IF(V$1,SUMIFS('BalSht Data'!$H$2:$H$2050,'BalSht Data'!$G$2:$G$2050,$A33,'BalSht Data'!$A$2:$A$2050,V$1),#N/A)</f>
        <v>158037</v>
      </c>
      <c r="W33" s="43">
        <f>IF(W$1,SUMIFS('BalSht Data'!$H$2:$H$2050,'BalSht Data'!$G$2:$G$2050,$A33,'BalSht Data'!$A$2:$A$2050,W$1),#N/A)</f>
        <v>70778</v>
      </c>
      <c r="X33" s="43">
        <f>IF(X$1,SUMIFS('BalSht Data'!$H$2:$H$2050,'BalSht Data'!$G$2:$G$2050,$A33,'BalSht Data'!$A$2:$A$2050,X$1),#N/A)</f>
        <v>137116</v>
      </c>
      <c r="Y33" s="43">
        <f>IF(Y$1,SUMIFS('BalSht Data'!$H$2:$H$2050,'BalSht Data'!$G$2:$G$2050,$A33,'BalSht Data'!$A$2:$A$2050,Y$1),#N/A)</f>
        <v>74684</v>
      </c>
      <c r="Z33" s="43">
        <f>IF(Z$1,SUMIFS('BalSht Data'!$H$2:$H$2050,'BalSht Data'!$G$2:$G$2050,$A33,'BalSht Data'!$A$2:$A$2050,Z$1),#N/A)</f>
        <v>0</v>
      </c>
      <c r="AA33" s="43">
        <f>IF(AA$1,SUMIFS('BalSht Data'!$H$2:$H$2050,'BalSht Data'!$G$2:$G$2050,$A33,'BalSht Data'!$A$2:$A$2050,AA$1),#N/A)</f>
        <v>128820</v>
      </c>
      <c r="AB33" s="43">
        <f>IF(AB$1,SUMIFS('BalSht Data'!$H$2:$H$2050,'BalSht Data'!$G$2:$G$2050,$A33,'BalSht Data'!$A$2:$A$2050,AB$1),#N/A)</f>
        <v>0</v>
      </c>
      <c r="AC33" s="43">
        <f>IF(AC$1,SUMIFS('BalSht Data'!$H$2:$H$2050,'BalSht Data'!$G$2:$G$2050,$A33,'BalSht Data'!$A$2:$A$2050,AC$1),#N/A)</f>
        <v>0</v>
      </c>
      <c r="AD33" s="43">
        <f>IF(AD$1,SUMIFS('BalSht Data'!$H$2:$H$2050,'BalSht Data'!$G$2:$G$2050,$A33,'BalSht Data'!$A$2:$A$2050,AD$1),#N/A)</f>
        <v>4852</v>
      </c>
      <c r="AE33" s="43">
        <f>IF(AE$1,SUMIFS('BalSht Data'!$H$2:$H$2050,'BalSht Data'!$G$2:$G$2050,$A33,'BalSht Data'!$A$2:$A$2050,AE$1),#N/A)</f>
        <v>109708</v>
      </c>
      <c r="AF33" s="43">
        <f>IF(AF$1,SUMIFS('BalSht Data'!$H$2:$H$2050,'BalSht Data'!$G$2:$G$2050,$A33,'BalSht Data'!$A$2:$A$2050,AF$1),#N/A)</f>
        <v>170583</v>
      </c>
      <c r="AG33" s="43">
        <f>IF(AG$1,SUMIFS('BalSht Data'!$H$2:$H$2050,'BalSht Data'!$G$2:$G$2050,$A33,'BalSht Data'!$A$2:$A$2050,AG$1),#N/A)</f>
        <v>233921</v>
      </c>
      <c r="AH33" s="43">
        <f>IF(AH$1,SUMIFS('BalSht Data'!$H$2:$H$2050,'BalSht Data'!$G$2:$G$2050,$A33,'BalSht Data'!$A$2:$A$2050,AH$1),#N/A)</f>
        <v>10817</v>
      </c>
      <c r="AI33" s="43">
        <f>IF(AI$1,SUMIFS('BalSht Data'!$H$2:$H$2050,'BalSht Data'!$G$2:$G$2050,$A33,'BalSht Data'!$A$2:$A$2050,AI$1),#N/A)</f>
        <v>0</v>
      </c>
      <c r="AJ33" s="43">
        <f>IF(AJ$1,SUMIFS('BalSht Data'!$H$2:$H$2050,'BalSht Data'!$G$2:$G$2050,$A33,'BalSht Data'!$A$2:$A$2050,AJ$1),#N/A)</f>
        <v>127956</v>
      </c>
      <c r="AK33" s="43" t="e">
        <f>IF(AK$1,SUMIFS('BalSht Data'!$H$2:$H$2050,'BalSht Data'!$G$2:$G$2050,$A33,'BalSht Data'!$A$2:$A$2050,AK$1),#N/A)</f>
        <v>#N/A</v>
      </c>
      <c r="AL33" s="43" t="e">
        <f>IF(AL$1,SUMIFS('BalSht Data'!$H$2:$H$2050,'BalSht Data'!$G$2:$G$2050,$A33,'BalSht Data'!$A$2:$A$2050,AL$1),#N/A)</f>
        <v>#N/A</v>
      </c>
      <c r="AM33" s="43" t="e">
        <f>IF(AM$1,SUMIFS('BalSht Data'!$H$2:$H$2050,'BalSht Data'!$G$2:$G$2050,$A33,'BalSht Data'!$A$2:$A$2050,AM$1),#N/A)</f>
        <v>#N/A</v>
      </c>
      <c r="AN33" s="43" t="e">
        <f>IF(AN$1,SUMIFS('BalSht Data'!$H$2:$H$2050,'BalSht Data'!$G$2:$G$2050,$A33,'BalSht Data'!$A$2:$A$2050,AN$1),#N/A)</f>
        <v>#N/A</v>
      </c>
      <c r="AO33" s="43" t="e">
        <f>IF(AO$1,SUMIFS('BalSht Data'!$H$2:$H$2050,'BalSht Data'!$G$2:$G$2050,$A33,'BalSht Data'!$A$2:$A$2050,AO$1),#N/A)</f>
        <v>#N/A</v>
      </c>
      <c r="AP33" s="43" t="e">
        <f>IF(AP$1,SUMIFS('BalSht Data'!$H$2:$H$2050,'BalSht Data'!$G$2:$G$2050,$A33,'BalSht Data'!$A$2:$A$2050,AP$1),#N/A)</f>
        <v>#N/A</v>
      </c>
      <c r="AQ33" s="43" t="e">
        <f>IF(AQ$1,SUMIFS('BalSht Data'!$H$2:$H$2050,'BalSht Data'!$G$2:$G$2050,$A33,'BalSht Data'!$A$2:$A$2050,AQ$1),#N/A)</f>
        <v>#N/A</v>
      </c>
      <c r="AR33" s="43" t="e">
        <f>IF(AR$1,SUMIFS('BalSht Data'!$H$2:$H$2050,'BalSht Data'!$G$2:$G$2050,$A33,'BalSht Data'!$A$2:$A$2050,AR$1),#N/A)</f>
        <v>#N/A</v>
      </c>
      <c r="AS33" s="43" t="e">
        <f>IF(AS$1,SUMIFS('BalSht Data'!$H$2:$H$2050,'BalSht Data'!$G$2:$G$2050,$A33,'BalSht Data'!$A$2:$A$2050,AS$1),#N/A)</f>
        <v>#N/A</v>
      </c>
      <c r="AT33" s="43" t="e">
        <f>IF(AT$1,SUMIFS('BalSht Data'!$H$2:$H$2050,'BalSht Data'!$G$2:$G$2050,$A33,'BalSht Data'!$A$2:$A$2050,AT$1),#N/A)</f>
        <v>#N/A</v>
      </c>
      <c r="AU33" s="43" t="e">
        <f>IF(AU$1,SUMIFS('BalSht Data'!$H$2:$H$2050,'BalSht Data'!$G$2:$G$2050,$A33,'BalSht Data'!$A$2:$A$2050,AU$1),#N/A)</f>
        <v>#N/A</v>
      </c>
      <c r="AV33" s="43" t="e">
        <f>IF(AV$1,SUMIFS('BalSht Data'!$H$2:$H$2050,'BalSht Data'!$G$2:$G$2050,$A33,'BalSht Data'!$A$2:$A$2050,AV$1),#N/A)</f>
        <v>#N/A</v>
      </c>
      <c r="AW33" s="43" t="e">
        <f>IF(AW$1,SUMIFS('BalSht Data'!$H$2:$H$2050,'BalSht Data'!$G$2:$G$2050,$A33,'BalSht Data'!$A$2:$A$2050,AW$1),#N/A)</f>
        <v>#N/A</v>
      </c>
      <c r="AX33" s="43" t="e">
        <f>IF(AX$1,SUMIFS('BalSht Data'!$H$2:$H$2050,'BalSht Data'!$G$2:$G$2050,$A33,'BalSht Data'!$A$2:$A$2050,AX$1),#N/A)</f>
        <v>#N/A</v>
      </c>
      <c r="AY33" s="43" t="e">
        <f>IF(AY$1,SUMIFS('BalSht Data'!$H$2:$H$2050,'BalSht Data'!$G$2:$G$2050,$A33,'BalSht Data'!$A$2:$A$2050,AY$1),#N/A)</f>
        <v>#N/A</v>
      </c>
      <c r="AZ33" s="43" t="e">
        <f>IF(AZ$1,SUMIFS('BalSht Data'!$H$2:$H$2050,'BalSht Data'!$G$2:$G$2050,$A33,'BalSht Data'!$A$2:$A$2050,AZ$1),#N/A)</f>
        <v>#N/A</v>
      </c>
      <c r="BA33" s="43" t="e">
        <f>IF(BA$1,SUMIFS('BalSht Data'!$H$2:$H$2050,'BalSht Data'!$G$2:$G$2050,$A33,'BalSht Data'!$A$2:$A$2050,BA$1),#N/A)</f>
        <v>#N/A</v>
      </c>
      <c r="BB33" s="43" t="e">
        <f>IF(BB$1,SUMIFS('BalSht Data'!$H$2:$H$2050,'BalSht Data'!$G$2:$G$2050,$A33,'BalSht Data'!$A$2:$A$2050,BB$1),#N/A)</f>
        <v>#N/A</v>
      </c>
      <c r="BC33" s="43" t="e">
        <f>IF(BC$1,SUMIFS('BalSht Data'!$H$2:$H$2050,'BalSht Data'!$G$2:$G$2050,$A33,'BalSht Data'!$A$2:$A$2050,BC$1),#N/A)</f>
        <v>#N/A</v>
      </c>
      <c r="BD33" s="43" t="e">
        <f>IF(BD$1,SUMIFS('BalSht Data'!$H$2:$H$2050,'BalSht Data'!$G$2:$G$2050,$A33,'BalSht Data'!$A$2:$A$2050,BD$1),#N/A)</f>
        <v>#N/A</v>
      </c>
      <c r="BE33" s="43" t="e">
        <f>IF(BE$1,SUMIFS('BalSht Data'!$H$2:$H$2050,'BalSht Data'!$G$2:$G$2050,$A33,'BalSht Data'!$A$2:$A$2050,BE$1),#N/A)</f>
        <v>#N/A</v>
      </c>
      <c r="BF33" s="43" t="e">
        <f>IF(BF$1,SUMIFS('BalSht Data'!$H$2:$H$2050,'BalSht Data'!$G$2:$G$2050,$A33,'BalSht Data'!$A$2:$A$2050,BF$1),#N/A)</f>
        <v>#N/A</v>
      </c>
      <c r="BG33" s="43" t="e">
        <f>IF(BG$1,SUMIFS('BalSht Data'!$H$2:$H$2050,'BalSht Data'!$G$2:$G$2050,$A33,'BalSht Data'!$A$2:$A$2050,BG$1),#N/A)</f>
        <v>#N/A</v>
      </c>
      <c r="BH33" s="43" t="e">
        <f>IF(BH$1,SUMIFS('BalSht Data'!$H$2:$H$2050,'BalSht Data'!$G$2:$G$2050,$A33,'BalSht Data'!$A$2:$A$2050,BH$1),#N/A)</f>
        <v>#N/A</v>
      </c>
      <c r="BI33" s="43" t="e">
        <f>IF(BI$1,SUMIFS('BalSht Data'!$H$2:$H$2050,'BalSht Data'!$G$2:$G$2050,$A33,'BalSht Data'!$A$2:$A$2050,BI$1),#N/A)</f>
        <v>#N/A</v>
      </c>
      <c r="BJ33" s="43" t="e">
        <f>IF(BJ$1,SUMIFS('BalSht Data'!$H$2:$H$2050,'BalSht Data'!$G$2:$G$2050,$A33,'BalSht Data'!$A$2:$A$2050,BJ$1),#N/A)</f>
        <v>#N/A</v>
      </c>
      <c r="BK33" s="43" t="e">
        <f>IF(BK$1,SUMIFS('BalSht Data'!$H$2:$H$2050,'BalSht Data'!$G$2:$G$2050,$A33,'BalSht Data'!$A$2:$A$2050,BK$1),#N/A)</f>
        <v>#N/A</v>
      </c>
      <c r="BL33" s="43" t="e">
        <f>IF(BL$1,SUMIFS('BalSht Data'!$H$2:$H$2050,'BalSht Data'!$G$2:$G$2050,$A33,'BalSht Data'!$A$2:$A$2050,BL$1),#N/A)</f>
        <v>#N/A</v>
      </c>
      <c r="BM33" s="43" t="e">
        <f>IF(BM$1,SUMIFS('BalSht Data'!$H$2:$H$2050,'BalSht Data'!$G$2:$G$2050,$A33,'BalSht Data'!$A$2:$A$2050,BM$1),#N/A)</f>
        <v>#N/A</v>
      </c>
      <c r="BN33" s="43" t="e">
        <f>IF(BN$1,SUMIFS('BalSht Data'!$H$2:$H$2050,'BalSht Data'!$G$2:$G$2050,$A33,'BalSht Data'!$A$2:$A$2050,BN$1),#N/A)</f>
        <v>#N/A</v>
      </c>
      <c r="BO33" s="43" t="e">
        <f>IF(BO$1,SUMIFS('BalSht Data'!$H$2:$H$2050,'BalSht Data'!$G$2:$G$2050,$A33,'BalSht Data'!$A$2:$A$2050,BO$1),#N/A)</f>
        <v>#N/A</v>
      </c>
      <c r="BP33" s="43" t="e">
        <f>IF(BP$1,SUMIFS('BalSht Data'!$H$2:$H$2050,'BalSht Data'!$G$2:$G$2050,$A33,'BalSht Data'!$A$2:$A$2050,BP$1),#N/A)</f>
        <v>#N/A</v>
      </c>
      <c r="BQ33" s="43" t="e">
        <f>IF(BQ$1,SUMIFS('BalSht Data'!$H$2:$H$2050,'BalSht Data'!$G$2:$G$2050,$A33,'BalSht Data'!$A$2:$A$2050,BQ$1),#N/A)</f>
        <v>#N/A</v>
      </c>
      <c r="BR33" s="43" t="e">
        <f>IF(BR$1,SUMIFS('BalSht Data'!$H$2:$H$2050,'BalSht Data'!$G$2:$G$2050,$A33,'BalSht Data'!$A$2:$A$2050,BR$1),#N/A)</f>
        <v>#N/A</v>
      </c>
      <c r="BS33" s="43" t="e">
        <f>IF(BS$1,SUMIFS('BalSht Data'!$H$2:$H$2050,'BalSht Data'!$G$2:$G$2050,$A33,'BalSht Data'!$A$2:$A$2050,BS$1),#N/A)</f>
        <v>#N/A</v>
      </c>
      <c r="BT33" s="43" t="e">
        <f>IF(BT$1,SUMIFS('BalSht Data'!$H$2:$H$2050,'BalSht Data'!$G$2:$G$2050,$A33,'BalSht Data'!$A$2:$A$2050,BT$1),#N/A)</f>
        <v>#N/A</v>
      </c>
      <c r="BU33" s="43" t="e">
        <f>IF(BU$1,SUMIFS('BalSht Data'!$H$2:$H$2050,'BalSht Data'!$G$2:$G$2050,$A33,'BalSht Data'!$A$2:$A$2050,BU$1),#N/A)</f>
        <v>#N/A</v>
      </c>
      <c r="BV33" s="43" t="e">
        <f>IF(BV$1,SUMIFS('BalSht Data'!$H$2:$H$2050,'BalSht Data'!$G$2:$G$2050,$A33,'BalSht Data'!$A$2:$A$2050,BV$1),#N/A)</f>
        <v>#N/A</v>
      </c>
      <c r="BW33" s="43" t="e">
        <f>IF(BW$1,SUMIFS('BalSht Data'!$H$2:$H$2050,'BalSht Data'!$G$2:$G$2050,$A33,'BalSht Data'!$A$2:$A$2050,BW$1),#N/A)</f>
        <v>#N/A</v>
      </c>
      <c r="BX33" s="43" t="e">
        <f>IF(BX$1,SUMIFS('BalSht Data'!$H$2:$H$2050,'BalSht Data'!$G$2:$G$2050,$A33,'BalSht Data'!$A$2:$A$2050,BX$1),#N/A)</f>
        <v>#N/A</v>
      </c>
      <c r="BY33" s="43" t="e">
        <f>IF(BY$1,SUMIFS('BalSht Data'!$H$2:$H$2050,'BalSht Data'!$G$2:$G$2050,$A33,'BalSht Data'!$A$2:$A$2050,BY$1),#N/A)</f>
        <v>#N/A</v>
      </c>
      <c r="BZ33" s="43" t="e">
        <f>IF(BZ$1,SUMIFS('BalSht Data'!$H$2:$H$2050,'BalSht Data'!$G$2:$G$2050,$A33,'BalSht Data'!$A$2:$A$2050,BZ$1),#N/A)</f>
        <v>#N/A</v>
      </c>
      <c r="CA33" s="43" t="e">
        <f>IF(CA$1,SUMIFS('BalSht Data'!$H$2:$H$2050,'BalSht Data'!$G$2:$G$2050,$A33,'BalSht Data'!$A$2:$A$2050,CA$1),#N/A)</f>
        <v>#N/A</v>
      </c>
      <c r="CB33" s="43" t="e">
        <f>IF(CB$1,SUMIFS('BalSht Data'!$H$2:$H$2050,'BalSht Data'!$G$2:$G$2050,$A33,'BalSht Data'!$A$2:$A$2050,CB$1),#N/A)</f>
        <v>#N/A</v>
      </c>
      <c r="CC33" s="43" t="e">
        <f>IF(CC$1,SUMIFS('BalSht Data'!$H$2:$H$2050,'BalSht Data'!$G$2:$G$2050,$A33,'BalSht Data'!$A$2:$A$2050,CC$1),#N/A)</f>
        <v>#N/A</v>
      </c>
      <c r="CD33" s="43" t="e">
        <f>IF(CD$1,SUMIFS('BalSht Data'!$H$2:$H$2050,'BalSht Data'!$G$2:$G$2050,$A33,'BalSht Data'!$A$2:$A$2050,CD$1),#N/A)</f>
        <v>#N/A</v>
      </c>
      <c r="CE33" s="43" t="e">
        <f>IF(CE$1,SUMIFS('BalSht Data'!$H$2:$H$2050,'BalSht Data'!$G$2:$G$2050,$A33,'BalSht Data'!$A$2:$A$2050,CE$1),#N/A)</f>
        <v>#N/A</v>
      </c>
      <c r="CF33" s="43" t="e">
        <f>IF(CF$1,SUMIFS('BalSht Data'!$H$2:$H$2050,'BalSht Data'!$G$2:$G$2050,$A33,'BalSht Data'!$A$2:$A$2050,CF$1),#N/A)</f>
        <v>#N/A</v>
      </c>
      <c r="CG33" s="43" t="e">
        <f>IF(CG$1,SUMIFS('BalSht Data'!$H$2:$H$2050,'BalSht Data'!$G$2:$G$2050,$A33,'BalSht Data'!$A$2:$A$2050,CG$1),#N/A)</f>
        <v>#N/A</v>
      </c>
      <c r="CH33" s="43" t="e">
        <f>IF(CH$1,SUMIFS('BalSht Data'!$H$2:$H$2050,'BalSht Data'!$G$2:$G$2050,$A33,'BalSht Data'!$A$2:$A$2050,CH$1),#N/A)</f>
        <v>#N/A</v>
      </c>
      <c r="CI33" s="43" t="e">
        <f>IF(CI$1,SUMIFS('BalSht Data'!$H$2:$H$2050,'BalSht Data'!$G$2:$G$2050,$A33,'BalSht Data'!$A$2:$A$2050,CI$1),#N/A)</f>
        <v>#N/A</v>
      </c>
      <c r="CJ33" s="43" t="e">
        <f>IF(CJ$1,SUMIFS('BalSht Data'!$H$2:$H$2050,'BalSht Data'!$G$2:$G$2050,$A33,'BalSht Data'!$A$2:$A$2050,CJ$1),#N/A)</f>
        <v>#N/A</v>
      </c>
      <c r="CK33" s="43" t="e">
        <f>IF(CK$1,SUMIFS('BalSht Data'!$H$2:$H$2050,'BalSht Data'!$G$2:$G$2050,$A33,'BalSht Data'!$A$2:$A$2050,CK$1),#N/A)</f>
        <v>#N/A</v>
      </c>
      <c r="CL33" s="43" t="e">
        <f>IF(CL$1,SUMIFS('BalSht Data'!$H$2:$H$2050,'BalSht Data'!$G$2:$G$2050,$A33,'BalSht Data'!$A$2:$A$2050,CL$1),#N/A)</f>
        <v>#N/A</v>
      </c>
      <c r="CM33" s="43" t="e">
        <f>IF(CM$1,SUMIFS('BalSht Data'!$H$2:$H$2050,'BalSht Data'!$G$2:$G$2050,$A33,'BalSht Data'!$A$2:$A$2050,CM$1),#N/A)</f>
        <v>#N/A</v>
      </c>
      <c r="CN33" s="43" t="e">
        <f>IF(CN$1,SUMIFS('BalSht Data'!$H$2:$H$2050,'BalSht Data'!$G$2:$G$2050,$A33,'BalSht Data'!$A$2:$A$2050,CN$1),#N/A)</f>
        <v>#N/A</v>
      </c>
      <c r="CO33" s="43" t="e">
        <f>IF(CO$1,SUMIFS('BalSht Data'!$H$2:$H$2050,'BalSht Data'!$G$2:$G$2050,$A33,'BalSht Data'!$A$2:$A$2050,CO$1),#N/A)</f>
        <v>#N/A</v>
      </c>
      <c r="CP33" s="43" t="e">
        <f>IF(CP$1,SUMIFS('BalSht Data'!$H$2:$H$2050,'BalSht Data'!$G$2:$G$2050,$A33,'BalSht Data'!$A$2:$A$2050,CP$1),#N/A)</f>
        <v>#N/A</v>
      </c>
      <c r="CQ33" s="43" t="e">
        <f>IF(CQ$1,SUMIFS('BalSht Data'!$H$2:$H$2050,'BalSht Data'!$G$2:$G$2050,$A33,'BalSht Data'!$A$2:$A$2050,CQ$1),#N/A)</f>
        <v>#N/A</v>
      </c>
      <c r="CR33" s="43" t="e">
        <f>IF(CR$1,SUMIFS('BalSht Data'!$H$2:$H$2050,'BalSht Data'!$G$2:$G$2050,$A33,'BalSht Data'!$A$2:$A$2050,CR$1),#N/A)</f>
        <v>#N/A</v>
      </c>
      <c r="CS33" s="43" t="e">
        <f>IF(CS$1,SUMIFS('BalSht Data'!$H$2:$H$2050,'BalSht Data'!$G$2:$G$2050,$A33,'BalSht Data'!$A$2:$A$2050,CS$1),#N/A)</f>
        <v>#N/A</v>
      </c>
      <c r="CT33" s="43" t="e">
        <f>IF(CT$1,SUMIFS('BalSht Data'!$H$2:$H$2050,'BalSht Data'!$G$2:$G$2050,$A33,'BalSht Data'!$A$2:$A$2050,CT$1),#N/A)</f>
        <v>#N/A</v>
      </c>
      <c r="CU33" s="43" t="e">
        <f>IF(CU$1,SUMIFS('BalSht Data'!$H$2:$H$2050,'BalSht Data'!$G$2:$G$2050,$A33,'BalSht Data'!$A$2:$A$2050,CU$1),#N/A)</f>
        <v>#N/A</v>
      </c>
      <c r="CV33" s="43" t="e">
        <f>IF(CV$1,SUMIFS('BalSht Data'!$H$2:$H$2050,'BalSht Data'!$G$2:$G$2050,$A33,'BalSht Data'!$A$2:$A$2050,CV$1),#N/A)</f>
        <v>#N/A</v>
      </c>
      <c r="CW33" s="43" t="e">
        <f>IF(CW$1,SUMIFS('BalSht Data'!$H$2:$H$2050,'BalSht Data'!$G$2:$G$2050,$A33,'BalSht Data'!$A$2:$A$2050,CW$1),#N/A)</f>
        <v>#N/A</v>
      </c>
      <c r="CX33" s="43" t="e">
        <f>IF(CX$1,SUMIFS('BalSht Data'!$H$2:$H$2050,'BalSht Data'!$G$2:$G$2050,$A33,'BalSht Data'!$A$2:$A$2050,CX$1),#N/A)</f>
        <v>#N/A</v>
      </c>
      <c r="CY33" s="43" t="e">
        <f>IF(CY$1,SUMIFS('BalSht Data'!$H$2:$H$2050,'BalSht Data'!$G$2:$G$2050,$A33,'BalSht Data'!$A$2:$A$2050,CY$1),#N/A)</f>
        <v>#N/A</v>
      </c>
      <c r="CZ33" s="43" t="e">
        <f>IF(CZ$1,SUMIFS('BalSht Data'!$H$2:$H$2050,'BalSht Data'!$G$2:$G$2050,$A33,'BalSht Data'!$A$2:$A$2050,CZ$1),#N/A)</f>
        <v>#N/A</v>
      </c>
      <c r="DA33" s="43">
        <f>SUM(B33:AJ33)</f>
        <v>4846637</v>
      </c>
    </row>
    <row r="34" spans="1:105" s="42" customFormat="1" x14ac:dyDescent="0.2">
      <c r="A34" s="52" t="s">
        <v>153</v>
      </c>
      <c r="B34" s="43">
        <f>IF(B$1,SUMIFS('BalSht Data'!$H$2:$H$2050,'BalSht Data'!$G$2:$G$2050,$A34,'BalSht Data'!$A$2:$A$2050,B$1),#N/A)</f>
        <v>0</v>
      </c>
      <c r="C34" s="43">
        <f>IF(C$1,SUMIFS('BalSht Data'!$H$2:$H$2050,'BalSht Data'!$G$2:$G$2050,$A34,'BalSht Data'!$A$2:$A$2050,C$1),#N/A)</f>
        <v>0</v>
      </c>
      <c r="D34" s="43">
        <f>IF(D$1,SUMIFS('BalSht Data'!$H$2:$H$2050,'BalSht Data'!$G$2:$G$2050,$A34,'BalSht Data'!$A$2:$A$2050,D$1),#N/A)</f>
        <v>0</v>
      </c>
      <c r="E34" s="43">
        <f>IF(E$1,SUMIFS('BalSht Data'!$H$2:$H$2050,'BalSht Data'!$G$2:$G$2050,$A34,'BalSht Data'!$A$2:$A$2050,E$1),#N/A)</f>
        <v>0</v>
      </c>
      <c r="F34" s="43">
        <f>IF(F$1,SUMIFS('BalSht Data'!$H$2:$H$2050,'BalSht Data'!$G$2:$G$2050,$A34,'BalSht Data'!$A$2:$A$2050,F$1),#N/A)</f>
        <v>0</v>
      </c>
      <c r="G34" s="43">
        <f>IF(G$1,SUMIFS('BalSht Data'!$H$2:$H$2050,'BalSht Data'!$G$2:$G$2050,$A34,'BalSht Data'!$A$2:$A$2050,G$1),#N/A)</f>
        <v>0</v>
      </c>
      <c r="H34" s="43">
        <f>IF(H$1,SUMIFS('BalSht Data'!$H$2:$H$2050,'BalSht Data'!$G$2:$G$2050,$A34,'BalSht Data'!$A$2:$A$2050,H$1),#N/A)</f>
        <v>0</v>
      </c>
      <c r="I34" s="43">
        <f>IF(I$1,SUMIFS('BalSht Data'!$H$2:$H$2050,'BalSht Data'!$G$2:$G$2050,$A34,'BalSht Data'!$A$2:$A$2050,I$1),#N/A)</f>
        <v>0</v>
      </c>
      <c r="J34" s="43">
        <f>IF(J$1,SUMIFS('BalSht Data'!$H$2:$H$2050,'BalSht Data'!$G$2:$G$2050,$A34,'BalSht Data'!$A$2:$A$2050,J$1),#N/A)</f>
        <v>0</v>
      </c>
      <c r="K34" s="43">
        <f>IF(K$1,SUMIFS('BalSht Data'!$H$2:$H$2050,'BalSht Data'!$G$2:$G$2050,$A34,'BalSht Data'!$A$2:$A$2050,K$1),#N/A)</f>
        <v>0</v>
      </c>
      <c r="L34" s="43">
        <f>IF(L$1,SUMIFS('BalSht Data'!$H$2:$H$2050,'BalSht Data'!$G$2:$G$2050,$A34,'BalSht Data'!$A$2:$A$2050,L$1),#N/A)</f>
        <v>0</v>
      </c>
      <c r="M34" s="43">
        <f>IF(M$1,SUMIFS('BalSht Data'!$H$2:$H$2050,'BalSht Data'!$G$2:$G$2050,$A34,'BalSht Data'!$A$2:$A$2050,M$1),#N/A)</f>
        <v>0</v>
      </c>
      <c r="N34" s="43">
        <f>IF(N$1,SUMIFS('BalSht Data'!$H$2:$H$2050,'BalSht Data'!$G$2:$G$2050,$A34,'BalSht Data'!$A$2:$A$2050,N$1),#N/A)</f>
        <v>0</v>
      </c>
      <c r="O34" s="43">
        <f>IF(O$1,SUMIFS('BalSht Data'!$H$2:$H$2050,'BalSht Data'!$G$2:$G$2050,$A34,'BalSht Data'!$A$2:$A$2050,O$1),#N/A)</f>
        <v>0</v>
      </c>
      <c r="P34" s="43">
        <f>IF(P$1,SUMIFS('BalSht Data'!$H$2:$H$2050,'BalSht Data'!$G$2:$G$2050,$A34,'BalSht Data'!$A$2:$A$2050,P$1),#N/A)</f>
        <v>0</v>
      </c>
      <c r="Q34" s="43">
        <f>IF(Q$1,SUMIFS('BalSht Data'!$H$2:$H$2050,'BalSht Data'!$G$2:$G$2050,$A34,'BalSht Data'!$A$2:$A$2050,Q$1),#N/A)</f>
        <v>0</v>
      </c>
      <c r="R34" s="43">
        <f>IF(R$1,SUMIFS('BalSht Data'!$H$2:$H$2050,'BalSht Data'!$G$2:$G$2050,$A34,'BalSht Data'!$A$2:$A$2050,R$1),#N/A)</f>
        <v>0</v>
      </c>
      <c r="S34" s="43">
        <f>IF(S$1,SUMIFS('BalSht Data'!$H$2:$H$2050,'BalSht Data'!$G$2:$G$2050,$A34,'BalSht Data'!$A$2:$A$2050,S$1),#N/A)</f>
        <v>0</v>
      </c>
      <c r="T34" s="43">
        <f>IF(T$1,SUMIFS('BalSht Data'!$H$2:$H$2050,'BalSht Data'!$G$2:$G$2050,$A34,'BalSht Data'!$A$2:$A$2050,T$1),#N/A)</f>
        <v>0</v>
      </c>
      <c r="U34" s="43">
        <f>IF(U$1,SUMIFS('BalSht Data'!$H$2:$H$2050,'BalSht Data'!$G$2:$G$2050,$A34,'BalSht Data'!$A$2:$A$2050,U$1),#N/A)</f>
        <v>0</v>
      </c>
      <c r="V34" s="43">
        <f>IF(V$1,SUMIFS('BalSht Data'!$H$2:$H$2050,'BalSht Data'!$G$2:$G$2050,$A34,'BalSht Data'!$A$2:$A$2050,V$1),#N/A)</f>
        <v>0</v>
      </c>
      <c r="W34" s="43">
        <f>IF(W$1,SUMIFS('BalSht Data'!$H$2:$H$2050,'BalSht Data'!$G$2:$G$2050,$A34,'BalSht Data'!$A$2:$A$2050,W$1),#N/A)</f>
        <v>0</v>
      </c>
      <c r="X34" s="43">
        <f>IF(X$1,SUMIFS('BalSht Data'!$H$2:$H$2050,'BalSht Data'!$G$2:$G$2050,$A34,'BalSht Data'!$A$2:$A$2050,X$1),#N/A)</f>
        <v>0</v>
      </c>
      <c r="Y34" s="43">
        <f>IF(Y$1,SUMIFS('BalSht Data'!$H$2:$H$2050,'BalSht Data'!$G$2:$G$2050,$A34,'BalSht Data'!$A$2:$A$2050,Y$1),#N/A)</f>
        <v>0</v>
      </c>
      <c r="Z34" s="43">
        <f>IF(Z$1,SUMIFS('BalSht Data'!$H$2:$H$2050,'BalSht Data'!$G$2:$G$2050,$A34,'BalSht Data'!$A$2:$A$2050,Z$1),#N/A)</f>
        <v>0</v>
      </c>
      <c r="AA34" s="43">
        <f>IF(AA$1,SUMIFS('BalSht Data'!$H$2:$H$2050,'BalSht Data'!$G$2:$G$2050,$A34,'BalSht Data'!$A$2:$A$2050,AA$1),#N/A)</f>
        <v>0</v>
      </c>
      <c r="AB34" s="43">
        <f>IF(AB$1,SUMIFS('BalSht Data'!$H$2:$H$2050,'BalSht Data'!$G$2:$G$2050,$A34,'BalSht Data'!$A$2:$A$2050,AB$1),#N/A)</f>
        <v>0</v>
      </c>
      <c r="AC34" s="43">
        <f>IF(AC$1,SUMIFS('BalSht Data'!$H$2:$H$2050,'BalSht Data'!$G$2:$G$2050,$A34,'BalSht Data'!$A$2:$A$2050,AC$1),#N/A)</f>
        <v>0</v>
      </c>
      <c r="AD34" s="43">
        <f>IF(AD$1,SUMIFS('BalSht Data'!$H$2:$H$2050,'BalSht Data'!$G$2:$G$2050,$A34,'BalSht Data'!$A$2:$A$2050,AD$1),#N/A)</f>
        <v>0</v>
      </c>
      <c r="AE34" s="43">
        <f>IF(AE$1,SUMIFS('BalSht Data'!$H$2:$H$2050,'BalSht Data'!$G$2:$G$2050,$A34,'BalSht Data'!$A$2:$A$2050,AE$1),#N/A)</f>
        <v>0</v>
      </c>
      <c r="AF34" s="43">
        <f>IF(AF$1,SUMIFS('BalSht Data'!$H$2:$H$2050,'BalSht Data'!$G$2:$G$2050,$A34,'BalSht Data'!$A$2:$A$2050,AF$1),#N/A)</f>
        <v>0</v>
      </c>
      <c r="AG34" s="43">
        <f>IF(AG$1,SUMIFS('BalSht Data'!$H$2:$H$2050,'BalSht Data'!$G$2:$G$2050,$A34,'BalSht Data'!$A$2:$A$2050,AG$1),#N/A)</f>
        <v>0</v>
      </c>
      <c r="AH34" s="43">
        <f>IF(AH$1,SUMIFS('BalSht Data'!$H$2:$H$2050,'BalSht Data'!$G$2:$G$2050,$A34,'BalSht Data'!$A$2:$A$2050,AH$1),#N/A)</f>
        <v>0</v>
      </c>
      <c r="AI34" s="43">
        <f>IF(AI$1,SUMIFS('BalSht Data'!$H$2:$H$2050,'BalSht Data'!$G$2:$G$2050,$A34,'BalSht Data'!$A$2:$A$2050,AI$1),#N/A)</f>
        <v>0</v>
      </c>
      <c r="AJ34" s="43">
        <f>IF(AJ$1,SUMIFS('BalSht Data'!$H$2:$H$2050,'BalSht Data'!$G$2:$G$2050,$A34,'BalSht Data'!$A$2:$A$2050,AJ$1),#N/A)</f>
        <v>0</v>
      </c>
      <c r="AK34" s="43" t="e">
        <f>IF(AK$1,SUMIFS('BalSht Data'!$H$2:$H$2050,'BalSht Data'!$G$2:$G$2050,$A34,'BalSht Data'!$A$2:$A$2050,AK$1),#N/A)</f>
        <v>#N/A</v>
      </c>
      <c r="AL34" s="43" t="e">
        <f>IF(AL$1,SUMIFS('BalSht Data'!$H$2:$H$2050,'BalSht Data'!$G$2:$G$2050,$A34,'BalSht Data'!$A$2:$A$2050,AL$1),#N/A)</f>
        <v>#N/A</v>
      </c>
      <c r="AM34" s="43" t="e">
        <f>IF(AM$1,SUMIFS('BalSht Data'!$H$2:$H$2050,'BalSht Data'!$G$2:$G$2050,$A34,'BalSht Data'!$A$2:$A$2050,AM$1),#N/A)</f>
        <v>#N/A</v>
      </c>
      <c r="AN34" s="43" t="e">
        <f>IF(AN$1,SUMIFS('BalSht Data'!$H$2:$H$2050,'BalSht Data'!$G$2:$G$2050,$A34,'BalSht Data'!$A$2:$A$2050,AN$1),#N/A)</f>
        <v>#N/A</v>
      </c>
      <c r="AO34" s="43" t="e">
        <f>IF(AO$1,SUMIFS('BalSht Data'!$H$2:$H$2050,'BalSht Data'!$G$2:$G$2050,$A34,'BalSht Data'!$A$2:$A$2050,AO$1),#N/A)</f>
        <v>#N/A</v>
      </c>
      <c r="AP34" s="43" t="e">
        <f>IF(AP$1,SUMIFS('BalSht Data'!$H$2:$H$2050,'BalSht Data'!$G$2:$G$2050,$A34,'BalSht Data'!$A$2:$A$2050,AP$1),#N/A)</f>
        <v>#N/A</v>
      </c>
      <c r="AQ34" s="43" t="e">
        <f>IF(AQ$1,SUMIFS('BalSht Data'!$H$2:$H$2050,'BalSht Data'!$G$2:$G$2050,$A34,'BalSht Data'!$A$2:$A$2050,AQ$1),#N/A)</f>
        <v>#N/A</v>
      </c>
      <c r="AR34" s="43" t="e">
        <f>IF(AR$1,SUMIFS('BalSht Data'!$H$2:$H$2050,'BalSht Data'!$G$2:$G$2050,$A34,'BalSht Data'!$A$2:$A$2050,AR$1),#N/A)</f>
        <v>#N/A</v>
      </c>
      <c r="AS34" s="43" t="e">
        <f>IF(AS$1,SUMIFS('BalSht Data'!$H$2:$H$2050,'BalSht Data'!$G$2:$G$2050,$A34,'BalSht Data'!$A$2:$A$2050,AS$1),#N/A)</f>
        <v>#N/A</v>
      </c>
      <c r="AT34" s="43" t="e">
        <f>IF(AT$1,SUMIFS('BalSht Data'!$H$2:$H$2050,'BalSht Data'!$G$2:$G$2050,$A34,'BalSht Data'!$A$2:$A$2050,AT$1),#N/A)</f>
        <v>#N/A</v>
      </c>
      <c r="AU34" s="43" t="e">
        <f>IF(AU$1,SUMIFS('BalSht Data'!$H$2:$H$2050,'BalSht Data'!$G$2:$G$2050,$A34,'BalSht Data'!$A$2:$A$2050,AU$1),#N/A)</f>
        <v>#N/A</v>
      </c>
      <c r="AV34" s="43" t="e">
        <f>IF(AV$1,SUMIFS('BalSht Data'!$H$2:$H$2050,'BalSht Data'!$G$2:$G$2050,$A34,'BalSht Data'!$A$2:$A$2050,AV$1),#N/A)</f>
        <v>#N/A</v>
      </c>
      <c r="AW34" s="43" t="e">
        <f>IF(AW$1,SUMIFS('BalSht Data'!$H$2:$H$2050,'BalSht Data'!$G$2:$G$2050,$A34,'BalSht Data'!$A$2:$A$2050,AW$1),#N/A)</f>
        <v>#N/A</v>
      </c>
      <c r="AX34" s="43" t="e">
        <f>IF(AX$1,SUMIFS('BalSht Data'!$H$2:$H$2050,'BalSht Data'!$G$2:$G$2050,$A34,'BalSht Data'!$A$2:$A$2050,AX$1),#N/A)</f>
        <v>#N/A</v>
      </c>
      <c r="AY34" s="43" t="e">
        <f>IF(AY$1,SUMIFS('BalSht Data'!$H$2:$H$2050,'BalSht Data'!$G$2:$G$2050,$A34,'BalSht Data'!$A$2:$A$2050,AY$1),#N/A)</f>
        <v>#N/A</v>
      </c>
      <c r="AZ34" s="43" t="e">
        <f>IF(AZ$1,SUMIFS('BalSht Data'!$H$2:$H$2050,'BalSht Data'!$G$2:$G$2050,$A34,'BalSht Data'!$A$2:$A$2050,AZ$1),#N/A)</f>
        <v>#N/A</v>
      </c>
      <c r="BA34" s="43" t="e">
        <f>IF(BA$1,SUMIFS('BalSht Data'!$H$2:$H$2050,'BalSht Data'!$G$2:$G$2050,$A34,'BalSht Data'!$A$2:$A$2050,BA$1),#N/A)</f>
        <v>#N/A</v>
      </c>
      <c r="BB34" s="43" t="e">
        <f>IF(BB$1,SUMIFS('BalSht Data'!$H$2:$H$2050,'BalSht Data'!$G$2:$G$2050,$A34,'BalSht Data'!$A$2:$A$2050,BB$1),#N/A)</f>
        <v>#N/A</v>
      </c>
      <c r="BC34" s="43" t="e">
        <f>IF(BC$1,SUMIFS('BalSht Data'!$H$2:$H$2050,'BalSht Data'!$G$2:$G$2050,$A34,'BalSht Data'!$A$2:$A$2050,BC$1),#N/A)</f>
        <v>#N/A</v>
      </c>
      <c r="BD34" s="43" t="e">
        <f>IF(BD$1,SUMIFS('BalSht Data'!$H$2:$H$2050,'BalSht Data'!$G$2:$G$2050,$A34,'BalSht Data'!$A$2:$A$2050,BD$1),#N/A)</f>
        <v>#N/A</v>
      </c>
      <c r="BE34" s="43" t="e">
        <f>IF(BE$1,SUMIFS('BalSht Data'!$H$2:$H$2050,'BalSht Data'!$G$2:$G$2050,$A34,'BalSht Data'!$A$2:$A$2050,BE$1),#N/A)</f>
        <v>#N/A</v>
      </c>
      <c r="BF34" s="43" t="e">
        <f>IF(BF$1,SUMIFS('BalSht Data'!$H$2:$H$2050,'BalSht Data'!$G$2:$G$2050,$A34,'BalSht Data'!$A$2:$A$2050,BF$1),#N/A)</f>
        <v>#N/A</v>
      </c>
      <c r="BG34" s="43" t="e">
        <f>IF(BG$1,SUMIFS('BalSht Data'!$H$2:$H$2050,'BalSht Data'!$G$2:$G$2050,$A34,'BalSht Data'!$A$2:$A$2050,BG$1),#N/A)</f>
        <v>#N/A</v>
      </c>
      <c r="BH34" s="43" t="e">
        <f>IF(BH$1,SUMIFS('BalSht Data'!$H$2:$H$2050,'BalSht Data'!$G$2:$G$2050,$A34,'BalSht Data'!$A$2:$A$2050,BH$1),#N/A)</f>
        <v>#N/A</v>
      </c>
      <c r="BI34" s="43" t="e">
        <f>IF(BI$1,SUMIFS('BalSht Data'!$H$2:$H$2050,'BalSht Data'!$G$2:$G$2050,$A34,'BalSht Data'!$A$2:$A$2050,BI$1),#N/A)</f>
        <v>#N/A</v>
      </c>
      <c r="BJ34" s="43" t="e">
        <f>IF(BJ$1,SUMIFS('BalSht Data'!$H$2:$H$2050,'BalSht Data'!$G$2:$G$2050,$A34,'BalSht Data'!$A$2:$A$2050,BJ$1),#N/A)</f>
        <v>#N/A</v>
      </c>
      <c r="BK34" s="43" t="e">
        <f>IF(BK$1,SUMIFS('BalSht Data'!$H$2:$H$2050,'BalSht Data'!$G$2:$G$2050,$A34,'BalSht Data'!$A$2:$A$2050,BK$1),#N/A)</f>
        <v>#N/A</v>
      </c>
      <c r="BL34" s="43" t="e">
        <f>IF(BL$1,SUMIFS('BalSht Data'!$H$2:$H$2050,'BalSht Data'!$G$2:$G$2050,$A34,'BalSht Data'!$A$2:$A$2050,BL$1),#N/A)</f>
        <v>#N/A</v>
      </c>
      <c r="BM34" s="43" t="e">
        <f>IF(BM$1,SUMIFS('BalSht Data'!$H$2:$H$2050,'BalSht Data'!$G$2:$G$2050,$A34,'BalSht Data'!$A$2:$A$2050,BM$1),#N/A)</f>
        <v>#N/A</v>
      </c>
      <c r="BN34" s="43" t="e">
        <f>IF(BN$1,SUMIFS('BalSht Data'!$H$2:$H$2050,'BalSht Data'!$G$2:$G$2050,$A34,'BalSht Data'!$A$2:$A$2050,BN$1),#N/A)</f>
        <v>#N/A</v>
      </c>
      <c r="BO34" s="43" t="e">
        <f>IF(BO$1,SUMIFS('BalSht Data'!$H$2:$H$2050,'BalSht Data'!$G$2:$G$2050,$A34,'BalSht Data'!$A$2:$A$2050,BO$1),#N/A)</f>
        <v>#N/A</v>
      </c>
      <c r="BP34" s="43" t="e">
        <f>IF(BP$1,SUMIFS('BalSht Data'!$H$2:$H$2050,'BalSht Data'!$G$2:$G$2050,$A34,'BalSht Data'!$A$2:$A$2050,BP$1),#N/A)</f>
        <v>#N/A</v>
      </c>
      <c r="BQ34" s="43" t="e">
        <f>IF(BQ$1,SUMIFS('BalSht Data'!$H$2:$H$2050,'BalSht Data'!$G$2:$G$2050,$A34,'BalSht Data'!$A$2:$A$2050,BQ$1),#N/A)</f>
        <v>#N/A</v>
      </c>
      <c r="BR34" s="43" t="e">
        <f>IF(BR$1,SUMIFS('BalSht Data'!$H$2:$H$2050,'BalSht Data'!$G$2:$G$2050,$A34,'BalSht Data'!$A$2:$A$2050,BR$1),#N/A)</f>
        <v>#N/A</v>
      </c>
      <c r="BS34" s="43" t="e">
        <f>IF(BS$1,SUMIFS('BalSht Data'!$H$2:$H$2050,'BalSht Data'!$G$2:$G$2050,$A34,'BalSht Data'!$A$2:$A$2050,BS$1),#N/A)</f>
        <v>#N/A</v>
      </c>
      <c r="BT34" s="43" t="e">
        <f>IF(BT$1,SUMIFS('BalSht Data'!$H$2:$H$2050,'BalSht Data'!$G$2:$G$2050,$A34,'BalSht Data'!$A$2:$A$2050,BT$1),#N/A)</f>
        <v>#N/A</v>
      </c>
      <c r="BU34" s="43" t="e">
        <f>IF(BU$1,SUMIFS('BalSht Data'!$H$2:$H$2050,'BalSht Data'!$G$2:$G$2050,$A34,'BalSht Data'!$A$2:$A$2050,BU$1),#N/A)</f>
        <v>#N/A</v>
      </c>
      <c r="BV34" s="43" t="e">
        <f>IF(BV$1,SUMIFS('BalSht Data'!$H$2:$H$2050,'BalSht Data'!$G$2:$G$2050,$A34,'BalSht Data'!$A$2:$A$2050,BV$1),#N/A)</f>
        <v>#N/A</v>
      </c>
      <c r="BW34" s="43" t="e">
        <f>IF(BW$1,SUMIFS('BalSht Data'!$H$2:$H$2050,'BalSht Data'!$G$2:$G$2050,$A34,'BalSht Data'!$A$2:$A$2050,BW$1),#N/A)</f>
        <v>#N/A</v>
      </c>
      <c r="BX34" s="43" t="e">
        <f>IF(BX$1,SUMIFS('BalSht Data'!$H$2:$H$2050,'BalSht Data'!$G$2:$G$2050,$A34,'BalSht Data'!$A$2:$A$2050,BX$1),#N/A)</f>
        <v>#N/A</v>
      </c>
      <c r="BY34" s="43" t="e">
        <f>IF(BY$1,SUMIFS('BalSht Data'!$H$2:$H$2050,'BalSht Data'!$G$2:$G$2050,$A34,'BalSht Data'!$A$2:$A$2050,BY$1),#N/A)</f>
        <v>#N/A</v>
      </c>
      <c r="BZ34" s="43" t="e">
        <f>IF(BZ$1,SUMIFS('BalSht Data'!$H$2:$H$2050,'BalSht Data'!$G$2:$G$2050,$A34,'BalSht Data'!$A$2:$A$2050,BZ$1),#N/A)</f>
        <v>#N/A</v>
      </c>
      <c r="CA34" s="43" t="e">
        <f>IF(CA$1,SUMIFS('BalSht Data'!$H$2:$H$2050,'BalSht Data'!$G$2:$G$2050,$A34,'BalSht Data'!$A$2:$A$2050,CA$1),#N/A)</f>
        <v>#N/A</v>
      </c>
      <c r="CB34" s="43" t="e">
        <f>IF(CB$1,SUMIFS('BalSht Data'!$H$2:$H$2050,'BalSht Data'!$G$2:$G$2050,$A34,'BalSht Data'!$A$2:$A$2050,CB$1),#N/A)</f>
        <v>#N/A</v>
      </c>
      <c r="CC34" s="43" t="e">
        <f>IF(CC$1,SUMIFS('BalSht Data'!$H$2:$H$2050,'BalSht Data'!$G$2:$G$2050,$A34,'BalSht Data'!$A$2:$A$2050,CC$1),#N/A)</f>
        <v>#N/A</v>
      </c>
      <c r="CD34" s="43" t="e">
        <f>IF(CD$1,SUMIFS('BalSht Data'!$H$2:$H$2050,'BalSht Data'!$G$2:$G$2050,$A34,'BalSht Data'!$A$2:$A$2050,CD$1),#N/A)</f>
        <v>#N/A</v>
      </c>
      <c r="CE34" s="43" t="e">
        <f>IF(CE$1,SUMIFS('BalSht Data'!$H$2:$H$2050,'BalSht Data'!$G$2:$G$2050,$A34,'BalSht Data'!$A$2:$A$2050,CE$1),#N/A)</f>
        <v>#N/A</v>
      </c>
      <c r="CF34" s="43" t="e">
        <f>IF(CF$1,SUMIFS('BalSht Data'!$H$2:$H$2050,'BalSht Data'!$G$2:$G$2050,$A34,'BalSht Data'!$A$2:$A$2050,CF$1),#N/A)</f>
        <v>#N/A</v>
      </c>
      <c r="CG34" s="43" t="e">
        <f>IF(CG$1,SUMIFS('BalSht Data'!$H$2:$H$2050,'BalSht Data'!$G$2:$G$2050,$A34,'BalSht Data'!$A$2:$A$2050,CG$1),#N/A)</f>
        <v>#N/A</v>
      </c>
      <c r="CH34" s="43" t="e">
        <f>IF(CH$1,SUMIFS('BalSht Data'!$H$2:$H$2050,'BalSht Data'!$G$2:$G$2050,$A34,'BalSht Data'!$A$2:$A$2050,CH$1),#N/A)</f>
        <v>#N/A</v>
      </c>
      <c r="CI34" s="43" t="e">
        <f>IF(CI$1,SUMIFS('BalSht Data'!$H$2:$H$2050,'BalSht Data'!$G$2:$G$2050,$A34,'BalSht Data'!$A$2:$A$2050,CI$1),#N/A)</f>
        <v>#N/A</v>
      </c>
      <c r="CJ34" s="43" t="e">
        <f>IF(CJ$1,SUMIFS('BalSht Data'!$H$2:$H$2050,'BalSht Data'!$G$2:$G$2050,$A34,'BalSht Data'!$A$2:$A$2050,CJ$1),#N/A)</f>
        <v>#N/A</v>
      </c>
      <c r="CK34" s="43" t="e">
        <f>IF(CK$1,SUMIFS('BalSht Data'!$H$2:$H$2050,'BalSht Data'!$G$2:$G$2050,$A34,'BalSht Data'!$A$2:$A$2050,CK$1),#N/A)</f>
        <v>#N/A</v>
      </c>
      <c r="CL34" s="43" t="e">
        <f>IF(CL$1,SUMIFS('BalSht Data'!$H$2:$H$2050,'BalSht Data'!$G$2:$G$2050,$A34,'BalSht Data'!$A$2:$A$2050,CL$1),#N/A)</f>
        <v>#N/A</v>
      </c>
      <c r="CM34" s="43" t="e">
        <f>IF(CM$1,SUMIFS('BalSht Data'!$H$2:$H$2050,'BalSht Data'!$G$2:$G$2050,$A34,'BalSht Data'!$A$2:$A$2050,CM$1),#N/A)</f>
        <v>#N/A</v>
      </c>
      <c r="CN34" s="43" t="e">
        <f>IF(CN$1,SUMIFS('BalSht Data'!$H$2:$H$2050,'BalSht Data'!$G$2:$G$2050,$A34,'BalSht Data'!$A$2:$A$2050,CN$1),#N/A)</f>
        <v>#N/A</v>
      </c>
      <c r="CO34" s="43" t="e">
        <f>IF(CO$1,SUMIFS('BalSht Data'!$H$2:$H$2050,'BalSht Data'!$G$2:$G$2050,$A34,'BalSht Data'!$A$2:$A$2050,CO$1),#N/A)</f>
        <v>#N/A</v>
      </c>
      <c r="CP34" s="43" t="e">
        <f>IF(CP$1,SUMIFS('BalSht Data'!$H$2:$H$2050,'BalSht Data'!$G$2:$G$2050,$A34,'BalSht Data'!$A$2:$A$2050,CP$1),#N/A)</f>
        <v>#N/A</v>
      </c>
      <c r="CQ34" s="43" t="e">
        <f>IF(CQ$1,SUMIFS('BalSht Data'!$H$2:$H$2050,'BalSht Data'!$G$2:$G$2050,$A34,'BalSht Data'!$A$2:$A$2050,CQ$1),#N/A)</f>
        <v>#N/A</v>
      </c>
      <c r="CR34" s="43" t="e">
        <f>IF(CR$1,SUMIFS('BalSht Data'!$H$2:$H$2050,'BalSht Data'!$G$2:$G$2050,$A34,'BalSht Data'!$A$2:$A$2050,CR$1),#N/A)</f>
        <v>#N/A</v>
      </c>
      <c r="CS34" s="43" t="e">
        <f>IF(CS$1,SUMIFS('BalSht Data'!$H$2:$H$2050,'BalSht Data'!$G$2:$G$2050,$A34,'BalSht Data'!$A$2:$A$2050,CS$1),#N/A)</f>
        <v>#N/A</v>
      </c>
      <c r="CT34" s="43" t="e">
        <f>IF(CT$1,SUMIFS('BalSht Data'!$H$2:$H$2050,'BalSht Data'!$G$2:$G$2050,$A34,'BalSht Data'!$A$2:$A$2050,CT$1),#N/A)</f>
        <v>#N/A</v>
      </c>
      <c r="CU34" s="43" t="e">
        <f>IF(CU$1,SUMIFS('BalSht Data'!$H$2:$H$2050,'BalSht Data'!$G$2:$G$2050,$A34,'BalSht Data'!$A$2:$A$2050,CU$1),#N/A)</f>
        <v>#N/A</v>
      </c>
      <c r="CV34" s="43" t="e">
        <f>IF(CV$1,SUMIFS('BalSht Data'!$H$2:$H$2050,'BalSht Data'!$G$2:$G$2050,$A34,'BalSht Data'!$A$2:$A$2050,CV$1),#N/A)</f>
        <v>#N/A</v>
      </c>
      <c r="CW34" s="43" t="e">
        <f>IF(CW$1,SUMIFS('BalSht Data'!$H$2:$H$2050,'BalSht Data'!$G$2:$G$2050,$A34,'BalSht Data'!$A$2:$A$2050,CW$1),#N/A)</f>
        <v>#N/A</v>
      </c>
      <c r="CX34" s="43" t="e">
        <f>IF(CX$1,SUMIFS('BalSht Data'!$H$2:$H$2050,'BalSht Data'!$G$2:$G$2050,$A34,'BalSht Data'!$A$2:$A$2050,CX$1),#N/A)</f>
        <v>#N/A</v>
      </c>
      <c r="CY34" s="43" t="e">
        <f>IF(CY$1,SUMIFS('BalSht Data'!$H$2:$H$2050,'BalSht Data'!$G$2:$G$2050,$A34,'BalSht Data'!$A$2:$A$2050,CY$1),#N/A)</f>
        <v>#N/A</v>
      </c>
      <c r="CZ34" s="43" t="e">
        <f>IF(CZ$1,SUMIFS('BalSht Data'!$H$2:$H$2050,'BalSht Data'!$G$2:$G$2050,$A34,'BalSht Data'!$A$2:$A$2050,CZ$1),#N/A)</f>
        <v>#N/A</v>
      </c>
      <c r="DA34" s="43">
        <f>SUM(B34:AJ34)</f>
        <v>0</v>
      </c>
    </row>
    <row r="35" spans="1:105" s="42" customFormat="1" ht="15" x14ac:dyDescent="0.35">
      <c r="A35" s="52" t="s">
        <v>154</v>
      </c>
      <c r="B35" s="49">
        <f>IF(B$1,SUMIFS('BalSht Data'!$H$2:$H$2050,'BalSht Data'!$G$2:$G$2050,$A35,'BalSht Data'!$A$2:$A$2050,B$1),#N/A)</f>
        <v>0</v>
      </c>
      <c r="C35" s="49">
        <f>IF(C$1,SUMIFS('BalSht Data'!$H$2:$H$2050,'BalSht Data'!$G$2:$G$2050,$A35,'BalSht Data'!$A$2:$A$2050,C$1),#N/A)</f>
        <v>0</v>
      </c>
      <c r="D35" s="49">
        <f>IF(D$1,SUMIFS('BalSht Data'!$H$2:$H$2050,'BalSht Data'!$G$2:$G$2050,$A35,'BalSht Data'!$A$2:$A$2050,D$1),#N/A)</f>
        <v>0</v>
      </c>
      <c r="E35" s="49">
        <f>IF(E$1,SUMIFS('BalSht Data'!$H$2:$H$2050,'BalSht Data'!$G$2:$G$2050,$A35,'BalSht Data'!$A$2:$A$2050,E$1),#N/A)</f>
        <v>0</v>
      </c>
      <c r="F35" s="49">
        <f>IF(F$1,SUMIFS('BalSht Data'!$H$2:$H$2050,'BalSht Data'!$G$2:$G$2050,$A35,'BalSht Data'!$A$2:$A$2050,F$1),#N/A)</f>
        <v>92345</v>
      </c>
      <c r="G35" s="49">
        <f>IF(G$1,SUMIFS('BalSht Data'!$H$2:$H$2050,'BalSht Data'!$G$2:$G$2050,$A35,'BalSht Data'!$A$2:$A$2050,G$1),#N/A)</f>
        <v>114169</v>
      </c>
      <c r="H35" s="49">
        <f>IF(H$1,SUMIFS('BalSht Data'!$H$2:$H$2050,'BalSht Data'!$G$2:$G$2050,$A35,'BalSht Data'!$A$2:$A$2050,H$1),#N/A)</f>
        <v>0</v>
      </c>
      <c r="I35" s="49">
        <f>IF(I$1,SUMIFS('BalSht Data'!$H$2:$H$2050,'BalSht Data'!$G$2:$G$2050,$A35,'BalSht Data'!$A$2:$A$2050,I$1),#N/A)</f>
        <v>0</v>
      </c>
      <c r="J35" s="49">
        <f>IF(J$1,SUMIFS('BalSht Data'!$H$2:$H$2050,'BalSht Data'!$G$2:$G$2050,$A35,'BalSht Data'!$A$2:$A$2050,J$1),#N/A)</f>
        <v>0</v>
      </c>
      <c r="K35" s="49">
        <f>IF(K$1,SUMIFS('BalSht Data'!$H$2:$H$2050,'BalSht Data'!$G$2:$G$2050,$A35,'BalSht Data'!$A$2:$A$2050,K$1),#N/A)</f>
        <v>0</v>
      </c>
      <c r="L35" s="49">
        <f>IF(L$1,SUMIFS('BalSht Data'!$H$2:$H$2050,'BalSht Data'!$G$2:$G$2050,$A35,'BalSht Data'!$A$2:$A$2050,L$1),#N/A)</f>
        <v>135787</v>
      </c>
      <c r="M35" s="49">
        <f>IF(M$1,SUMIFS('BalSht Data'!$H$2:$H$2050,'BalSht Data'!$G$2:$G$2050,$A35,'BalSht Data'!$A$2:$A$2050,M$1),#N/A)</f>
        <v>153219</v>
      </c>
      <c r="N35" s="49">
        <f>IF(N$1,SUMIFS('BalSht Data'!$H$2:$H$2050,'BalSht Data'!$G$2:$G$2050,$A35,'BalSht Data'!$A$2:$A$2050,N$1),#N/A)</f>
        <v>0</v>
      </c>
      <c r="O35" s="49">
        <f>IF(O$1,SUMIFS('BalSht Data'!$H$2:$H$2050,'BalSht Data'!$G$2:$G$2050,$A35,'BalSht Data'!$A$2:$A$2050,O$1),#N/A)</f>
        <v>0</v>
      </c>
      <c r="P35" s="49">
        <f>IF(P$1,SUMIFS('BalSht Data'!$H$2:$H$2050,'BalSht Data'!$G$2:$G$2050,$A35,'BalSht Data'!$A$2:$A$2050,P$1),#N/A)</f>
        <v>0</v>
      </c>
      <c r="Q35" s="49">
        <f>IF(Q$1,SUMIFS('BalSht Data'!$H$2:$H$2050,'BalSht Data'!$G$2:$G$2050,$A35,'BalSht Data'!$A$2:$A$2050,Q$1),#N/A)</f>
        <v>0</v>
      </c>
      <c r="R35" s="49">
        <f>IF(R$1,SUMIFS('BalSht Data'!$H$2:$H$2050,'BalSht Data'!$G$2:$G$2050,$A35,'BalSht Data'!$A$2:$A$2050,R$1),#N/A)</f>
        <v>0</v>
      </c>
      <c r="S35" s="49">
        <f>IF(S$1,SUMIFS('BalSht Data'!$H$2:$H$2050,'BalSht Data'!$G$2:$G$2050,$A35,'BalSht Data'!$A$2:$A$2050,S$1),#N/A)</f>
        <v>12962</v>
      </c>
      <c r="T35" s="49">
        <f>IF(T$1,SUMIFS('BalSht Data'!$H$2:$H$2050,'BalSht Data'!$G$2:$G$2050,$A35,'BalSht Data'!$A$2:$A$2050,T$1),#N/A)</f>
        <v>0</v>
      </c>
      <c r="U35" s="49">
        <f>IF(U$1,SUMIFS('BalSht Data'!$H$2:$H$2050,'BalSht Data'!$G$2:$G$2050,$A35,'BalSht Data'!$A$2:$A$2050,U$1),#N/A)</f>
        <v>0</v>
      </c>
      <c r="V35" s="49">
        <f>IF(V$1,SUMIFS('BalSht Data'!$H$2:$H$2050,'BalSht Data'!$G$2:$G$2050,$A35,'BalSht Data'!$A$2:$A$2050,V$1),#N/A)</f>
        <v>0</v>
      </c>
      <c r="W35" s="49">
        <f>IF(W$1,SUMIFS('BalSht Data'!$H$2:$H$2050,'BalSht Data'!$G$2:$G$2050,$A35,'BalSht Data'!$A$2:$A$2050,W$1),#N/A)</f>
        <v>0</v>
      </c>
      <c r="X35" s="49">
        <f>IF(X$1,SUMIFS('BalSht Data'!$H$2:$H$2050,'BalSht Data'!$G$2:$G$2050,$A35,'BalSht Data'!$A$2:$A$2050,X$1),#N/A)</f>
        <v>0</v>
      </c>
      <c r="Y35" s="49">
        <f>IF(Y$1,SUMIFS('BalSht Data'!$H$2:$H$2050,'BalSht Data'!$G$2:$G$2050,$A35,'BalSht Data'!$A$2:$A$2050,Y$1),#N/A)</f>
        <v>0</v>
      </c>
      <c r="Z35" s="49">
        <f>IF(Z$1,SUMIFS('BalSht Data'!$H$2:$H$2050,'BalSht Data'!$G$2:$G$2050,$A35,'BalSht Data'!$A$2:$A$2050,Z$1),#N/A)</f>
        <v>0</v>
      </c>
      <c r="AA35" s="49">
        <f>IF(AA$1,SUMIFS('BalSht Data'!$H$2:$H$2050,'BalSht Data'!$G$2:$G$2050,$A35,'BalSht Data'!$A$2:$A$2050,AA$1),#N/A)</f>
        <v>0</v>
      </c>
      <c r="AB35" s="49">
        <f>IF(AB$1,SUMIFS('BalSht Data'!$H$2:$H$2050,'BalSht Data'!$G$2:$G$2050,$A35,'BalSht Data'!$A$2:$A$2050,AB$1),#N/A)</f>
        <v>0</v>
      </c>
      <c r="AC35" s="49">
        <f>IF(AC$1,SUMIFS('BalSht Data'!$H$2:$H$2050,'BalSht Data'!$G$2:$G$2050,$A35,'BalSht Data'!$A$2:$A$2050,AC$1),#N/A)</f>
        <v>0</v>
      </c>
      <c r="AD35" s="49">
        <f>IF(AD$1,SUMIFS('BalSht Data'!$H$2:$H$2050,'BalSht Data'!$G$2:$G$2050,$A35,'BalSht Data'!$A$2:$A$2050,AD$1),#N/A)</f>
        <v>0</v>
      </c>
      <c r="AE35" s="49">
        <f>IF(AE$1,SUMIFS('BalSht Data'!$H$2:$H$2050,'BalSht Data'!$G$2:$G$2050,$A35,'BalSht Data'!$A$2:$A$2050,AE$1),#N/A)</f>
        <v>0</v>
      </c>
      <c r="AF35" s="49">
        <f>IF(AF$1,SUMIFS('BalSht Data'!$H$2:$H$2050,'BalSht Data'!$G$2:$G$2050,$A35,'BalSht Data'!$A$2:$A$2050,AF$1),#N/A)</f>
        <v>0</v>
      </c>
      <c r="AG35" s="49">
        <f>IF(AG$1,SUMIFS('BalSht Data'!$H$2:$H$2050,'BalSht Data'!$G$2:$G$2050,$A35,'BalSht Data'!$A$2:$A$2050,AG$1),#N/A)</f>
        <v>0</v>
      </c>
      <c r="AH35" s="49">
        <f>IF(AH$1,SUMIFS('BalSht Data'!$H$2:$H$2050,'BalSht Data'!$G$2:$G$2050,$A35,'BalSht Data'!$A$2:$A$2050,AH$1),#N/A)</f>
        <v>0</v>
      </c>
      <c r="AI35" s="49">
        <f>IF(AI$1,SUMIFS('BalSht Data'!$H$2:$H$2050,'BalSht Data'!$G$2:$G$2050,$A35,'BalSht Data'!$A$2:$A$2050,AI$1),#N/A)</f>
        <v>0</v>
      </c>
      <c r="AJ35" s="49">
        <f>IF(AJ$1,SUMIFS('BalSht Data'!$H$2:$H$2050,'BalSht Data'!$G$2:$G$2050,$A35,'BalSht Data'!$A$2:$A$2050,AJ$1),#N/A)</f>
        <v>0</v>
      </c>
      <c r="AK35" s="49" t="e">
        <f>IF(AK$1,SUMIFS('BalSht Data'!$H$2:$H$2050,'BalSht Data'!$G$2:$G$2050,$A35,'BalSht Data'!$A$2:$A$2050,AK$1),#N/A)</f>
        <v>#N/A</v>
      </c>
      <c r="AL35" s="49" t="e">
        <f>IF(AL$1,SUMIFS('BalSht Data'!$H$2:$H$2050,'BalSht Data'!$G$2:$G$2050,$A35,'BalSht Data'!$A$2:$A$2050,AL$1),#N/A)</f>
        <v>#N/A</v>
      </c>
      <c r="AM35" s="49" t="e">
        <f>IF(AM$1,SUMIFS('BalSht Data'!$H$2:$H$2050,'BalSht Data'!$G$2:$G$2050,$A35,'BalSht Data'!$A$2:$A$2050,AM$1),#N/A)</f>
        <v>#N/A</v>
      </c>
      <c r="AN35" s="49" t="e">
        <f>IF(AN$1,SUMIFS('BalSht Data'!$H$2:$H$2050,'BalSht Data'!$G$2:$G$2050,$A35,'BalSht Data'!$A$2:$A$2050,AN$1),#N/A)</f>
        <v>#N/A</v>
      </c>
      <c r="AO35" s="49" t="e">
        <f>IF(AO$1,SUMIFS('BalSht Data'!$H$2:$H$2050,'BalSht Data'!$G$2:$G$2050,$A35,'BalSht Data'!$A$2:$A$2050,AO$1),#N/A)</f>
        <v>#N/A</v>
      </c>
      <c r="AP35" s="49" t="e">
        <f>IF(AP$1,SUMIFS('BalSht Data'!$H$2:$H$2050,'BalSht Data'!$G$2:$G$2050,$A35,'BalSht Data'!$A$2:$A$2050,AP$1),#N/A)</f>
        <v>#N/A</v>
      </c>
      <c r="AQ35" s="49" t="e">
        <f>IF(AQ$1,SUMIFS('BalSht Data'!$H$2:$H$2050,'BalSht Data'!$G$2:$G$2050,$A35,'BalSht Data'!$A$2:$A$2050,AQ$1),#N/A)</f>
        <v>#N/A</v>
      </c>
      <c r="AR35" s="49" t="e">
        <f>IF(AR$1,SUMIFS('BalSht Data'!$H$2:$H$2050,'BalSht Data'!$G$2:$G$2050,$A35,'BalSht Data'!$A$2:$A$2050,AR$1),#N/A)</f>
        <v>#N/A</v>
      </c>
      <c r="AS35" s="49" t="e">
        <f>IF(AS$1,SUMIFS('BalSht Data'!$H$2:$H$2050,'BalSht Data'!$G$2:$G$2050,$A35,'BalSht Data'!$A$2:$A$2050,AS$1),#N/A)</f>
        <v>#N/A</v>
      </c>
      <c r="AT35" s="49" t="e">
        <f>IF(AT$1,SUMIFS('BalSht Data'!$H$2:$H$2050,'BalSht Data'!$G$2:$G$2050,$A35,'BalSht Data'!$A$2:$A$2050,AT$1),#N/A)</f>
        <v>#N/A</v>
      </c>
      <c r="AU35" s="49" t="e">
        <f>IF(AU$1,SUMIFS('BalSht Data'!$H$2:$H$2050,'BalSht Data'!$G$2:$G$2050,$A35,'BalSht Data'!$A$2:$A$2050,AU$1),#N/A)</f>
        <v>#N/A</v>
      </c>
      <c r="AV35" s="49" t="e">
        <f>IF(AV$1,SUMIFS('BalSht Data'!$H$2:$H$2050,'BalSht Data'!$G$2:$G$2050,$A35,'BalSht Data'!$A$2:$A$2050,AV$1),#N/A)</f>
        <v>#N/A</v>
      </c>
      <c r="AW35" s="49" t="e">
        <f>IF(AW$1,SUMIFS('BalSht Data'!$H$2:$H$2050,'BalSht Data'!$G$2:$G$2050,$A35,'BalSht Data'!$A$2:$A$2050,AW$1),#N/A)</f>
        <v>#N/A</v>
      </c>
      <c r="AX35" s="49" t="e">
        <f>IF(AX$1,SUMIFS('BalSht Data'!$H$2:$H$2050,'BalSht Data'!$G$2:$G$2050,$A35,'BalSht Data'!$A$2:$A$2050,AX$1),#N/A)</f>
        <v>#N/A</v>
      </c>
      <c r="AY35" s="49" t="e">
        <f>IF(AY$1,SUMIFS('BalSht Data'!$H$2:$H$2050,'BalSht Data'!$G$2:$G$2050,$A35,'BalSht Data'!$A$2:$A$2050,AY$1),#N/A)</f>
        <v>#N/A</v>
      </c>
      <c r="AZ35" s="49" t="e">
        <f>IF(AZ$1,SUMIFS('BalSht Data'!$H$2:$H$2050,'BalSht Data'!$G$2:$G$2050,$A35,'BalSht Data'!$A$2:$A$2050,AZ$1),#N/A)</f>
        <v>#N/A</v>
      </c>
      <c r="BA35" s="49" t="e">
        <f>IF(BA$1,SUMIFS('BalSht Data'!$H$2:$H$2050,'BalSht Data'!$G$2:$G$2050,$A35,'BalSht Data'!$A$2:$A$2050,BA$1),#N/A)</f>
        <v>#N/A</v>
      </c>
      <c r="BB35" s="49" t="e">
        <f>IF(BB$1,SUMIFS('BalSht Data'!$H$2:$H$2050,'BalSht Data'!$G$2:$G$2050,$A35,'BalSht Data'!$A$2:$A$2050,BB$1),#N/A)</f>
        <v>#N/A</v>
      </c>
      <c r="BC35" s="49" t="e">
        <f>IF(BC$1,SUMIFS('BalSht Data'!$H$2:$H$2050,'BalSht Data'!$G$2:$G$2050,$A35,'BalSht Data'!$A$2:$A$2050,BC$1),#N/A)</f>
        <v>#N/A</v>
      </c>
      <c r="BD35" s="49" t="e">
        <f>IF(BD$1,SUMIFS('BalSht Data'!$H$2:$H$2050,'BalSht Data'!$G$2:$G$2050,$A35,'BalSht Data'!$A$2:$A$2050,BD$1),#N/A)</f>
        <v>#N/A</v>
      </c>
      <c r="BE35" s="49" t="e">
        <f>IF(BE$1,SUMIFS('BalSht Data'!$H$2:$H$2050,'BalSht Data'!$G$2:$G$2050,$A35,'BalSht Data'!$A$2:$A$2050,BE$1),#N/A)</f>
        <v>#N/A</v>
      </c>
      <c r="BF35" s="49" t="e">
        <f>IF(BF$1,SUMIFS('BalSht Data'!$H$2:$H$2050,'BalSht Data'!$G$2:$G$2050,$A35,'BalSht Data'!$A$2:$A$2050,BF$1),#N/A)</f>
        <v>#N/A</v>
      </c>
      <c r="BG35" s="49" t="e">
        <f>IF(BG$1,SUMIFS('BalSht Data'!$H$2:$H$2050,'BalSht Data'!$G$2:$G$2050,$A35,'BalSht Data'!$A$2:$A$2050,BG$1),#N/A)</f>
        <v>#N/A</v>
      </c>
      <c r="BH35" s="49" t="e">
        <f>IF(BH$1,SUMIFS('BalSht Data'!$H$2:$H$2050,'BalSht Data'!$G$2:$G$2050,$A35,'BalSht Data'!$A$2:$A$2050,BH$1),#N/A)</f>
        <v>#N/A</v>
      </c>
      <c r="BI35" s="49" t="e">
        <f>IF(BI$1,SUMIFS('BalSht Data'!$H$2:$H$2050,'BalSht Data'!$G$2:$G$2050,$A35,'BalSht Data'!$A$2:$A$2050,BI$1),#N/A)</f>
        <v>#N/A</v>
      </c>
      <c r="BJ35" s="49" t="e">
        <f>IF(BJ$1,SUMIFS('BalSht Data'!$H$2:$H$2050,'BalSht Data'!$G$2:$G$2050,$A35,'BalSht Data'!$A$2:$A$2050,BJ$1),#N/A)</f>
        <v>#N/A</v>
      </c>
      <c r="BK35" s="49" t="e">
        <f>IF(BK$1,SUMIFS('BalSht Data'!$H$2:$H$2050,'BalSht Data'!$G$2:$G$2050,$A35,'BalSht Data'!$A$2:$A$2050,BK$1),#N/A)</f>
        <v>#N/A</v>
      </c>
      <c r="BL35" s="49" t="e">
        <f>IF(BL$1,SUMIFS('BalSht Data'!$H$2:$H$2050,'BalSht Data'!$G$2:$G$2050,$A35,'BalSht Data'!$A$2:$A$2050,BL$1),#N/A)</f>
        <v>#N/A</v>
      </c>
      <c r="BM35" s="49" t="e">
        <f>IF(BM$1,SUMIFS('BalSht Data'!$H$2:$H$2050,'BalSht Data'!$G$2:$G$2050,$A35,'BalSht Data'!$A$2:$A$2050,BM$1),#N/A)</f>
        <v>#N/A</v>
      </c>
      <c r="BN35" s="49" t="e">
        <f>IF(BN$1,SUMIFS('BalSht Data'!$H$2:$H$2050,'BalSht Data'!$G$2:$G$2050,$A35,'BalSht Data'!$A$2:$A$2050,BN$1),#N/A)</f>
        <v>#N/A</v>
      </c>
      <c r="BO35" s="49" t="e">
        <f>IF(BO$1,SUMIFS('BalSht Data'!$H$2:$H$2050,'BalSht Data'!$G$2:$G$2050,$A35,'BalSht Data'!$A$2:$A$2050,BO$1),#N/A)</f>
        <v>#N/A</v>
      </c>
      <c r="BP35" s="49" t="e">
        <f>IF(BP$1,SUMIFS('BalSht Data'!$H$2:$H$2050,'BalSht Data'!$G$2:$G$2050,$A35,'BalSht Data'!$A$2:$A$2050,BP$1),#N/A)</f>
        <v>#N/A</v>
      </c>
      <c r="BQ35" s="49" t="e">
        <f>IF(BQ$1,SUMIFS('BalSht Data'!$H$2:$H$2050,'BalSht Data'!$G$2:$G$2050,$A35,'BalSht Data'!$A$2:$A$2050,BQ$1),#N/A)</f>
        <v>#N/A</v>
      </c>
      <c r="BR35" s="49" t="e">
        <f>IF(BR$1,SUMIFS('BalSht Data'!$H$2:$H$2050,'BalSht Data'!$G$2:$G$2050,$A35,'BalSht Data'!$A$2:$A$2050,BR$1),#N/A)</f>
        <v>#N/A</v>
      </c>
      <c r="BS35" s="49" t="e">
        <f>IF(BS$1,SUMIFS('BalSht Data'!$H$2:$H$2050,'BalSht Data'!$G$2:$G$2050,$A35,'BalSht Data'!$A$2:$A$2050,BS$1),#N/A)</f>
        <v>#N/A</v>
      </c>
      <c r="BT35" s="49" t="e">
        <f>IF(BT$1,SUMIFS('BalSht Data'!$H$2:$H$2050,'BalSht Data'!$G$2:$G$2050,$A35,'BalSht Data'!$A$2:$A$2050,BT$1),#N/A)</f>
        <v>#N/A</v>
      </c>
      <c r="BU35" s="49" t="e">
        <f>IF(BU$1,SUMIFS('BalSht Data'!$H$2:$H$2050,'BalSht Data'!$G$2:$G$2050,$A35,'BalSht Data'!$A$2:$A$2050,BU$1),#N/A)</f>
        <v>#N/A</v>
      </c>
      <c r="BV35" s="49" t="e">
        <f>IF(BV$1,SUMIFS('BalSht Data'!$H$2:$H$2050,'BalSht Data'!$G$2:$G$2050,$A35,'BalSht Data'!$A$2:$A$2050,BV$1),#N/A)</f>
        <v>#N/A</v>
      </c>
      <c r="BW35" s="49" t="e">
        <f>IF(BW$1,SUMIFS('BalSht Data'!$H$2:$H$2050,'BalSht Data'!$G$2:$G$2050,$A35,'BalSht Data'!$A$2:$A$2050,BW$1),#N/A)</f>
        <v>#N/A</v>
      </c>
      <c r="BX35" s="49" t="e">
        <f>IF(BX$1,SUMIFS('BalSht Data'!$H$2:$H$2050,'BalSht Data'!$G$2:$G$2050,$A35,'BalSht Data'!$A$2:$A$2050,BX$1),#N/A)</f>
        <v>#N/A</v>
      </c>
      <c r="BY35" s="49" t="e">
        <f>IF(BY$1,SUMIFS('BalSht Data'!$H$2:$H$2050,'BalSht Data'!$G$2:$G$2050,$A35,'BalSht Data'!$A$2:$A$2050,BY$1),#N/A)</f>
        <v>#N/A</v>
      </c>
      <c r="BZ35" s="49" t="e">
        <f>IF(BZ$1,SUMIFS('BalSht Data'!$H$2:$H$2050,'BalSht Data'!$G$2:$G$2050,$A35,'BalSht Data'!$A$2:$A$2050,BZ$1),#N/A)</f>
        <v>#N/A</v>
      </c>
      <c r="CA35" s="49" t="e">
        <f>IF(CA$1,SUMIFS('BalSht Data'!$H$2:$H$2050,'BalSht Data'!$G$2:$G$2050,$A35,'BalSht Data'!$A$2:$A$2050,CA$1),#N/A)</f>
        <v>#N/A</v>
      </c>
      <c r="CB35" s="49" t="e">
        <f>IF(CB$1,SUMIFS('BalSht Data'!$H$2:$H$2050,'BalSht Data'!$G$2:$G$2050,$A35,'BalSht Data'!$A$2:$A$2050,CB$1),#N/A)</f>
        <v>#N/A</v>
      </c>
      <c r="CC35" s="49" t="e">
        <f>IF(CC$1,SUMIFS('BalSht Data'!$H$2:$H$2050,'BalSht Data'!$G$2:$G$2050,$A35,'BalSht Data'!$A$2:$A$2050,CC$1),#N/A)</f>
        <v>#N/A</v>
      </c>
      <c r="CD35" s="49" t="e">
        <f>IF(CD$1,SUMIFS('BalSht Data'!$H$2:$H$2050,'BalSht Data'!$G$2:$G$2050,$A35,'BalSht Data'!$A$2:$A$2050,CD$1),#N/A)</f>
        <v>#N/A</v>
      </c>
      <c r="CE35" s="49" t="e">
        <f>IF(CE$1,SUMIFS('BalSht Data'!$H$2:$H$2050,'BalSht Data'!$G$2:$G$2050,$A35,'BalSht Data'!$A$2:$A$2050,CE$1),#N/A)</f>
        <v>#N/A</v>
      </c>
      <c r="CF35" s="49" t="e">
        <f>IF(CF$1,SUMIFS('BalSht Data'!$H$2:$H$2050,'BalSht Data'!$G$2:$G$2050,$A35,'BalSht Data'!$A$2:$A$2050,CF$1),#N/A)</f>
        <v>#N/A</v>
      </c>
      <c r="CG35" s="49" t="e">
        <f>IF(CG$1,SUMIFS('BalSht Data'!$H$2:$H$2050,'BalSht Data'!$G$2:$G$2050,$A35,'BalSht Data'!$A$2:$A$2050,CG$1),#N/A)</f>
        <v>#N/A</v>
      </c>
      <c r="CH35" s="49" t="e">
        <f>IF(CH$1,SUMIFS('BalSht Data'!$H$2:$H$2050,'BalSht Data'!$G$2:$G$2050,$A35,'BalSht Data'!$A$2:$A$2050,CH$1),#N/A)</f>
        <v>#N/A</v>
      </c>
      <c r="CI35" s="49" t="e">
        <f>IF(CI$1,SUMIFS('BalSht Data'!$H$2:$H$2050,'BalSht Data'!$G$2:$G$2050,$A35,'BalSht Data'!$A$2:$A$2050,CI$1),#N/A)</f>
        <v>#N/A</v>
      </c>
      <c r="CJ35" s="49" t="e">
        <f>IF(CJ$1,SUMIFS('BalSht Data'!$H$2:$H$2050,'BalSht Data'!$G$2:$G$2050,$A35,'BalSht Data'!$A$2:$A$2050,CJ$1),#N/A)</f>
        <v>#N/A</v>
      </c>
      <c r="CK35" s="49" t="e">
        <f>IF(CK$1,SUMIFS('BalSht Data'!$H$2:$H$2050,'BalSht Data'!$G$2:$G$2050,$A35,'BalSht Data'!$A$2:$A$2050,CK$1),#N/A)</f>
        <v>#N/A</v>
      </c>
      <c r="CL35" s="49" t="e">
        <f>IF(CL$1,SUMIFS('BalSht Data'!$H$2:$H$2050,'BalSht Data'!$G$2:$G$2050,$A35,'BalSht Data'!$A$2:$A$2050,CL$1),#N/A)</f>
        <v>#N/A</v>
      </c>
      <c r="CM35" s="49" t="e">
        <f>IF(CM$1,SUMIFS('BalSht Data'!$H$2:$H$2050,'BalSht Data'!$G$2:$G$2050,$A35,'BalSht Data'!$A$2:$A$2050,CM$1),#N/A)</f>
        <v>#N/A</v>
      </c>
      <c r="CN35" s="49" t="e">
        <f>IF(CN$1,SUMIFS('BalSht Data'!$H$2:$H$2050,'BalSht Data'!$G$2:$G$2050,$A35,'BalSht Data'!$A$2:$A$2050,CN$1),#N/A)</f>
        <v>#N/A</v>
      </c>
      <c r="CO35" s="49" t="e">
        <f>IF(CO$1,SUMIFS('BalSht Data'!$H$2:$H$2050,'BalSht Data'!$G$2:$G$2050,$A35,'BalSht Data'!$A$2:$A$2050,CO$1),#N/A)</f>
        <v>#N/A</v>
      </c>
      <c r="CP35" s="49" t="e">
        <f>IF(CP$1,SUMIFS('BalSht Data'!$H$2:$H$2050,'BalSht Data'!$G$2:$G$2050,$A35,'BalSht Data'!$A$2:$A$2050,CP$1),#N/A)</f>
        <v>#N/A</v>
      </c>
      <c r="CQ35" s="49" t="e">
        <f>IF(CQ$1,SUMIFS('BalSht Data'!$H$2:$H$2050,'BalSht Data'!$G$2:$G$2050,$A35,'BalSht Data'!$A$2:$A$2050,CQ$1),#N/A)</f>
        <v>#N/A</v>
      </c>
      <c r="CR35" s="49" t="e">
        <f>IF(CR$1,SUMIFS('BalSht Data'!$H$2:$H$2050,'BalSht Data'!$G$2:$G$2050,$A35,'BalSht Data'!$A$2:$A$2050,CR$1),#N/A)</f>
        <v>#N/A</v>
      </c>
      <c r="CS35" s="49" t="e">
        <f>IF(CS$1,SUMIFS('BalSht Data'!$H$2:$H$2050,'BalSht Data'!$G$2:$G$2050,$A35,'BalSht Data'!$A$2:$A$2050,CS$1),#N/A)</f>
        <v>#N/A</v>
      </c>
      <c r="CT35" s="49" t="e">
        <f>IF(CT$1,SUMIFS('BalSht Data'!$H$2:$H$2050,'BalSht Data'!$G$2:$G$2050,$A35,'BalSht Data'!$A$2:$A$2050,CT$1),#N/A)</f>
        <v>#N/A</v>
      </c>
      <c r="CU35" s="49" t="e">
        <f>IF(CU$1,SUMIFS('BalSht Data'!$H$2:$H$2050,'BalSht Data'!$G$2:$G$2050,$A35,'BalSht Data'!$A$2:$A$2050,CU$1),#N/A)</f>
        <v>#N/A</v>
      </c>
      <c r="CV35" s="49" t="e">
        <f>IF(CV$1,SUMIFS('BalSht Data'!$H$2:$H$2050,'BalSht Data'!$G$2:$G$2050,$A35,'BalSht Data'!$A$2:$A$2050,CV$1),#N/A)</f>
        <v>#N/A</v>
      </c>
      <c r="CW35" s="49" t="e">
        <f>IF(CW$1,SUMIFS('BalSht Data'!$H$2:$H$2050,'BalSht Data'!$G$2:$G$2050,$A35,'BalSht Data'!$A$2:$A$2050,CW$1),#N/A)</f>
        <v>#N/A</v>
      </c>
      <c r="CX35" s="49" t="e">
        <f>IF(CX$1,SUMIFS('BalSht Data'!$H$2:$H$2050,'BalSht Data'!$G$2:$G$2050,$A35,'BalSht Data'!$A$2:$A$2050,CX$1),#N/A)</f>
        <v>#N/A</v>
      </c>
      <c r="CY35" s="49" t="e">
        <f>IF(CY$1,SUMIFS('BalSht Data'!$H$2:$H$2050,'BalSht Data'!$G$2:$G$2050,$A35,'BalSht Data'!$A$2:$A$2050,CY$1),#N/A)</f>
        <v>#N/A</v>
      </c>
      <c r="CZ35" s="49" t="e">
        <f>IF(CZ$1,SUMIFS('BalSht Data'!$H$2:$H$2050,'BalSht Data'!$G$2:$G$2050,$A35,'BalSht Data'!$A$2:$A$2050,CZ$1),#N/A)</f>
        <v>#N/A</v>
      </c>
      <c r="DA35" s="49">
        <f>SUM(B35:AJ35)</f>
        <v>508482</v>
      </c>
    </row>
    <row r="36" spans="1:105" s="40" customFormat="1" x14ac:dyDescent="0.2">
      <c r="A36" s="63"/>
      <c r="B36" s="43"/>
      <c r="C36" s="43"/>
      <c r="D36" s="43"/>
      <c r="E36" s="43"/>
      <c r="F36" s="43"/>
      <c r="G36" s="43"/>
      <c r="H36" s="43"/>
      <c r="I36" s="43"/>
      <c r="J36" s="4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c r="AJ36" s="43"/>
      <c r="AK36" s="43"/>
      <c r="AL36" s="43"/>
      <c r="AM36" s="43"/>
      <c r="AN36" s="43"/>
      <c r="AO36" s="43"/>
      <c r="AP36" s="43"/>
      <c r="AQ36" s="43"/>
      <c r="AR36" s="43"/>
      <c r="AS36" s="43"/>
      <c r="AT36" s="43"/>
      <c r="AU36" s="43"/>
      <c r="AV36" s="43"/>
      <c r="AW36" s="43"/>
      <c r="AX36" s="43"/>
      <c r="AY36" s="43"/>
      <c r="AZ36" s="43"/>
      <c r="BA36" s="43"/>
      <c r="BB36" s="43"/>
      <c r="BC36" s="43"/>
      <c r="BD36" s="43"/>
      <c r="BE36" s="43"/>
      <c r="BF36" s="43"/>
      <c r="BG36" s="43"/>
      <c r="BH36" s="43"/>
      <c r="BI36" s="43"/>
      <c r="BJ36" s="43"/>
      <c r="BK36" s="43"/>
      <c r="BL36" s="43"/>
      <c r="BM36" s="43"/>
      <c r="BN36" s="43"/>
      <c r="BO36" s="43"/>
      <c r="BP36" s="43"/>
      <c r="BQ36" s="43"/>
      <c r="BR36" s="43"/>
      <c r="BS36" s="43"/>
      <c r="BT36" s="43"/>
      <c r="BU36" s="43"/>
      <c r="BV36" s="43"/>
      <c r="BW36" s="43"/>
      <c r="BX36" s="43"/>
      <c r="BY36" s="43"/>
      <c r="BZ36" s="43"/>
      <c r="CA36" s="43"/>
      <c r="CB36" s="43"/>
      <c r="CC36" s="43"/>
      <c r="CD36" s="43"/>
      <c r="CE36" s="43"/>
      <c r="CF36" s="43"/>
      <c r="CG36" s="43"/>
      <c r="CH36" s="43"/>
      <c r="CI36" s="43"/>
      <c r="CJ36" s="43"/>
      <c r="CK36" s="43"/>
      <c r="CL36" s="43"/>
      <c r="CM36" s="43"/>
      <c r="CN36" s="43"/>
      <c r="CO36" s="43"/>
      <c r="CP36" s="43"/>
      <c r="CQ36" s="43"/>
      <c r="CR36" s="43"/>
      <c r="CS36" s="43"/>
      <c r="CT36" s="43"/>
      <c r="CU36" s="43"/>
      <c r="CV36" s="43"/>
      <c r="CW36" s="43"/>
      <c r="CX36" s="43"/>
      <c r="CY36" s="43"/>
      <c r="CZ36" s="43"/>
      <c r="DA36" s="43"/>
    </row>
    <row r="37" spans="1:105" s="50" customFormat="1" ht="15" x14ac:dyDescent="0.35">
      <c r="A37" s="64" t="s">
        <v>155</v>
      </c>
      <c r="B37" s="44">
        <f t="shared" ref="B37" si="10">+B24+SUM(B27:B35)</f>
        <v>2868473</v>
      </c>
      <c r="C37" s="44">
        <f>+C24+SUM(C27:C35)</f>
        <v>3127621</v>
      </c>
      <c r="D37" s="44">
        <f t="shared" ref="D37:BN37" si="11">+D24+SUM(D27:D35)</f>
        <v>4131294</v>
      </c>
      <c r="E37" s="44">
        <f>+E24+SUM(E27:E35)</f>
        <v>7363288</v>
      </c>
      <c r="F37" s="44">
        <f>+F24+SUM(F27:F35)</f>
        <v>7823440</v>
      </c>
      <c r="G37" s="44">
        <f>+G24+SUM(G27:G35)</f>
        <v>3224537</v>
      </c>
      <c r="H37" s="44">
        <f>+H24+SUM(H27:H35)</f>
        <v>8469638</v>
      </c>
      <c r="I37" s="44">
        <f t="shared" si="11"/>
        <v>3581265</v>
      </c>
      <c r="J37" s="44">
        <f t="shared" si="11"/>
        <v>6519881</v>
      </c>
      <c r="K37" s="44">
        <f t="shared" si="11"/>
        <v>10969375</v>
      </c>
      <c r="L37" s="44">
        <f t="shared" si="11"/>
        <v>5397081</v>
      </c>
      <c r="M37" s="44">
        <f t="shared" si="11"/>
        <v>5070508</v>
      </c>
      <c r="N37" s="44">
        <f t="shared" si="11"/>
        <v>13706919</v>
      </c>
      <c r="O37" s="44">
        <f t="shared" si="11"/>
        <v>6291933</v>
      </c>
      <c r="P37" s="44">
        <f t="shared" si="11"/>
        <v>3773558</v>
      </c>
      <c r="Q37" s="44">
        <f t="shared" si="11"/>
        <v>5162386</v>
      </c>
      <c r="R37" s="44">
        <f t="shared" si="11"/>
        <v>4461861</v>
      </c>
      <c r="S37" s="44">
        <f t="shared" si="11"/>
        <v>9306464</v>
      </c>
      <c r="T37" s="44">
        <f t="shared" si="11"/>
        <v>9044689</v>
      </c>
      <c r="U37" s="44">
        <f t="shared" si="11"/>
        <v>5384338</v>
      </c>
      <c r="V37" s="44">
        <f t="shared" si="11"/>
        <v>9259729</v>
      </c>
      <c r="W37" s="44">
        <f t="shared" si="11"/>
        <v>7604749</v>
      </c>
      <c r="X37" s="44">
        <f t="shared" si="11"/>
        <v>7456891</v>
      </c>
      <c r="Y37" s="44">
        <f t="shared" si="11"/>
        <v>7651996</v>
      </c>
      <c r="Z37" s="44">
        <f t="shared" si="11"/>
        <v>0</v>
      </c>
      <c r="AA37" s="44">
        <f t="shared" si="11"/>
        <v>5936017</v>
      </c>
      <c r="AB37" s="44">
        <f t="shared" si="11"/>
        <v>0</v>
      </c>
      <c r="AC37" s="44">
        <f t="shared" si="11"/>
        <v>0</v>
      </c>
      <c r="AD37" s="44">
        <f t="shared" si="11"/>
        <v>7673860</v>
      </c>
      <c r="AE37" s="44">
        <f t="shared" si="11"/>
        <v>9968693</v>
      </c>
      <c r="AF37" s="44">
        <f t="shared" si="11"/>
        <v>8214030</v>
      </c>
      <c r="AG37" s="44">
        <f t="shared" si="11"/>
        <v>12097290</v>
      </c>
      <c r="AH37" s="44">
        <f t="shared" si="11"/>
        <v>7387962</v>
      </c>
      <c r="AI37" s="44">
        <f t="shared" si="11"/>
        <v>7358713</v>
      </c>
      <c r="AJ37" s="44">
        <f t="shared" si="11"/>
        <v>7846148</v>
      </c>
      <c r="AK37" s="44" t="e">
        <f t="shared" ref="AK37" si="12">+AK24+SUM(AK27:AK35)</f>
        <v>#N/A</v>
      </c>
      <c r="AL37" s="44" t="e">
        <f t="shared" si="11"/>
        <v>#N/A</v>
      </c>
      <c r="AM37" s="44" t="e">
        <f t="shared" si="11"/>
        <v>#N/A</v>
      </c>
      <c r="AN37" s="44" t="e">
        <f t="shared" si="11"/>
        <v>#N/A</v>
      </c>
      <c r="AO37" s="44" t="e">
        <f t="shared" si="11"/>
        <v>#N/A</v>
      </c>
      <c r="AP37" s="44" t="e">
        <f t="shared" si="11"/>
        <v>#N/A</v>
      </c>
      <c r="AQ37" s="44" t="e">
        <f t="shared" si="11"/>
        <v>#N/A</v>
      </c>
      <c r="AR37" s="44" t="e">
        <f t="shared" si="11"/>
        <v>#N/A</v>
      </c>
      <c r="AS37" s="44" t="e">
        <f t="shared" si="11"/>
        <v>#N/A</v>
      </c>
      <c r="AT37" s="44" t="e">
        <f t="shared" si="11"/>
        <v>#N/A</v>
      </c>
      <c r="AU37" s="44" t="e">
        <f t="shared" si="11"/>
        <v>#N/A</v>
      </c>
      <c r="AV37" s="44" t="e">
        <f t="shared" si="11"/>
        <v>#N/A</v>
      </c>
      <c r="AW37" s="44" t="e">
        <f t="shared" si="11"/>
        <v>#N/A</v>
      </c>
      <c r="AX37" s="44" t="e">
        <f t="shared" si="11"/>
        <v>#N/A</v>
      </c>
      <c r="AY37" s="44" t="e">
        <f t="shared" si="11"/>
        <v>#N/A</v>
      </c>
      <c r="AZ37" s="44" t="e">
        <f t="shared" si="11"/>
        <v>#N/A</v>
      </c>
      <c r="BA37" s="44" t="e">
        <f t="shared" si="11"/>
        <v>#N/A</v>
      </c>
      <c r="BB37" s="44" t="e">
        <f t="shared" si="11"/>
        <v>#N/A</v>
      </c>
      <c r="BC37" s="44" t="e">
        <f t="shared" si="11"/>
        <v>#N/A</v>
      </c>
      <c r="BD37" s="44" t="e">
        <f t="shared" si="11"/>
        <v>#N/A</v>
      </c>
      <c r="BE37" s="44" t="e">
        <f t="shared" si="11"/>
        <v>#N/A</v>
      </c>
      <c r="BF37" s="44" t="e">
        <f t="shared" si="11"/>
        <v>#N/A</v>
      </c>
      <c r="BG37" s="44" t="e">
        <f t="shared" si="11"/>
        <v>#N/A</v>
      </c>
      <c r="BH37" s="44" t="e">
        <f t="shared" si="11"/>
        <v>#N/A</v>
      </c>
      <c r="BI37" s="44" t="e">
        <f t="shared" si="11"/>
        <v>#N/A</v>
      </c>
      <c r="BJ37" s="44" t="e">
        <f t="shared" si="11"/>
        <v>#N/A</v>
      </c>
      <c r="BK37" s="44" t="e">
        <f t="shared" si="11"/>
        <v>#N/A</v>
      </c>
      <c r="BL37" s="44" t="e">
        <f t="shared" si="11"/>
        <v>#N/A</v>
      </c>
      <c r="BM37" s="44" t="e">
        <f t="shared" si="11"/>
        <v>#N/A</v>
      </c>
      <c r="BN37" s="44" t="e">
        <f t="shared" si="11"/>
        <v>#N/A</v>
      </c>
      <c r="BO37" s="44" t="e">
        <f t="shared" ref="BO37:CZ37" si="13">+BO24+SUM(BO27:BO35)</f>
        <v>#N/A</v>
      </c>
      <c r="BP37" s="44" t="e">
        <f t="shared" si="13"/>
        <v>#N/A</v>
      </c>
      <c r="BQ37" s="44" t="e">
        <f t="shared" si="13"/>
        <v>#N/A</v>
      </c>
      <c r="BR37" s="44" t="e">
        <f t="shared" si="13"/>
        <v>#N/A</v>
      </c>
      <c r="BS37" s="44" t="e">
        <f t="shared" si="13"/>
        <v>#N/A</v>
      </c>
      <c r="BT37" s="44" t="e">
        <f t="shared" si="13"/>
        <v>#N/A</v>
      </c>
      <c r="BU37" s="44" t="e">
        <f t="shared" si="13"/>
        <v>#N/A</v>
      </c>
      <c r="BV37" s="44" t="e">
        <f t="shared" si="13"/>
        <v>#N/A</v>
      </c>
      <c r="BW37" s="44" t="e">
        <f t="shared" si="13"/>
        <v>#N/A</v>
      </c>
      <c r="BX37" s="44" t="e">
        <f t="shared" si="13"/>
        <v>#N/A</v>
      </c>
      <c r="BY37" s="44" t="e">
        <f t="shared" si="13"/>
        <v>#N/A</v>
      </c>
      <c r="BZ37" s="44" t="e">
        <f t="shared" si="13"/>
        <v>#N/A</v>
      </c>
      <c r="CA37" s="44" t="e">
        <f t="shared" si="13"/>
        <v>#N/A</v>
      </c>
      <c r="CB37" s="44" t="e">
        <f t="shared" si="13"/>
        <v>#N/A</v>
      </c>
      <c r="CC37" s="44" t="e">
        <f t="shared" si="13"/>
        <v>#N/A</v>
      </c>
      <c r="CD37" s="44" t="e">
        <f t="shared" si="13"/>
        <v>#N/A</v>
      </c>
      <c r="CE37" s="44" t="e">
        <f t="shared" si="13"/>
        <v>#N/A</v>
      </c>
      <c r="CF37" s="44" t="e">
        <f t="shared" si="13"/>
        <v>#N/A</v>
      </c>
      <c r="CG37" s="44" t="e">
        <f t="shared" si="13"/>
        <v>#N/A</v>
      </c>
      <c r="CH37" s="44" t="e">
        <f t="shared" si="13"/>
        <v>#N/A</v>
      </c>
      <c r="CI37" s="44" t="e">
        <f t="shared" si="13"/>
        <v>#N/A</v>
      </c>
      <c r="CJ37" s="44" t="e">
        <f t="shared" si="13"/>
        <v>#N/A</v>
      </c>
      <c r="CK37" s="44" t="e">
        <f t="shared" si="13"/>
        <v>#N/A</v>
      </c>
      <c r="CL37" s="44" t="e">
        <f t="shared" si="13"/>
        <v>#N/A</v>
      </c>
      <c r="CM37" s="44" t="e">
        <f t="shared" si="13"/>
        <v>#N/A</v>
      </c>
      <c r="CN37" s="44" t="e">
        <f t="shared" si="13"/>
        <v>#N/A</v>
      </c>
      <c r="CO37" s="44" t="e">
        <f t="shared" si="13"/>
        <v>#N/A</v>
      </c>
      <c r="CP37" s="44" t="e">
        <f t="shared" si="13"/>
        <v>#N/A</v>
      </c>
      <c r="CQ37" s="44" t="e">
        <f t="shared" si="13"/>
        <v>#N/A</v>
      </c>
      <c r="CR37" s="44" t="e">
        <f t="shared" si="13"/>
        <v>#N/A</v>
      </c>
      <c r="CS37" s="44" t="e">
        <f t="shared" si="13"/>
        <v>#N/A</v>
      </c>
      <c r="CT37" s="44" t="e">
        <f t="shared" si="13"/>
        <v>#N/A</v>
      </c>
      <c r="CU37" s="44" t="e">
        <f t="shared" si="13"/>
        <v>#N/A</v>
      </c>
      <c r="CV37" s="44" t="e">
        <f t="shared" si="13"/>
        <v>#N/A</v>
      </c>
      <c r="CW37" s="44" t="e">
        <f t="shared" si="13"/>
        <v>#N/A</v>
      </c>
      <c r="CX37" s="44" t="e">
        <f t="shared" si="13"/>
        <v>#N/A</v>
      </c>
      <c r="CY37" s="44" t="e">
        <f t="shared" si="13"/>
        <v>#N/A</v>
      </c>
      <c r="CZ37" s="44" t="e">
        <f t="shared" si="13"/>
        <v>#N/A</v>
      </c>
      <c r="DA37" s="44">
        <f>SUM(B37:AJ37)</f>
        <v>224134627</v>
      </c>
    </row>
    <row r="38" spans="1:105" s="40" customFormat="1" x14ac:dyDescent="0.2">
      <c r="A38" s="2"/>
      <c r="B38" s="43"/>
      <c r="C38" s="43"/>
      <c r="D38" s="43"/>
      <c r="E38" s="43"/>
      <c r="F38" s="43"/>
      <c r="G38" s="43"/>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c r="AT38" s="43"/>
      <c r="AU38" s="43"/>
      <c r="AV38" s="43"/>
      <c r="AW38" s="43"/>
      <c r="AX38" s="43"/>
      <c r="AY38" s="43"/>
      <c r="AZ38" s="43"/>
      <c r="BA38" s="43"/>
      <c r="BB38" s="43"/>
      <c r="BC38" s="43"/>
      <c r="BD38" s="43"/>
      <c r="BE38" s="43"/>
      <c r="BF38" s="43"/>
      <c r="BG38" s="43"/>
      <c r="BH38" s="43"/>
      <c r="BI38" s="43"/>
      <c r="BJ38" s="43"/>
      <c r="BK38" s="43"/>
      <c r="BL38" s="43"/>
      <c r="BM38" s="43"/>
      <c r="BN38" s="43"/>
      <c r="BO38" s="43"/>
      <c r="BP38" s="43"/>
      <c r="BQ38" s="43"/>
      <c r="BR38" s="43"/>
      <c r="BS38" s="43"/>
      <c r="BT38" s="43"/>
      <c r="BU38" s="43"/>
      <c r="BV38" s="43"/>
      <c r="BW38" s="43"/>
      <c r="BX38" s="43"/>
      <c r="BY38" s="43"/>
      <c r="BZ38" s="43"/>
      <c r="CA38" s="43"/>
      <c r="CB38" s="43"/>
      <c r="CC38" s="43"/>
      <c r="CD38" s="43"/>
      <c r="CE38" s="43"/>
      <c r="CF38" s="43"/>
      <c r="CG38" s="43"/>
      <c r="CH38" s="43"/>
      <c r="CI38" s="43"/>
      <c r="CJ38" s="43"/>
      <c r="CK38" s="43"/>
      <c r="CL38" s="43"/>
      <c r="CM38" s="43"/>
      <c r="CN38" s="43"/>
      <c r="CO38" s="43"/>
      <c r="CP38" s="43"/>
      <c r="CQ38" s="43"/>
      <c r="CR38" s="43"/>
      <c r="CS38" s="43"/>
      <c r="CT38" s="43"/>
      <c r="CU38" s="43"/>
      <c r="CV38" s="43"/>
      <c r="CW38" s="43"/>
      <c r="CX38" s="43"/>
      <c r="CY38" s="43"/>
      <c r="CZ38" s="43"/>
      <c r="DA38" s="43"/>
    </row>
    <row r="39" spans="1:105" s="40" customFormat="1" x14ac:dyDescent="0.2">
      <c r="A39" s="61" t="s">
        <v>156</v>
      </c>
      <c r="B39" s="43"/>
      <c r="C39" s="43"/>
      <c r="D39" s="43"/>
      <c r="E39" s="43"/>
      <c r="F39" s="43"/>
      <c r="G39" s="43"/>
      <c r="H39" s="43"/>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c r="AT39" s="43"/>
      <c r="AU39" s="43"/>
      <c r="AV39" s="43"/>
      <c r="AW39" s="43"/>
      <c r="AX39" s="43"/>
      <c r="AY39" s="43"/>
      <c r="AZ39" s="43"/>
      <c r="BA39" s="43"/>
      <c r="BB39" s="43"/>
      <c r="BC39" s="43"/>
      <c r="BD39" s="43"/>
      <c r="BE39" s="43"/>
      <c r="BF39" s="43"/>
      <c r="BG39" s="43"/>
      <c r="BH39" s="43"/>
      <c r="BI39" s="43"/>
      <c r="BJ39" s="43"/>
      <c r="BK39" s="43"/>
      <c r="BL39" s="43"/>
      <c r="BM39" s="43"/>
      <c r="BN39" s="43"/>
      <c r="BO39" s="43"/>
      <c r="BP39" s="43"/>
      <c r="BQ39" s="43"/>
      <c r="BR39" s="43"/>
      <c r="BS39" s="43"/>
      <c r="BT39" s="43"/>
      <c r="BU39" s="43"/>
      <c r="BV39" s="43"/>
      <c r="BW39" s="43"/>
      <c r="BX39" s="43"/>
      <c r="BY39" s="43"/>
      <c r="BZ39" s="43"/>
      <c r="CA39" s="43"/>
      <c r="CB39" s="43"/>
      <c r="CC39" s="43"/>
      <c r="CD39" s="43"/>
      <c r="CE39" s="43"/>
      <c r="CF39" s="43"/>
      <c r="CG39" s="43"/>
      <c r="CH39" s="43"/>
      <c r="CI39" s="43"/>
      <c r="CJ39" s="43"/>
      <c r="CK39" s="43"/>
      <c r="CL39" s="43"/>
      <c r="CM39" s="43"/>
      <c r="CN39" s="43"/>
      <c r="CO39" s="43"/>
      <c r="CP39" s="43"/>
      <c r="CQ39" s="43"/>
      <c r="CR39" s="43"/>
      <c r="CS39" s="43"/>
      <c r="CT39" s="43"/>
      <c r="CU39" s="43"/>
      <c r="CV39" s="43"/>
      <c r="CW39" s="43"/>
      <c r="CX39" s="43"/>
      <c r="CY39" s="43"/>
      <c r="CZ39" s="43"/>
      <c r="DA39" s="43"/>
    </row>
    <row r="40" spans="1:105" s="43" customFormat="1" x14ac:dyDescent="0.2">
      <c r="A40" s="53" t="s">
        <v>27</v>
      </c>
      <c r="B40" s="39">
        <f>IF(B$1,SUMIFS('BalSht Data'!$H$2:$H$2050,'BalSht Data'!$G$2:$G$2050,$A40,'BalSht Data'!$A$2:$A$2050,B$1),#N/A)</f>
        <v>3316380</v>
      </c>
      <c r="C40" s="39">
        <f>IF(C$1,SUMIFS('BalSht Data'!$H$2:$H$2050,'BalSht Data'!$G$2:$G$2050,$A40,'BalSht Data'!$A$2:$A$2050,C$1),#N/A)</f>
        <v>2618500</v>
      </c>
      <c r="D40" s="39">
        <f>IF(D$1,SUMIFS('BalSht Data'!$H$2:$H$2050,'BalSht Data'!$G$2:$G$2050,$A40,'BalSht Data'!$A$2:$A$2050,D$1),#N/A)</f>
        <v>4630461</v>
      </c>
      <c r="E40" s="39">
        <f>IF(E$1,SUMIFS('BalSht Data'!$H$2:$H$2050,'BalSht Data'!$G$2:$G$2050,$A40,'BalSht Data'!$A$2:$A$2050,E$1),#N/A)</f>
        <v>3174117</v>
      </c>
      <c r="F40" s="39">
        <f>IF(F$1,SUMIFS('BalSht Data'!$H$2:$H$2050,'BalSht Data'!$G$2:$G$2050,$A40,'BalSht Data'!$A$2:$A$2050,F$1),#N/A)</f>
        <v>5633308</v>
      </c>
      <c r="G40" s="39">
        <f>IF(G$1,SUMIFS('BalSht Data'!$H$2:$H$2050,'BalSht Data'!$G$2:$G$2050,$A40,'BalSht Data'!$A$2:$A$2050,G$1),#N/A)</f>
        <v>5795785</v>
      </c>
      <c r="H40" s="39">
        <f>IF(H$1,SUMIFS('BalSht Data'!$H$2:$H$2050,'BalSht Data'!$G$2:$G$2050,$A40,'BalSht Data'!$A$2:$A$2050,H$1),#N/A)</f>
        <v>7385145</v>
      </c>
      <c r="I40" s="39">
        <f>IF(I$1,SUMIFS('BalSht Data'!$H$2:$H$2050,'BalSht Data'!$G$2:$G$2050,$A40,'BalSht Data'!$A$2:$A$2050,I$1),#N/A)</f>
        <v>7544910</v>
      </c>
      <c r="J40" s="39">
        <f>IF(J$1,SUMIFS('BalSht Data'!$H$2:$H$2050,'BalSht Data'!$G$2:$G$2050,$A40,'BalSht Data'!$A$2:$A$2050,J$1),#N/A)</f>
        <v>12620622</v>
      </c>
      <c r="K40" s="39">
        <f>IF(K$1,SUMIFS('BalSht Data'!$H$2:$H$2050,'BalSht Data'!$G$2:$G$2050,$A40,'BalSht Data'!$A$2:$A$2050,K$1),#N/A)</f>
        <v>12480053</v>
      </c>
      <c r="L40" s="39">
        <f>IF(L$1,SUMIFS('BalSht Data'!$H$2:$H$2050,'BalSht Data'!$G$2:$G$2050,$A40,'BalSht Data'!$A$2:$A$2050,L$1),#N/A)</f>
        <v>8631257</v>
      </c>
      <c r="M40" s="39">
        <f>IF(M$1,SUMIFS('BalSht Data'!$H$2:$H$2050,'BalSht Data'!$G$2:$G$2050,$A40,'BalSht Data'!$A$2:$A$2050,M$1),#N/A)</f>
        <v>9030366</v>
      </c>
      <c r="N40" s="39">
        <f>IF(N$1,SUMIFS('BalSht Data'!$H$2:$H$2050,'BalSht Data'!$G$2:$G$2050,$A40,'BalSht Data'!$A$2:$A$2050,N$1),#N/A)</f>
        <v>27937901</v>
      </c>
      <c r="O40" s="39">
        <f>IF(O$1,SUMIFS('BalSht Data'!$H$2:$H$2050,'BalSht Data'!$G$2:$G$2050,$A40,'BalSht Data'!$A$2:$A$2050,O$1),#N/A)</f>
        <v>8545577</v>
      </c>
      <c r="P40" s="39">
        <f>IF(P$1,SUMIFS('BalSht Data'!$H$2:$H$2050,'BalSht Data'!$G$2:$G$2050,$A40,'BalSht Data'!$A$2:$A$2050,P$1),#N/A)</f>
        <v>5480570</v>
      </c>
      <c r="Q40" s="39">
        <f>IF(Q$1,SUMIFS('BalSht Data'!$H$2:$H$2050,'BalSht Data'!$G$2:$G$2050,$A40,'BalSht Data'!$A$2:$A$2050,Q$1),#N/A)</f>
        <v>8561925</v>
      </c>
      <c r="R40" s="39">
        <f>IF(R$1,SUMIFS('BalSht Data'!$H$2:$H$2050,'BalSht Data'!$G$2:$G$2050,$A40,'BalSht Data'!$A$2:$A$2050,R$1),#N/A)</f>
        <v>6448559</v>
      </c>
      <c r="S40" s="39">
        <f>IF(S$1,SUMIFS('BalSht Data'!$H$2:$H$2050,'BalSht Data'!$G$2:$G$2050,$A40,'BalSht Data'!$A$2:$A$2050,S$1),#N/A)</f>
        <v>7463885</v>
      </c>
      <c r="T40" s="39">
        <f>IF(T$1,SUMIFS('BalSht Data'!$H$2:$H$2050,'BalSht Data'!$G$2:$G$2050,$A40,'BalSht Data'!$A$2:$A$2050,T$1),#N/A)</f>
        <v>2105858</v>
      </c>
      <c r="U40" s="39">
        <f>IF(U$1,SUMIFS('BalSht Data'!$H$2:$H$2050,'BalSht Data'!$G$2:$G$2050,$A40,'BalSht Data'!$A$2:$A$2050,U$1),#N/A)</f>
        <v>3583325</v>
      </c>
      <c r="V40" s="39">
        <f>IF(V$1,SUMIFS('BalSht Data'!$H$2:$H$2050,'BalSht Data'!$G$2:$G$2050,$A40,'BalSht Data'!$A$2:$A$2050,V$1),#N/A)</f>
        <v>2174861</v>
      </c>
      <c r="W40" s="39">
        <f>IF(W$1,SUMIFS('BalSht Data'!$H$2:$H$2050,'BalSht Data'!$G$2:$G$2050,$A40,'BalSht Data'!$A$2:$A$2050,W$1),#N/A)</f>
        <v>6614964</v>
      </c>
      <c r="X40" s="39">
        <f>IF(X$1,SUMIFS('BalSht Data'!$H$2:$H$2050,'BalSht Data'!$G$2:$G$2050,$A40,'BalSht Data'!$A$2:$A$2050,X$1),#N/A)</f>
        <v>1360139</v>
      </c>
      <c r="Y40" s="39">
        <f>IF(Y$1,SUMIFS('BalSht Data'!$H$2:$H$2050,'BalSht Data'!$G$2:$G$2050,$A40,'BalSht Data'!$A$2:$A$2050,Y$1),#N/A)</f>
        <v>7179972</v>
      </c>
      <c r="Z40" s="39">
        <f>IF(Z$1,SUMIFS('BalSht Data'!$H$2:$H$2050,'BalSht Data'!$G$2:$G$2050,$A40,'BalSht Data'!$A$2:$A$2050,Z$1),#N/A)</f>
        <v>0</v>
      </c>
      <c r="AA40" s="39">
        <f>IF(AA$1,SUMIFS('BalSht Data'!$H$2:$H$2050,'BalSht Data'!$G$2:$G$2050,$A40,'BalSht Data'!$A$2:$A$2050,AA$1),#N/A)</f>
        <v>3295608</v>
      </c>
      <c r="AB40" s="39">
        <f>IF(AB$1,SUMIFS('BalSht Data'!$H$2:$H$2050,'BalSht Data'!$G$2:$G$2050,$A40,'BalSht Data'!$A$2:$A$2050,AB$1),#N/A)</f>
        <v>0</v>
      </c>
      <c r="AC40" s="39">
        <f>IF(AC$1,SUMIFS('BalSht Data'!$H$2:$H$2050,'BalSht Data'!$G$2:$G$2050,$A40,'BalSht Data'!$A$2:$A$2050,AC$1),#N/A)</f>
        <v>0</v>
      </c>
      <c r="AD40" s="39">
        <f>IF(AD$1,SUMIFS('BalSht Data'!$H$2:$H$2050,'BalSht Data'!$G$2:$G$2050,$A40,'BalSht Data'!$A$2:$A$2050,AD$1),#N/A)</f>
        <v>6828862</v>
      </c>
      <c r="AE40" s="39">
        <f>IF(AE$1,SUMIFS('BalSht Data'!$H$2:$H$2050,'BalSht Data'!$G$2:$G$2050,$A40,'BalSht Data'!$A$2:$A$2050,AE$1),#N/A)</f>
        <v>8503317</v>
      </c>
      <c r="AF40" s="39">
        <f>IF(AF$1,SUMIFS('BalSht Data'!$H$2:$H$2050,'BalSht Data'!$G$2:$G$2050,$A40,'BalSht Data'!$A$2:$A$2050,AF$1),#N/A)</f>
        <v>3295238</v>
      </c>
      <c r="AG40" s="39">
        <f>IF(AG$1,SUMIFS('BalSht Data'!$H$2:$H$2050,'BalSht Data'!$G$2:$G$2050,$A40,'BalSht Data'!$A$2:$A$2050,AG$1),#N/A)</f>
        <v>7008841</v>
      </c>
      <c r="AH40" s="39">
        <f>IF(AH$1,SUMIFS('BalSht Data'!$H$2:$H$2050,'BalSht Data'!$G$2:$G$2050,$A40,'BalSht Data'!$A$2:$A$2050,AH$1),#N/A)</f>
        <v>4657541</v>
      </c>
      <c r="AI40" s="39">
        <f>IF(AI$1,SUMIFS('BalSht Data'!$H$2:$H$2050,'BalSht Data'!$G$2:$G$2050,$A40,'BalSht Data'!$A$2:$A$2050,AI$1),#N/A)</f>
        <v>3261756</v>
      </c>
      <c r="AJ40" s="39">
        <f>IF(AJ$1,SUMIFS('BalSht Data'!$H$2:$H$2050,'BalSht Data'!$G$2:$G$2050,$A40,'BalSht Data'!$A$2:$A$2050,AJ$1),#N/A)</f>
        <v>3761746</v>
      </c>
      <c r="AK40" s="39" t="e">
        <f>IF(AK$1,SUMIFS('BalSht Data'!$H$2:$H$2050,'BalSht Data'!$G$2:$G$2050,$A40,'BalSht Data'!$A$2:$A$2050,AK$1),#N/A)</f>
        <v>#N/A</v>
      </c>
      <c r="AL40" s="39" t="e">
        <f>IF(AL$1,SUMIFS('BalSht Data'!$H$2:$H$2050,'BalSht Data'!$G$2:$G$2050,$A40,'BalSht Data'!$A$2:$A$2050,AL$1),#N/A)</f>
        <v>#N/A</v>
      </c>
      <c r="AM40" s="39" t="e">
        <f>IF(AM$1,SUMIFS('BalSht Data'!$H$2:$H$2050,'BalSht Data'!$G$2:$G$2050,$A40,'BalSht Data'!$A$2:$A$2050,AM$1),#N/A)</f>
        <v>#N/A</v>
      </c>
      <c r="AN40" s="39" t="e">
        <f>IF(AN$1,SUMIFS('BalSht Data'!$H$2:$H$2050,'BalSht Data'!$G$2:$G$2050,$A40,'BalSht Data'!$A$2:$A$2050,AN$1),#N/A)</f>
        <v>#N/A</v>
      </c>
      <c r="AO40" s="39" t="e">
        <f>IF(AO$1,SUMIFS('BalSht Data'!$H$2:$H$2050,'BalSht Data'!$G$2:$G$2050,$A40,'BalSht Data'!$A$2:$A$2050,AO$1),#N/A)</f>
        <v>#N/A</v>
      </c>
      <c r="AP40" s="39" t="e">
        <f>IF(AP$1,SUMIFS('BalSht Data'!$H$2:$H$2050,'BalSht Data'!$G$2:$G$2050,$A40,'BalSht Data'!$A$2:$A$2050,AP$1),#N/A)</f>
        <v>#N/A</v>
      </c>
      <c r="AQ40" s="39" t="e">
        <f>IF(AQ$1,SUMIFS('BalSht Data'!$H$2:$H$2050,'BalSht Data'!$G$2:$G$2050,$A40,'BalSht Data'!$A$2:$A$2050,AQ$1),#N/A)</f>
        <v>#N/A</v>
      </c>
      <c r="AR40" s="39" t="e">
        <f>IF(AR$1,SUMIFS('BalSht Data'!$H$2:$H$2050,'BalSht Data'!$G$2:$G$2050,$A40,'BalSht Data'!$A$2:$A$2050,AR$1),#N/A)</f>
        <v>#N/A</v>
      </c>
      <c r="AS40" s="39" t="e">
        <f>IF(AS$1,SUMIFS('BalSht Data'!$H$2:$H$2050,'BalSht Data'!$G$2:$G$2050,$A40,'BalSht Data'!$A$2:$A$2050,AS$1),#N/A)</f>
        <v>#N/A</v>
      </c>
      <c r="AT40" s="39" t="e">
        <f>IF(AT$1,SUMIFS('BalSht Data'!$H$2:$H$2050,'BalSht Data'!$G$2:$G$2050,$A40,'BalSht Data'!$A$2:$A$2050,AT$1),#N/A)</f>
        <v>#N/A</v>
      </c>
      <c r="AU40" s="39" t="e">
        <f>IF(AU$1,SUMIFS('BalSht Data'!$H$2:$H$2050,'BalSht Data'!$G$2:$G$2050,$A40,'BalSht Data'!$A$2:$A$2050,AU$1),#N/A)</f>
        <v>#N/A</v>
      </c>
      <c r="AV40" s="39" t="e">
        <f>IF(AV$1,SUMIFS('BalSht Data'!$H$2:$H$2050,'BalSht Data'!$G$2:$G$2050,$A40,'BalSht Data'!$A$2:$A$2050,AV$1),#N/A)</f>
        <v>#N/A</v>
      </c>
      <c r="AW40" s="39" t="e">
        <f>IF(AW$1,SUMIFS('BalSht Data'!$H$2:$H$2050,'BalSht Data'!$G$2:$G$2050,$A40,'BalSht Data'!$A$2:$A$2050,AW$1),#N/A)</f>
        <v>#N/A</v>
      </c>
      <c r="AX40" s="39" t="e">
        <f>IF(AX$1,SUMIFS('BalSht Data'!$H$2:$H$2050,'BalSht Data'!$G$2:$G$2050,$A40,'BalSht Data'!$A$2:$A$2050,AX$1),#N/A)</f>
        <v>#N/A</v>
      </c>
      <c r="AY40" s="39" t="e">
        <f>IF(AY$1,SUMIFS('BalSht Data'!$H$2:$H$2050,'BalSht Data'!$G$2:$G$2050,$A40,'BalSht Data'!$A$2:$A$2050,AY$1),#N/A)</f>
        <v>#N/A</v>
      </c>
      <c r="AZ40" s="39" t="e">
        <f>IF(AZ$1,SUMIFS('BalSht Data'!$H$2:$H$2050,'BalSht Data'!$G$2:$G$2050,$A40,'BalSht Data'!$A$2:$A$2050,AZ$1),#N/A)</f>
        <v>#N/A</v>
      </c>
      <c r="BA40" s="39" t="e">
        <f>IF(BA$1,SUMIFS('BalSht Data'!$H$2:$H$2050,'BalSht Data'!$G$2:$G$2050,$A40,'BalSht Data'!$A$2:$A$2050,BA$1),#N/A)</f>
        <v>#N/A</v>
      </c>
      <c r="BB40" s="39" t="e">
        <f>IF(BB$1,SUMIFS('BalSht Data'!$H$2:$H$2050,'BalSht Data'!$G$2:$G$2050,$A40,'BalSht Data'!$A$2:$A$2050,BB$1),#N/A)</f>
        <v>#N/A</v>
      </c>
      <c r="BC40" s="39" t="e">
        <f>IF(BC$1,SUMIFS('BalSht Data'!$H$2:$H$2050,'BalSht Data'!$G$2:$G$2050,$A40,'BalSht Data'!$A$2:$A$2050,BC$1),#N/A)</f>
        <v>#N/A</v>
      </c>
      <c r="BD40" s="39" t="e">
        <f>IF(BD$1,SUMIFS('BalSht Data'!$H$2:$H$2050,'BalSht Data'!$G$2:$G$2050,$A40,'BalSht Data'!$A$2:$A$2050,BD$1),#N/A)</f>
        <v>#N/A</v>
      </c>
      <c r="BE40" s="39" t="e">
        <f>IF(BE$1,SUMIFS('BalSht Data'!$H$2:$H$2050,'BalSht Data'!$G$2:$G$2050,$A40,'BalSht Data'!$A$2:$A$2050,BE$1),#N/A)</f>
        <v>#N/A</v>
      </c>
      <c r="BF40" s="39" t="e">
        <f>IF(BF$1,SUMIFS('BalSht Data'!$H$2:$H$2050,'BalSht Data'!$G$2:$G$2050,$A40,'BalSht Data'!$A$2:$A$2050,BF$1),#N/A)</f>
        <v>#N/A</v>
      </c>
      <c r="BG40" s="39" t="e">
        <f>IF(BG$1,SUMIFS('BalSht Data'!$H$2:$H$2050,'BalSht Data'!$G$2:$G$2050,$A40,'BalSht Data'!$A$2:$A$2050,BG$1),#N/A)</f>
        <v>#N/A</v>
      </c>
      <c r="BH40" s="39" t="e">
        <f>IF(BH$1,SUMIFS('BalSht Data'!$H$2:$H$2050,'BalSht Data'!$G$2:$G$2050,$A40,'BalSht Data'!$A$2:$A$2050,BH$1),#N/A)</f>
        <v>#N/A</v>
      </c>
      <c r="BI40" s="39" t="e">
        <f>IF(BI$1,SUMIFS('BalSht Data'!$H$2:$H$2050,'BalSht Data'!$G$2:$G$2050,$A40,'BalSht Data'!$A$2:$A$2050,BI$1),#N/A)</f>
        <v>#N/A</v>
      </c>
      <c r="BJ40" s="39" t="e">
        <f>IF(BJ$1,SUMIFS('BalSht Data'!$H$2:$H$2050,'BalSht Data'!$G$2:$G$2050,$A40,'BalSht Data'!$A$2:$A$2050,BJ$1),#N/A)</f>
        <v>#N/A</v>
      </c>
      <c r="BK40" s="39" t="e">
        <f>IF(BK$1,SUMIFS('BalSht Data'!$H$2:$H$2050,'BalSht Data'!$G$2:$G$2050,$A40,'BalSht Data'!$A$2:$A$2050,BK$1),#N/A)</f>
        <v>#N/A</v>
      </c>
      <c r="BL40" s="39" t="e">
        <f>IF(BL$1,SUMIFS('BalSht Data'!$H$2:$H$2050,'BalSht Data'!$G$2:$G$2050,$A40,'BalSht Data'!$A$2:$A$2050,BL$1),#N/A)</f>
        <v>#N/A</v>
      </c>
      <c r="BM40" s="39" t="e">
        <f>IF(BM$1,SUMIFS('BalSht Data'!$H$2:$H$2050,'BalSht Data'!$G$2:$G$2050,$A40,'BalSht Data'!$A$2:$A$2050,BM$1),#N/A)</f>
        <v>#N/A</v>
      </c>
      <c r="BN40" s="39" t="e">
        <f>IF(BN$1,SUMIFS('BalSht Data'!$H$2:$H$2050,'BalSht Data'!$G$2:$G$2050,$A40,'BalSht Data'!$A$2:$A$2050,BN$1),#N/A)</f>
        <v>#N/A</v>
      </c>
      <c r="BO40" s="39" t="e">
        <f>IF(BO$1,SUMIFS('BalSht Data'!$H$2:$H$2050,'BalSht Data'!$G$2:$G$2050,$A40,'BalSht Data'!$A$2:$A$2050,BO$1),#N/A)</f>
        <v>#N/A</v>
      </c>
      <c r="BP40" s="39" t="e">
        <f>IF(BP$1,SUMIFS('BalSht Data'!$H$2:$H$2050,'BalSht Data'!$G$2:$G$2050,$A40,'BalSht Data'!$A$2:$A$2050,BP$1),#N/A)</f>
        <v>#N/A</v>
      </c>
      <c r="BQ40" s="39" t="e">
        <f>IF(BQ$1,SUMIFS('BalSht Data'!$H$2:$H$2050,'BalSht Data'!$G$2:$G$2050,$A40,'BalSht Data'!$A$2:$A$2050,BQ$1),#N/A)</f>
        <v>#N/A</v>
      </c>
      <c r="BR40" s="39" t="e">
        <f>IF(BR$1,SUMIFS('BalSht Data'!$H$2:$H$2050,'BalSht Data'!$G$2:$G$2050,$A40,'BalSht Data'!$A$2:$A$2050,BR$1),#N/A)</f>
        <v>#N/A</v>
      </c>
      <c r="BS40" s="39" t="e">
        <f>IF(BS$1,SUMIFS('BalSht Data'!$H$2:$H$2050,'BalSht Data'!$G$2:$G$2050,$A40,'BalSht Data'!$A$2:$A$2050,BS$1),#N/A)</f>
        <v>#N/A</v>
      </c>
      <c r="BT40" s="39" t="e">
        <f>IF(BT$1,SUMIFS('BalSht Data'!$H$2:$H$2050,'BalSht Data'!$G$2:$G$2050,$A40,'BalSht Data'!$A$2:$A$2050,BT$1),#N/A)</f>
        <v>#N/A</v>
      </c>
      <c r="BU40" s="39" t="e">
        <f>IF(BU$1,SUMIFS('BalSht Data'!$H$2:$H$2050,'BalSht Data'!$G$2:$G$2050,$A40,'BalSht Data'!$A$2:$A$2050,BU$1),#N/A)</f>
        <v>#N/A</v>
      </c>
      <c r="BV40" s="39" t="e">
        <f>IF(BV$1,SUMIFS('BalSht Data'!$H$2:$H$2050,'BalSht Data'!$G$2:$G$2050,$A40,'BalSht Data'!$A$2:$A$2050,BV$1),#N/A)</f>
        <v>#N/A</v>
      </c>
      <c r="BW40" s="39" t="e">
        <f>IF(BW$1,SUMIFS('BalSht Data'!$H$2:$H$2050,'BalSht Data'!$G$2:$G$2050,$A40,'BalSht Data'!$A$2:$A$2050,BW$1),#N/A)</f>
        <v>#N/A</v>
      </c>
      <c r="BX40" s="39" t="e">
        <f>IF(BX$1,SUMIFS('BalSht Data'!$H$2:$H$2050,'BalSht Data'!$G$2:$G$2050,$A40,'BalSht Data'!$A$2:$A$2050,BX$1),#N/A)</f>
        <v>#N/A</v>
      </c>
      <c r="BY40" s="39" t="e">
        <f>IF(BY$1,SUMIFS('BalSht Data'!$H$2:$H$2050,'BalSht Data'!$G$2:$G$2050,$A40,'BalSht Data'!$A$2:$A$2050,BY$1),#N/A)</f>
        <v>#N/A</v>
      </c>
      <c r="BZ40" s="39" t="e">
        <f>IF(BZ$1,SUMIFS('BalSht Data'!$H$2:$H$2050,'BalSht Data'!$G$2:$G$2050,$A40,'BalSht Data'!$A$2:$A$2050,BZ$1),#N/A)</f>
        <v>#N/A</v>
      </c>
      <c r="CA40" s="39" t="e">
        <f>IF(CA$1,SUMIFS('BalSht Data'!$H$2:$H$2050,'BalSht Data'!$G$2:$G$2050,$A40,'BalSht Data'!$A$2:$A$2050,CA$1),#N/A)</f>
        <v>#N/A</v>
      </c>
      <c r="CB40" s="39" t="e">
        <f>IF(CB$1,SUMIFS('BalSht Data'!$H$2:$H$2050,'BalSht Data'!$G$2:$G$2050,$A40,'BalSht Data'!$A$2:$A$2050,CB$1),#N/A)</f>
        <v>#N/A</v>
      </c>
      <c r="CC40" s="39" t="e">
        <f>IF(CC$1,SUMIFS('BalSht Data'!$H$2:$H$2050,'BalSht Data'!$G$2:$G$2050,$A40,'BalSht Data'!$A$2:$A$2050,CC$1),#N/A)</f>
        <v>#N/A</v>
      </c>
      <c r="CD40" s="39" t="e">
        <f>IF(CD$1,SUMIFS('BalSht Data'!$H$2:$H$2050,'BalSht Data'!$G$2:$G$2050,$A40,'BalSht Data'!$A$2:$A$2050,CD$1),#N/A)</f>
        <v>#N/A</v>
      </c>
      <c r="CE40" s="39" t="e">
        <f>IF(CE$1,SUMIFS('BalSht Data'!$H$2:$H$2050,'BalSht Data'!$G$2:$G$2050,$A40,'BalSht Data'!$A$2:$A$2050,CE$1),#N/A)</f>
        <v>#N/A</v>
      </c>
      <c r="CF40" s="39" t="e">
        <f>IF(CF$1,SUMIFS('BalSht Data'!$H$2:$H$2050,'BalSht Data'!$G$2:$G$2050,$A40,'BalSht Data'!$A$2:$A$2050,CF$1),#N/A)</f>
        <v>#N/A</v>
      </c>
      <c r="CG40" s="39" t="e">
        <f>IF(CG$1,SUMIFS('BalSht Data'!$H$2:$H$2050,'BalSht Data'!$G$2:$G$2050,$A40,'BalSht Data'!$A$2:$A$2050,CG$1),#N/A)</f>
        <v>#N/A</v>
      </c>
      <c r="CH40" s="39" t="e">
        <f>IF(CH$1,SUMIFS('BalSht Data'!$H$2:$H$2050,'BalSht Data'!$G$2:$G$2050,$A40,'BalSht Data'!$A$2:$A$2050,CH$1),#N/A)</f>
        <v>#N/A</v>
      </c>
      <c r="CI40" s="39" t="e">
        <f>IF(CI$1,SUMIFS('BalSht Data'!$H$2:$H$2050,'BalSht Data'!$G$2:$G$2050,$A40,'BalSht Data'!$A$2:$A$2050,CI$1),#N/A)</f>
        <v>#N/A</v>
      </c>
      <c r="CJ40" s="39" t="e">
        <f>IF(CJ$1,SUMIFS('BalSht Data'!$H$2:$H$2050,'BalSht Data'!$G$2:$G$2050,$A40,'BalSht Data'!$A$2:$A$2050,CJ$1),#N/A)</f>
        <v>#N/A</v>
      </c>
      <c r="CK40" s="39" t="e">
        <f>IF(CK$1,SUMIFS('BalSht Data'!$H$2:$H$2050,'BalSht Data'!$G$2:$G$2050,$A40,'BalSht Data'!$A$2:$A$2050,CK$1),#N/A)</f>
        <v>#N/A</v>
      </c>
      <c r="CL40" s="39" t="e">
        <f>IF(CL$1,SUMIFS('BalSht Data'!$H$2:$H$2050,'BalSht Data'!$G$2:$G$2050,$A40,'BalSht Data'!$A$2:$A$2050,CL$1),#N/A)</f>
        <v>#N/A</v>
      </c>
      <c r="CM40" s="39" t="e">
        <f>IF(CM$1,SUMIFS('BalSht Data'!$H$2:$H$2050,'BalSht Data'!$G$2:$G$2050,$A40,'BalSht Data'!$A$2:$A$2050,CM$1),#N/A)</f>
        <v>#N/A</v>
      </c>
      <c r="CN40" s="39" t="e">
        <f>IF(CN$1,SUMIFS('BalSht Data'!$H$2:$H$2050,'BalSht Data'!$G$2:$G$2050,$A40,'BalSht Data'!$A$2:$A$2050,CN$1),#N/A)</f>
        <v>#N/A</v>
      </c>
      <c r="CO40" s="39" t="e">
        <f>IF(CO$1,SUMIFS('BalSht Data'!$H$2:$H$2050,'BalSht Data'!$G$2:$G$2050,$A40,'BalSht Data'!$A$2:$A$2050,CO$1),#N/A)</f>
        <v>#N/A</v>
      </c>
      <c r="CP40" s="39" t="e">
        <f>IF(CP$1,SUMIFS('BalSht Data'!$H$2:$H$2050,'BalSht Data'!$G$2:$G$2050,$A40,'BalSht Data'!$A$2:$A$2050,CP$1),#N/A)</f>
        <v>#N/A</v>
      </c>
      <c r="CQ40" s="39" t="e">
        <f>IF(CQ$1,SUMIFS('BalSht Data'!$H$2:$H$2050,'BalSht Data'!$G$2:$G$2050,$A40,'BalSht Data'!$A$2:$A$2050,CQ$1),#N/A)</f>
        <v>#N/A</v>
      </c>
      <c r="CR40" s="39" t="e">
        <f>IF(CR$1,SUMIFS('BalSht Data'!$H$2:$H$2050,'BalSht Data'!$G$2:$G$2050,$A40,'BalSht Data'!$A$2:$A$2050,CR$1),#N/A)</f>
        <v>#N/A</v>
      </c>
      <c r="CS40" s="39" t="e">
        <f>IF(CS$1,SUMIFS('BalSht Data'!$H$2:$H$2050,'BalSht Data'!$G$2:$G$2050,$A40,'BalSht Data'!$A$2:$A$2050,CS$1),#N/A)</f>
        <v>#N/A</v>
      </c>
      <c r="CT40" s="39" t="e">
        <f>IF(CT$1,SUMIFS('BalSht Data'!$H$2:$H$2050,'BalSht Data'!$G$2:$G$2050,$A40,'BalSht Data'!$A$2:$A$2050,CT$1),#N/A)</f>
        <v>#N/A</v>
      </c>
      <c r="CU40" s="39" t="e">
        <f>IF(CU$1,SUMIFS('BalSht Data'!$H$2:$H$2050,'BalSht Data'!$G$2:$G$2050,$A40,'BalSht Data'!$A$2:$A$2050,CU$1),#N/A)</f>
        <v>#N/A</v>
      </c>
      <c r="CV40" s="39" t="e">
        <f>IF(CV$1,SUMIFS('BalSht Data'!$H$2:$H$2050,'BalSht Data'!$G$2:$G$2050,$A40,'BalSht Data'!$A$2:$A$2050,CV$1),#N/A)</f>
        <v>#N/A</v>
      </c>
      <c r="CW40" s="39" t="e">
        <f>IF(CW$1,SUMIFS('BalSht Data'!$H$2:$H$2050,'BalSht Data'!$G$2:$G$2050,$A40,'BalSht Data'!$A$2:$A$2050,CW$1),#N/A)</f>
        <v>#N/A</v>
      </c>
      <c r="CX40" s="39" t="e">
        <f>IF(CX$1,SUMIFS('BalSht Data'!$H$2:$H$2050,'BalSht Data'!$G$2:$G$2050,$A40,'BalSht Data'!$A$2:$A$2050,CX$1),#N/A)</f>
        <v>#N/A</v>
      </c>
      <c r="CY40" s="39" t="e">
        <f>IF(CY$1,SUMIFS('BalSht Data'!$H$2:$H$2050,'BalSht Data'!$G$2:$G$2050,$A40,'BalSht Data'!$A$2:$A$2050,CY$1),#N/A)</f>
        <v>#N/A</v>
      </c>
      <c r="CZ40" s="39" t="e">
        <f>IF(CZ$1,SUMIFS('BalSht Data'!$H$2:$H$2050,'BalSht Data'!$G$2:$G$2050,$A40,'BalSht Data'!$A$2:$A$2050,CZ$1),#N/A)</f>
        <v>#N/A</v>
      </c>
      <c r="DA40" s="39">
        <f>SUM(B40:AJ40)</f>
        <v>210931349</v>
      </c>
    </row>
    <row r="41" spans="1:105" s="40" customFormat="1" x14ac:dyDescent="0.2">
      <c r="A41" s="53" t="s">
        <v>143</v>
      </c>
      <c r="B41" s="43">
        <f>IF(B$1,SUMIFS('BalSht Data'!$H$2:$H$2050,'BalSht Data'!$G$2:$G$2050,$A41,'BalSht Data'!$A$2:$A$2050,B$1),#N/A)</f>
        <v>0</v>
      </c>
      <c r="C41" s="43">
        <f>IF(C$1,SUMIFS('BalSht Data'!$H$2:$H$2050,'BalSht Data'!$G$2:$G$2050,$A41,'BalSht Data'!$A$2:$A$2050,C$1),#N/A)</f>
        <v>0</v>
      </c>
      <c r="D41" s="43">
        <f>IF(D$1,SUMIFS('BalSht Data'!$H$2:$H$2050,'BalSht Data'!$G$2:$G$2050,$A41,'BalSht Data'!$A$2:$A$2050,D$1),#N/A)</f>
        <v>0</v>
      </c>
      <c r="E41" s="43">
        <f>IF(E$1,SUMIFS('BalSht Data'!$H$2:$H$2050,'BalSht Data'!$G$2:$G$2050,$A41,'BalSht Data'!$A$2:$A$2050,E$1),#N/A)</f>
        <v>0</v>
      </c>
      <c r="F41" s="43">
        <f>IF(F$1,SUMIFS('BalSht Data'!$H$2:$H$2050,'BalSht Data'!$G$2:$G$2050,$A41,'BalSht Data'!$A$2:$A$2050,F$1),#N/A)</f>
        <v>0</v>
      </c>
      <c r="G41" s="43">
        <f>IF(G$1,SUMIFS('BalSht Data'!$H$2:$H$2050,'BalSht Data'!$G$2:$G$2050,$A41,'BalSht Data'!$A$2:$A$2050,G$1),#N/A)</f>
        <v>0</v>
      </c>
      <c r="H41" s="43">
        <f>IF(H$1,SUMIFS('BalSht Data'!$H$2:$H$2050,'BalSht Data'!$G$2:$G$2050,$A41,'BalSht Data'!$A$2:$A$2050,H$1),#N/A)</f>
        <v>0</v>
      </c>
      <c r="I41" s="43">
        <f>IF(I$1,SUMIFS('BalSht Data'!$H$2:$H$2050,'BalSht Data'!$G$2:$G$2050,$A41,'BalSht Data'!$A$2:$A$2050,I$1),#N/A)</f>
        <v>0</v>
      </c>
      <c r="J41" s="43">
        <f>IF(J$1,SUMIFS('BalSht Data'!$H$2:$H$2050,'BalSht Data'!$G$2:$G$2050,$A41,'BalSht Data'!$A$2:$A$2050,J$1),#N/A)</f>
        <v>0</v>
      </c>
      <c r="K41" s="43">
        <f>IF(K$1,SUMIFS('BalSht Data'!$H$2:$H$2050,'BalSht Data'!$G$2:$G$2050,$A41,'BalSht Data'!$A$2:$A$2050,K$1),#N/A)</f>
        <v>0</v>
      </c>
      <c r="L41" s="43">
        <f>IF(L$1,SUMIFS('BalSht Data'!$H$2:$H$2050,'BalSht Data'!$G$2:$G$2050,$A41,'BalSht Data'!$A$2:$A$2050,L$1),#N/A)</f>
        <v>0</v>
      </c>
      <c r="M41" s="43">
        <f>IF(M$1,SUMIFS('BalSht Data'!$H$2:$H$2050,'BalSht Data'!$G$2:$G$2050,$A41,'BalSht Data'!$A$2:$A$2050,M$1),#N/A)</f>
        <v>0</v>
      </c>
      <c r="N41" s="43">
        <f>IF(N$1,SUMIFS('BalSht Data'!$H$2:$H$2050,'BalSht Data'!$G$2:$G$2050,$A41,'BalSht Data'!$A$2:$A$2050,N$1),#N/A)</f>
        <v>0</v>
      </c>
      <c r="O41" s="43">
        <f>IF(O$1,SUMIFS('BalSht Data'!$H$2:$H$2050,'BalSht Data'!$G$2:$G$2050,$A41,'BalSht Data'!$A$2:$A$2050,O$1),#N/A)</f>
        <v>0</v>
      </c>
      <c r="P41" s="43">
        <f>IF(P$1,SUMIFS('BalSht Data'!$H$2:$H$2050,'BalSht Data'!$G$2:$G$2050,$A41,'BalSht Data'!$A$2:$A$2050,P$1),#N/A)</f>
        <v>0</v>
      </c>
      <c r="Q41" s="43">
        <f>IF(Q$1,SUMIFS('BalSht Data'!$H$2:$H$2050,'BalSht Data'!$G$2:$G$2050,$A41,'BalSht Data'!$A$2:$A$2050,Q$1),#N/A)</f>
        <v>0</v>
      </c>
      <c r="R41" s="43">
        <f>IF(R$1,SUMIFS('BalSht Data'!$H$2:$H$2050,'BalSht Data'!$G$2:$G$2050,$A41,'BalSht Data'!$A$2:$A$2050,R$1),#N/A)</f>
        <v>0</v>
      </c>
      <c r="S41" s="43">
        <f>IF(S$1,SUMIFS('BalSht Data'!$H$2:$H$2050,'BalSht Data'!$G$2:$G$2050,$A41,'BalSht Data'!$A$2:$A$2050,S$1),#N/A)</f>
        <v>0</v>
      </c>
      <c r="T41" s="43">
        <f>IF(T$1,SUMIFS('BalSht Data'!$H$2:$H$2050,'BalSht Data'!$G$2:$G$2050,$A41,'BalSht Data'!$A$2:$A$2050,T$1),#N/A)</f>
        <v>0</v>
      </c>
      <c r="U41" s="43">
        <f>IF(U$1,SUMIFS('BalSht Data'!$H$2:$H$2050,'BalSht Data'!$G$2:$G$2050,$A41,'BalSht Data'!$A$2:$A$2050,U$1),#N/A)</f>
        <v>0</v>
      </c>
      <c r="V41" s="43">
        <f>IF(V$1,SUMIFS('BalSht Data'!$H$2:$H$2050,'BalSht Data'!$G$2:$G$2050,$A41,'BalSht Data'!$A$2:$A$2050,V$1),#N/A)</f>
        <v>0</v>
      </c>
      <c r="W41" s="43">
        <f>IF(W$1,SUMIFS('BalSht Data'!$H$2:$H$2050,'BalSht Data'!$G$2:$G$2050,$A41,'BalSht Data'!$A$2:$A$2050,W$1),#N/A)</f>
        <v>0</v>
      </c>
      <c r="X41" s="43">
        <f>IF(X$1,SUMIFS('BalSht Data'!$H$2:$H$2050,'BalSht Data'!$G$2:$G$2050,$A41,'BalSht Data'!$A$2:$A$2050,X$1),#N/A)</f>
        <v>0</v>
      </c>
      <c r="Y41" s="43">
        <f>IF(Y$1,SUMIFS('BalSht Data'!$H$2:$H$2050,'BalSht Data'!$G$2:$G$2050,$A41,'BalSht Data'!$A$2:$A$2050,Y$1),#N/A)</f>
        <v>0</v>
      </c>
      <c r="Z41" s="43">
        <f>IF(Z$1,SUMIFS('BalSht Data'!$H$2:$H$2050,'BalSht Data'!$G$2:$G$2050,$A41,'BalSht Data'!$A$2:$A$2050,Z$1),#N/A)</f>
        <v>0</v>
      </c>
      <c r="AA41" s="43">
        <f>IF(AA$1,SUMIFS('BalSht Data'!$H$2:$H$2050,'BalSht Data'!$G$2:$G$2050,$A41,'BalSht Data'!$A$2:$A$2050,AA$1),#N/A)</f>
        <v>0</v>
      </c>
      <c r="AB41" s="43">
        <f>IF(AB$1,SUMIFS('BalSht Data'!$H$2:$H$2050,'BalSht Data'!$G$2:$G$2050,$A41,'BalSht Data'!$A$2:$A$2050,AB$1),#N/A)</f>
        <v>0</v>
      </c>
      <c r="AC41" s="43">
        <f>IF(AC$1,SUMIFS('BalSht Data'!$H$2:$H$2050,'BalSht Data'!$G$2:$G$2050,$A41,'BalSht Data'!$A$2:$A$2050,AC$1),#N/A)</f>
        <v>0</v>
      </c>
      <c r="AD41" s="43">
        <f>IF(AD$1,SUMIFS('BalSht Data'!$H$2:$H$2050,'BalSht Data'!$G$2:$G$2050,$A41,'BalSht Data'!$A$2:$A$2050,AD$1),#N/A)</f>
        <v>0</v>
      </c>
      <c r="AE41" s="43">
        <f>IF(AE$1,SUMIFS('BalSht Data'!$H$2:$H$2050,'BalSht Data'!$G$2:$G$2050,$A41,'BalSht Data'!$A$2:$A$2050,AE$1),#N/A)</f>
        <v>0</v>
      </c>
      <c r="AF41" s="43">
        <f>IF(AF$1,SUMIFS('BalSht Data'!$H$2:$H$2050,'BalSht Data'!$G$2:$G$2050,$A41,'BalSht Data'!$A$2:$A$2050,AF$1),#N/A)</f>
        <v>0</v>
      </c>
      <c r="AG41" s="43">
        <f>IF(AG$1,SUMIFS('BalSht Data'!$H$2:$H$2050,'BalSht Data'!$G$2:$G$2050,$A41,'BalSht Data'!$A$2:$A$2050,AG$1),#N/A)</f>
        <v>0</v>
      </c>
      <c r="AH41" s="43">
        <f>IF(AH$1,SUMIFS('BalSht Data'!$H$2:$H$2050,'BalSht Data'!$G$2:$G$2050,$A41,'BalSht Data'!$A$2:$A$2050,AH$1),#N/A)</f>
        <v>0</v>
      </c>
      <c r="AI41" s="43">
        <f>IF(AI$1,SUMIFS('BalSht Data'!$H$2:$H$2050,'BalSht Data'!$G$2:$G$2050,$A41,'BalSht Data'!$A$2:$A$2050,AI$1),#N/A)</f>
        <v>0</v>
      </c>
      <c r="AJ41" s="43">
        <f>IF(AJ$1,SUMIFS('BalSht Data'!$H$2:$H$2050,'BalSht Data'!$G$2:$G$2050,$A41,'BalSht Data'!$A$2:$A$2050,AJ$1),#N/A)</f>
        <v>0</v>
      </c>
      <c r="AK41" s="43" t="e">
        <f>IF(AK$1,SUMIFS('BalSht Data'!$H$2:$H$2050,'BalSht Data'!$G$2:$G$2050,$A41,'BalSht Data'!$A$2:$A$2050,AK$1),#N/A)</f>
        <v>#N/A</v>
      </c>
      <c r="AL41" s="43" t="e">
        <f>IF(AL$1,SUMIFS('BalSht Data'!$H$2:$H$2050,'BalSht Data'!$G$2:$G$2050,$A41,'BalSht Data'!$A$2:$A$2050,AL$1),#N/A)</f>
        <v>#N/A</v>
      </c>
      <c r="AM41" s="43" t="e">
        <f>IF(AM$1,SUMIFS('BalSht Data'!$H$2:$H$2050,'BalSht Data'!$G$2:$G$2050,$A41,'BalSht Data'!$A$2:$A$2050,AM$1),#N/A)</f>
        <v>#N/A</v>
      </c>
      <c r="AN41" s="43" t="e">
        <f>IF(AN$1,SUMIFS('BalSht Data'!$H$2:$H$2050,'BalSht Data'!$G$2:$G$2050,$A41,'BalSht Data'!$A$2:$A$2050,AN$1),#N/A)</f>
        <v>#N/A</v>
      </c>
      <c r="AO41" s="43" t="e">
        <f>IF(AO$1,SUMIFS('BalSht Data'!$H$2:$H$2050,'BalSht Data'!$G$2:$G$2050,$A41,'BalSht Data'!$A$2:$A$2050,AO$1),#N/A)</f>
        <v>#N/A</v>
      </c>
      <c r="AP41" s="43" t="e">
        <f>IF(AP$1,SUMIFS('BalSht Data'!$H$2:$H$2050,'BalSht Data'!$G$2:$G$2050,$A41,'BalSht Data'!$A$2:$A$2050,AP$1),#N/A)</f>
        <v>#N/A</v>
      </c>
      <c r="AQ41" s="43" t="e">
        <f>IF(AQ$1,SUMIFS('BalSht Data'!$H$2:$H$2050,'BalSht Data'!$G$2:$G$2050,$A41,'BalSht Data'!$A$2:$A$2050,AQ$1),#N/A)</f>
        <v>#N/A</v>
      </c>
      <c r="AR41" s="43" t="e">
        <f>IF(AR$1,SUMIFS('BalSht Data'!$H$2:$H$2050,'BalSht Data'!$G$2:$G$2050,$A41,'BalSht Data'!$A$2:$A$2050,AR$1),#N/A)</f>
        <v>#N/A</v>
      </c>
      <c r="AS41" s="43" t="e">
        <f>IF(AS$1,SUMIFS('BalSht Data'!$H$2:$H$2050,'BalSht Data'!$G$2:$G$2050,$A41,'BalSht Data'!$A$2:$A$2050,AS$1),#N/A)</f>
        <v>#N/A</v>
      </c>
      <c r="AT41" s="43" t="e">
        <f>IF(AT$1,SUMIFS('BalSht Data'!$H$2:$H$2050,'BalSht Data'!$G$2:$G$2050,$A41,'BalSht Data'!$A$2:$A$2050,AT$1),#N/A)</f>
        <v>#N/A</v>
      </c>
      <c r="AU41" s="43" t="e">
        <f>IF(AU$1,SUMIFS('BalSht Data'!$H$2:$H$2050,'BalSht Data'!$G$2:$G$2050,$A41,'BalSht Data'!$A$2:$A$2050,AU$1),#N/A)</f>
        <v>#N/A</v>
      </c>
      <c r="AV41" s="43" t="e">
        <f>IF(AV$1,SUMIFS('BalSht Data'!$H$2:$H$2050,'BalSht Data'!$G$2:$G$2050,$A41,'BalSht Data'!$A$2:$A$2050,AV$1),#N/A)</f>
        <v>#N/A</v>
      </c>
      <c r="AW41" s="43" t="e">
        <f>IF(AW$1,SUMIFS('BalSht Data'!$H$2:$H$2050,'BalSht Data'!$G$2:$G$2050,$A41,'BalSht Data'!$A$2:$A$2050,AW$1),#N/A)</f>
        <v>#N/A</v>
      </c>
      <c r="AX41" s="43" t="e">
        <f>IF(AX$1,SUMIFS('BalSht Data'!$H$2:$H$2050,'BalSht Data'!$G$2:$G$2050,$A41,'BalSht Data'!$A$2:$A$2050,AX$1),#N/A)</f>
        <v>#N/A</v>
      </c>
      <c r="AY41" s="43" t="e">
        <f>IF(AY$1,SUMIFS('BalSht Data'!$H$2:$H$2050,'BalSht Data'!$G$2:$G$2050,$A41,'BalSht Data'!$A$2:$A$2050,AY$1),#N/A)</f>
        <v>#N/A</v>
      </c>
      <c r="AZ41" s="43" t="e">
        <f>IF(AZ$1,SUMIFS('BalSht Data'!$H$2:$H$2050,'BalSht Data'!$G$2:$G$2050,$A41,'BalSht Data'!$A$2:$A$2050,AZ$1),#N/A)</f>
        <v>#N/A</v>
      </c>
      <c r="BA41" s="43" t="e">
        <f>IF(BA$1,SUMIFS('BalSht Data'!$H$2:$H$2050,'BalSht Data'!$G$2:$G$2050,$A41,'BalSht Data'!$A$2:$A$2050,BA$1),#N/A)</f>
        <v>#N/A</v>
      </c>
      <c r="BB41" s="43" t="e">
        <f>IF(BB$1,SUMIFS('BalSht Data'!$H$2:$H$2050,'BalSht Data'!$G$2:$G$2050,$A41,'BalSht Data'!$A$2:$A$2050,BB$1),#N/A)</f>
        <v>#N/A</v>
      </c>
      <c r="BC41" s="43" t="e">
        <f>IF(BC$1,SUMIFS('BalSht Data'!$H$2:$H$2050,'BalSht Data'!$G$2:$G$2050,$A41,'BalSht Data'!$A$2:$A$2050,BC$1),#N/A)</f>
        <v>#N/A</v>
      </c>
      <c r="BD41" s="43" t="e">
        <f>IF(BD$1,SUMIFS('BalSht Data'!$H$2:$H$2050,'BalSht Data'!$G$2:$G$2050,$A41,'BalSht Data'!$A$2:$A$2050,BD$1),#N/A)</f>
        <v>#N/A</v>
      </c>
      <c r="BE41" s="43" t="e">
        <f>IF(BE$1,SUMIFS('BalSht Data'!$H$2:$H$2050,'BalSht Data'!$G$2:$G$2050,$A41,'BalSht Data'!$A$2:$A$2050,BE$1),#N/A)</f>
        <v>#N/A</v>
      </c>
      <c r="BF41" s="43" t="e">
        <f>IF(BF$1,SUMIFS('BalSht Data'!$H$2:$H$2050,'BalSht Data'!$G$2:$G$2050,$A41,'BalSht Data'!$A$2:$A$2050,BF$1),#N/A)</f>
        <v>#N/A</v>
      </c>
      <c r="BG41" s="43" t="e">
        <f>IF(BG$1,SUMIFS('BalSht Data'!$H$2:$H$2050,'BalSht Data'!$G$2:$G$2050,$A41,'BalSht Data'!$A$2:$A$2050,BG$1),#N/A)</f>
        <v>#N/A</v>
      </c>
      <c r="BH41" s="43" t="e">
        <f>IF(BH$1,SUMIFS('BalSht Data'!$H$2:$H$2050,'BalSht Data'!$G$2:$G$2050,$A41,'BalSht Data'!$A$2:$A$2050,BH$1),#N/A)</f>
        <v>#N/A</v>
      </c>
      <c r="BI41" s="43" t="e">
        <f>IF(BI$1,SUMIFS('BalSht Data'!$H$2:$H$2050,'BalSht Data'!$G$2:$G$2050,$A41,'BalSht Data'!$A$2:$A$2050,BI$1),#N/A)</f>
        <v>#N/A</v>
      </c>
      <c r="BJ41" s="43" t="e">
        <f>IF(BJ$1,SUMIFS('BalSht Data'!$H$2:$H$2050,'BalSht Data'!$G$2:$G$2050,$A41,'BalSht Data'!$A$2:$A$2050,BJ$1),#N/A)</f>
        <v>#N/A</v>
      </c>
      <c r="BK41" s="43" t="e">
        <f>IF(BK$1,SUMIFS('BalSht Data'!$H$2:$H$2050,'BalSht Data'!$G$2:$G$2050,$A41,'BalSht Data'!$A$2:$A$2050,BK$1),#N/A)</f>
        <v>#N/A</v>
      </c>
      <c r="BL41" s="43" t="e">
        <f>IF(BL$1,SUMIFS('BalSht Data'!$H$2:$H$2050,'BalSht Data'!$G$2:$G$2050,$A41,'BalSht Data'!$A$2:$A$2050,BL$1),#N/A)</f>
        <v>#N/A</v>
      </c>
      <c r="BM41" s="43" t="e">
        <f>IF(BM$1,SUMIFS('BalSht Data'!$H$2:$H$2050,'BalSht Data'!$G$2:$G$2050,$A41,'BalSht Data'!$A$2:$A$2050,BM$1),#N/A)</f>
        <v>#N/A</v>
      </c>
      <c r="BN41" s="43" t="e">
        <f>IF(BN$1,SUMIFS('BalSht Data'!$H$2:$H$2050,'BalSht Data'!$G$2:$G$2050,$A41,'BalSht Data'!$A$2:$A$2050,BN$1),#N/A)</f>
        <v>#N/A</v>
      </c>
      <c r="BO41" s="43" t="e">
        <f>IF(BO$1,SUMIFS('BalSht Data'!$H$2:$H$2050,'BalSht Data'!$G$2:$G$2050,$A41,'BalSht Data'!$A$2:$A$2050,BO$1),#N/A)</f>
        <v>#N/A</v>
      </c>
      <c r="BP41" s="43" t="e">
        <f>IF(BP$1,SUMIFS('BalSht Data'!$H$2:$H$2050,'BalSht Data'!$G$2:$G$2050,$A41,'BalSht Data'!$A$2:$A$2050,BP$1),#N/A)</f>
        <v>#N/A</v>
      </c>
      <c r="BQ41" s="43" t="e">
        <f>IF(BQ$1,SUMIFS('BalSht Data'!$H$2:$H$2050,'BalSht Data'!$G$2:$G$2050,$A41,'BalSht Data'!$A$2:$A$2050,BQ$1),#N/A)</f>
        <v>#N/A</v>
      </c>
      <c r="BR41" s="43" t="e">
        <f>IF(BR$1,SUMIFS('BalSht Data'!$H$2:$H$2050,'BalSht Data'!$G$2:$G$2050,$A41,'BalSht Data'!$A$2:$A$2050,BR$1),#N/A)</f>
        <v>#N/A</v>
      </c>
      <c r="BS41" s="43" t="e">
        <f>IF(BS$1,SUMIFS('BalSht Data'!$H$2:$H$2050,'BalSht Data'!$G$2:$G$2050,$A41,'BalSht Data'!$A$2:$A$2050,BS$1),#N/A)</f>
        <v>#N/A</v>
      </c>
      <c r="BT41" s="43" t="e">
        <f>IF(BT$1,SUMIFS('BalSht Data'!$H$2:$H$2050,'BalSht Data'!$G$2:$G$2050,$A41,'BalSht Data'!$A$2:$A$2050,BT$1),#N/A)</f>
        <v>#N/A</v>
      </c>
      <c r="BU41" s="43" t="e">
        <f>IF(BU$1,SUMIFS('BalSht Data'!$H$2:$H$2050,'BalSht Data'!$G$2:$G$2050,$A41,'BalSht Data'!$A$2:$A$2050,BU$1),#N/A)</f>
        <v>#N/A</v>
      </c>
      <c r="BV41" s="43" t="e">
        <f>IF(BV$1,SUMIFS('BalSht Data'!$H$2:$H$2050,'BalSht Data'!$G$2:$G$2050,$A41,'BalSht Data'!$A$2:$A$2050,BV$1),#N/A)</f>
        <v>#N/A</v>
      </c>
      <c r="BW41" s="43" t="e">
        <f>IF(BW$1,SUMIFS('BalSht Data'!$H$2:$H$2050,'BalSht Data'!$G$2:$G$2050,$A41,'BalSht Data'!$A$2:$A$2050,BW$1),#N/A)</f>
        <v>#N/A</v>
      </c>
      <c r="BX41" s="43" t="e">
        <f>IF(BX$1,SUMIFS('BalSht Data'!$H$2:$H$2050,'BalSht Data'!$G$2:$G$2050,$A41,'BalSht Data'!$A$2:$A$2050,BX$1),#N/A)</f>
        <v>#N/A</v>
      </c>
      <c r="BY41" s="43" t="e">
        <f>IF(BY$1,SUMIFS('BalSht Data'!$H$2:$H$2050,'BalSht Data'!$G$2:$G$2050,$A41,'BalSht Data'!$A$2:$A$2050,BY$1),#N/A)</f>
        <v>#N/A</v>
      </c>
      <c r="BZ41" s="43" t="e">
        <f>IF(BZ$1,SUMIFS('BalSht Data'!$H$2:$H$2050,'BalSht Data'!$G$2:$G$2050,$A41,'BalSht Data'!$A$2:$A$2050,BZ$1),#N/A)</f>
        <v>#N/A</v>
      </c>
      <c r="CA41" s="43" t="e">
        <f>IF(CA$1,SUMIFS('BalSht Data'!$H$2:$H$2050,'BalSht Data'!$G$2:$G$2050,$A41,'BalSht Data'!$A$2:$A$2050,CA$1),#N/A)</f>
        <v>#N/A</v>
      </c>
      <c r="CB41" s="43" t="e">
        <f>IF(CB$1,SUMIFS('BalSht Data'!$H$2:$H$2050,'BalSht Data'!$G$2:$G$2050,$A41,'BalSht Data'!$A$2:$A$2050,CB$1),#N/A)</f>
        <v>#N/A</v>
      </c>
      <c r="CC41" s="43" t="e">
        <f>IF(CC$1,SUMIFS('BalSht Data'!$H$2:$H$2050,'BalSht Data'!$G$2:$G$2050,$A41,'BalSht Data'!$A$2:$A$2050,CC$1),#N/A)</f>
        <v>#N/A</v>
      </c>
      <c r="CD41" s="43" t="e">
        <f>IF(CD$1,SUMIFS('BalSht Data'!$H$2:$H$2050,'BalSht Data'!$G$2:$G$2050,$A41,'BalSht Data'!$A$2:$A$2050,CD$1),#N/A)</f>
        <v>#N/A</v>
      </c>
      <c r="CE41" s="43" t="e">
        <f>IF(CE$1,SUMIFS('BalSht Data'!$H$2:$H$2050,'BalSht Data'!$G$2:$G$2050,$A41,'BalSht Data'!$A$2:$A$2050,CE$1),#N/A)</f>
        <v>#N/A</v>
      </c>
      <c r="CF41" s="43" t="e">
        <f>IF(CF$1,SUMIFS('BalSht Data'!$H$2:$H$2050,'BalSht Data'!$G$2:$G$2050,$A41,'BalSht Data'!$A$2:$A$2050,CF$1),#N/A)</f>
        <v>#N/A</v>
      </c>
      <c r="CG41" s="43" t="e">
        <f>IF(CG$1,SUMIFS('BalSht Data'!$H$2:$H$2050,'BalSht Data'!$G$2:$G$2050,$A41,'BalSht Data'!$A$2:$A$2050,CG$1),#N/A)</f>
        <v>#N/A</v>
      </c>
      <c r="CH41" s="43" t="e">
        <f>IF(CH$1,SUMIFS('BalSht Data'!$H$2:$H$2050,'BalSht Data'!$G$2:$G$2050,$A41,'BalSht Data'!$A$2:$A$2050,CH$1),#N/A)</f>
        <v>#N/A</v>
      </c>
      <c r="CI41" s="43" t="e">
        <f>IF(CI$1,SUMIFS('BalSht Data'!$H$2:$H$2050,'BalSht Data'!$G$2:$G$2050,$A41,'BalSht Data'!$A$2:$A$2050,CI$1),#N/A)</f>
        <v>#N/A</v>
      </c>
      <c r="CJ41" s="43" t="e">
        <f>IF(CJ$1,SUMIFS('BalSht Data'!$H$2:$H$2050,'BalSht Data'!$G$2:$G$2050,$A41,'BalSht Data'!$A$2:$A$2050,CJ$1),#N/A)</f>
        <v>#N/A</v>
      </c>
      <c r="CK41" s="43" t="e">
        <f>IF(CK$1,SUMIFS('BalSht Data'!$H$2:$H$2050,'BalSht Data'!$G$2:$G$2050,$A41,'BalSht Data'!$A$2:$A$2050,CK$1),#N/A)</f>
        <v>#N/A</v>
      </c>
      <c r="CL41" s="43" t="e">
        <f>IF(CL$1,SUMIFS('BalSht Data'!$H$2:$H$2050,'BalSht Data'!$G$2:$G$2050,$A41,'BalSht Data'!$A$2:$A$2050,CL$1),#N/A)</f>
        <v>#N/A</v>
      </c>
      <c r="CM41" s="43" t="e">
        <f>IF(CM$1,SUMIFS('BalSht Data'!$H$2:$H$2050,'BalSht Data'!$G$2:$G$2050,$A41,'BalSht Data'!$A$2:$A$2050,CM$1),#N/A)</f>
        <v>#N/A</v>
      </c>
      <c r="CN41" s="43" t="e">
        <f>IF(CN$1,SUMIFS('BalSht Data'!$H$2:$H$2050,'BalSht Data'!$G$2:$G$2050,$A41,'BalSht Data'!$A$2:$A$2050,CN$1),#N/A)</f>
        <v>#N/A</v>
      </c>
      <c r="CO41" s="43" t="e">
        <f>IF(CO$1,SUMIFS('BalSht Data'!$H$2:$H$2050,'BalSht Data'!$G$2:$G$2050,$A41,'BalSht Data'!$A$2:$A$2050,CO$1),#N/A)</f>
        <v>#N/A</v>
      </c>
      <c r="CP41" s="43" t="e">
        <f>IF(CP$1,SUMIFS('BalSht Data'!$H$2:$H$2050,'BalSht Data'!$G$2:$G$2050,$A41,'BalSht Data'!$A$2:$A$2050,CP$1),#N/A)</f>
        <v>#N/A</v>
      </c>
      <c r="CQ41" s="43" t="e">
        <f>IF(CQ$1,SUMIFS('BalSht Data'!$H$2:$H$2050,'BalSht Data'!$G$2:$G$2050,$A41,'BalSht Data'!$A$2:$A$2050,CQ$1),#N/A)</f>
        <v>#N/A</v>
      </c>
      <c r="CR41" s="43" t="e">
        <f>IF(CR$1,SUMIFS('BalSht Data'!$H$2:$H$2050,'BalSht Data'!$G$2:$G$2050,$A41,'BalSht Data'!$A$2:$A$2050,CR$1),#N/A)</f>
        <v>#N/A</v>
      </c>
      <c r="CS41" s="43" t="e">
        <f>IF(CS$1,SUMIFS('BalSht Data'!$H$2:$H$2050,'BalSht Data'!$G$2:$G$2050,$A41,'BalSht Data'!$A$2:$A$2050,CS$1),#N/A)</f>
        <v>#N/A</v>
      </c>
      <c r="CT41" s="43" t="e">
        <f>IF(CT$1,SUMIFS('BalSht Data'!$H$2:$H$2050,'BalSht Data'!$G$2:$G$2050,$A41,'BalSht Data'!$A$2:$A$2050,CT$1),#N/A)</f>
        <v>#N/A</v>
      </c>
      <c r="CU41" s="43" t="e">
        <f>IF(CU$1,SUMIFS('BalSht Data'!$H$2:$H$2050,'BalSht Data'!$G$2:$G$2050,$A41,'BalSht Data'!$A$2:$A$2050,CU$1),#N/A)</f>
        <v>#N/A</v>
      </c>
      <c r="CV41" s="43" t="e">
        <f>IF(CV$1,SUMIFS('BalSht Data'!$H$2:$H$2050,'BalSht Data'!$G$2:$G$2050,$A41,'BalSht Data'!$A$2:$A$2050,CV$1),#N/A)</f>
        <v>#N/A</v>
      </c>
      <c r="CW41" s="43" t="e">
        <f>IF(CW$1,SUMIFS('BalSht Data'!$H$2:$H$2050,'BalSht Data'!$G$2:$G$2050,$A41,'BalSht Data'!$A$2:$A$2050,CW$1),#N/A)</f>
        <v>#N/A</v>
      </c>
      <c r="CX41" s="43" t="e">
        <f>IF(CX$1,SUMIFS('BalSht Data'!$H$2:$H$2050,'BalSht Data'!$G$2:$G$2050,$A41,'BalSht Data'!$A$2:$A$2050,CX$1),#N/A)</f>
        <v>#N/A</v>
      </c>
      <c r="CY41" s="43" t="e">
        <f>IF(CY$1,SUMIFS('BalSht Data'!$H$2:$H$2050,'BalSht Data'!$G$2:$G$2050,$A41,'BalSht Data'!$A$2:$A$2050,CY$1),#N/A)</f>
        <v>#N/A</v>
      </c>
      <c r="CZ41" s="43" t="e">
        <f>IF(CZ$1,SUMIFS('BalSht Data'!$H$2:$H$2050,'BalSht Data'!$G$2:$G$2050,$A41,'BalSht Data'!$A$2:$A$2050,CZ$1),#N/A)</f>
        <v>#N/A</v>
      </c>
      <c r="DA41" s="43">
        <f>SUM(B41:AJ41)</f>
        <v>0</v>
      </c>
    </row>
    <row r="42" spans="1:105" s="40" customFormat="1" x14ac:dyDescent="0.2">
      <c r="A42" s="53" t="s">
        <v>157</v>
      </c>
      <c r="B42" s="43">
        <f>IF(B$1,SUMIFS('BalSht Data'!$H$2:$H$2050,'BalSht Data'!$G$2:$G$2050,$A42,'BalSht Data'!$A$2:$A$2050,B$1),#N/A)</f>
        <v>0</v>
      </c>
      <c r="C42" s="43">
        <f>IF(C$1,SUMIFS('BalSht Data'!$H$2:$H$2050,'BalSht Data'!$G$2:$G$2050,$A42,'BalSht Data'!$A$2:$A$2050,C$1),#N/A)</f>
        <v>0</v>
      </c>
      <c r="D42" s="43">
        <f>IF(D$1,SUMIFS('BalSht Data'!$H$2:$H$2050,'BalSht Data'!$G$2:$G$2050,$A42,'BalSht Data'!$A$2:$A$2050,D$1),#N/A)</f>
        <v>0</v>
      </c>
      <c r="E42" s="43">
        <f>IF(E$1,SUMIFS('BalSht Data'!$H$2:$H$2050,'BalSht Data'!$G$2:$G$2050,$A42,'BalSht Data'!$A$2:$A$2050,E$1),#N/A)</f>
        <v>0</v>
      </c>
      <c r="F42" s="43">
        <f>IF(F$1,SUMIFS('BalSht Data'!$H$2:$H$2050,'BalSht Data'!$G$2:$G$2050,$A42,'BalSht Data'!$A$2:$A$2050,F$1),#N/A)</f>
        <v>0</v>
      </c>
      <c r="G42" s="43">
        <f>IF(G$1,SUMIFS('BalSht Data'!$H$2:$H$2050,'BalSht Data'!$G$2:$G$2050,$A42,'BalSht Data'!$A$2:$A$2050,G$1),#N/A)</f>
        <v>0</v>
      </c>
      <c r="H42" s="43">
        <f>IF(H$1,SUMIFS('BalSht Data'!$H$2:$H$2050,'BalSht Data'!$G$2:$G$2050,$A42,'BalSht Data'!$A$2:$A$2050,H$1),#N/A)</f>
        <v>0</v>
      </c>
      <c r="I42" s="43">
        <f>IF(I$1,SUMIFS('BalSht Data'!$H$2:$H$2050,'BalSht Data'!$G$2:$G$2050,$A42,'BalSht Data'!$A$2:$A$2050,I$1),#N/A)</f>
        <v>0</v>
      </c>
      <c r="J42" s="43">
        <f>IF(J$1,SUMIFS('BalSht Data'!$H$2:$H$2050,'BalSht Data'!$G$2:$G$2050,$A42,'BalSht Data'!$A$2:$A$2050,J$1),#N/A)</f>
        <v>0</v>
      </c>
      <c r="K42" s="43">
        <f>IF(K$1,SUMIFS('BalSht Data'!$H$2:$H$2050,'BalSht Data'!$G$2:$G$2050,$A42,'BalSht Data'!$A$2:$A$2050,K$1),#N/A)</f>
        <v>0</v>
      </c>
      <c r="L42" s="43">
        <f>IF(L$1,SUMIFS('BalSht Data'!$H$2:$H$2050,'BalSht Data'!$G$2:$G$2050,$A42,'BalSht Data'!$A$2:$A$2050,L$1),#N/A)</f>
        <v>0</v>
      </c>
      <c r="M42" s="43">
        <f>IF(M$1,SUMIFS('BalSht Data'!$H$2:$H$2050,'BalSht Data'!$G$2:$G$2050,$A42,'BalSht Data'!$A$2:$A$2050,M$1),#N/A)</f>
        <v>0</v>
      </c>
      <c r="N42" s="43">
        <f>IF(N$1,SUMIFS('BalSht Data'!$H$2:$H$2050,'BalSht Data'!$G$2:$G$2050,$A42,'BalSht Data'!$A$2:$A$2050,N$1),#N/A)</f>
        <v>0</v>
      </c>
      <c r="O42" s="43">
        <f>IF(O$1,SUMIFS('BalSht Data'!$H$2:$H$2050,'BalSht Data'!$G$2:$G$2050,$A42,'BalSht Data'!$A$2:$A$2050,O$1),#N/A)</f>
        <v>0</v>
      </c>
      <c r="P42" s="43">
        <f>IF(P$1,SUMIFS('BalSht Data'!$H$2:$H$2050,'BalSht Data'!$G$2:$G$2050,$A42,'BalSht Data'!$A$2:$A$2050,P$1),#N/A)</f>
        <v>0</v>
      </c>
      <c r="Q42" s="43">
        <f>IF(Q$1,SUMIFS('BalSht Data'!$H$2:$H$2050,'BalSht Data'!$G$2:$G$2050,$A42,'BalSht Data'!$A$2:$A$2050,Q$1),#N/A)</f>
        <v>0</v>
      </c>
      <c r="R42" s="43">
        <f>IF(R$1,SUMIFS('BalSht Data'!$H$2:$H$2050,'BalSht Data'!$G$2:$G$2050,$A42,'BalSht Data'!$A$2:$A$2050,R$1),#N/A)</f>
        <v>0</v>
      </c>
      <c r="S42" s="43">
        <f>IF(S$1,SUMIFS('BalSht Data'!$H$2:$H$2050,'BalSht Data'!$G$2:$G$2050,$A42,'BalSht Data'!$A$2:$A$2050,S$1),#N/A)</f>
        <v>0</v>
      </c>
      <c r="T42" s="43">
        <f>IF(T$1,SUMIFS('BalSht Data'!$H$2:$H$2050,'BalSht Data'!$G$2:$G$2050,$A42,'BalSht Data'!$A$2:$A$2050,T$1),#N/A)</f>
        <v>0</v>
      </c>
      <c r="U42" s="43">
        <f>IF(U$1,SUMIFS('BalSht Data'!$H$2:$H$2050,'BalSht Data'!$G$2:$G$2050,$A42,'BalSht Data'!$A$2:$A$2050,U$1),#N/A)</f>
        <v>0</v>
      </c>
      <c r="V42" s="43">
        <f>IF(V$1,SUMIFS('BalSht Data'!$H$2:$H$2050,'BalSht Data'!$G$2:$G$2050,$A42,'BalSht Data'!$A$2:$A$2050,V$1),#N/A)</f>
        <v>0</v>
      </c>
      <c r="W42" s="43">
        <f>IF(W$1,SUMIFS('BalSht Data'!$H$2:$H$2050,'BalSht Data'!$G$2:$G$2050,$A42,'BalSht Data'!$A$2:$A$2050,W$1),#N/A)</f>
        <v>0</v>
      </c>
      <c r="X42" s="43">
        <f>IF(X$1,SUMIFS('BalSht Data'!$H$2:$H$2050,'BalSht Data'!$G$2:$G$2050,$A42,'BalSht Data'!$A$2:$A$2050,X$1),#N/A)</f>
        <v>0</v>
      </c>
      <c r="Y42" s="43">
        <f>IF(Y$1,SUMIFS('BalSht Data'!$H$2:$H$2050,'BalSht Data'!$G$2:$G$2050,$A42,'BalSht Data'!$A$2:$A$2050,Y$1),#N/A)</f>
        <v>0</v>
      </c>
      <c r="Z42" s="43">
        <f>IF(Z$1,SUMIFS('BalSht Data'!$H$2:$H$2050,'BalSht Data'!$G$2:$G$2050,$A42,'BalSht Data'!$A$2:$A$2050,Z$1),#N/A)</f>
        <v>0</v>
      </c>
      <c r="AA42" s="43">
        <f>IF(AA$1,SUMIFS('BalSht Data'!$H$2:$H$2050,'BalSht Data'!$G$2:$G$2050,$A42,'BalSht Data'!$A$2:$A$2050,AA$1),#N/A)</f>
        <v>0</v>
      </c>
      <c r="AB42" s="43">
        <f>IF(AB$1,SUMIFS('BalSht Data'!$H$2:$H$2050,'BalSht Data'!$G$2:$G$2050,$A42,'BalSht Data'!$A$2:$A$2050,AB$1),#N/A)</f>
        <v>0</v>
      </c>
      <c r="AC42" s="43">
        <f>IF(AC$1,SUMIFS('BalSht Data'!$H$2:$H$2050,'BalSht Data'!$G$2:$G$2050,$A42,'BalSht Data'!$A$2:$A$2050,AC$1),#N/A)</f>
        <v>0</v>
      </c>
      <c r="AD42" s="43">
        <f>IF(AD$1,SUMIFS('BalSht Data'!$H$2:$H$2050,'BalSht Data'!$G$2:$G$2050,$A42,'BalSht Data'!$A$2:$A$2050,AD$1),#N/A)</f>
        <v>0</v>
      </c>
      <c r="AE42" s="43">
        <f>IF(AE$1,SUMIFS('BalSht Data'!$H$2:$H$2050,'BalSht Data'!$G$2:$G$2050,$A42,'BalSht Data'!$A$2:$A$2050,AE$1),#N/A)</f>
        <v>0</v>
      </c>
      <c r="AF42" s="43">
        <f>IF(AF$1,SUMIFS('BalSht Data'!$H$2:$H$2050,'BalSht Data'!$G$2:$G$2050,$A42,'BalSht Data'!$A$2:$A$2050,AF$1),#N/A)</f>
        <v>0</v>
      </c>
      <c r="AG42" s="43">
        <f>IF(AG$1,SUMIFS('BalSht Data'!$H$2:$H$2050,'BalSht Data'!$G$2:$G$2050,$A42,'BalSht Data'!$A$2:$A$2050,AG$1),#N/A)</f>
        <v>0</v>
      </c>
      <c r="AH42" s="43">
        <f>IF(AH$1,SUMIFS('BalSht Data'!$H$2:$H$2050,'BalSht Data'!$G$2:$G$2050,$A42,'BalSht Data'!$A$2:$A$2050,AH$1),#N/A)</f>
        <v>0</v>
      </c>
      <c r="AI42" s="43">
        <f>IF(AI$1,SUMIFS('BalSht Data'!$H$2:$H$2050,'BalSht Data'!$G$2:$G$2050,$A42,'BalSht Data'!$A$2:$A$2050,AI$1),#N/A)</f>
        <v>0</v>
      </c>
      <c r="AJ42" s="43">
        <f>IF(AJ$1,SUMIFS('BalSht Data'!$H$2:$H$2050,'BalSht Data'!$G$2:$G$2050,$A42,'BalSht Data'!$A$2:$A$2050,AJ$1),#N/A)</f>
        <v>0</v>
      </c>
      <c r="AK42" s="43" t="e">
        <f>IF(AK$1,SUMIFS('BalSht Data'!$H$2:$H$2050,'BalSht Data'!$G$2:$G$2050,$A42,'BalSht Data'!$A$2:$A$2050,AK$1),#N/A)</f>
        <v>#N/A</v>
      </c>
      <c r="AL42" s="43" t="e">
        <f>IF(AL$1,SUMIFS('BalSht Data'!$H$2:$H$2050,'BalSht Data'!$G$2:$G$2050,$A42,'BalSht Data'!$A$2:$A$2050,AL$1),#N/A)</f>
        <v>#N/A</v>
      </c>
      <c r="AM42" s="43" t="e">
        <f>IF(AM$1,SUMIFS('BalSht Data'!$H$2:$H$2050,'BalSht Data'!$G$2:$G$2050,$A42,'BalSht Data'!$A$2:$A$2050,AM$1),#N/A)</f>
        <v>#N/A</v>
      </c>
      <c r="AN42" s="43" t="e">
        <f>IF(AN$1,SUMIFS('BalSht Data'!$H$2:$H$2050,'BalSht Data'!$G$2:$G$2050,$A42,'BalSht Data'!$A$2:$A$2050,AN$1),#N/A)</f>
        <v>#N/A</v>
      </c>
      <c r="AO42" s="43" t="e">
        <f>IF(AO$1,SUMIFS('BalSht Data'!$H$2:$H$2050,'BalSht Data'!$G$2:$G$2050,$A42,'BalSht Data'!$A$2:$A$2050,AO$1),#N/A)</f>
        <v>#N/A</v>
      </c>
      <c r="AP42" s="43" t="e">
        <f>IF(AP$1,SUMIFS('BalSht Data'!$H$2:$H$2050,'BalSht Data'!$G$2:$G$2050,$A42,'BalSht Data'!$A$2:$A$2050,AP$1),#N/A)</f>
        <v>#N/A</v>
      </c>
      <c r="AQ42" s="43" t="e">
        <f>IF(AQ$1,SUMIFS('BalSht Data'!$H$2:$H$2050,'BalSht Data'!$G$2:$G$2050,$A42,'BalSht Data'!$A$2:$A$2050,AQ$1),#N/A)</f>
        <v>#N/A</v>
      </c>
      <c r="AR42" s="43" t="e">
        <f>IF(AR$1,SUMIFS('BalSht Data'!$H$2:$H$2050,'BalSht Data'!$G$2:$G$2050,$A42,'BalSht Data'!$A$2:$A$2050,AR$1),#N/A)</f>
        <v>#N/A</v>
      </c>
      <c r="AS42" s="43" t="e">
        <f>IF(AS$1,SUMIFS('BalSht Data'!$H$2:$H$2050,'BalSht Data'!$G$2:$G$2050,$A42,'BalSht Data'!$A$2:$A$2050,AS$1),#N/A)</f>
        <v>#N/A</v>
      </c>
      <c r="AT42" s="43" t="e">
        <f>IF(AT$1,SUMIFS('BalSht Data'!$H$2:$H$2050,'BalSht Data'!$G$2:$G$2050,$A42,'BalSht Data'!$A$2:$A$2050,AT$1),#N/A)</f>
        <v>#N/A</v>
      </c>
      <c r="AU42" s="43" t="e">
        <f>IF(AU$1,SUMIFS('BalSht Data'!$H$2:$H$2050,'BalSht Data'!$G$2:$G$2050,$A42,'BalSht Data'!$A$2:$A$2050,AU$1),#N/A)</f>
        <v>#N/A</v>
      </c>
      <c r="AV42" s="43" t="e">
        <f>IF(AV$1,SUMIFS('BalSht Data'!$H$2:$H$2050,'BalSht Data'!$G$2:$G$2050,$A42,'BalSht Data'!$A$2:$A$2050,AV$1),#N/A)</f>
        <v>#N/A</v>
      </c>
      <c r="AW42" s="43" t="e">
        <f>IF(AW$1,SUMIFS('BalSht Data'!$H$2:$H$2050,'BalSht Data'!$G$2:$G$2050,$A42,'BalSht Data'!$A$2:$A$2050,AW$1),#N/A)</f>
        <v>#N/A</v>
      </c>
      <c r="AX42" s="43" t="e">
        <f>IF(AX$1,SUMIFS('BalSht Data'!$H$2:$H$2050,'BalSht Data'!$G$2:$G$2050,$A42,'BalSht Data'!$A$2:$A$2050,AX$1),#N/A)</f>
        <v>#N/A</v>
      </c>
      <c r="AY42" s="43" t="e">
        <f>IF(AY$1,SUMIFS('BalSht Data'!$H$2:$H$2050,'BalSht Data'!$G$2:$G$2050,$A42,'BalSht Data'!$A$2:$A$2050,AY$1),#N/A)</f>
        <v>#N/A</v>
      </c>
      <c r="AZ42" s="43" t="e">
        <f>IF(AZ$1,SUMIFS('BalSht Data'!$H$2:$H$2050,'BalSht Data'!$G$2:$G$2050,$A42,'BalSht Data'!$A$2:$A$2050,AZ$1),#N/A)</f>
        <v>#N/A</v>
      </c>
      <c r="BA42" s="43" t="e">
        <f>IF(BA$1,SUMIFS('BalSht Data'!$H$2:$H$2050,'BalSht Data'!$G$2:$G$2050,$A42,'BalSht Data'!$A$2:$A$2050,BA$1),#N/A)</f>
        <v>#N/A</v>
      </c>
      <c r="BB42" s="43" t="e">
        <f>IF(BB$1,SUMIFS('BalSht Data'!$H$2:$H$2050,'BalSht Data'!$G$2:$G$2050,$A42,'BalSht Data'!$A$2:$A$2050,BB$1),#N/A)</f>
        <v>#N/A</v>
      </c>
      <c r="BC42" s="43" t="e">
        <f>IF(BC$1,SUMIFS('BalSht Data'!$H$2:$H$2050,'BalSht Data'!$G$2:$G$2050,$A42,'BalSht Data'!$A$2:$A$2050,BC$1),#N/A)</f>
        <v>#N/A</v>
      </c>
      <c r="BD42" s="43" t="e">
        <f>IF(BD$1,SUMIFS('BalSht Data'!$H$2:$H$2050,'BalSht Data'!$G$2:$G$2050,$A42,'BalSht Data'!$A$2:$A$2050,BD$1),#N/A)</f>
        <v>#N/A</v>
      </c>
      <c r="BE42" s="43" t="e">
        <f>IF(BE$1,SUMIFS('BalSht Data'!$H$2:$H$2050,'BalSht Data'!$G$2:$G$2050,$A42,'BalSht Data'!$A$2:$A$2050,BE$1),#N/A)</f>
        <v>#N/A</v>
      </c>
      <c r="BF42" s="43" t="e">
        <f>IF(BF$1,SUMIFS('BalSht Data'!$H$2:$H$2050,'BalSht Data'!$G$2:$G$2050,$A42,'BalSht Data'!$A$2:$A$2050,BF$1),#N/A)</f>
        <v>#N/A</v>
      </c>
      <c r="BG42" s="43" t="e">
        <f>IF(BG$1,SUMIFS('BalSht Data'!$H$2:$H$2050,'BalSht Data'!$G$2:$G$2050,$A42,'BalSht Data'!$A$2:$A$2050,BG$1),#N/A)</f>
        <v>#N/A</v>
      </c>
      <c r="BH42" s="43" t="e">
        <f>IF(BH$1,SUMIFS('BalSht Data'!$H$2:$H$2050,'BalSht Data'!$G$2:$G$2050,$A42,'BalSht Data'!$A$2:$A$2050,BH$1),#N/A)</f>
        <v>#N/A</v>
      </c>
      <c r="BI42" s="43" t="e">
        <f>IF(BI$1,SUMIFS('BalSht Data'!$H$2:$H$2050,'BalSht Data'!$G$2:$G$2050,$A42,'BalSht Data'!$A$2:$A$2050,BI$1),#N/A)</f>
        <v>#N/A</v>
      </c>
      <c r="BJ42" s="43" t="e">
        <f>IF(BJ$1,SUMIFS('BalSht Data'!$H$2:$H$2050,'BalSht Data'!$G$2:$G$2050,$A42,'BalSht Data'!$A$2:$A$2050,BJ$1),#N/A)</f>
        <v>#N/A</v>
      </c>
      <c r="BK42" s="43" t="e">
        <f>IF(BK$1,SUMIFS('BalSht Data'!$H$2:$H$2050,'BalSht Data'!$G$2:$G$2050,$A42,'BalSht Data'!$A$2:$A$2050,BK$1),#N/A)</f>
        <v>#N/A</v>
      </c>
      <c r="BL42" s="43" t="e">
        <f>IF(BL$1,SUMIFS('BalSht Data'!$H$2:$H$2050,'BalSht Data'!$G$2:$G$2050,$A42,'BalSht Data'!$A$2:$A$2050,BL$1),#N/A)</f>
        <v>#N/A</v>
      </c>
      <c r="BM42" s="43" t="e">
        <f>IF(BM$1,SUMIFS('BalSht Data'!$H$2:$H$2050,'BalSht Data'!$G$2:$G$2050,$A42,'BalSht Data'!$A$2:$A$2050,BM$1),#N/A)</f>
        <v>#N/A</v>
      </c>
      <c r="BN42" s="43" t="e">
        <f>IF(BN$1,SUMIFS('BalSht Data'!$H$2:$H$2050,'BalSht Data'!$G$2:$G$2050,$A42,'BalSht Data'!$A$2:$A$2050,BN$1),#N/A)</f>
        <v>#N/A</v>
      </c>
      <c r="BO42" s="43" t="e">
        <f>IF(BO$1,SUMIFS('BalSht Data'!$H$2:$H$2050,'BalSht Data'!$G$2:$G$2050,$A42,'BalSht Data'!$A$2:$A$2050,BO$1),#N/A)</f>
        <v>#N/A</v>
      </c>
      <c r="BP42" s="43" t="e">
        <f>IF(BP$1,SUMIFS('BalSht Data'!$H$2:$H$2050,'BalSht Data'!$G$2:$G$2050,$A42,'BalSht Data'!$A$2:$A$2050,BP$1),#N/A)</f>
        <v>#N/A</v>
      </c>
      <c r="BQ42" s="43" t="e">
        <f>IF(BQ$1,SUMIFS('BalSht Data'!$H$2:$H$2050,'BalSht Data'!$G$2:$G$2050,$A42,'BalSht Data'!$A$2:$A$2050,BQ$1),#N/A)</f>
        <v>#N/A</v>
      </c>
      <c r="BR42" s="43" t="e">
        <f>IF(BR$1,SUMIFS('BalSht Data'!$H$2:$H$2050,'BalSht Data'!$G$2:$G$2050,$A42,'BalSht Data'!$A$2:$A$2050,BR$1),#N/A)</f>
        <v>#N/A</v>
      </c>
      <c r="BS42" s="43" t="e">
        <f>IF(BS$1,SUMIFS('BalSht Data'!$H$2:$H$2050,'BalSht Data'!$G$2:$G$2050,$A42,'BalSht Data'!$A$2:$A$2050,BS$1),#N/A)</f>
        <v>#N/A</v>
      </c>
      <c r="BT42" s="43" t="e">
        <f>IF(BT$1,SUMIFS('BalSht Data'!$H$2:$H$2050,'BalSht Data'!$G$2:$G$2050,$A42,'BalSht Data'!$A$2:$A$2050,BT$1),#N/A)</f>
        <v>#N/A</v>
      </c>
      <c r="BU42" s="43" t="e">
        <f>IF(BU$1,SUMIFS('BalSht Data'!$H$2:$H$2050,'BalSht Data'!$G$2:$G$2050,$A42,'BalSht Data'!$A$2:$A$2050,BU$1),#N/A)</f>
        <v>#N/A</v>
      </c>
      <c r="BV42" s="43" t="e">
        <f>IF(BV$1,SUMIFS('BalSht Data'!$H$2:$H$2050,'BalSht Data'!$G$2:$G$2050,$A42,'BalSht Data'!$A$2:$A$2050,BV$1),#N/A)</f>
        <v>#N/A</v>
      </c>
      <c r="BW42" s="43" t="e">
        <f>IF(BW$1,SUMIFS('BalSht Data'!$H$2:$H$2050,'BalSht Data'!$G$2:$G$2050,$A42,'BalSht Data'!$A$2:$A$2050,BW$1),#N/A)</f>
        <v>#N/A</v>
      </c>
      <c r="BX42" s="43" t="e">
        <f>IF(BX$1,SUMIFS('BalSht Data'!$H$2:$H$2050,'BalSht Data'!$G$2:$G$2050,$A42,'BalSht Data'!$A$2:$A$2050,BX$1),#N/A)</f>
        <v>#N/A</v>
      </c>
      <c r="BY42" s="43" t="e">
        <f>IF(BY$1,SUMIFS('BalSht Data'!$H$2:$H$2050,'BalSht Data'!$G$2:$G$2050,$A42,'BalSht Data'!$A$2:$A$2050,BY$1),#N/A)</f>
        <v>#N/A</v>
      </c>
      <c r="BZ42" s="43" t="e">
        <f>IF(BZ$1,SUMIFS('BalSht Data'!$H$2:$H$2050,'BalSht Data'!$G$2:$G$2050,$A42,'BalSht Data'!$A$2:$A$2050,BZ$1),#N/A)</f>
        <v>#N/A</v>
      </c>
      <c r="CA42" s="43" t="e">
        <f>IF(CA$1,SUMIFS('BalSht Data'!$H$2:$H$2050,'BalSht Data'!$G$2:$G$2050,$A42,'BalSht Data'!$A$2:$A$2050,CA$1),#N/A)</f>
        <v>#N/A</v>
      </c>
      <c r="CB42" s="43" t="e">
        <f>IF(CB$1,SUMIFS('BalSht Data'!$H$2:$H$2050,'BalSht Data'!$G$2:$G$2050,$A42,'BalSht Data'!$A$2:$A$2050,CB$1),#N/A)</f>
        <v>#N/A</v>
      </c>
      <c r="CC42" s="43" t="e">
        <f>IF(CC$1,SUMIFS('BalSht Data'!$H$2:$H$2050,'BalSht Data'!$G$2:$G$2050,$A42,'BalSht Data'!$A$2:$A$2050,CC$1),#N/A)</f>
        <v>#N/A</v>
      </c>
      <c r="CD42" s="43" t="e">
        <f>IF(CD$1,SUMIFS('BalSht Data'!$H$2:$H$2050,'BalSht Data'!$G$2:$G$2050,$A42,'BalSht Data'!$A$2:$A$2050,CD$1),#N/A)</f>
        <v>#N/A</v>
      </c>
      <c r="CE42" s="43" t="e">
        <f>IF(CE$1,SUMIFS('BalSht Data'!$H$2:$H$2050,'BalSht Data'!$G$2:$G$2050,$A42,'BalSht Data'!$A$2:$A$2050,CE$1),#N/A)</f>
        <v>#N/A</v>
      </c>
      <c r="CF42" s="43" t="e">
        <f>IF(CF$1,SUMIFS('BalSht Data'!$H$2:$H$2050,'BalSht Data'!$G$2:$G$2050,$A42,'BalSht Data'!$A$2:$A$2050,CF$1),#N/A)</f>
        <v>#N/A</v>
      </c>
      <c r="CG42" s="43" t="e">
        <f>IF(CG$1,SUMIFS('BalSht Data'!$H$2:$H$2050,'BalSht Data'!$G$2:$G$2050,$A42,'BalSht Data'!$A$2:$A$2050,CG$1),#N/A)</f>
        <v>#N/A</v>
      </c>
      <c r="CH42" s="43" t="e">
        <f>IF(CH$1,SUMIFS('BalSht Data'!$H$2:$H$2050,'BalSht Data'!$G$2:$G$2050,$A42,'BalSht Data'!$A$2:$A$2050,CH$1),#N/A)</f>
        <v>#N/A</v>
      </c>
      <c r="CI42" s="43" t="e">
        <f>IF(CI$1,SUMIFS('BalSht Data'!$H$2:$H$2050,'BalSht Data'!$G$2:$G$2050,$A42,'BalSht Data'!$A$2:$A$2050,CI$1),#N/A)</f>
        <v>#N/A</v>
      </c>
      <c r="CJ42" s="43" t="e">
        <f>IF(CJ$1,SUMIFS('BalSht Data'!$H$2:$H$2050,'BalSht Data'!$G$2:$G$2050,$A42,'BalSht Data'!$A$2:$A$2050,CJ$1),#N/A)</f>
        <v>#N/A</v>
      </c>
      <c r="CK42" s="43" t="e">
        <f>IF(CK$1,SUMIFS('BalSht Data'!$H$2:$H$2050,'BalSht Data'!$G$2:$G$2050,$A42,'BalSht Data'!$A$2:$A$2050,CK$1),#N/A)</f>
        <v>#N/A</v>
      </c>
      <c r="CL42" s="43" t="e">
        <f>IF(CL$1,SUMIFS('BalSht Data'!$H$2:$H$2050,'BalSht Data'!$G$2:$G$2050,$A42,'BalSht Data'!$A$2:$A$2050,CL$1),#N/A)</f>
        <v>#N/A</v>
      </c>
      <c r="CM42" s="43" t="e">
        <f>IF(CM$1,SUMIFS('BalSht Data'!$H$2:$H$2050,'BalSht Data'!$G$2:$G$2050,$A42,'BalSht Data'!$A$2:$A$2050,CM$1),#N/A)</f>
        <v>#N/A</v>
      </c>
      <c r="CN42" s="43" t="e">
        <f>IF(CN$1,SUMIFS('BalSht Data'!$H$2:$H$2050,'BalSht Data'!$G$2:$G$2050,$A42,'BalSht Data'!$A$2:$A$2050,CN$1),#N/A)</f>
        <v>#N/A</v>
      </c>
      <c r="CO42" s="43" t="e">
        <f>IF(CO$1,SUMIFS('BalSht Data'!$H$2:$H$2050,'BalSht Data'!$G$2:$G$2050,$A42,'BalSht Data'!$A$2:$A$2050,CO$1),#N/A)</f>
        <v>#N/A</v>
      </c>
      <c r="CP42" s="43" t="e">
        <f>IF(CP$1,SUMIFS('BalSht Data'!$H$2:$H$2050,'BalSht Data'!$G$2:$G$2050,$A42,'BalSht Data'!$A$2:$A$2050,CP$1),#N/A)</f>
        <v>#N/A</v>
      </c>
      <c r="CQ42" s="43" t="e">
        <f>IF(CQ$1,SUMIFS('BalSht Data'!$H$2:$H$2050,'BalSht Data'!$G$2:$G$2050,$A42,'BalSht Data'!$A$2:$A$2050,CQ$1),#N/A)</f>
        <v>#N/A</v>
      </c>
      <c r="CR42" s="43" t="e">
        <f>IF(CR$1,SUMIFS('BalSht Data'!$H$2:$H$2050,'BalSht Data'!$G$2:$G$2050,$A42,'BalSht Data'!$A$2:$A$2050,CR$1),#N/A)</f>
        <v>#N/A</v>
      </c>
      <c r="CS42" s="43" t="e">
        <f>IF(CS$1,SUMIFS('BalSht Data'!$H$2:$H$2050,'BalSht Data'!$G$2:$G$2050,$A42,'BalSht Data'!$A$2:$A$2050,CS$1),#N/A)</f>
        <v>#N/A</v>
      </c>
      <c r="CT42" s="43" t="e">
        <f>IF(CT$1,SUMIFS('BalSht Data'!$H$2:$H$2050,'BalSht Data'!$G$2:$G$2050,$A42,'BalSht Data'!$A$2:$A$2050,CT$1),#N/A)</f>
        <v>#N/A</v>
      </c>
      <c r="CU42" s="43" t="e">
        <f>IF(CU$1,SUMIFS('BalSht Data'!$H$2:$H$2050,'BalSht Data'!$G$2:$G$2050,$A42,'BalSht Data'!$A$2:$A$2050,CU$1),#N/A)</f>
        <v>#N/A</v>
      </c>
      <c r="CV42" s="43" t="e">
        <f>IF(CV$1,SUMIFS('BalSht Data'!$H$2:$H$2050,'BalSht Data'!$G$2:$G$2050,$A42,'BalSht Data'!$A$2:$A$2050,CV$1),#N/A)</f>
        <v>#N/A</v>
      </c>
      <c r="CW42" s="43" t="e">
        <f>IF(CW$1,SUMIFS('BalSht Data'!$H$2:$H$2050,'BalSht Data'!$G$2:$G$2050,$A42,'BalSht Data'!$A$2:$A$2050,CW$1),#N/A)</f>
        <v>#N/A</v>
      </c>
      <c r="CX42" s="43" t="e">
        <f>IF(CX$1,SUMIFS('BalSht Data'!$H$2:$H$2050,'BalSht Data'!$G$2:$G$2050,$A42,'BalSht Data'!$A$2:$A$2050,CX$1),#N/A)</f>
        <v>#N/A</v>
      </c>
      <c r="CY42" s="43" t="e">
        <f>IF(CY$1,SUMIFS('BalSht Data'!$H$2:$H$2050,'BalSht Data'!$G$2:$G$2050,$A42,'BalSht Data'!$A$2:$A$2050,CY$1),#N/A)</f>
        <v>#N/A</v>
      </c>
      <c r="CZ42" s="43" t="e">
        <f>IF(CZ$1,SUMIFS('BalSht Data'!$H$2:$H$2050,'BalSht Data'!$G$2:$G$2050,$A42,'BalSht Data'!$A$2:$A$2050,CZ$1),#N/A)</f>
        <v>#N/A</v>
      </c>
      <c r="DA42" s="43">
        <f>SUM(B42:AJ42)</f>
        <v>0</v>
      </c>
    </row>
    <row r="43" spans="1:105" s="40" customFormat="1" x14ac:dyDescent="0.2">
      <c r="A43" s="53" t="s">
        <v>21</v>
      </c>
      <c r="B43" s="43">
        <f>IF(B$1,SUMIFS('BalSht Data'!$H$2:$H$2050,'BalSht Data'!$G$2:$G$2050,$A43,'BalSht Data'!$A$2:$A$2050,B$1),#N/A)</f>
        <v>0</v>
      </c>
      <c r="C43" s="43">
        <f>IF(C$1,SUMIFS('BalSht Data'!$H$2:$H$2050,'BalSht Data'!$G$2:$G$2050,$A43,'BalSht Data'!$A$2:$A$2050,C$1),#N/A)</f>
        <v>0</v>
      </c>
      <c r="D43" s="43">
        <f>IF(D$1,SUMIFS('BalSht Data'!$H$2:$H$2050,'BalSht Data'!$G$2:$G$2050,$A43,'BalSht Data'!$A$2:$A$2050,D$1),#N/A)</f>
        <v>0</v>
      </c>
      <c r="E43" s="43">
        <f>IF(E$1,SUMIFS('BalSht Data'!$H$2:$H$2050,'BalSht Data'!$G$2:$G$2050,$A43,'BalSht Data'!$A$2:$A$2050,E$1),#N/A)</f>
        <v>0</v>
      </c>
      <c r="F43" s="43">
        <f>IF(F$1,SUMIFS('BalSht Data'!$H$2:$H$2050,'BalSht Data'!$G$2:$G$2050,$A43,'BalSht Data'!$A$2:$A$2050,F$1),#N/A)</f>
        <v>0</v>
      </c>
      <c r="G43" s="43">
        <f>IF(G$1,SUMIFS('BalSht Data'!$H$2:$H$2050,'BalSht Data'!$G$2:$G$2050,$A43,'BalSht Data'!$A$2:$A$2050,G$1),#N/A)</f>
        <v>0</v>
      </c>
      <c r="H43" s="43">
        <f>IF(H$1,SUMIFS('BalSht Data'!$H$2:$H$2050,'BalSht Data'!$G$2:$G$2050,$A43,'BalSht Data'!$A$2:$A$2050,H$1),#N/A)</f>
        <v>0</v>
      </c>
      <c r="I43" s="43">
        <f>IF(I$1,SUMIFS('BalSht Data'!$H$2:$H$2050,'BalSht Data'!$G$2:$G$2050,$A43,'BalSht Data'!$A$2:$A$2050,I$1),#N/A)</f>
        <v>0</v>
      </c>
      <c r="J43" s="43">
        <f>IF(J$1,SUMIFS('BalSht Data'!$H$2:$H$2050,'BalSht Data'!$G$2:$G$2050,$A43,'BalSht Data'!$A$2:$A$2050,J$1),#N/A)</f>
        <v>0</v>
      </c>
      <c r="K43" s="43">
        <f>IF(K$1,SUMIFS('BalSht Data'!$H$2:$H$2050,'BalSht Data'!$G$2:$G$2050,$A43,'BalSht Data'!$A$2:$A$2050,K$1),#N/A)</f>
        <v>0</v>
      </c>
      <c r="L43" s="43">
        <f>IF(L$1,SUMIFS('BalSht Data'!$H$2:$H$2050,'BalSht Data'!$G$2:$G$2050,$A43,'BalSht Data'!$A$2:$A$2050,L$1),#N/A)</f>
        <v>0</v>
      </c>
      <c r="M43" s="43">
        <f>IF(M$1,SUMIFS('BalSht Data'!$H$2:$H$2050,'BalSht Data'!$G$2:$G$2050,$A43,'BalSht Data'!$A$2:$A$2050,M$1),#N/A)</f>
        <v>0</v>
      </c>
      <c r="N43" s="43">
        <f>IF(N$1,SUMIFS('BalSht Data'!$H$2:$H$2050,'BalSht Data'!$G$2:$G$2050,$A43,'BalSht Data'!$A$2:$A$2050,N$1),#N/A)</f>
        <v>0</v>
      </c>
      <c r="O43" s="43">
        <f>IF(O$1,SUMIFS('BalSht Data'!$H$2:$H$2050,'BalSht Data'!$G$2:$G$2050,$A43,'BalSht Data'!$A$2:$A$2050,O$1),#N/A)</f>
        <v>0</v>
      </c>
      <c r="P43" s="43">
        <f>IF(P$1,SUMIFS('BalSht Data'!$H$2:$H$2050,'BalSht Data'!$G$2:$G$2050,$A43,'BalSht Data'!$A$2:$A$2050,P$1),#N/A)</f>
        <v>0</v>
      </c>
      <c r="Q43" s="43">
        <f>IF(Q$1,SUMIFS('BalSht Data'!$H$2:$H$2050,'BalSht Data'!$G$2:$G$2050,$A43,'BalSht Data'!$A$2:$A$2050,Q$1),#N/A)</f>
        <v>0</v>
      </c>
      <c r="R43" s="43">
        <f>IF(R$1,SUMIFS('BalSht Data'!$H$2:$H$2050,'BalSht Data'!$G$2:$G$2050,$A43,'BalSht Data'!$A$2:$A$2050,R$1),#N/A)</f>
        <v>0</v>
      </c>
      <c r="S43" s="43">
        <f>IF(S$1,SUMIFS('BalSht Data'!$H$2:$H$2050,'BalSht Data'!$G$2:$G$2050,$A43,'BalSht Data'!$A$2:$A$2050,S$1),#N/A)</f>
        <v>0</v>
      </c>
      <c r="T43" s="43">
        <f>IF(T$1,SUMIFS('BalSht Data'!$H$2:$H$2050,'BalSht Data'!$G$2:$G$2050,$A43,'BalSht Data'!$A$2:$A$2050,T$1),#N/A)</f>
        <v>0</v>
      </c>
      <c r="U43" s="43">
        <f>IF(U$1,SUMIFS('BalSht Data'!$H$2:$H$2050,'BalSht Data'!$G$2:$G$2050,$A43,'BalSht Data'!$A$2:$A$2050,U$1),#N/A)</f>
        <v>0</v>
      </c>
      <c r="V43" s="43">
        <f>IF(V$1,SUMIFS('BalSht Data'!$H$2:$H$2050,'BalSht Data'!$G$2:$G$2050,$A43,'BalSht Data'!$A$2:$A$2050,V$1),#N/A)</f>
        <v>0</v>
      </c>
      <c r="W43" s="43">
        <f>IF(W$1,SUMIFS('BalSht Data'!$H$2:$H$2050,'BalSht Data'!$G$2:$G$2050,$A43,'BalSht Data'!$A$2:$A$2050,W$1),#N/A)</f>
        <v>0</v>
      </c>
      <c r="X43" s="43">
        <f>IF(X$1,SUMIFS('BalSht Data'!$H$2:$H$2050,'BalSht Data'!$G$2:$G$2050,$A43,'BalSht Data'!$A$2:$A$2050,X$1),#N/A)</f>
        <v>0</v>
      </c>
      <c r="Y43" s="43">
        <f>IF(Y$1,SUMIFS('BalSht Data'!$H$2:$H$2050,'BalSht Data'!$G$2:$G$2050,$A43,'BalSht Data'!$A$2:$A$2050,Y$1),#N/A)</f>
        <v>0</v>
      </c>
      <c r="Z43" s="43">
        <f>IF(Z$1,SUMIFS('BalSht Data'!$H$2:$H$2050,'BalSht Data'!$G$2:$G$2050,$A43,'BalSht Data'!$A$2:$A$2050,Z$1),#N/A)</f>
        <v>0</v>
      </c>
      <c r="AA43" s="43">
        <f>IF(AA$1,SUMIFS('BalSht Data'!$H$2:$H$2050,'BalSht Data'!$G$2:$G$2050,$A43,'BalSht Data'!$A$2:$A$2050,AA$1),#N/A)</f>
        <v>0</v>
      </c>
      <c r="AB43" s="43">
        <f>IF(AB$1,SUMIFS('BalSht Data'!$H$2:$H$2050,'BalSht Data'!$G$2:$G$2050,$A43,'BalSht Data'!$A$2:$A$2050,AB$1),#N/A)</f>
        <v>0</v>
      </c>
      <c r="AC43" s="43">
        <f>IF(AC$1,SUMIFS('BalSht Data'!$H$2:$H$2050,'BalSht Data'!$G$2:$G$2050,$A43,'BalSht Data'!$A$2:$A$2050,AC$1),#N/A)</f>
        <v>0</v>
      </c>
      <c r="AD43" s="43">
        <f>IF(AD$1,SUMIFS('BalSht Data'!$H$2:$H$2050,'BalSht Data'!$G$2:$G$2050,$A43,'BalSht Data'!$A$2:$A$2050,AD$1),#N/A)</f>
        <v>0</v>
      </c>
      <c r="AE43" s="43">
        <f>IF(AE$1,SUMIFS('BalSht Data'!$H$2:$H$2050,'BalSht Data'!$G$2:$G$2050,$A43,'BalSht Data'!$A$2:$A$2050,AE$1),#N/A)</f>
        <v>0</v>
      </c>
      <c r="AF43" s="43">
        <f>IF(AF$1,SUMIFS('BalSht Data'!$H$2:$H$2050,'BalSht Data'!$G$2:$G$2050,$A43,'BalSht Data'!$A$2:$A$2050,AF$1),#N/A)</f>
        <v>0</v>
      </c>
      <c r="AG43" s="43">
        <f>IF(AG$1,SUMIFS('BalSht Data'!$H$2:$H$2050,'BalSht Data'!$G$2:$G$2050,$A43,'BalSht Data'!$A$2:$A$2050,AG$1),#N/A)</f>
        <v>0</v>
      </c>
      <c r="AH43" s="43">
        <f>IF(AH$1,SUMIFS('BalSht Data'!$H$2:$H$2050,'BalSht Data'!$G$2:$G$2050,$A43,'BalSht Data'!$A$2:$A$2050,AH$1),#N/A)</f>
        <v>0</v>
      </c>
      <c r="AI43" s="43">
        <f>IF(AI$1,SUMIFS('BalSht Data'!$H$2:$H$2050,'BalSht Data'!$G$2:$G$2050,$A43,'BalSht Data'!$A$2:$A$2050,AI$1),#N/A)</f>
        <v>0</v>
      </c>
      <c r="AJ43" s="43">
        <f>IF(AJ$1,SUMIFS('BalSht Data'!$H$2:$H$2050,'BalSht Data'!$G$2:$G$2050,$A43,'BalSht Data'!$A$2:$A$2050,AJ$1),#N/A)</f>
        <v>0</v>
      </c>
      <c r="AK43" s="43" t="e">
        <f>IF(AK$1,SUMIFS('BalSht Data'!$H$2:$H$2050,'BalSht Data'!$G$2:$G$2050,$A43,'BalSht Data'!$A$2:$A$2050,AK$1),#N/A)</f>
        <v>#N/A</v>
      </c>
      <c r="AL43" s="43" t="e">
        <f>IF(AL$1,SUMIFS('BalSht Data'!$H$2:$H$2050,'BalSht Data'!$G$2:$G$2050,$A43,'BalSht Data'!$A$2:$A$2050,AL$1),#N/A)</f>
        <v>#N/A</v>
      </c>
      <c r="AM43" s="43" t="e">
        <f>IF(AM$1,SUMIFS('BalSht Data'!$H$2:$H$2050,'BalSht Data'!$G$2:$G$2050,$A43,'BalSht Data'!$A$2:$A$2050,AM$1),#N/A)</f>
        <v>#N/A</v>
      </c>
      <c r="AN43" s="43" t="e">
        <f>IF(AN$1,SUMIFS('BalSht Data'!$H$2:$H$2050,'BalSht Data'!$G$2:$G$2050,$A43,'BalSht Data'!$A$2:$A$2050,AN$1),#N/A)</f>
        <v>#N/A</v>
      </c>
      <c r="AO43" s="43" t="e">
        <f>IF(AO$1,SUMIFS('BalSht Data'!$H$2:$H$2050,'BalSht Data'!$G$2:$G$2050,$A43,'BalSht Data'!$A$2:$A$2050,AO$1),#N/A)</f>
        <v>#N/A</v>
      </c>
      <c r="AP43" s="43" t="e">
        <f>IF(AP$1,SUMIFS('BalSht Data'!$H$2:$H$2050,'BalSht Data'!$G$2:$G$2050,$A43,'BalSht Data'!$A$2:$A$2050,AP$1),#N/A)</f>
        <v>#N/A</v>
      </c>
      <c r="AQ43" s="43" t="e">
        <f>IF(AQ$1,SUMIFS('BalSht Data'!$H$2:$H$2050,'BalSht Data'!$G$2:$G$2050,$A43,'BalSht Data'!$A$2:$A$2050,AQ$1),#N/A)</f>
        <v>#N/A</v>
      </c>
      <c r="AR43" s="43" t="e">
        <f>IF(AR$1,SUMIFS('BalSht Data'!$H$2:$H$2050,'BalSht Data'!$G$2:$G$2050,$A43,'BalSht Data'!$A$2:$A$2050,AR$1),#N/A)</f>
        <v>#N/A</v>
      </c>
      <c r="AS43" s="43" t="e">
        <f>IF(AS$1,SUMIFS('BalSht Data'!$H$2:$H$2050,'BalSht Data'!$G$2:$G$2050,$A43,'BalSht Data'!$A$2:$A$2050,AS$1),#N/A)</f>
        <v>#N/A</v>
      </c>
      <c r="AT43" s="43" t="e">
        <f>IF(AT$1,SUMIFS('BalSht Data'!$H$2:$H$2050,'BalSht Data'!$G$2:$G$2050,$A43,'BalSht Data'!$A$2:$A$2050,AT$1),#N/A)</f>
        <v>#N/A</v>
      </c>
      <c r="AU43" s="43" t="e">
        <f>IF(AU$1,SUMIFS('BalSht Data'!$H$2:$H$2050,'BalSht Data'!$G$2:$G$2050,$A43,'BalSht Data'!$A$2:$A$2050,AU$1),#N/A)</f>
        <v>#N/A</v>
      </c>
      <c r="AV43" s="43" t="e">
        <f>IF(AV$1,SUMIFS('BalSht Data'!$H$2:$H$2050,'BalSht Data'!$G$2:$G$2050,$A43,'BalSht Data'!$A$2:$A$2050,AV$1),#N/A)</f>
        <v>#N/A</v>
      </c>
      <c r="AW43" s="43" t="e">
        <f>IF(AW$1,SUMIFS('BalSht Data'!$H$2:$H$2050,'BalSht Data'!$G$2:$G$2050,$A43,'BalSht Data'!$A$2:$A$2050,AW$1),#N/A)</f>
        <v>#N/A</v>
      </c>
      <c r="AX43" s="43" t="e">
        <f>IF(AX$1,SUMIFS('BalSht Data'!$H$2:$H$2050,'BalSht Data'!$G$2:$G$2050,$A43,'BalSht Data'!$A$2:$A$2050,AX$1),#N/A)</f>
        <v>#N/A</v>
      </c>
      <c r="AY43" s="43" t="e">
        <f>IF(AY$1,SUMIFS('BalSht Data'!$H$2:$H$2050,'BalSht Data'!$G$2:$G$2050,$A43,'BalSht Data'!$A$2:$A$2050,AY$1),#N/A)</f>
        <v>#N/A</v>
      </c>
      <c r="AZ43" s="43" t="e">
        <f>IF(AZ$1,SUMIFS('BalSht Data'!$H$2:$H$2050,'BalSht Data'!$G$2:$G$2050,$A43,'BalSht Data'!$A$2:$A$2050,AZ$1),#N/A)</f>
        <v>#N/A</v>
      </c>
      <c r="BA43" s="43" t="e">
        <f>IF(BA$1,SUMIFS('BalSht Data'!$H$2:$H$2050,'BalSht Data'!$G$2:$G$2050,$A43,'BalSht Data'!$A$2:$A$2050,BA$1),#N/A)</f>
        <v>#N/A</v>
      </c>
      <c r="BB43" s="43" t="e">
        <f>IF(BB$1,SUMIFS('BalSht Data'!$H$2:$H$2050,'BalSht Data'!$G$2:$G$2050,$A43,'BalSht Data'!$A$2:$A$2050,BB$1),#N/A)</f>
        <v>#N/A</v>
      </c>
      <c r="BC43" s="43" t="e">
        <f>IF(BC$1,SUMIFS('BalSht Data'!$H$2:$H$2050,'BalSht Data'!$G$2:$G$2050,$A43,'BalSht Data'!$A$2:$A$2050,BC$1),#N/A)</f>
        <v>#N/A</v>
      </c>
      <c r="BD43" s="43" t="e">
        <f>IF(BD$1,SUMIFS('BalSht Data'!$H$2:$H$2050,'BalSht Data'!$G$2:$G$2050,$A43,'BalSht Data'!$A$2:$A$2050,BD$1),#N/A)</f>
        <v>#N/A</v>
      </c>
      <c r="BE43" s="43" t="e">
        <f>IF(BE$1,SUMIFS('BalSht Data'!$H$2:$H$2050,'BalSht Data'!$G$2:$G$2050,$A43,'BalSht Data'!$A$2:$A$2050,BE$1),#N/A)</f>
        <v>#N/A</v>
      </c>
      <c r="BF43" s="43" t="e">
        <f>IF(BF$1,SUMIFS('BalSht Data'!$H$2:$H$2050,'BalSht Data'!$G$2:$G$2050,$A43,'BalSht Data'!$A$2:$A$2050,BF$1),#N/A)</f>
        <v>#N/A</v>
      </c>
      <c r="BG43" s="43" t="e">
        <f>IF(BG$1,SUMIFS('BalSht Data'!$H$2:$H$2050,'BalSht Data'!$G$2:$G$2050,$A43,'BalSht Data'!$A$2:$A$2050,BG$1),#N/A)</f>
        <v>#N/A</v>
      </c>
      <c r="BH43" s="43" t="e">
        <f>IF(BH$1,SUMIFS('BalSht Data'!$H$2:$H$2050,'BalSht Data'!$G$2:$G$2050,$A43,'BalSht Data'!$A$2:$A$2050,BH$1),#N/A)</f>
        <v>#N/A</v>
      </c>
      <c r="BI43" s="43" t="e">
        <f>IF(BI$1,SUMIFS('BalSht Data'!$H$2:$H$2050,'BalSht Data'!$G$2:$G$2050,$A43,'BalSht Data'!$A$2:$A$2050,BI$1),#N/A)</f>
        <v>#N/A</v>
      </c>
      <c r="BJ43" s="43" t="e">
        <f>IF(BJ$1,SUMIFS('BalSht Data'!$H$2:$H$2050,'BalSht Data'!$G$2:$G$2050,$A43,'BalSht Data'!$A$2:$A$2050,BJ$1),#N/A)</f>
        <v>#N/A</v>
      </c>
      <c r="BK43" s="43" t="e">
        <f>IF(BK$1,SUMIFS('BalSht Data'!$H$2:$H$2050,'BalSht Data'!$G$2:$G$2050,$A43,'BalSht Data'!$A$2:$A$2050,BK$1),#N/A)</f>
        <v>#N/A</v>
      </c>
      <c r="BL43" s="43" t="e">
        <f>IF(BL$1,SUMIFS('BalSht Data'!$H$2:$H$2050,'BalSht Data'!$G$2:$G$2050,$A43,'BalSht Data'!$A$2:$A$2050,BL$1),#N/A)</f>
        <v>#N/A</v>
      </c>
      <c r="BM43" s="43" t="e">
        <f>IF(BM$1,SUMIFS('BalSht Data'!$H$2:$H$2050,'BalSht Data'!$G$2:$G$2050,$A43,'BalSht Data'!$A$2:$A$2050,BM$1),#N/A)</f>
        <v>#N/A</v>
      </c>
      <c r="BN43" s="43" t="e">
        <f>IF(BN$1,SUMIFS('BalSht Data'!$H$2:$H$2050,'BalSht Data'!$G$2:$G$2050,$A43,'BalSht Data'!$A$2:$A$2050,BN$1),#N/A)</f>
        <v>#N/A</v>
      </c>
      <c r="BO43" s="43" t="e">
        <f>IF(BO$1,SUMIFS('BalSht Data'!$H$2:$H$2050,'BalSht Data'!$G$2:$G$2050,$A43,'BalSht Data'!$A$2:$A$2050,BO$1),#N/A)</f>
        <v>#N/A</v>
      </c>
      <c r="BP43" s="43" t="e">
        <f>IF(BP$1,SUMIFS('BalSht Data'!$H$2:$H$2050,'BalSht Data'!$G$2:$G$2050,$A43,'BalSht Data'!$A$2:$A$2050,BP$1),#N/A)</f>
        <v>#N/A</v>
      </c>
      <c r="BQ43" s="43" t="e">
        <f>IF(BQ$1,SUMIFS('BalSht Data'!$H$2:$H$2050,'BalSht Data'!$G$2:$G$2050,$A43,'BalSht Data'!$A$2:$A$2050,BQ$1),#N/A)</f>
        <v>#N/A</v>
      </c>
      <c r="BR43" s="43" t="e">
        <f>IF(BR$1,SUMIFS('BalSht Data'!$H$2:$H$2050,'BalSht Data'!$G$2:$G$2050,$A43,'BalSht Data'!$A$2:$A$2050,BR$1),#N/A)</f>
        <v>#N/A</v>
      </c>
      <c r="BS43" s="43" t="e">
        <f>IF(BS$1,SUMIFS('BalSht Data'!$H$2:$H$2050,'BalSht Data'!$G$2:$G$2050,$A43,'BalSht Data'!$A$2:$A$2050,BS$1),#N/A)</f>
        <v>#N/A</v>
      </c>
      <c r="BT43" s="43" t="e">
        <f>IF(BT$1,SUMIFS('BalSht Data'!$H$2:$H$2050,'BalSht Data'!$G$2:$G$2050,$A43,'BalSht Data'!$A$2:$A$2050,BT$1),#N/A)</f>
        <v>#N/A</v>
      </c>
      <c r="BU43" s="43" t="e">
        <f>IF(BU$1,SUMIFS('BalSht Data'!$H$2:$H$2050,'BalSht Data'!$G$2:$G$2050,$A43,'BalSht Data'!$A$2:$A$2050,BU$1),#N/A)</f>
        <v>#N/A</v>
      </c>
      <c r="BV43" s="43" t="e">
        <f>IF(BV$1,SUMIFS('BalSht Data'!$H$2:$H$2050,'BalSht Data'!$G$2:$G$2050,$A43,'BalSht Data'!$A$2:$A$2050,BV$1),#N/A)</f>
        <v>#N/A</v>
      </c>
      <c r="BW43" s="43" t="e">
        <f>IF(BW$1,SUMIFS('BalSht Data'!$H$2:$H$2050,'BalSht Data'!$G$2:$G$2050,$A43,'BalSht Data'!$A$2:$A$2050,BW$1),#N/A)</f>
        <v>#N/A</v>
      </c>
      <c r="BX43" s="43" t="e">
        <f>IF(BX$1,SUMIFS('BalSht Data'!$H$2:$H$2050,'BalSht Data'!$G$2:$G$2050,$A43,'BalSht Data'!$A$2:$A$2050,BX$1),#N/A)</f>
        <v>#N/A</v>
      </c>
      <c r="BY43" s="43" t="e">
        <f>IF(BY$1,SUMIFS('BalSht Data'!$H$2:$H$2050,'BalSht Data'!$G$2:$G$2050,$A43,'BalSht Data'!$A$2:$A$2050,BY$1),#N/A)</f>
        <v>#N/A</v>
      </c>
      <c r="BZ43" s="43" t="e">
        <f>IF(BZ$1,SUMIFS('BalSht Data'!$H$2:$H$2050,'BalSht Data'!$G$2:$G$2050,$A43,'BalSht Data'!$A$2:$A$2050,BZ$1),#N/A)</f>
        <v>#N/A</v>
      </c>
      <c r="CA43" s="43" t="e">
        <f>IF(CA$1,SUMIFS('BalSht Data'!$H$2:$H$2050,'BalSht Data'!$G$2:$G$2050,$A43,'BalSht Data'!$A$2:$A$2050,CA$1),#N/A)</f>
        <v>#N/A</v>
      </c>
      <c r="CB43" s="43" t="e">
        <f>IF(CB$1,SUMIFS('BalSht Data'!$H$2:$H$2050,'BalSht Data'!$G$2:$G$2050,$A43,'BalSht Data'!$A$2:$A$2050,CB$1),#N/A)</f>
        <v>#N/A</v>
      </c>
      <c r="CC43" s="43" t="e">
        <f>IF(CC$1,SUMIFS('BalSht Data'!$H$2:$H$2050,'BalSht Data'!$G$2:$G$2050,$A43,'BalSht Data'!$A$2:$A$2050,CC$1),#N/A)</f>
        <v>#N/A</v>
      </c>
      <c r="CD43" s="43" t="e">
        <f>IF(CD$1,SUMIFS('BalSht Data'!$H$2:$H$2050,'BalSht Data'!$G$2:$G$2050,$A43,'BalSht Data'!$A$2:$A$2050,CD$1),#N/A)</f>
        <v>#N/A</v>
      </c>
      <c r="CE43" s="43" t="e">
        <f>IF(CE$1,SUMIFS('BalSht Data'!$H$2:$H$2050,'BalSht Data'!$G$2:$G$2050,$A43,'BalSht Data'!$A$2:$A$2050,CE$1),#N/A)</f>
        <v>#N/A</v>
      </c>
      <c r="CF43" s="43" t="e">
        <f>IF(CF$1,SUMIFS('BalSht Data'!$H$2:$H$2050,'BalSht Data'!$G$2:$G$2050,$A43,'BalSht Data'!$A$2:$A$2050,CF$1),#N/A)</f>
        <v>#N/A</v>
      </c>
      <c r="CG43" s="43" t="e">
        <f>IF(CG$1,SUMIFS('BalSht Data'!$H$2:$H$2050,'BalSht Data'!$G$2:$G$2050,$A43,'BalSht Data'!$A$2:$A$2050,CG$1),#N/A)</f>
        <v>#N/A</v>
      </c>
      <c r="CH43" s="43" t="e">
        <f>IF(CH$1,SUMIFS('BalSht Data'!$H$2:$H$2050,'BalSht Data'!$G$2:$G$2050,$A43,'BalSht Data'!$A$2:$A$2050,CH$1),#N/A)</f>
        <v>#N/A</v>
      </c>
      <c r="CI43" s="43" t="e">
        <f>IF(CI$1,SUMIFS('BalSht Data'!$H$2:$H$2050,'BalSht Data'!$G$2:$G$2050,$A43,'BalSht Data'!$A$2:$A$2050,CI$1),#N/A)</f>
        <v>#N/A</v>
      </c>
      <c r="CJ43" s="43" t="e">
        <f>IF(CJ$1,SUMIFS('BalSht Data'!$H$2:$H$2050,'BalSht Data'!$G$2:$G$2050,$A43,'BalSht Data'!$A$2:$A$2050,CJ$1),#N/A)</f>
        <v>#N/A</v>
      </c>
      <c r="CK43" s="43" t="e">
        <f>IF(CK$1,SUMIFS('BalSht Data'!$H$2:$H$2050,'BalSht Data'!$G$2:$G$2050,$A43,'BalSht Data'!$A$2:$A$2050,CK$1),#N/A)</f>
        <v>#N/A</v>
      </c>
      <c r="CL43" s="43" t="e">
        <f>IF(CL$1,SUMIFS('BalSht Data'!$H$2:$H$2050,'BalSht Data'!$G$2:$G$2050,$A43,'BalSht Data'!$A$2:$A$2050,CL$1),#N/A)</f>
        <v>#N/A</v>
      </c>
      <c r="CM43" s="43" t="e">
        <f>IF(CM$1,SUMIFS('BalSht Data'!$H$2:$H$2050,'BalSht Data'!$G$2:$G$2050,$A43,'BalSht Data'!$A$2:$A$2050,CM$1),#N/A)</f>
        <v>#N/A</v>
      </c>
      <c r="CN43" s="43" t="e">
        <f>IF(CN$1,SUMIFS('BalSht Data'!$H$2:$H$2050,'BalSht Data'!$G$2:$G$2050,$A43,'BalSht Data'!$A$2:$A$2050,CN$1),#N/A)</f>
        <v>#N/A</v>
      </c>
      <c r="CO43" s="43" t="e">
        <f>IF(CO$1,SUMIFS('BalSht Data'!$H$2:$H$2050,'BalSht Data'!$G$2:$G$2050,$A43,'BalSht Data'!$A$2:$A$2050,CO$1),#N/A)</f>
        <v>#N/A</v>
      </c>
      <c r="CP43" s="43" t="e">
        <f>IF(CP$1,SUMIFS('BalSht Data'!$H$2:$H$2050,'BalSht Data'!$G$2:$G$2050,$A43,'BalSht Data'!$A$2:$A$2050,CP$1),#N/A)</f>
        <v>#N/A</v>
      </c>
      <c r="CQ43" s="43" t="e">
        <f>IF(CQ$1,SUMIFS('BalSht Data'!$H$2:$H$2050,'BalSht Data'!$G$2:$G$2050,$A43,'BalSht Data'!$A$2:$A$2050,CQ$1),#N/A)</f>
        <v>#N/A</v>
      </c>
      <c r="CR43" s="43" t="e">
        <f>IF(CR$1,SUMIFS('BalSht Data'!$H$2:$H$2050,'BalSht Data'!$G$2:$G$2050,$A43,'BalSht Data'!$A$2:$A$2050,CR$1),#N/A)</f>
        <v>#N/A</v>
      </c>
      <c r="CS43" s="43" t="e">
        <f>IF(CS$1,SUMIFS('BalSht Data'!$H$2:$H$2050,'BalSht Data'!$G$2:$G$2050,$A43,'BalSht Data'!$A$2:$A$2050,CS$1),#N/A)</f>
        <v>#N/A</v>
      </c>
      <c r="CT43" s="43" t="e">
        <f>IF(CT$1,SUMIFS('BalSht Data'!$H$2:$H$2050,'BalSht Data'!$G$2:$G$2050,$A43,'BalSht Data'!$A$2:$A$2050,CT$1),#N/A)</f>
        <v>#N/A</v>
      </c>
      <c r="CU43" s="43" t="e">
        <f>IF(CU$1,SUMIFS('BalSht Data'!$H$2:$H$2050,'BalSht Data'!$G$2:$G$2050,$A43,'BalSht Data'!$A$2:$A$2050,CU$1),#N/A)</f>
        <v>#N/A</v>
      </c>
      <c r="CV43" s="43" t="e">
        <f>IF(CV$1,SUMIFS('BalSht Data'!$H$2:$H$2050,'BalSht Data'!$G$2:$G$2050,$A43,'BalSht Data'!$A$2:$A$2050,CV$1),#N/A)</f>
        <v>#N/A</v>
      </c>
      <c r="CW43" s="43" t="e">
        <f>IF(CW$1,SUMIFS('BalSht Data'!$H$2:$H$2050,'BalSht Data'!$G$2:$G$2050,$A43,'BalSht Data'!$A$2:$A$2050,CW$1),#N/A)</f>
        <v>#N/A</v>
      </c>
      <c r="CX43" s="43" t="e">
        <f>IF(CX$1,SUMIFS('BalSht Data'!$H$2:$H$2050,'BalSht Data'!$G$2:$G$2050,$A43,'BalSht Data'!$A$2:$A$2050,CX$1),#N/A)</f>
        <v>#N/A</v>
      </c>
      <c r="CY43" s="43" t="e">
        <f>IF(CY$1,SUMIFS('BalSht Data'!$H$2:$H$2050,'BalSht Data'!$G$2:$G$2050,$A43,'BalSht Data'!$A$2:$A$2050,CY$1),#N/A)</f>
        <v>#N/A</v>
      </c>
      <c r="CZ43" s="43" t="e">
        <f>IF(CZ$1,SUMIFS('BalSht Data'!$H$2:$H$2050,'BalSht Data'!$G$2:$G$2050,$A43,'BalSht Data'!$A$2:$A$2050,CZ$1),#N/A)</f>
        <v>#N/A</v>
      </c>
      <c r="DA43" s="43">
        <f>SUM(B43:AJ43)</f>
        <v>0</v>
      </c>
    </row>
    <row r="44" spans="1:105" s="40" customFormat="1" x14ac:dyDescent="0.2">
      <c r="A44" s="53" t="s">
        <v>22</v>
      </c>
      <c r="B44" s="43">
        <f>IF(B$1,SUMIFS('BalSht Data'!$H$2:$H$2050,'BalSht Data'!$G$2:$G$2050,$A44,'BalSht Data'!$A$2:$A$2050,B$1),#N/A)</f>
        <v>9</v>
      </c>
      <c r="C44" s="43">
        <f>IF(C$1,SUMIFS('BalSht Data'!$H$2:$H$2050,'BalSht Data'!$G$2:$G$2050,$A44,'BalSht Data'!$A$2:$A$2050,C$1),#N/A)</f>
        <v>110</v>
      </c>
      <c r="D44" s="43">
        <f>IF(D$1,SUMIFS('BalSht Data'!$H$2:$H$2050,'BalSht Data'!$G$2:$G$2050,$A44,'BalSht Data'!$A$2:$A$2050,D$1),#N/A)</f>
        <v>516</v>
      </c>
      <c r="E44" s="43">
        <f>IF(E$1,SUMIFS('BalSht Data'!$H$2:$H$2050,'BalSht Data'!$G$2:$G$2050,$A44,'BalSht Data'!$A$2:$A$2050,E$1),#N/A)</f>
        <v>0</v>
      </c>
      <c r="F44" s="43">
        <f>IF(F$1,SUMIFS('BalSht Data'!$H$2:$H$2050,'BalSht Data'!$G$2:$G$2050,$A44,'BalSht Data'!$A$2:$A$2050,F$1),#N/A)</f>
        <v>0</v>
      </c>
      <c r="G44" s="43">
        <f>IF(G$1,SUMIFS('BalSht Data'!$H$2:$H$2050,'BalSht Data'!$G$2:$G$2050,$A44,'BalSht Data'!$A$2:$A$2050,G$1),#N/A)</f>
        <v>0</v>
      </c>
      <c r="H44" s="43">
        <f>IF(H$1,SUMIFS('BalSht Data'!$H$2:$H$2050,'BalSht Data'!$G$2:$G$2050,$A44,'BalSht Data'!$A$2:$A$2050,H$1),#N/A)</f>
        <v>0</v>
      </c>
      <c r="I44" s="43">
        <f>IF(I$1,SUMIFS('BalSht Data'!$H$2:$H$2050,'BalSht Data'!$G$2:$G$2050,$A44,'BalSht Data'!$A$2:$A$2050,I$1),#N/A)</f>
        <v>596</v>
      </c>
      <c r="J44" s="43">
        <f>IF(J$1,SUMIFS('BalSht Data'!$H$2:$H$2050,'BalSht Data'!$G$2:$G$2050,$A44,'BalSht Data'!$A$2:$A$2050,J$1),#N/A)</f>
        <v>8341</v>
      </c>
      <c r="K44" s="43">
        <f>IF(K$1,SUMIFS('BalSht Data'!$H$2:$H$2050,'BalSht Data'!$G$2:$G$2050,$A44,'BalSht Data'!$A$2:$A$2050,K$1),#N/A)</f>
        <v>0</v>
      </c>
      <c r="L44" s="43">
        <f>IF(L$1,SUMIFS('BalSht Data'!$H$2:$H$2050,'BalSht Data'!$G$2:$G$2050,$A44,'BalSht Data'!$A$2:$A$2050,L$1),#N/A)</f>
        <v>1272</v>
      </c>
      <c r="M44" s="43">
        <f>IF(M$1,SUMIFS('BalSht Data'!$H$2:$H$2050,'BalSht Data'!$G$2:$G$2050,$A44,'BalSht Data'!$A$2:$A$2050,M$1),#N/A)</f>
        <v>9545</v>
      </c>
      <c r="N44" s="43">
        <f>IF(N$1,SUMIFS('BalSht Data'!$H$2:$H$2050,'BalSht Data'!$G$2:$G$2050,$A44,'BalSht Data'!$A$2:$A$2050,N$1),#N/A)</f>
        <v>24244</v>
      </c>
      <c r="O44" s="43">
        <f>IF(O$1,SUMIFS('BalSht Data'!$H$2:$H$2050,'BalSht Data'!$G$2:$G$2050,$A44,'BalSht Data'!$A$2:$A$2050,O$1),#N/A)</f>
        <v>0</v>
      </c>
      <c r="P44" s="43">
        <f>IF(P$1,SUMIFS('BalSht Data'!$H$2:$H$2050,'BalSht Data'!$G$2:$G$2050,$A44,'BalSht Data'!$A$2:$A$2050,P$1),#N/A)</f>
        <v>3719</v>
      </c>
      <c r="Q44" s="43">
        <f>IF(Q$1,SUMIFS('BalSht Data'!$H$2:$H$2050,'BalSht Data'!$G$2:$G$2050,$A44,'BalSht Data'!$A$2:$A$2050,Q$1),#N/A)</f>
        <v>0</v>
      </c>
      <c r="R44" s="43">
        <f>IF(R$1,SUMIFS('BalSht Data'!$H$2:$H$2050,'BalSht Data'!$G$2:$G$2050,$A44,'BalSht Data'!$A$2:$A$2050,R$1),#N/A)</f>
        <v>0</v>
      </c>
      <c r="S44" s="43">
        <f>IF(S$1,SUMIFS('BalSht Data'!$H$2:$H$2050,'BalSht Data'!$G$2:$G$2050,$A44,'BalSht Data'!$A$2:$A$2050,S$1),#N/A)</f>
        <v>3609</v>
      </c>
      <c r="T44" s="43">
        <f>IF(T$1,SUMIFS('BalSht Data'!$H$2:$H$2050,'BalSht Data'!$G$2:$G$2050,$A44,'BalSht Data'!$A$2:$A$2050,T$1),#N/A)</f>
        <v>0</v>
      </c>
      <c r="U44" s="43">
        <f>IF(U$1,SUMIFS('BalSht Data'!$H$2:$H$2050,'BalSht Data'!$G$2:$G$2050,$A44,'BalSht Data'!$A$2:$A$2050,U$1),#N/A)</f>
        <v>311</v>
      </c>
      <c r="V44" s="43">
        <f>IF(V$1,SUMIFS('BalSht Data'!$H$2:$H$2050,'BalSht Data'!$G$2:$G$2050,$A44,'BalSht Data'!$A$2:$A$2050,V$1),#N/A)</f>
        <v>0</v>
      </c>
      <c r="W44" s="43">
        <f>IF(W$1,SUMIFS('BalSht Data'!$H$2:$H$2050,'BalSht Data'!$G$2:$G$2050,$A44,'BalSht Data'!$A$2:$A$2050,W$1),#N/A)</f>
        <v>232</v>
      </c>
      <c r="X44" s="43">
        <f>IF(X$1,SUMIFS('BalSht Data'!$H$2:$H$2050,'BalSht Data'!$G$2:$G$2050,$A44,'BalSht Data'!$A$2:$A$2050,X$1),#N/A)</f>
        <v>0</v>
      </c>
      <c r="Y44" s="43">
        <f>IF(Y$1,SUMIFS('BalSht Data'!$H$2:$H$2050,'BalSht Data'!$G$2:$G$2050,$A44,'BalSht Data'!$A$2:$A$2050,Y$1),#N/A)</f>
        <v>626</v>
      </c>
      <c r="Z44" s="43">
        <f>IF(Z$1,SUMIFS('BalSht Data'!$H$2:$H$2050,'BalSht Data'!$G$2:$G$2050,$A44,'BalSht Data'!$A$2:$A$2050,Z$1),#N/A)</f>
        <v>0</v>
      </c>
      <c r="AA44" s="43">
        <f>IF(AA$1,SUMIFS('BalSht Data'!$H$2:$H$2050,'BalSht Data'!$G$2:$G$2050,$A44,'BalSht Data'!$A$2:$A$2050,AA$1),#N/A)</f>
        <v>2231</v>
      </c>
      <c r="AB44" s="43">
        <f>IF(AB$1,SUMIFS('BalSht Data'!$H$2:$H$2050,'BalSht Data'!$G$2:$G$2050,$A44,'BalSht Data'!$A$2:$A$2050,AB$1),#N/A)</f>
        <v>0</v>
      </c>
      <c r="AC44" s="43">
        <f>IF(AC$1,SUMIFS('BalSht Data'!$H$2:$H$2050,'BalSht Data'!$G$2:$G$2050,$A44,'BalSht Data'!$A$2:$A$2050,AC$1),#N/A)</f>
        <v>0</v>
      </c>
      <c r="AD44" s="43">
        <f>IF(AD$1,SUMIFS('BalSht Data'!$H$2:$H$2050,'BalSht Data'!$G$2:$G$2050,$A44,'BalSht Data'!$A$2:$A$2050,AD$1),#N/A)</f>
        <v>2074</v>
      </c>
      <c r="AE44" s="43">
        <f>IF(AE$1,SUMIFS('BalSht Data'!$H$2:$H$2050,'BalSht Data'!$G$2:$G$2050,$A44,'BalSht Data'!$A$2:$A$2050,AE$1),#N/A)</f>
        <v>0</v>
      </c>
      <c r="AF44" s="43">
        <f>IF(AF$1,SUMIFS('BalSht Data'!$H$2:$H$2050,'BalSht Data'!$G$2:$G$2050,$A44,'BalSht Data'!$A$2:$A$2050,AF$1),#N/A)</f>
        <v>0</v>
      </c>
      <c r="AG44" s="43">
        <f>IF(AG$1,SUMIFS('BalSht Data'!$H$2:$H$2050,'BalSht Data'!$G$2:$G$2050,$A44,'BalSht Data'!$A$2:$A$2050,AG$1),#N/A)</f>
        <v>0</v>
      </c>
      <c r="AH44" s="43">
        <f>IF(AH$1,SUMIFS('BalSht Data'!$H$2:$H$2050,'BalSht Data'!$G$2:$G$2050,$A44,'BalSht Data'!$A$2:$A$2050,AH$1),#N/A)</f>
        <v>0</v>
      </c>
      <c r="AI44" s="43">
        <f>IF(AI$1,SUMIFS('BalSht Data'!$H$2:$H$2050,'BalSht Data'!$G$2:$G$2050,$A44,'BalSht Data'!$A$2:$A$2050,AI$1),#N/A)</f>
        <v>1495</v>
      </c>
      <c r="AJ44" s="43">
        <f>IF(AJ$1,SUMIFS('BalSht Data'!$H$2:$H$2050,'BalSht Data'!$G$2:$G$2050,$A44,'BalSht Data'!$A$2:$A$2050,AJ$1),#N/A)</f>
        <v>1669</v>
      </c>
      <c r="AK44" s="43" t="e">
        <f>IF(AK$1,SUMIFS('BalSht Data'!$H$2:$H$2050,'BalSht Data'!$G$2:$G$2050,$A44,'BalSht Data'!$A$2:$A$2050,AK$1),#N/A)</f>
        <v>#N/A</v>
      </c>
      <c r="AL44" s="43" t="e">
        <f>IF(AL$1,SUMIFS('BalSht Data'!$H$2:$H$2050,'BalSht Data'!$G$2:$G$2050,$A44,'BalSht Data'!$A$2:$A$2050,AL$1),#N/A)</f>
        <v>#N/A</v>
      </c>
      <c r="AM44" s="43" t="e">
        <f>IF(AM$1,SUMIFS('BalSht Data'!$H$2:$H$2050,'BalSht Data'!$G$2:$G$2050,$A44,'BalSht Data'!$A$2:$A$2050,AM$1),#N/A)</f>
        <v>#N/A</v>
      </c>
      <c r="AN44" s="43" t="e">
        <f>IF(AN$1,SUMIFS('BalSht Data'!$H$2:$H$2050,'BalSht Data'!$G$2:$G$2050,$A44,'BalSht Data'!$A$2:$A$2050,AN$1),#N/A)</f>
        <v>#N/A</v>
      </c>
      <c r="AO44" s="43" t="e">
        <f>IF(AO$1,SUMIFS('BalSht Data'!$H$2:$H$2050,'BalSht Data'!$G$2:$G$2050,$A44,'BalSht Data'!$A$2:$A$2050,AO$1),#N/A)</f>
        <v>#N/A</v>
      </c>
      <c r="AP44" s="43" t="e">
        <f>IF(AP$1,SUMIFS('BalSht Data'!$H$2:$H$2050,'BalSht Data'!$G$2:$G$2050,$A44,'BalSht Data'!$A$2:$A$2050,AP$1),#N/A)</f>
        <v>#N/A</v>
      </c>
      <c r="AQ44" s="43" t="e">
        <f>IF(AQ$1,SUMIFS('BalSht Data'!$H$2:$H$2050,'BalSht Data'!$G$2:$G$2050,$A44,'BalSht Data'!$A$2:$A$2050,AQ$1),#N/A)</f>
        <v>#N/A</v>
      </c>
      <c r="AR44" s="43" t="e">
        <f>IF(AR$1,SUMIFS('BalSht Data'!$H$2:$H$2050,'BalSht Data'!$G$2:$G$2050,$A44,'BalSht Data'!$A$2:$A$2050,AR$1),#N/A)</f>
        <v>#N/A</v>
      </c>
      <c r="AS44" s="43" t="e">
        <f>IF(AS$1,SUMIFS('BalSht Data'!$H$2:$H$2050,'BalSht Data'!$G$2:$G$2050,$A44,'BalSht Data'!$A$2:$A$2050,AS$1),#N/A)</f>
        <v>#N/A</v>
      </c>
      <c r="AT44" s="43" t="e">
        <f>IF(AT$1,SUMIFS('BalSht Data'!$H$2:$H$2050,'BalSht Data'!$G$2:$G$2050,$A44,'BalSht Data'!$A$2:$A$2050,AT$1),#N/A)</f>
        <v>#N/A</v>
      </c>
      <c r="AU44" s="43" t="e">
        <f>IF(AU$1,SUMIFS('BalSht Data'!$H$2:$H$2050,'BalSht Data'!$G$2:$G$2050,$A44,'BalSht Data'!$A$2:$A$2050,AU$1),#N/A)</f>
        <v>#N/A</v>
      </c>
      <c r="AV44" s="43" t="e">
        <f>IF(AV$1,SUMIFS('BalSht Data'!$H$2:$H$2050,'BalSht Data'!$G$2:$G$2050,$A44,'BalSht Data'!$A$2:$A$2050,AV$1),#N/A)</f>
        <v>#N/A</v>
      </c>
      <c r="AW44" s="43" t="e">
        <f>IF(AW$1,SUMIFS('BalSht Data'!$H$2:$H$2050,'BalSht Data'!$G$2:$G$2050,$A44,'BalSht Data'!$A$2:$A$2050,AW$1),#N/A)</f>
        <v>#N/A</v>
      </c>
      <c r="AX44" s="43" t="e">
        <f>IF(AX$1,SUMIFS('BalSht Data'!$H$2:$H$2050,'BalSht Data'!$G$2:$G$2050,$A44,'BalSht Data'!$A$2:$A$2050,AX$1),#N/A)</f>
        <v>#N/A</v>
      </c>
      <c r="AY44" s="43" t="e">
        <f>IF(AY$1,SUMIFS('BalSht Data'!$H$2:$H$2050,'BalSht Data'!$G$2:$G$2050,$A44,'BalSht Data'!$A$2:$A$2050,AY$1),#N/A)</f>
        <v>#N/A</v>
      </c>
      <c r="AZ44" s="43" t="e">
        <f>IF(AZ$1,SUMIFS('BalSht Data'!$H$2:$H$2050,'BalSht Data'!$G$2:$G$2050,$A44,'BalSht Data'!$A$2:$A$2050,AZ$1),#N/A)</f>
        <v>#N/A</v>
      </c>
      <c r="BA44" s="43" t="e">
        <f>IF(BA$1,SUMIFS('BalSht Data'!$H$2:$H$2050,'BalSht Data'!$G$2:$G$2050,$A44,'BalSht Data'!$A$2:$A$2050,BA$1),#N/A)</f>
        <v>#N/A</v>
      </c>
      <c r="BB44" s="43" t="e">
        <f>IF(BB$1,SUMIFS('BalSht Data'!$H$2:$H$2050,'BalSht Data'!$G$2:$G$2050,$A44,'BalSht Data'!$A$2:$A$2050,BB$1),#N/A)</f>
        <v>#N/A</v>
      </c>
      <c r="BC44" s="43" t="e">
        <f>IF(BC$1,SUMIFS('BalSht Data'!$H$2:$H$2050,'BalSht Data'!$G$2:$G$2050,$A44,'BalSht Data'!$A$2:$A$2050,BC$1),#N/A)</f>
        <v>#N/A</v>
      </c>
      <c r="BD44" s="43" t="e">
        <f>IF(BD$1,SUMIFS('BalSht Data'!$H$2:$H$2050,'BalSht Data'!$G$2:$G$2050,$A44,'BalSht Data'!$A$2:$A$2050,BD$1),#N/A)</f>
        <v>#N/A</v>
      </c>
      <c r="BE44" s="43" t="e">
        <f>IF(BE$1,SUMIFS('BalSht Data'!$H$2:$H$2050,'BalSht Data'!$G$2:$G$2050,$A44,'BalSht Data'!$A$2:$A$2050,BE$1),#N/A)</f>
        <v>#N/A</v>
      </c>
      <c r="BF44" s="43" t="e">
        <f>IF(BF$1,SUMIFS('BalSht Data'!$H$2:$H$2050,'BalSht Data'!$G$2:$G$2050,$A44,'BalSht Data'!$A$2:$A$2050,BF$1),#N/A)</f>
        <v>#N/A</v>
      </c>
      <c r="BG44" s="43" t="e">
        <f>IF(BG$1,SUMIFS('BalSht Data'!$H$2:$H$2050,'BalSht Data'!$G$2:$G$2050,$A44,'BalSht Data'!$A$2:$A$2050,BG$1),#N/A)</f>
        <v>#N/A</v>
      </c>
      <c r="BH44" s="43" t="e">
        <f>IF(BH$1,SUMIFS('BalSht Data'!$H$2:$H$2050,'BalSht Data'!$G$2:$G$2050,$A44,'BalSht Data'!$A$2:$A$2050,BH$1),#N/A)</f>
        <v>#N/A</v>
      </c>
      <c r="BI44" s="43" t="e">
        <f>IF(BI$1,SUMIFS('BalSht Data'!$H$2:$H$2050,'BalSht Data'!$G$2:$G$2050,$A44,'BalSht Data'!$A$2:$A$2050,BI$1),#N/A)</f>
        <v>#N/A</v>
      </c>
      <c r="BJ44" s="43" t="e">
        <f>IF(BJ$1,SUMIFS('BalSht Data'!$H$2:$H$2050,'BalSht Data'!$G$2:$G$2050,$A44,'BalSht Data'!$A$2:$A$2050,BJ$1),#N/A)</f>
        <v>#N/A</v>
      </c>
      <c r="BK44" s="43" t="e">
        <f>IF(BK$1,SUMIFS('BalSht Data'!$H$2:$H$2050,'BalSht Data'!$G$2:$G$2050,$A44,'BalSht Data'!$A$2:$A$2050,BK$1),#N/A)</f>
        <v>#N/A</v>
      </c>
      <c r="BL44" s="43" t="e">
        <f>IF(BL$1,SUMIFS('BalSht Data'!$H$2:$H$2050,'BalSht Data'!$G$2:$G$2050,$A44,'BalSht Data'!$A$2:$A$2050,BL$1),#N/A)</f>
        <v>#N/A</v>
      </c>
      <c r="BM44" s="43" t="e">
        <f>IF(BM$1,SUMIFS('BalSht Data'!$H$2:$H$2050,'BalSht Data'!$G$2:$G$2050,$A44,'BalSht Data'!$A$2:$A$2050,BM$1),#N/A)</f>
        <v>#N/A</v>
      </c>
      <c r="BN44" s="43" t="e">
        <f>IF(BN$1,SUMIFS('BalSht Data'!$H$2:$H$2050,'BalSht Data'!$G$2:$G$2050,$A44,'BalSht Data'!$A$2:$A$2050,BN$1),#N/A)</f>
        <v>#N/A</v>
      </c>
      <c r="BO44" s="43" t="e">
        <f>IF(BO$1,SUMIFS('BalSht Data'!$H$2:$H$2050,'BalSht Data'!$G$2:$G$2050,$A44,'BalSht Data'!$A$2:$A$2050,BO$1),#N/A)</f>
        <v>#N/A</v>
      </c>
      <c r="BP44" s="43" t="e">
        <f>IF(BP$1,SUMIFS('BalSht Data'!$H$2:$H$2050,'BalSht Data'!$G$2:$G$2050,$A44,'BalSht Data'!$A$2:$A$2050,BP$1),#N/A)</f>
        <v>#N/A</v>
      </c>
      <c r="BQ44" s="43" t="e">
        <f>IF(BQ$1,SUMIFS('BalSht Data'!$H$2:$H$2050,'BalSht Data'!$G$2:$G$2050,$A44,'BalSht Data'!$A$2:$A$2050,BQ$1),#N/A)</f>
        <v>#N/A</v>
      </c>
      <c r="BR44" s="43" t="e">
        <f>IF(BR$1,SUMIFS('BalSht Data'!$H$2:$H$2050,'BalSht Data'!$G$2:$G$2050,$A44,'BalSht Data'!$A$2:$A$2050,BR$1),#N/A)</f>
        <v>#N/A</v>
      </c>
      <c r="BS44" s="43" t="e">
        <f>IF(BS$1,SUMIFS('BalSht Data'!$H$2:$H$2050,'BalSht Data'!$G$2:$G$2050,$A44,'BalSht Data'!$A$2:$A$2050,BS$1),#N/A)</f>
        <v>#N/A</v>
      </c>
      <c r="BT44" s="43" t="e">
        <f>IF(BT$1,SUMIFS('BalSht Data'!$H$2:$H$2050,'BalSht Data'!$G$2:$G$2050,$A44,'BalSht Data'!$A$2:$A$2050,BT$1),#N/A)</f>
        <v>#N/A</v>
      </c>
      <c r="BU44" s="43" t="e">
        <f>IF(BU$1,SUMIFS('BalSht Data'!$H$2:$H$2050,'BalSht Data'!$G$2:$G$2050,$A44,'BalSht Data'!$A$2:$A$2050,BU$1),#N/A)</f>
        <v>#N/A</v>
      </c>
      <c r="BV44" s="43" t="e">
        <f>IF(BV$1,SUMIFS('BalSht Data'!$H$2:$H$2050,'BalSht Data'!$G$2:$G$2050,$A44,'BalSht Data'!$A$2:$A$2050,BV$1),#N/A)</f>
        <v>#N/A</v>
      </c>
      <c r="BW44" s="43" t="e">
        <f>IF(BW$1,SUMIFS('BalSht Data'!$H$2:$H$2050,'BalSht Data'!$G$2:$G$2050,$A44,'BalSht Data'!$A$2:$A$2050,BW$1),#N/A)</f>
        <v>#N/A</v>
      </c>
      <c r="BX44" s="43" t="e">
        <f>IF(BX$1,SUMIFS('BalSht Data'!$H$2:$H$2050,'BalSht Data'!$G$2:$G$2050,$A44,'BalSht Data'!$A$2:$A$2050,BX$1),#N/A)</f>
        <v>#N/A</v>
      </c>
      <c r="BY44" s="43" t="e">
        <f>IF(BY$1,SUMIFS('BalSht Data'!$H$2:$H$2050,'BalSht Data'!$G$2:$G$2050,$A44,'BalSht Data'!$A$2:$A$2050,BY$1),#N/A)</f>
        <v>#N/A</v>
      </c>
      <c r="BZ44" s="43" t="e">
        <f>IF(BZ$1,SUMIFS('BalSht Data'!$H$2:$H$2050,'BalSht Data'!$G$2:$G$2050,$A44,'BalSht Data'!$A$2:$A$2050,BZ$1),#N/A)</f>
        <v>#N/A</v>
      </c>
      <c r="CA44" s="43" t="e">
        <f>IF(CA$1,SUMIFS('BalSht Data'!$H$2:$H$2050,'BalSht Data'!$G$2:$G$2050,$A44,'BalSht Data'!$A$2:$A$2050,CA$1),#N/A)</f>
        <v>#N/A</v>
      </c>
      <c r="CB44" s="43" t="e">
        <f>IF(CB$1,SUMIFS('BalSht Data'!$H$2:$H$2050,'BalSht Data'!$G$2:$G$2050,$A44,'BalSht Data'!$A$2:$A$2050,CB$1),#N/A)</f>
        <v>#N/A</v>
      </c>
      <c r="CC44" s="43" t="e">
        <f>IF(CC$1,SUMIFS('BalSht Data'!$H$2:$H$2050,'BalSht Data'!$G$2:$G$2050,$A44,'BalSht Data'!$A$2:$A$2050,CC$1),#N/A)</f>
        <v>#N/A</v>
      </c>
      <c r="CD44" s="43" t="e">
        <f>IF(CD$1,SUMIFS('BalSht Data'!$H$2:$H$2050,'BalSht Data'!$G$2:$G$2050,$A44,'BalSht Data'!$A$2:$A$2050,CD$1),#N/A)</f>
        <v>#N/A</v>
      </c>
      <c r="CE44" s="43" t="e">
        <f>IF(CE$1,SUMIFS('BalSht Data'!$H$2:$H$2050,'BalSht Data'!$G$2:$G$2050,$A44,'BalSht Data'!$A$2:$A$2050,CE$1),#N/A)</f>
        <v>#N/A</v>
      </c>
      <c r="CF44" s="43" t="e">
        <f>IF(CF$1,SUMIFS('BalSht Data'!$H$2:$H$2050,'BalSht Data'!$G$2:$G$2050,$A44,'BalSht Data'!$A$2:$A$2050,CF$1),#N/A)</f>
        <v>#N/A</v>
      </c>
      <c r="CG44" s="43" t="e">
        <f>IF(CG$1,SUMIFS('BalSht Data'!$H$2:$H$2050,'BalSht Data'!$G$2:$G$2050,$A44,'BalSht Data'!$A$2:$A$2050,CG$1),#N/A)</f>
        <v>#N/A</v>
      </c>
      <c r="CH44" s="43" t="e">
        <f>IF(CH$1,SUMIFS('BalSht Data'!$H$2:$H$2050,'BalSht Data'!$G$2:$G$2050,$A44,'BalSht Data'!$A$2:$A$2050,CH$1),#N/A)</f>
        <v>#N/A</v>
      </c>
      <c r="CI44" s="43" t="e">
        <f>IF(CI$1,SUMIFS('BalSht Data'!$H$2:$H$2050,'BalSht Data'!$G$2:$G$2050,$A44,'BalSht Data'!$A$2:$A$2050,CI$1),#N/A)</f>
        <v>#N/A</v>
      </c>
      <c r="CJ44" s="43" t="e">
        <f>IF(CJ$1,SUMIFS('BalSht Data'!$H$2:$H$2050,'BalSht Data'!$G$2:$G$2050,$A44,'BalSht Data'!$A$2:$A$2050,CJ$1),#N/A)</f>
        <v>#N/A</v>
      </c>
      <c r="CK44" s="43" t="e">
        <f>IF(CK$1,SUMIFS('BalSht Data'!$H$2:$H$2050,'BalSht Data'!$G$2:$G$2050,$A44,'BalSht Data'!$A$2:$A$2050,CK$1),#N/A)</f>
        <v>#N/A</v>
      </c>
      <c r="CL44" s="43" t="e">
        <f>IF(CL$1,SUMIFS('BalSht Data'!$H$2:$H$2050,'BalSht Data'!$G$2:$G$2050,$A44,'BalSht Data'!$A$2:$A$2050,CL$1),#N/A)</f>
        <v>#N/A</v>
      </c>
      <c r="CM44" s="43" t="e">
        <f>IF(CM$1,SUMIFS('BalSht Data'!$H$2:$H$2050,'BalSht Data'!$G$2:$G$2050,$A44,'BalSht Data'!$A$2:$A$2050,CM$1),#N/A)</f>
        <v>#N/A</v>
      </c>
      <c r="CN44" s="43" t="e">
        <f>IF(CN$1,SUMIFS('BalSht Data'!$H$2:$H$2050,'BalSht Data'!$G$2:$G$2050,$A44,'BalSht Data'!$A$2:$A$2050,CN$1),#N/A)</f>
        <v>#N/A</v>
      </c>
      <c r="CO44" s="43" t="e">
        <f>IF(CO$1,SUMIFS('BalSht Data'!$H$2:$H$2050,'BalSht Data'!$G$2:$G$2050,$A44,'BalSht Data'!$A$2:$A$2050,CO$1),#N/A)</f>
        <v>#N/A</v>
      </c>
      <c r="CP44" s="43" t="e">
        <f>IF(CP$1,SUMIFS('BalSht Data'!$H$2:$H$2050,'BalSht Data'!$G$2:$G$2050,$A44,'BalSht Data'!$A$2:$A$2050,CP$1),#N/A)</f>
        <v>#N/A</v>
      </c>
      <c r="CQ44" s="43" t="e">
        <f>IF(CQ$1,SUMIFS('BalSht Data'!$H$2:$H$2050,'BalSht Data'!$G$2:$G$2050,$A44,'BalSht Data'!$A$2:$A$2050,CQ$1),#N/A)</f>
        <v>#N/A</v>
      </c>
      <c r="CR44" s="43" t="e">
        <f>IF(CR$1,SUMIFS('BalSht Data'!$H$2:$H$2050,'BalSht Data'!$G$2:$G$2050,$A44,'BalSht Data'!$A$2:$A$2050,CR$1),#N/A)</f>
        <v>#N/A</v>
      </c>
      <c r="CS44" s="43" t="e">
        <f>IF(CS$1,SUMIFS('BalSht Data'!$H$2:$H$2050,'BalSht Data'!$G$2:$G$2050,$A44,'BalSht Data'!$A$2:$A$2050,CS$1),#N/A)</f>
        <v>#N/A</v>
      </c>
      <c r="CT44" s="43" t="e">
        <f>IF(CT$1,SUMIFS('BalSht Data'!$H$2:$H$2050,'BalSht Data'!$G$2:$G$2050,$A44,'BalSht Data'!$A$2:$A$2050,CT$1),#N/A)</f>
        <v>#N/A</v>
      </c>
      <c r="CU44" s="43" t="e">
        <f>IF(CU$1,SUMIFS('BalSht Data'!$H$2:$H$2050,'BalSht Data'!$G$2:$G$2050,$A44,'BalSht Data'!$A$2:$A$2050,CU$1),#N/A)</f>
        <v>#N/A</v>
      </c>
      <c r="CV44" s="43" t="e">
        <f>IF(CV$1,SUMIFS('BalSht Data'!$H$2:$H$2050,'BalSht Data'!$G$2:$G$2050,$A44,'BalSht Data'!$A$2:$A$2050,CV$1),#N/A)</f>
        <v>#N/A</v>
      </c>
      <c r="CW44" s="43" t="e">
        <f>IF(CW$1,SUMIFS('BalSht Data'!$H$2:$H$2050,'BalSht Data'!$G$2:$G$2050,$A44,'BalSht Data'!$A$2:$A$2050,CW$1),#N/A)</f>
        <v>#N/A</v>
      </c>
      <c r="CX44" s="43" t="e">
        <f>IF(CX$1,SUMIFS('BalSht Data'!$H$2:$H$2050,'BalSht Data'!$G$2:$G$2050,$A44,'BalSht Data'!$A$2:$A$2050,CX$1),#N/A)</f>
        <v>#N/A</v>
      </c>
      <c r="CY44" s="43" t="e">
        <f>IF(CY$1,SUMIFS('BalSht Data'!$H$2:$H$2050,'BalSht Data'!$G$2:$G$2050,$A44,'BalSht Data'!$A$2:$A$2050,CY$1),#N/A)</f>
        <v>#N/A</v>
      </c>
      <c r="CZ44" s="43" t="e">
        <f>IF(CZ$1,SUMIFS('BalSht Data'!$H$2:$H$2050,'BalSht Data'!$G$2:$G$2050,$A44,'BalSht Data'!$A$2:$A$2050,CZ$1),#N/A)</f>
        <v>#N/A</v>
      </c>
      <c r="DA44" s="43">
        <f>SUM(B44:AJ44)</f>
        <v>60599</v>
      </c>
    </row>
    <row r="45" spans="1:105" s="40" customFormat="1" x14ac:dyDescent="0.2">
      <c r="A45" s="53" t="s">
        <v>138</v>
      </c>
      <c r="B45" s="43">
        <f>IF(B$1,SUMIFS('BalSht Data'!$H$2:$H$2050,'BalSht Data'!$G$2:$G$2050,$A45,'BalSht Data'!$A$2:$A$2050,B$1),#N/A)</f>
        <v>-33468</v>
      </c>
      <c r="C45" s="43">
        <f>IF(C$1,SUMIFS('BalSht Data'!$H$2:$H$2050,'BalSht Data'!$G$2:$G$2050,$A45,'BalSht Data'!$A$2:$A$2050,C$1),#N/A)</f>
        <v>-33537</v>
      </c>
      <c r="D45" s="43">
        <f>IF(D$1,SUMIFS('BalSht Data'!$H$2:$H$2050,'BalSht Data'!$G$2:$G$2050,$A45,'BalSht Data'!$A$2:$A$2050,D$1),#N/A)</f>
        <v>-41483</v>
      </c>
      <c r="E45" s="43">
        <f>IF(E$1,SUMIFS('BalSht Data'!$H$2:$H$2050,'BalSht Data'!$G$2:$G$2050,$A45,'BalSht Data'!$A$2:$A$2050,E$1),#N/A)</f>
        <v>-64422</v>
      </c>
      <c r="F45" s="43">
        <f>IF(F$1,SUMIFS('BalSht Data'!$H$2:$H$2050,'BalSht Data'!$G$2:$G$2050,$A45,'BalSht Data'!$A$2:$A$2050,F$1),#N/A)</f>
        <v>-75916</v>
      </c>
      <c r="G45" s="43">
        <f>IF(G$1,SUMIFS('BalSht Data'!$H$2:$H$2050,'BalSht Data'!$G$2:$G$2050,$A45,'BalSht Data'!$A$2:$A$2050,G$1),#N/A)</f>
        <v>-23077</v>
      </c>
      <c r="H45" s="43">
        <f>IF(H$1,SUMIFS('BalSht Data'!$H$2:$H$2050,'BalSht Data'!$G$2:$G$2050,$A45,'BalSht Data'!$A$2:$A$2050,H$1),#N/A)</f>
        <v>437</v>
      </c>
      <c r="I45" s="43">
        <f>IF(I$1,SUMIFS('BalSht Data'!$H$2:$H$2050,'BalSht Data'!$G$2:$G$2050,$A45,'BalSht Data'!$A$2:$A$2050,I$1),#N/A)</f>
        <v>-45913</v>
      </c>
      <c r="J45" s="43">
        <f>IF(J$1,SUMIFS('BalSht Data'!$H$2:$H$2050,'BalSht Data'!$G$2:$G$2050,$A45,'BalSht Data'!$A$2:$A$2050,J$1),#N/A)</f>
        <v>-178191</v>
      </c>
      <c r="K45" s="43">
        <f>IF(K$1,SUMIFS('BalSht Data'!$H$2:$H$2050,'BalSht Data'!$G$2:$G$2050,$A45,'BalSht Data'!$A$2:$A$2050,K$1),#N/A)</f>
        <v>-122875</v>
      </c>
      <c r="L45" s="43">
        <f>IF(L$1,SUMIFS('BalSht Data'!$H$2:$H$2050,'BalSht Data'!$G$2:$G$2050,$A45,'BalSht Data'!$A$2:$A$2050,L$1),#N/A)</f>
        <v>-62535</v>
      </c>
      <c r="M45" s="43">
        <f>IF(M$1,SUMIFS('BalSht Data'!$H$2:$H$2050,'BalSht Data'!$G$2:$G$2050,$A45,'BalSht Data'!$A$2:$A$2050,M$1),#N/A)</f>
        <v>-47579</v>
      </c>
      <c r="N45" s="43">
        <f>IF(N$1,SUMIFS('BalSht Data'!$H$2:$H$2050,'BalSht Data'!$G$2:$G$2050,$A45,'BalSht Data'!$A$2:$A$2050,N$1),#N/A)</f>
        <v>0</v>
      </c>
      <c r="O45" s="43">
        <f>IF(O$1,SUMIFS('BalSht Data'!$H$2:$H$2050,'BalSht Data'!$G$2:$G$2050,$A45,'BalSht Data'!$A$2:$A$2050,O$1),#N/A)</f>
        <v>-98030</v>
      </c>
      <c r="P45" s="43">
        <f>IF(P$1,SUMIFS('BalSht Data'!$H$2:$H$2050,'BalSht Data'!$G$2:$G$2050,$A45,'BalSht Data'!$A$2:$A$2050,P$1),#N/A)</f>
        <v>0</v>
      </c>
      <c r="Q45" s="43">
        <f>IF(Q$1,SUMIFS('BalSht Data'!$H$2:$H$2050,'BalSht Data'!$G$2:$G$2050,$A45,'BalSht Data'!$A$2:$A$2050,Q$1),#N/A)</f>
        <v>-65513</v>
      </c>
      <c r="R45" s="43">
        <f>IF(R$1,SUMIFS('BalSht Data'!$H$2:$H$2050,'BalSht Data'!$G$2:$G$2050,$A45,'BalSht Data'!$A$2:$A$2050,R$1),#N/A)</f>
        <v>-32906</v>
      </c>
      <c r="S45" s="43">
        <f>IF(S$1,SUMIFS('BalSht Data'!$H$2:$H$2050,'BalSht Data'!$G$2:$G$2050,$A45,'BalSht Data'!$A$2:$A$2050,S$1),#N/A)</f>
        <v>286758</v>
      </c>
      <c r="T45" s="43">
        <f>IF(T$1,SUMIFS('BalSht Data'!$H$2:$H$2050,'BalSht Data'!$G$2:$G$2050,$A45,'BalSht Data'!$A$2:$A$2050,T$1),#N/A)</f>
        <v>83490</v>
      </c>
      <c r="U45" s="43">
        <f>IF(U$1,SUMIFS('BalSht Data'!$H$2:$H$2050,'BalSht Data'!$G$2:$G$2050,$A45,'BalSht Data'!$A$2:$A$2050,U$1),#N/A)</f>
        <v>-49205</v>
      </c>
      <c r="V45" s="43">
        <f>IF(V$1,SUMIFS('BalSht Data'!$H$2:$H$2050,'BalSht Data'!$G$2:$G$2050,$A45,'BalSht Data'!$A$2:$A$2050,V$1),#N/A)</f>
        <v>73705</v>
      </c>
      <c r="W45" s="43">
        <f>IF(W$1,SUMIFS('BalSht Data'!$H$2:$H$2050,'BalSht Data'!$G$2:$G$2050,$A45,'BalSht Data'!$A$2:$A$2050,W$1),#N/A)</f>
        <v>-165308</v>
      </c>
      <c r="X45" s="43">
        <f>IF(X$1,SUMIFS('BalSht Data'!$H$2:$H$2050,'BalSht Data'!$G$2:$G$2050,$A45,'BalSht Data'!$A$2:$A$2050,X$1),#N/A)</f>
        <v>84185</v>
      </c>
      <c r="Y45" s="43">
        <f>IF(Y$1,SUMIFS('BalSht Data'!$H$2:$H$2050,'BalSht Data'!$G$2:$G$2050,$A45,'BalSht Data'!$A$2:$A$2050,Y$1),#N/A)</f>
        <v>0</v>
      </c>
      <c r="Z45" s="43">
        <f>IF(Z$1,SUMIFS('BalSht Data'!$H$2:$H$2050,'BalSht Data'!$G$2:$G$2050,$A45,'BalSht Data'!$A$2:$A$2050,Z$1),#N/A)</f>
        <v>0</v>
      </c>
      <c r="AA45" s="43">
        <f>IF(AA$1,SUMIFS('BalSht Data'!$H$2:$H$2050,'BalSht Data'!$G$2:$G$2050,$A45,'BalSht Data'!$A$2:$A$2050,AA$1),#N/A)</f>
        <v>40471</v>
      </c>
      <c r="AB45" s="43">
        <f>IF(AB$1,SUMIFS('BalSht Data'!$H$2:$H$2050,'BalSht Data'!$G$2:$G$2050,$A45,'BalSht Data'!$A$2:$A$2050,AB$1),#N/A)</f>
        <v>0</v>
      </c>
      <c r="AC45" s="43">
        <f>IF(AC$1,SUMIFS('BalSht Data'!$H$2:$H$2050,'BalSht Data'!$G$2:$G$2050,$A45,'BalSht Data'!$A$2:$A$2050,AC$1),#N/A)</f>
        <v>0</v>
      </c>
      <c r="AD45" s="43">
        <f>IF(AD$1,SUMIFS('BalSht Data'!$H$2:$H$2050,'BalSht Data'!$G$2:$G$2050,$A45,'BalSht Data'!$A$2:$A$2050,AD$1),#N/A)</f>
        <v>-192147</v>
      </c>
      <c r="AE45" s="43">
        <f>IF(AE$1,SUMIFS('BalSht Data'!$H$2:$H$2050,'BalSht Data'!$G$2:$G$2050,$A45,'BalSht Data'!$A$2:$A$2050,AE$1),#N/A)</f>
        <v>-214380</v>
      </c>
      <c r="AF45" s="43">
        <f>IF(AF$1,SUMIFS('BalSht Data'!$H$2:$H$2050,'BalSht Data'!$G$2:$G$2050,$A45,'BalSht Data'!$A$2:$A$2050,AF$1),#N/A)</f>
        <v>-73461</v>
      </c>
      <c r="AG45" s="43">
        <f>IF(AG$1,SUMIFS('BalSht Data'!$H$2:$H$2050,'BalSht Data'!$G$2:$G$2050,$A45,'BalSht Data'!$A$2:$A$2050,AG$1),#N/A)</f>
        <v>14419</v>
      </c>
      <c r="AH45" s="43">
        <f>IF(AH$1,SUMIFS('BalSht Data'!$H$2:$H$2050,'BalSht Data'!$G$2:$G$2050,$A45,'BalSht Data'!$A$2:$A$2050,AH$1),#N/A)</f>
        <v>-82977</v>
      </c>
      <c r="AI45" s="43">
        <f>IF(AI$1,SUMIFS('BalSht Data'!$H$2:$H$2050,'BalSht Data'!$G$2:$G$2050,$A45,'BalSht Data'!$A$2:$A$2050,AI$1),#N/A)</f>
        <v>-75665</v>
      </c>
      <c r="AJ45" s="43">
        <f>IF(AJ$1,SUMIFS('BalSht Data'!$H$2:$H$2050,'BalSht Data'!$G$2:$G$2050,$A45,'BalSht Data'!$A$2:$A$2050,AJ$1),#N/A)</f>
        <v>56123</v>
      </c>
      <c r="AK45" s="43" t="e">
        <f>IF(AK$1,SUMIFS('BalSht Data'!$H$2:$H$2050,'BalSht Data'!$G$2:$G$2050,$A45,'BalSht Data'!$A$2:$A$2050,AK$1),#N/A)</f>
        <v>#N/A</v>
      </c>
      <c r="AL45" s="43" t="e">
        <f>IF(AL$1,SUMIFS('BalSht Data'!$H$2:$H$2050,'BalSht Data'!$G$2:$G$2050,$A45,'BalSht Data'!$A$2:$A$2050,AL$1),#N/A)</f>
        <v>#N/A</v>
      </c>
      <c r="AM45" s="43" t="e">
        <f>IF(AM$1,SUMIFS('BalSht Data'!$H$2:$H$2050,'BalSht Data'!$G$2:$G$2050,$A45,'BalSht Data'!$A$2:$A$2050,AM$1),#N/A)</f>
        <v>#N/A</v>
      </c>
      <c r="AN45" s="43" t="e">
        <f>IF(AN$1,SUMIFS('BalSht Data'!$H$2:$H$2050,'BalSht Data'!$G$2:$G$2050,$A45,'BalSht Data'!$A$2:$A$2050,AN$1),#N/A)</f>
        <v>#N/A</v>
      </c>
      <c r="AO45" s="43" t="e">
        <f>IF(AO$1,SUMIFS('BalSht Data'!$H$2:$H$2050,'BalSht Data'!$G$2:$G$2050,$A45,'BalSht Data'!$A$2:$A$2050,AO$1),#N/A)</f>
        <v>#N/A</v>
      </c>
      <c r="AP45" s="43" t="e">
        <f>IF(AP$1,SUMIFS('BalSht Data'!$H$2:$H$2050,'BalSht Data'!$G$2:$G$2050,$A45,'BalSht Data'!$A$2:$A$2050,AP$1),#N/A)</f>
        <v>#N/A</v>
      </c>
      <c r="AQ45" s="43" t="e">
        <f>IF(AQ$1,SUMIFS('BalSht Data'!$H$2:$H$2050,'BalSht Data'!$G$2:$G$2050,$A45,'BalSht Data'!$A$2:$A$2050,AQ$1),#N/A)</f>
        <v>#N/A</v>
      </c>
      <c r="AR45" s="43" t="e">
        <f>IF(AR$1,SUMIFS('BalSht Data'!$H$2:$H$2050,'BalSht Data'!$G$2:$G$2050,$A45,'BalSht Data'!$A$2:$A$2050,AR$1),#N/A)</f>
        <v>#N/A</v>
      </c>
      <c r="AS45" s="43" t="e">
        <f>IF(AS$1,SUMIFS('BalSht Data'!$H$2:$H$2050,'BalSht Data'!$G$2:$G$2050,$A45,'BalSht Data'!$A$2:$A$2050,AS$1),#N/A)</f>
        <v>#N/A</v>
      </c>
      <c r="AT45" s="43" t="e">
        <f>IF(AT$1,SUMIFS('BalSht Data'!$H$2:$H$2050,'BalSht Data'!$G$2:$G$2050,$A45,'BalSht Data'!$A$2:$A$2050,AT$1),#N/A)</f>
        <v>#N/A</v>
      </c>
      <c r="AU45" s="43" t="e">
        <f>IF(AU$1,SUMIFS('BalSht Data'!$H$2:$H$2050,'BalSht Data'!$G$2:$G$2050,$A45,'BalSht Data'!$A$2:$A$2050,AU$1),#N/A)</f>
        <v>#N/A</v>
      </c>
      <c r="AV45" s="43" t="e">
        <f>IF(AV$1,SUMIFS('BalSht Data'!$H$2:$H$2050,'BalSht Data'!$G$2:$G$2050,$A45,'BalSht Data'!$A$2:$A$2050,AV$1),#N/A)</f>
        <v>#N/A</v>
      </c>
      <c r="AW45" s="43" t="e">
        <f>IF(AW$1,SUMIFS('BalSht Data'!$H$2:$H$2050,'BalSht Data'!$G$2:$G$2050,$A45,'BalSht Data'!$A$2:$A$2050,AW$1),#N/A)</f>
        <v>#N/A</v>
      </c>
      <c r="AX45" s="43" t="e">
        <f>IF(AX$1,SUMIFS('BalSht Data'!$H$2:$H$2050,'BalSht Data'!$G$2:$G$2050,$A45,'BalSht Data'!$A$2:$A$2050,AX$1),#N/A)</f>
        <v>#N/A</v>
      </c>
      <c r="AY45" s="43" t="e">
        <f>IF(AY$1,SUMIFS('BalSht Data'!$H$2:$H$2050,'BalSht Data'!$G$2:$G$2050,$A45,'BalSht Data'!$A$2:$A$2050,AY$1),#N/A)</f>
        <v>#N/A</v>
      </c>
      <c r="AZ45" s="43" t="e">
        <f>IF(AZ$1,SUMIFS('BalSht Data'!$H$2:$H$2050,'BalSht Data'!$G$2:$G$2050,$A45,'BalSht Data'!$A$2:$A$2050,AZ$1),#N/A)</f>
        <v>#N/A</v>
      </c>
      <c r="BA45" s="43" t="e">
        <f>IF(BA$1,SUMIFS('BalSht Data'!$H$2:$H$2050,'BalSht Data'!$G$2:$G$2050,$A45,'BalSht Data'!$A$2:$A$2050,BA$1),#N/A)</f>
        <v>#N/A</v>
      </c>
      <c r="BB45" s="43" t="e">
        <f>IF(BB$1,SUMIFS('BalSht Data'!$H$2:$H$2050,'BalSht Data'!$G$2:$G$2050,$A45,'BalSht Data'!$A$2:$A$2050,BB$1),#N/A)</f>
        <v>#N/A</v>
      </c>
      <c r="BC45" s="43" t="e">
        <f>IF(BC$1,SUMIFS('BalSht Data'!$H$2:$H$2050,'BalSht Data'!$G$2:$G$2050,$A45,'BalSht Data'!$A$2:$A$2050,BC$1),#N/A)</f>
        <v>#N/A</v>
      </c>
      <c r="BD45" s="43" t="e">
        <f>IF(BD$1,SUMIFS('BalSht Data'!$H$2:$H$2050,'BalSht Data'!$G$2:$G$2050,$A45,'BalSht Data'!$A$2:$A$2050,BD$1),#N/A)</f>
        <v>#N/A</v>
      </c>
      <c r="BE45" s="43" t="e">
        <f>IF(BE$1,SUMIFS('BalSht Data'!$H$2:$H$2050,'BalSht Data'!$G$2:$G$2050,$A45,'BalSht Data'!$A$2:$A$2050,BE$1),#N/A)</f>
        <v>#N/A</v>
      </c>
      <c r="BF45" s="43" t="e">
        <f>IF(BF$1,SUMIFS('BalSht Data'!$H$2:$H$2050,'BalSht Data'!$G$2:$G$2050,$A45,'BalSht Data'!$A$2:$A$2050,BF$1),#N/A)</f>
        <v>#N/A</v>
      </c>
      <c r="BG45" s="43" t="e">
        <f>IF(BG$1,SUMIFS('BalSht Data'!$H$2:$H$2050,'BalSht Data'!$G$2:$G$2050,$A45,'BalSht Data'!$A$2:$A$2050,BG$1),#N/A)</f>
        <v>#N/A</v>
      </c>
      <c r="BH45" s="43" t="e">
        <f>IF(BH$1,SUMIFS('BalSht Data'!$H$2:$H$2050,'BalSht Data'!$G$2:$G$2050,$A45,'BalSht Data'!$A$2:$A$2050,BH$1),#N/A)</f>
        <v>#N/A</v>
      </c>
      <c r="BI45" s="43" t="e">
        <f>IF(BI$1,SUMIFS('BalSht Data'!$H$2:$H$2050,'BalSht Data'!$G$2:$G$2050,$A45,'BalSht Data'!$A$2:$A$2050,BI$1),#N/A)</f>
        <v>#N/A</v>
      </c>
      <c r="BJ45" s="43" t="e">
        <f>IF(BJ$1,SUMIFS('BalSht Data'!$H$2:$H$2050,'BalSht Data'!$G$2:$G$2050,$A45,'BalSht Data'!$A$2:$A$2050,BJ$1),#N/A)</f>
        <v>#N/A</v>
      </c>
      <c r="BK45" s="43" t="e">
        <f>IF(BK$1,SUMIFS('BalSht Data'!$H$2:$H$2050,'BalSht Data'!$G$2:$G$2050,$A45,'BalSht Data'!$A$2:$A$2050,BK$1),#N/A)</f>
        <v>#N/A</v>
      </c>
      <c r="BL45" s="43" t="e">
        <f>IF(BL$1,SUMIFS('BalSht Data'!$H$2:$H$2050,'BalSht Data'!$G$2:$G$2050,$A45,'BalSht Data'!$A$2:$A$2050,BL$1),#N/A)</f>
        <v>#N/A</v>
      </c>
      <c r="BM45" s="43" t="e">
        <f>IF(BM$1,SUMIFS('BalSht Data'!$H$2:$H$2050,'BalSht Data'!$G$2:$G$2050,$A45,'BalSht Data'!$A$2:$A$2050,BM$1),#N/A)</f>
        <v>#N/A</v>
      </c>
      <c r="BN45" s="43" t="e">
        <f>IF(BN$1,SUMIFS('BalSht Data'!$H$2:$H$2050,'BalSht Data'!$G$2:$G$2050,$A45,'BalSht Data'!$A$2:$A$2050,BN$1),#N/A)</f>
        <v>#N/A</v>
      </c>
      <c r="BO45" s="43" t="e">
        <f>IF(BO$1,SUMIFS('BalSht Data'!$H$2:$H$2050,'BalSht Data'!$G$2:$G$2050,$A45,'BalSht Data'!$A$2:$A$2050,BO$1),#N/A)</f>
        <v>#N/A</v>
      </c>
      <c r="BP45" s="43" t="e">
        <f>IF(BP$1,SUMIFS('BalSht Data'!$H$2:$H$2050,'BalSht Data'!$G$2:$G$2050,$A45,'BalSht Data'!$A$2:$A$2050,BP$1),#N/A)</f>
        <v>#N/A</v>
      </c>
      <c r="BQ45" s="43" t="e">
        <f>IF(BQ$1,SUMIFS('BalSht Data'!$H$2:$H$2050,'BalSht Data'!$G$2:$G$2050,$A45,'BalSht Data'!$A$2:$A$2050,BQ$1),#N/A)</f>
        <v>#N/A</v>
      </c>
      <c r="BR45" s="43" t="e">
        <f>IF(BR$1,SUMIFS('BalSht Data'!$H$2:$H$2050,'BalSht Data'!$G$2:$G$2050,$A45,'BalSht Data'!$A$2:$A$2050,BR$1),#N/A)</f>
        <v>#N/A</v>
      </c>
      <c r="BS45" s="43" t="e">
        <f>IF(BS$1,SUMIFS('BalSht Data'!$H$2:$H$2050,'BalSht Data'!$G$2:$G$2050,$A45,'BalSht Data'!$A$2:$A$2050,BS$1),#N/A)</f>
        <v>#N/A</v>
      </c>
      <c r="BT45" s="43" t="e">
        <f>IF(BT$1,SUMIFS('BalSht Data'!$H$2:$H$2050,'BalSht Data'!$G$2:$G$2050,$A45,'BalSht Data'!$A$2:$A$2050,BT$1),#N/A)</f>
        <v>#N/A</v>
      </c>
      <c r="BU45" s="43" t="e">
        <f>IF(BU$1,SUMIFS('BalSht Data'!$H$2:$H$2050,'BalSht Data'!$G$2:$G$2050,$A45,'BalSht Data'!$A$2:$A$2050,BU$1),#N/A)</f>
        <v>#N/A</v>
      </c>
      <c r="BV45" s="43" t="e">
        <f>IF(BV$1,SUMIFS('BalSht Data'!$H$2:$H$2050,'BalSht Data'!$G$2:$G$2050,$A45,'BalSht Data'!$A$2:$A$2050,BV$1),#N/A)</f>
        <v>#N/A</v>
      </c>
      <c r="BW45" s="43" t="e">
        <f>IF(BW$1,SUMIFS('BalSht Data'!$H$2:$H$2050,'BalSht Data'!$G$2:$G$2050,$A45,'BalSht Data'!$A$2:$A$2050,BW$1),#N/A)</f>
        <v>#N/A</v>
      </c>
      <c r="BX45" s="43" t="e">
        <f>IF(BX$1,SUMIFS('BalSht Data'!$H$2:$H$2050,'BalSht Data'!$G$2:$G$2050,$A45,'BalSht Data'!$A$2:$A$2050,BX$1),#N/A)</f>
        <v>#N/A</v>
      </c>
      <c r="BY45" s="43" t="e">
        <f>IF(BY$1,SUMIFS('BalSht Data'!$H$2:$H$2050,'BalSht Data'!$G$2:$G$2050,$A45,'BalSht Data'!$A$2:$A$2050,BY$1),#N/A)</f>
        <v>#N/A</v>
      </c>
      <c r="BZ45" s="43" t="e">
        <f>IF(BZ$1,SUMIFS('BalSht Data'!$H$2:$H$2050,'BalSht Data'!$G$2:$G$2050,$A45,'BalSht Data'!$A$2:$A$2050,BZ$1),#N/A)</f>
        <v>#N/A</v>
      </c>
      <c r="CA45" s="43" t="e">
        <f>IF(CA$1,SUMIFS('BalSht Data'!$H$2:$H$2050,'BalSht Data'!$G$2:$G$2050,$A45,'BalSht Data'!$A$2:$A$2050,CA$1),#N/A)</f>
        <v>#N/A</v>
      </c>
      <c r="CB45" s="43" t="e">
        <f>IF(CB$1,SUMIFS('BalSht Data'!$H$2:$H$2050,'BalSht Data'!$G$2:$G$2050,$A45,'BalSht Data'!$A$2:$A$2050,CB$1),#N/A)</f>
        <v>#N/A</v>
      </c>
      <c r="CC45" s="43" t="e">
        <f>IF(CC$1,SUMIFS('BalSht Data'!$H$2:$H$2050,'BalSht Data'!$G$2:$G$2050,$A45,'BalSht Data'!$A$2:$A$2050,CC$1),#N/A)</f>
        <v>#N/A</v>
      </c>
      <c r="CD45" s="43" t="e">
        <f>IF(CD$1,SUMIFS('BalSht Data'!$H$2:$H$2050,'BalSht Data'!$G$2:$G$2050,$A45,'BalSht Data'!$A$2:$A$2050,CD$1),#N/A)</f>
        <v>#N/A</v>
      </c>
      <c r="CE45" s="43" t="e">
        <f>IF(CE$1,SUMIFS('BalSht Data'!$H$2:$H$2050,'BalSht Data'!$G$2:$G$2050,$A45,'BalSht Data'!$A$2:$A$2050,CE$1),#N/A)</f>
        <v>#N/A</v>
      </c>
      <c r="CF45" s="43" t="e">
        <f>IF(CF$1,SUMIFS('BalSht Data'!$H$2:$H$2050,'BalSht Data'!$G$2:$G$2050,$A45,'BalSht Data'!$A$2:$A$2050,CF$1),#N/A)</f>
        <v>#N/A</v>
      </c>
      <c r="CG45" s="43" t="e">
        <f>IF(CG$1,SUMIFS('BalSht Data'!$H$2:$H$2050,'BalSht Data'!$G$2:$G$2050,$A45,'BalSht Data'!$A$2:$A$2050,CG$1),#N/A)</f>
        <v>#N/A</v>
      </c>
      <c r="CH45" s="43" t="e">
        <f>IF(CH$1,SUMIFS('BalSht Data'!$H$2:$H$2050,'BalSht Data'!$G$2:$G$2050,$A45,'BalSht Data'!$A$2:$A$2050,CH$1),#N/A)</f>
        <v>#N/A</v>
      </c>
      <c r="CI45" s="43" t="e">
        <f>IF(CI$1,SUMIFS('BalSht Data'!$H$2:$H$2050,'BalSht Data'!$G$2:$G$2050,$A45,'BalSht Data'!$A$2:$A$2050,CI$1),#N/A)</f>
        <v>#N/A</v>
      </c>
      <c r="CJ45" s="43" t="e">
        <f>IF(CJ$1,SUMIFS('BalSht Data'!$H$2:$H$2050,'BalSht Data'!$G$2:$G$2050,$A45,'BalSht Data'!$A$2:$A$2050,CJ$1),#N/A)</f>
        <v>#N/A</v>
      </c>
      <c r="CK45" s="43" t="e">
        <f>IF(CK$1,SUMIFS('BalSht Data'!$H$2:$H$2050,'BalSht Data'!$G$2:$G$2050,$A45,'BalSht Data'!$A$2:$A$2050,CK$1),#N/A)</f>
        <v>#N/A</v>
      </c>
      <c r="CL45" s="43" t="e">
        <f>IF(CL$1,SUMIFS('BalSht Data'!$H$2:$H$2050,'BalSht Data'!$G$2:$G$2050,$A45,'BalSht Data'!$A$2:$A$2050,CL$1),#N/A)</f>
        <v>#N/A</v>
      </c>
      <c r="CM45" s="43" t="e">
        <f>IF(CM$1,SUMIFS('BalSht Data'!$H$2:$H$2050,'BalSht Data'!$G$2:$G$2050,$A45,'BalSht Data'!$A$2:$A$2050,CM$1),#N/A)</f>
        <v>#N/A</v>
      </c>
      <c r="CN45" s="43" t="e">
        <f>IF(CN$1,SUMIFS('BalSht Data'!$H$2:$H$2050,'BalSht Data'!$G$2:$G$2050,$A45,'BalSht Data'!$A$2:$A$2050,CN$1),#N/A)</f>
        <v>#N/A</v>
      </c>
      <c r="CO45" s="43" t="e">
        <f>IF(CO$1,SUMIFS('BalSht Data'!$H$2:$H$2050,'BalSht Data'!$G$2:$G$2050,$A45,'BalSht Data'!$A$2:$A$2050,CO$1),#N/A)</f>
        <v>#N/A</v>
      </c>
      <c r="CP45" s="43" t="e">
        <f>IF(CP$1,SUMIFS('BalSht Data'!$H$2:$H$2050,'BalSht Data'!$G$2:$G$2050,$A45,'BalSht Data'!$A$2:$A$2050,CP$1),#N/A)</f>
        <v>#N/A</v>
      </c>
      <c r="CQ45" s="43" t="e">
        <f>IF(CQ$1,SUMIFS('BalSht Data'!$H$2:$H$2050,'BalSht Data'!$G$2:$G$2050,$A45,'BalSht Data'!$A$2:$A$2050,CQ$1),#N/A)</f>
        <v>#N/A</v>
      </c>
      <c r="CR45" s="43" t="e">
        <f>IF(CR$1,SUMIFS('BalSht Data'!$H$2:$H$2050,'BalSht Data'!$G$2:$G$2050,$A45,'BalSht Data'!$A$2:$A$2050,CR$1),#N/A)</f>
        <v>#N/A</v>
      </c>
      <c r="CS45" s="43" t="e">
        <f>IF(CS$1,SUMIFS('BalSht Data'!$H$2:$H$2050,'BalSht Data'!$G$2:$G$2050,$A45,'BalSht Data'!$A$2:$A$2050,CS$1),#N/A)</f>
        <v>#N/A</v>
      </c>
      <c r="CT45" s="43" t="e">
        <f>IF(CT$1,SUMIFS('BalSht Data'!$H$2:$H$2050,'BalSht Data'!$G$2:$G$2050,$A45,'BalSht Data'!$A$2:$A$2050,CT$1),#N/A)</f>
        <v>#N/A</v>
      </c>
      <c r="CU45" s="43" t="e">
        <f>IF(CU$1,SUMIFS('BalSht Data'!$H$2:$H$2050,'BalSht Data'!$G$2:$G$2050,$A45,'BalSht Data'!$A$2:$A$2050,CU$1),#N/A)</f>
        <v>#N/A</v>
      </c>
      <c r="CV45" s="43" t="e">
        <f>IF(CV$1,SUMIFS('BalSht Data'!$H$2:$H$2050,'BalSht Data'!$G$2:$G$2050,$A45,'BalSht Data'!$A$2:$A$2050,CV$1),#N/A)</f>
        <v>#N/A</v>
      </c>
      <c r="CW45" s="43" t="e">
        <f>IF(CW$1,SUMIFS('BalSht Data'!$H$2:$H$2050,'BalSht Data'!$G$2:$G$2050,$A45,'BalSht Data'!$A$2:$A$2050,CW$1),#N/A)</f>
        <v>#N/A</v>
      </c>
      <c r="CX45" s="43" t="e">
        <f>IF(CX$1,SUMIFS('BalSht Data'!$H$2:$H$2050,'BalSht Data'!$G$2:$G$2050,$A45,'BalSht Data'!$A$2:$A$2050,CX$1),#N/A)</f>
        <v>#N/A</v>
      </c>
      <c r="CY45" s="43" t="e">
        <f>IF(CY$1,SUMIFS('BalSht Data'!$H$2:$H$2050,'BalSht Data'!$G$2:$G$2050,$A45,'BalSht Data'!$A$2:$A$2050,CY$1),#N/A)</f>
        <v>#N/A</v>
      </c>
      <c r="CZ45" s="43" t="e">
        <f>IF(CZ$1,SUMIFS('BalSht Data'!$H$2:$H$2050,'BalSht Data'!$G$2:$G$2050,$A45,'BalSht Data'!$A$2:$A$2050,CZ$1),#N/A)</f>
        <v>#N/A</v>
      </c>
      <c r="DA45" s="43">
        <f>SUM(B45:AJ45)</f>
        <v>-1139000</v>
      </c>
    </row>
    <row r="46" spans="1:105" s="40" customFormat="1" x14ac:dyDescent="0.2">
      <c r="A46" s="52" t="s">
        <v>139</v>
      </c>
      <c r="B46" s="43">
        <f>IF(B$1,SUMIFS('BalSht Data'!$H$2:$H$2050,'BalSht Data'!$G$2:$G$2050,$A46,'BalSht Data'!$A$2:$A$2050,B$1),#N/A)</f>
        <v>0</v>
      </c>
      <c r="C46" s="43">
        <f>IF(C$1,SUMIFS('BalSht Data'!$H$2:$H$2050,'BalSht Data'!$G$2:$G$2050,$A46,'BalSht Data'!$A$2:$A$2050,C$1),#N/A)</f>
        <v>0</v>
      </c>
      <c r="D46" s="43">
        <f>IF(D$1,SUMIFS('BalSht Data'!$H$2:$H$2050,'BalSht Data'!$G$2:$G$2050,$A46,'BalSht Data'!$A$2:$A$2050,D$1),#N/A)</f>
        <v>0</v>
      </c>
      <c r="E46" s="43">
        <f>IF(E$1,SUMIFS('BalSht Data'!$H$2:$H$2050,'BalSht Data'!$G$2:$G$2050,$A46,'BalSht Data'!$A$2:$A$2050,E$1),#N/A)</f>
        <v>0</v>
      </c>
      <c r="F46" s="43">
        <f>IF(F$1,SUMIFS('BalSht Data'!$H$2:$H$2050,'BalSht Data'!$G$2:$G$2050,$A46,'BalSht Data'!$A$2:$A$2050,F$1),#N/A)</f>
        <v>0</v>
      </c>
      <c r="G46" s="43">
        <f>IF(G$1,SUMIFS('BalSht Data'!$H$2:$H$2050,'BalSht Data'!$G$2:$G$2050,$A46,'BalSht Data'!$A$2:$A$2050,G$1),#N/A)</f>
        <v>0</v>
      </c>
      <c r="H46" s="43">
        <f>IF(H$1,SUMIFS('BalSht Data'!$H$2:$H$2050,'BalSht Data'!$G$2:$G$2050,$A46,'BalSht Data'!$A$2:$A$2050,H$1),#N/A)</f>
        <v>0</v>
      </c>
      <c r="I46" s="43">
        <f>IF(I$1,SUMIFS('BalSht Data'!$H$2:$H$2050,'BalSht Data'!$G$2:$G$2050,$A46,'BalSht Data'!$A$2:$A$2050,I$1),#N/A)</f>
        <v>0</v>
      </c>
      <c r="J46" s="43">
        <f>IF(J$1,SUMIFS('BalSht Data'!$H$2:$H$2050,'BalSht Data'!$G$2:$G$2050,$A46,'BalSht Data'!$A$2:$A$2050,J$1),#N/A)</f>
        <v>0</v>
      </c>
      <c r="K46" s="43">
        <f>IF(K$1,SUMIFS('BalSht Data'!$H$2:$H$2050,'BalSht Data'!$G$2:$G$2050,$A46,'BalSht Data'!$A$2:$A$2050,K$1),#N/A)</f>
        <v>0</v>
      </c>
      <c r="L46" s="43">
        <f>IF(L$1,SUMIFS('BalSht Data'!$H$2:$H$2050,'BalSht Data'!$G$2:$G$2050,$A46,'BalSht Data'!$A$2:$A$2050,L$1),#N/A)</f>
        <v>0</v>
      </c>
      <c r="M46" s="43">
        <f>IF(M$1,SUMIFS('BalSht Data'!$H$2:$H$2050,'BalSht Data'!$G$2:$G$2050,$A46,'BalSht Data'!$A$2:$A$2050,M$1),#N/A)</f>
        <v>0</v>
      </c>
      <c r="N46" s="43">
        <f>IF(N$1,SUMIFS('BalSht Data'!$H$2:$H$2050,'BalSht Data'!$G$2:$G$2050,$A46,'BalSht Data'!$A$2:$A$2050,N$1),#N/A)</f>
        <v>0</v>
      </c>
      <c r="O46" s="43">
        <f>IF(O$1,SUMIFS('BalSht Data'!$H$2:$H$2050,'BalSht Data'!$G$2:$G$2050,$A46,'BalSht Data'!$A$2:$A$2050,O$1),#N/A)</f>
        <v>0</v>
      </c>
      <c r="P46" s="43">
        <f>IF(P$1,SUMIFS('BalSht Data'!$H$2:$H$2050,'BalSht Data'!$G$2:$G$2050,$A46,'BalSht Data'!$A$2:$A$2050,P$1),#N/A)</f>
        <v>0</v>
      </c>
      <c r="Q46" s="43">
        <f>IF(Q$1,SUMIFS('BalSht Data'!$H$2:$H$2050,'BalSht Data'!$G$2:$G$2050,$A46,'BalSht Data'!$A$2:$A$2050,Q$1),#N/A)</f>
        <v>0</v>
      </c>
      <c r="R46" s="43">
        <f>IF(R$1,SUMIFS('BalSht Data'!$H$2:$H$2050,'BalSht Data'!$G$2:$G$2050,$A46,'BalSht Data'!$A$2:$A$2050,R$1),#N/A)</f>
        <v>0</v>
      </c>
      <c r="S46" s="43">
        <f>IF(S$1,SUMIFS('BalSht Data'!$H$2:$H$2050,'BalSht Data'!$G$2:$G$2050,$A46,'BalSht Data'!$A$2:$A$2050,S$1),#N/A)</f>
        <v>0</v>
      </c>
      <c r="T46" s="43">
        <f>IF(T$1,SUMIFS('BalSht Data'!$H$2:$H$2050,'BalSht Data'!$G$2:$G$2050,$A46,'BalSht Data'!$A$2:$A$2050,T$1),#N/A)</f>
        <v>0</v>
      </c>
      <c r="U46" s="43">
        <f>IF(U$1,SUMIFS('BalSht Data'!$H$2:$H$2050,'BalSht Data'!$G$2:$G$2050,$A46,'BalSht Data'!$A$2:$A$2050,U$1),#N/A)</f>
        <v>0</v>
      </c>
      <c r="V46" s="43">
        <f>IF(V$1,SUMIFS('BalSht Data'!$H$2:$H$2050,'BalSht Data'!$G$2:$G$2050,$A46,'BalSht Data'!$A$2:$A$2050,V$1),#N/A)</f>
        <v>0</v>
      </c>
      <c r="W46" s="43">
        <f>IF(W$1,SUMIFS('BalSht Data'!$H$2:$H$2050,'BalSht Data'!$G$2:$G$2050,$A46,'BalSht Data'!$A$2:$A$2050,W$1),#N/A)</f>
        <v>0</v>
      </c>
      <c r="X46" s="43">
        <f>IF(X$1,SUMIFS('BalSht Data'!$H$2:$H$2050,'BalSht Data'!$G$2:$G$2050,$A46,'BalSht Data'!$A$2:$A$2050,X$1),#N/A)</f>
        <v>0</v>
      </c>
      <c r="Y46" s="43">
        <f>IF(Y$1,SUMIFS('BalSht Data'!$H$2:$H$2050,'BalSht Data'!$G$2:$G$2050,$A46,'BalSht Data'!$A$2:$A$2050,Y$1),#N/A)</f>
        <v>0</v>
      </c>
      <c r="Z46" s="43">
        <f>IF(Z$1,SUMIFS('BalSht Data'!$H$2:$H$2050,'BalSht Data'!$G$2:$G$2050,$A46,'BalSht Data'!$A$2:$A$2050,Z$1),#N/A)</f>
        <v>0</v>
      </c>
      <c r="AA46" s="43">
        <f>IF(AA$1,SUMIFS('BalSht Data'!$H$2:$H$2050,'BalSht Data'!$G$2:$G$2050,$A46,'BalSht Data'!$A$2:$A$2050,AA$1),#N/A)</f>
        <v>0</v>
      </c>
      <c r="AB46" s="43">
        <f>IF(AB$1,SUMIFS('BalSht Data'!$H$2:$H$2050,'BalSht Data'!$G$2:$G$2050,$A46,'BalSht Data'!$A$2:$A$2050,AB$1),#N/A)</f>
        <v>0</v>
      </c>
      <c r="AC46" s="43">
        <f>IF(AC$1,SUMIFS('BalSht Data'!$H$2:$H$2050,'BalSht Data'!$G$2:$G$2050,$A46,'BalSht Data'!$A$2:$A$2050,AC$1),#N/A)</f>
        <v>0</v>
      </c>
      <c r="AD46" s="43">
        <f>IF(AD$1,SUMIFS('BalSht Data'!$H$2:$H$2050,'BalSht Data'!$G$2:$G$2050,$A46,'BalSht Data'!$A$2:$A$2050,AD$1),#N/A)</f>
        <v>0</v>
      </c>
      <c r="AE46" s="43">
        <f>IF(AE$1,SUMIFS('BalSht Data'!$H$2:$H$2050,'BalSht Data'!$G$2:$G$2050,$A46,'BalSht Data'!$A$2:$A$2050,AE$1),#N/A)</f>
        <v>0</v>
      </c>
      <c r="AF46" s="43">
        <f>IF(AF$1,SUMIFS('BalSht Data'!$H$2:$H$2050,'BalSht Data'!$G$2:$G$2050,$A46,'BalSht Data'!$A$2:$A$2050,AF$1),#N/A)</f>
        <v>0</v>
      </c>
      <c r="AG46" s="43">
        <f>IF(AG$1,SUMIFS('BalSht Data'!$H$2:$H$2050,'BalSht Data'!$G$2:$G$2050,$A46,'BalSht Data'!$A$2:$A$2050,AG$1),#N/A)</f>
        <v>0</v>
      </c>
      <c r="AH46" s="43">
        <f>IF(AH$1,SUMIFS('BalSht Data'!$H$2:$H$2050,'BalSht Data'!$G$2:$G$2050,$A46,'BalSht Data'!$A$2:$A$2050,AH$1),#N/A)</f>
        <v>0</v>
      </c>
      <c r="AI46" s="43">
        <f>IF(AI$1,SUMIFS('BalSht Data'!$H$2:$H$2050,'BalSht Data'!$G$2:$G$2050,$A46,'BalSht Data'!$A$2:$A$2050,AI$1),#N/A)</f>
        <v>0</v>
      </c>
      <c r="AJ46" s="43">
        <f>IF(AJ$1,SUMIFS('BalSht Data'!$H$2:$H$2050,'BalSht Data'!$G$2:$G$2050,$A46,'BalSht Data'!$A$2:$A$2050,AJ$1),#N/A)</f>
        <v>0</v>
      </c>
      <c r="AK46" s="43" t="e">
        <f>IF(AK$1,SUMIFS('BalSht Data'!$H$2:$H$2050,'BalSht Data'!$G$2:$G$2050,$A46,'BalSht Data'!$A$2:$A$2050,AK$1),#N/A)</f>
        <v>#N/A</v>
      </c>
      <c r="AL46" s="43" t="e">
        <f>IF(AL$1,SUMIFS('BalSht Data'!$H$2:$H$2050,'BalSht Data'!$G$2:$G$2050,$A46,'BalSht Data'!$A$2:$A$2050,AL$1),#N/A)</f>
        <v>#N/A</v>
      </c>
      <c r="AM46" s="43" t="e">
        <f>IF(AM$1,SUMIFS('BalSht Data'!$H$2:$H$2050,'BalSht Data'!$G$2:$G$2050,$A46,'BalSht Data'!$A$2:$A$2050,AM$1),#N/A)</f>
        <v>#N/A</v>
      </c>
      <c r="AN46" s="43" t="e">
        <f>IF(AN$1,SUMIFS('BalSht Data'!$H$2:$H$2050,'BalSht Data'!$G$2:$G$2050,$A46,'BalSht Data'!$A$2:$A$2050,AN$1),#N/A)</f>
        <v>#N/A</v>
      </c>
      <c r="AO46" s="43" t="e">
        <f>IF(AO$1,SUMIFS('BalSht Data'!$H$2:$H$2050,'BalSht Data'!$G$2:$G$2050,$A46,'BalSht Data'!$A$2:$A$2050,AO$1),#N/A)</f>
        <v>#N/A</v>
      </c>
      <c r="AP46" s="43" t="e">
        <f>IF(AP$1,SUMIFS('BalSht Data'!$H$2:$H$2050,'BalSht Data'!$G$2:$G$2050,$A46,'BalSht Data'!$A$2:$A$2050,AP$1),#N/A)</f>
        <v>#N/A</v>
      </c>
      <c r="AQ46" s="43" t="e">
        <f>IF(AQ$1,SUMIFS('BalSht Data'!$H$2:$H$2050,'BalSht Data'!$G$2:$G$2050,$A46,'BalSht Data'!$A$2:$A$2050,AQ$1),#N/A)</f>
        <v>#N/A</v>
      </c>
      <c r="AR46" s="43" t="e">
        <f>IF(AR$1,SUMIFS('BalSht Data'!$H$2:$H$2050,'BalSht Data'!$G$2:$G$2050,$A46,'BalSht Data'!$A$2:$A$2050,AR$1),#N/A)</f>
        <v>#N/A</v>
      </c>
      <c r="AS46" s="43" t="e">
        <f>IF(AS$1,SUMIFS('BalSht Data'!$H$2:$H$2050,'BalSht Data'!$G$2:$G$2050,$A46,'BalSht Data'!$A$2:$A$2050,AS$1),#N/A)</f>
        <v>#N/A</v>
      </c>
      <c r="AT46" s="43" t="e">
        <f>IF(AT$1,SUMIFS('BalSht Data'!$H$2:$H$2050,'BalSht Data'!$G$2:$G$2050,$A46,'BalSht Data'!$A$2:$A$2050,AT$1),#N/A)</f>
        <v>#N/A</v>
      </c>
      <c r="AU46" s="43" t="e">
        <f>IF(AU$1,SUMIFS('BalSht Data'!$H$2:$H$2050,'BalSht Data'!$G$2:$G$2050,$A46,'BalSht Data'!$A$2:$A$2050,AU$1),#N/A)</f>
        <v>#N/A</v>
      </c>
      <c r="AV46" s="43" t="e">
        <f>IF(AV$1,SUMIFS('BalSht Data'!$H$2:$H$2050,'BalSht Data'!$G$2:$G$2050,$A46,'BalSht Data'!$A$2:$A$2050,AV$1),#N/A)</f>
        <v>#N/A</v>
      </c>
      <c r="AW46" s="43" t="e">
        <f>IF(AW$1,SUMIFS('BalSht Data'!$H$2:$H$2050,'BalSht Data'!$G$2:$G$2050,$A46,'BalSht Data'!$A$2:$A$2050,AW$1),#N/A)</f>
        <v>#N/A</v>
      </c>
      <c r="AX46" s="43" t="e">
        <f>IF(AX$1,SUMIFS('BalSht Data'!$H$2:$H$2050,'BalSht Data'!$G$2:$G$2050,$A46,'BalSht Data'!$A$2:$A$2050,AX$1),#N/A)</f>
        <v>#N/A</v>
      </c>
      <c r="AY46" s="43" t="e">
        <f>IF(AY$1,SUMIFS('BalSht Data'!$H$2:$H$2050,'BalSht Data'!$G$2:$G$2050,$A46,'BalSht Data'!$A$2:$A$2050,AY$1),#N/A)</f>
        <v>#N/A</v>
      </c>
      <c r="AZ46" s="43" t="e">
        <f>IF(AZ$1,SUMIFS('BalSht Data'!$H$2:$H$2050,'BalSht Data'!$G$2:$G$2050,$A46,'BalSht Data'!$A$2:$A$2050,AZ$1),#N/A)</f>
        <v>#N/A</v>
      </c>
      <c r="BA46" s="43" t="e">
        <f>IF(BA$1,SUMIFS('BalSht Data'!$H$2:$H$2050,'BalSht Data'!$G$2:$G$2050,$A46,'BalSht Data'!$A$2:$A$2050,BA$1),#N/A)</f>
        <v>#N/A</v>
      </c>
      <c r="BB46" s="43" t="e">
        <f>IF(BB$1,SUMIFS('BalSht Data'!$H$2:$H$2050,'BalSht Data'!$G$2:$G$2050,$A46,'BalSht Data'!$A$2:$A$2050,BB$1),#N/A)</f>
        <v>#N/A</v>
      </c>
      <c r="BC46" s="43" t="e">
        <f>IF(BC$1,SUMIFS('BalSht Data'!$H$2:$H$2050,'BalSht Data'!$G$2:$G$2050,$A46,'BalSht Data'!$A$2:$A$2050,BC$1),#N/A)</f>
        <v>#N/A</v>
      </c>
      <c r="BD46" s="43" t="e">
        <f>IF(BD$1,SUMIFS('BalSht Data'!$H$2:$H$2050,'BalSht Data'!$G$2:$G$2050,$A46,'BalSht Data'!$A$2:$A$2050,BD$1),#N/A)</f>
        <v>#N/A</v>
      </c>
      <c r="BE46" s="43" t="e">
        <f>IF(BE$1,SUMIFS('BalSht Data'!$H$2:$H$2050,'BalSht Data'!$G$2:$G$2050,$A46,'BalSht Data'!$A$2:$A$2050,BE$1),#N/A)</f>
        <v>#N/A</v>
      </c>
      <c r="BF46" s="43" t="e">
        <f>IF(BF$1,SUMIFS('BalSht Data'!$H$2:$H$2050,'BalSht Data'!$G$2:$G$2050,$A46,'BalSht Data'!$A$2:$A$2050,BF$1),#N/A)</f>
        <v>#N/A</v>
      </c>
      <c r="BG46" s="43" t="e">
        <f>IF(BG$1,SUMIFS('BalSht Data'!$H$2:$H$2050,'BalSht Data'!$G$2:$G$2050,$A46,'BalSht Data'!$A$2:$A$2050,BG$1),#N/A)</f>
        <v>#N/A</v>
      </c>
      <c r="BH46" s="43" t="e">
        <f>IF(BH$1,SUMIFS('BalSht Data'!$H$2:$H$2050,'BalSht Data'!$G$2:$G$2050,$A46,'BalSht Data'!$A$2:$A$2050,BH$1),#N/A)</f>
        <v>#N/A</v>
      </c>
      <c r="BI46" s="43" t="e">
        <f>IF(BI$1,SUMIFS('BalSht Data'!$H$2:$H$2050,'BalSht Data'!$G$2:$G$2050,$A46,'BalSht Data'!$A$2:$A$2050,BI$1),#N/A)</f>
        <v>#N/A</v>
      </c>
      <c r="BJ46" s="43" t="e">
        <f>IF(BJ$1,SUMIFS('BalSht Data'!$H$2:$H$2050,'BalSht Data'!$G$2:$G$2050,$A46,'BalSht Data'!$A$2:$A$2050,BJ$1),#N/A)</f>
        <v>#N/A</v>
      </c>
      <c r="BK46" s="43" t="e">
        <f>IF(BK$1,SUMIFS('BalSht Data'!$H$2:$H$2050,'BalSht Data'!$G$2:$G$2050,$A46,'BalSht Data'!$A$2:$A$2050,BK$1),#N/A)</f>
        <v>#N/A</v>
      </c>
      <c r="BL46" s="43" t="e">
        <f>IF(BL$1,SUMIFS('BalSht Data'!$H$2:$H$2050,'BalSht Data'!$G$2:$G$2050,$A46,'BalSht Data'!$A$2:$A$2050,BL$1),#N/A)</f>
        <v>#N/A</v>
      </c>
      <c r="BM46" s="43" t="e">
        <f>IF(BM$1,SUMIFS('BalSht Data'!$H$2:$H$2050,'BalSht Data'!$G$2:$G$2050,$A46,'BalSht Data'!$A$2:$A$2050,BM$1),#N/A)</f>
        <v>#N/A</v>
      </c>
      <c r="BN46" s="43" t="e">
        <f>IF(BN$1,SUMIFS('BalSht Data'!$H$2:$H$2050,'BalSht Data'!$G$2:$G$2050,$A46,'BalSht Data'!$A$2:$A$2050,BN$1),#N/A)</f>
        <v>#N/A</v>
      </c>
      <c r="BO46" s="43" t="e">
        <f>IF(BO$1,SUMIFS('BalSht Data'!$H$2:$H$2050,'BalSht Data'!$G$2:$G$2050,$A46,'BalSht Data'!$A$2:$A$2050,BO$1),#N/A)</f>
        <v>#N/A</v>
      </c>
      <c r="BP46" s="43" t="e">
        <f>IF(BP$1,SUMIFS('BalSht Data'!$H$2:$H$2050,'BalSht Data'!$G$2:$G$2050,$A46,'BalSht Data'!$A$2:$A$2050,BP$1),#N/A)</f>
        <v>#N/A</v>
      </c>
      <c r="BQ46" s="43" t="e">
        <f>IF(BQ$1,SUMIFS('BalSht Data'!$H$2:$H$2050,'BalSht Data'!$G$2:$G$2050,$A46,'BalSht Data'!$A$2:$A$2050,BQ$1),#N/A)</f>
        <v>#N/A</v>
      </c>
      <c r="BR46" s="43" t="e">
        <f>IF(BR$1,SUMIFS('BalSht Data'!$H$2:$H$2050,'BalSht Data'!$G$2:$G$2050,$A46,'BalSht Data'!$A$2:$A$2050,BR$1),#N/A)</f>
        <v>#N/A</v>
      </c>
      <c r="BS46" s="43" t="e">
        <f>IF(BS$1,SUMIFS('BalSht Data'!$H$2:$H$2050,'BalSht Data'!$G$2:$G$2050,$A46,'BalSht Data'!$A$2:$A$2050,BS$1),#N/A)</f>
        <v>#N/A</v>
      </c>
      <c r="BT46" s="43" t="e">
        <f>IF(BT$1,SUMIFS('BalSht Data'!$H$2:$H$2050,'BalSht Data'!$G$2:$G$2050,$A46,'BalSht Data'!$A$2:$A$2050,BT$1),#N/A)</f>
        <v>#N/A</v>
      </c>
      <c r="BU46" s="43" t="e">
        <f>IF(BU$1,SUMIFS('BalSht Data'!$H$2:$H$2050,'BalSht Data'!$G$2:$G$2050,$A46,'BalSht Data'!$A$2:$A$2050,BU$1),#N/A)</f>
        <v>#N/A</v>
      </c>
      <c r="BV46" s="43" t="e">
        <f>IF(BV$1,SUMIFS('BalSht Data'!$H$2:$H$2050,'BalSht Data'!$G$2:$G$2050,$A46,'BalSht Data'!$A$2:$A$2050,BV$1),#N/A)</f>
        <v>#N/A</v>
      </c>
      <c r="BW46" s="43" t="e">
        <f>IF(BW$1,SUMIFS('BalSht Data'!$H$2:$H$2050,'BalSht Data'!$G$2:$G$2050,$A46,'BalSht Data'!$A$2:$A$2050,BW$1),#N/A)</f>
        <v>#N/A</v>
      </c>
      <c r="BX46" s="43" t="e">
        <f>IF(BX$1,SUMIFS('BalSht Data'!$H$2:$H$2050,'BalSht Data'!$G$2:$G$2050,$A46,'BalSht Data'!$A$2:$A$2050,BX$1),#N/A)</f>
        <v>#N/A</v>
      </c>
      <c r="BY46" s="43" t="e">
        <f>IF(BY$1,SUMIFS('BalSht Data'!$H$2:$H$2050,'BalSht Data'!$G$2:$G$2050,$A46,'BalSht Data'!$A$2:$A$2050,BY$1),#N/A)</f>
        <v>#N/A</v>
      </c>
      <c r="BZ46" s="43" t="e">
        <f>IF(BZ$1,SUMIFS('BalSht Data'!$H$2:$H$2050,'BalSht Data'!$G$2:$G$2050,$A46,'BalSht Data'!$A$2:$A$2050,BZ$1),#N/A)</f>
        <v>#N/A</v>
      </c>
      <c r="CA46" s="43" t="e">
        <f>IF(CA$1,SUMIFS('BalSht Data'!$H$2:$H$2050,'BalSht Data'!$G$2:$G$2050,$A46,'BalSht Data'!$A$2:$A$2050,CA$1),#N/A)</f>
        <v>#N/A</v>
      </c>
      <c r="CB46" s="43" t="e">
        <f>IF(CB$1,SUMIFS('BalSht Data'!$H$2:$H$2050,'BalSht Data'!$G$2:$G$2050,$A46,'BalSht Data'!$A$2:$A$2050,CB$1),#N/A)</f>
        <v>#N/A</v>
      </c>
      <c r="CC46" s="43" t="e">
        <f>IF(CC$1,SUMIFS('BalSht Data'!$H$2:$H$2050,'BalSht Data'!$G$2:$G$2050,$A46,'BalSht Data'!$A$2:$A$2050,CC$1),#N/A)</f>
        <v>#N/A</v>
      </c>
      <c r="CD46" s="43" t="e">
        <f>IF(CD$1,SUMIFS('BalSht Data'!$H$2:$H$2050,'BalSht Data'!$G$2:$G$2050,$A46,'BalSht Data'!$A$2:$A$2050,CD$1),#N/A)</f>
        <v>#N/A</v>
      </c>
      <c r="CE46" s="43" t="e">
        <f>IF(CE$1,SUMIFS('BalSht Data'!$H$2:$H$2050,'BalSht Data'!$G$2:$G$2050,$A46,'BalSht Data'!$A$2:$A$2050,CE$1),#N/A)</f>
        <v>#N/A</v>
      </c>
      <c r="CF46" s="43" t="e">
        <f>IF(CF$1,SUMIFS('BalSht Data'!$H$2:$H$2050,'BalSht Data'!$G$2:$G$2050,$A46,'BalSht Data'!$A$2:$A$2050,CF$1),#N/A)</f>
        <v>#N/A</v>
      </c>
      <c r="CG46" s="43" t="e">
        <f>IF(CG$1,SUMIFS('BalSht Data'!$H$2:$H$2050,'BalSht Data'!$G$2:$G$2050,$A46,'BalSht Data'!$A$2:$A$2050,CG$1),#N/A)</f>
        <v>#N/A</v>
      </c>
      <c r="CH46" s="43" t="e">
        <f>IF(CH$1,SUMIFS('BalSht Data'!$H$2:$H$2050,'BalSht Data'!$G$2:$G$2050,$A46,'BalSht Data'!$A$2:$A$2050,CH$1),#N/A)</f>
        <v>#N/A</v>
      </c>
      <c r="CI46" s="43" t="e">
        <f>IF(CI$1,SUMIFS('BalSht Data'!$H$2:$H$2050,'BalSht Data'!$G$2:$G$2050,$A46,'BalSht Data'!$A$2:$A$2050,CI$1),#N/A)</f>
        <v>#N/A</v>
      </c>
      <c r="CJ46" s="43" t="e">
        <f>IF(CJ$1,SUMIFS('BalSht Data'!$H$2:$H$2050,'BalSht Data'!$G$2:$G$2050,$A46,'BalSht Data'!$A$2:$A$2050,CJ$1),#N/A)</f>
        <v>#N/A</v>
      </c>
      <c r="CK46" s="43" t="e">
        <f>IF(CK$1,SUMIFS('BalSht Data'!$H$2:$H$2050,'BalSht Data'!$G$2:$G$2050,$A46,'BalSht Data'!$A$2:$A$2050,CK$1),#N/A)</f>
        <v>#N/A</v>
      </c>
      <c r="CL46" s="43" t="e">
        <f>IF(CL$1,SUMIFS('BalSht Data'!$H$2:$H$2050,'BalSht Data'!$G$2:$G$2050,$A46,'BalSht Data'!$A$2:$A$2050,CL$1),#N/A)</f>
        <v>#N/A</v>
      </c>
      <c r="CM46" s="43" t="e">
        <f>IF(CM$1,SUMIFS('BalSht Data'!$H$2:$H$2050,'BalSht Data'!$G$2:$G$2050,$A46,'BalSht Data'!$A$2:$A$2050,CM$1),#N/A)</f>
        <v>#N/A</v>
      </c>
      <c r="CN46" s="43" t="e">
        <f>IF(CN$1,SUMIFS('BalSht Data'!$H$2:$H$2050,'BalSht Data'!$G$2:$G$2050,$A46,'BalSht Data'!$A$2:$A$2050,CN$1),#N/A)</f>
        <v>#N/A</v>
      </c>
      <c r="CO46" s="43" t="e">
        <f>IF(CO$1,SUMIFS('BalSht Data'!$H$2:$H$2050,'BalSht Data'!$G$2:$G$2050,$A46,'BalSht Data'!$A$2:$A$2050,CO$1),#N/A)</f>
        <v>#N/A</v>
      </c>
      <c r="CP46" s="43" t="e">
        <f>IF(CP$1,SUMIFS('BalSht Data'!$H$2:$H$2050,'BalSht Data'!$G$2:$G$2050,$A46,'BalSht Data'!$A$2:$A$2050,CP$1),#N/A)</f>
        <v>#N/A</v>
      </c>
      <c r="CQ46" s="43" t="e">
        <f>IF(CQ$1,SUMIFS('BalSht Data'!$H$2:$H$2050,'BalSht Data'!$G$2:$G$2050,$A46,'BalSht Data'!$A$2:$A$2050,CQ$1),#N/A)</f>
        <v>#N/A</v>
      </c>
      <c r="CR46" s="43" t="e">
        <f>IF(CR$1,SUMIFS('BalSht Data'!$H$2:$H$2050,'BalSht Data'!$G$2:$G$2050,$A46,'BalSht Data'!$A$2:$A$2050,CR$1),#N/A)</f>
        <v>#N/A</v>
      </c>
      <c r="CS46" s="43" t="e">
        <f>IF(CS$1,SUMIFS('BalSht Data'!$H$2:$H$2050,'BalSht Data'!$G$2:$G$2050,$A46,'BalSht Data'!$A$2:$A$2050,CS$1),#N/A)</f>
        <v>#N/A</v>
      </c>
      <c r="CT46" s="43" t="e">
        <f>IF(CT$1,SUMIFS('BalSht Data'!$H$2:$H$2050,'BalSht Data'!$G$2:$G$2050,$A46,'BalSht Data'!$A$2:$A$2050,CT$1),#N/A)</f>
        <v>#N/A</v>
      </c>
      <c r="CU46" s="43" t="e">
        <f>IF(CU$1,SUMIFS('BalSht Data'!$H$2:$H$2050,'BalSht Data'!$G$2:$G$2050,$A46,'BalSht Data'!$A$2:$A$2050,CU$1),#N/A)</f>
        <v>#N/A</v>
      </c>
      <c r="CV46" s="43" t="e">
        <f>IF(CV$1,SUMIFS('BalSht Data'!$H$2:$H$2050,'BalSht Data'!$G$2:$G$2050,$A46,'BalSht Data'!$A$2:$A$2050,CV$1),#N/A)</f>
        <v>#N/A</v>
      </c>
      <c r="CW46" s="43" t="e">
        <f>IF(CW$1,SUMIFS('BalSht Data'!$H$2:$H$2050,'BalSht Data'!$G$2:$G$2050,$A46,'BalSht Data'!$A$2:$A$2050,CW$1),#N/A)</f>
        <v>#N/A</v>
      </c>
      <c r="CX46" s="43" t="e">
        <f>IF(CX$1,SUMIFS('BalSht Data'!$H$2:$H$2050,'BalSht Data'!$G$2:$G$2050,$A46,'BalSht Data'!$A$2:$A$2050,CX$1),#N/A)</f>
        <v>#N/A</v>
      </c>
      <c r="CY46" s="43" t="e">
        <f>IF(CY$1,SUMIFS('BalSht Data'!$H$2:$H$2050,'BalSht Data'!$G$2:$G$2050,$A46,'BalSht Data'!$A$2:$A$2050,CY$1),#N/A)</f>
        <v>#N/A</v>
      </c>
      <c r="CZ46" s="43" t="e">
        <f>IF(CZ$1,SUMIFS('BalSht Data'!$H$2:$H$2050,'BalSht Data'!$G$2:$G$2050,$A46,'BalSht Data'!$A$2:$A$2050,CZ$1),#N/A)</f>
        <v>#N/A</v>
      </c>
      <c r="DA46" s="43">
        <f>SUM(B46:AJ46)</f>
        <v>0</v>
      </c>
    </row>
    <row r="47" spans="1:105" s="40" customFormat="1" x14ac:dyDescent="0.2">
      <c r="A47" s="52" t="s">
        <v>26</v>
      </c>
      <c r="B47" s="43">
        <f>IF(B$1,SUMIFS('BalSht Data'!$H$2:$H$2050,'BalSht Data'!$G$2:$G$2050,$A47,'BalSht Data'!$A$2:$A$2050,B$1),#N/A)</f>
        <v>1591</v>
      </c>
      <c r="C47" s="43">
        <f>IF(C$1,SUMIFS('BalSht Data'!$H$2:$H$2050,'BalSht Data'!$G$2:$G$2050,$A47,'BalSht Data'!$A$2:$A$2050,C$1),#N/A)</f>
        <v>1103</v>
      </c>
      <c r="D47" s="43">
        <f>IF(D$1,SUMIFS('BalSht Data'!$H$2:$H$2050,'BalSht Data'!$G$2:$G$2050,$A47,'BalSht Data'!$A$2:$A$2050,D$1),#N/A)</f>
        <v>1072</v>
      </c>
      <c r="E47" s="43">
        <f>IF(E$1,SUMIFS('BalSht Data'!$H$2:$H$2050,'BalSht Data'!$G$2:$G$2050,$A47,'BalSht Data'!$A$2:$A$2050,E$1),#N/A)</f>
        <v>6066</v>
      </c>
      <c r="F47" s="43">
        <f>IF(F$1,SUMIFS('BalSht Data'!$H$2:$H$2050,'BalSht Data'!$G$2:$G$2050,$A47,'BalSht Data'!$A$2:$A$2050,F$1),#N/A)</f>
        <v>2888</v>
      </c>
      <c r="G47" s="43">
        <f>IF(G$1,SUMIFS('BalSht Data'!$H$2:$H$2050,'BalSht Data'!$G$2:$G$2050,$A47,'BalSht Data'!$A$2:$A$2050,G$1),#N/A)</f>
        <v>3132</v>
      </c>
      <c r="H47" s="43">
        <f>IF(H$1,SUMIFS('BalSht Data'!$H$2:$H$2050,'BalSht Data'!$G$2:$G$2050,$A47,'BalSht Data'!$A$2:$A$2050,H$1),#N/A)</f>
        <v>2184</v>
      </c>
      <c r="I47" s="43">
        <f>IF(I$1,SUMIFS('BalSht Data'!$H$2:$H$2050,'BalSht Data'!$G$2:$G$2050,$A47,'BalSht Data'!$A$2:$A$2050,I$1),#N/A)</f>
        <v>1759</v>
      </c>
      <c r="J47" s="43">
        <f>IF(J$1,SUMIFS('BalSht Data'!$H$2:$H$2050,'BalSht Data'!$G$2:$G$2050,$A47,'BalSht Data'!$A$2:$A$2050,J$1),#N/A)</f>
        <v>4152</v>
      </c>
      <c r="K47" s="43">
        <f>IF(K$1,SUMIFS('BalSht Data'!$H$2:$H$2050,'BalSht Data'!$G$2:$G$2050,$A47,'BalSht Data'!$A$2:$A$2050,K$1),#N/A)</f>
        <v>1520</v>
      </c>
      <c r="L47" s="43">
        <f>IF(L$1,SUMIFS('BalSht Data'!$H$2:$H$2050,'BalSht Data'!$G$2:$G$2050,$A47,'BalSht Data'!$A$2:$A$2050,L$1),#N/A)</f>
        <v>1578</v>
      </c>
      <c r="M47" s="43">
        <f>IF(M$1,SUMIFS('BalSht Data'!$H$2:$H$2050,'BalSht Data'!$G$2:$G$2050,$A47,'BalSht Data'!$A$2:$A$2050,M$1),#N/A)</f>
        <v>3586</v>
      </c>
      <c r="N47" s="43">
        <f>IF(N$1,SUMIFS('BalSht Data'!$H$2:$H$2050,'BalSht Data'!$G$2:$G$2050,$A47,'BalSht Data'!$A$2:$A$2050,N$1),#N/A)</f>
        <v>5668</v>
      </c>
      <c r="O47" s="43">
        <f>IF(O$1,SUMIFS('BalSht Data'!$H$2:$H$2050,'BalSht Data'!$G$2:$G$2050,$A47,'BalSht Data'!$A$2:$A$2050,O$1),#N/A)</f>
        <v>2891</v>
      </c>
      <c r="P47" s="43">
        <f>IF(P$1,SUMIFS('BalSht Data'!$H$2:$H$2050,'BalSht Data'!$G$2:$G$2050,$A47,'BalSht Data'!$A$2:$A$2050,P$1),#N/A)</f>
        <v>1815</v>
      </c>
      <c r="Q47" s="43">
        <f>IF(Q$1,SUMIFS('BalSht Data'!$H$2:$H$2050,'BalSht Data'!$G$2:$G$2050,$A47,'BalSht Data'!$A$2:$A$2050,Q$1),#N/A)</f>
        <v>1532</v>
      </c>
      <c r="R47" s="43">
        <f>IF(R$1,SUMIFS('BalSht Data'!$H$2:$H$2050,'BalSht Data'!$G$2:$G$2050,$A47,'BalSht Data'!$A$2:$A$2050,R$1),#N/A)</f>
        <v>1309</v>
      </c>
      <c r="S47" s="43">
        <f>IF(S$1,SUMIFS('BalSht Data'!$H$2:$H$2050,'BalSht Data'!$G$2:$G$2050,$A47,'BalSht Data'!$A$2:$A$2050,S$1),#N/A)</f>
        <v>30688</v>
      </c>
      <c r="T47" s="43">
        <f>IF(T$1,SUMIFS('BalSht Data'!$H$2:$H$2050,'BalSht Data'!$G$2:$G$2050,$A47,'BalSht Data'!$A$2:$A$2050,T$1),#N/A)</f>
        <v>6063</v>
      </c>
      <c r="U47" s="43">
        <f>IF(U$1,SUMIFS('BalSht Data'!$H$2:$H$2050,'BalSht Data'!$G$2:$G$2050,$A47,'BalSht Data'!$A$2:$A$2050,U$1),#N/A)</f>
        <v>79631</v>
      </c>
      <c r="V47" s="43">
        <f>IF(V$1,SUMIFS('BalSht Data'!$H$2:$H$2050,'BalSht Data'!$G$2:$G$2050,$A47,'BalSht Data'!$A$2:$A$2050,V$1),#N/A)</f>
        <v>69339</v>
      </c>
      <c r="W47" s="43">
        <f>IF(W$1,SUMIFS('BalSht Data'!$H$2:$H$2050,'BalSht Data'!$G$2:$G$2050,$A47,'BalSht Data'!$A$2:$A$2050,W$1),#N/A)</f>
        <v>56854</v>
      </c>
      <c r="X47" s="43">
        <f>IF(X$1,SUMIFS('BalSht Data'!$H$2:$H$2050,'BalSht Data'!$G$2:$G$2050,$A47,'BalSht Data'!$A$2:$A$2050,X$1),#N/A)</f>
        <v>48145</v>
      </c>
      <c r="Y47" s="43">
        <f>IF(Y$1,SUMIFS('BalSht Data'!$H$2:$H$2050,'BalSht Data'!$G$2:$G$2050,$A47,'BalSht Data'!$A$2:$A$2050,Y$1),#N/A)</f>
        <v>103770</v>
      </c>
      <c r="Z47" s="43">
        <f>IF(Z$1,SUMIFS('BalSht Data'!$H$2:$H$2050,'BalSht Data'!$G$2:$G$2050,$A47,'BalSht Data'!$A$2:$A$2050,Z$1),#N/A)</f>
        <v>0</v>
      </c>
      <c r="AA47" s="43">
        <f>IF(AA$1,SUMIFS('BalSht Data'!$H$2:$H$2050,'BalSht Data'!$G$2:$G$2050,$A47,'BalSht Data'!$A$2:$A$2050,AA$1),#N/A)</f>
        <v>72833</v>
      </c>
      <c r="AB47" s="43">
        <f>IF(AB$1,SUMIFS('BalSht Data'!$H$2:$H$2050,'BalSht Data'!$G$2:$G$2050,$A47,'BalSht Data'!$A$2:$A$2050,AB$1),#N/A)</f>
        <v>0</v>
      </c>
      <c r="AC47" s="43">
        <f>IF(AC$1,SUMIFS('BalSht Data'!$H$2:$H$2050,'BalSht Data'!$G$2:$G$2050,$A47,'BalSht Data'!$A$2:$A$2050,AC$1),#N/A)</f>
        <v>0</v>
      </c>
      <c r="AD47" s="43">
        <f>IF(AD$1,SUMIFS('BalSht Data'!$H$2:$H$2050,'BalSht Data'!$G$2:$G$2050,$A47,'BalSht Data'!$A$2:$A$2050,AD$1),#N/A)</f>
        <v>98097</v>
      </c>
      <c r="AE47" s="43">
        <f>IF(AE$1,SUMIFS('BalSht Data'!$H$2:$H$2050,'BalSht Data'!$G$2:$G$2050,$A47,'BalSht Data'!$A$2:$A$2050,AE$1),#N/A)</f>
        <v>140385</v>
      </c>
      <c r="AF47" s="43">
        <f>IF(AF$1,SUMIFS('BalSht Data'!$H$2:$H$2050,'BalSht Data'!$G$2:$G$2050,$A47,'BalSht Data'!$A$2:$A$2050,AF$1),#N/A)</f>
        <v>14620</v>
      </c>
      <c r="AG47" s="43">
        <f>IF(AG$1,SUMIFS('BalSht Data'!$H$2:$H$2050,'BalSht Data'!$G$2:$G$2050,$A47,'BalSht Data'!$A$2:$A$2050,AG$1),#N/A)</f>
        <v>71631</v>
      </c>
      <c r="AH47" s="43">
        <f>IF(AH$1,SUMIFS('BalSht Data'!$H$2:$H$2050,'BalSht Data'!$G$2:$G$2050,$A47,'BalSht Data'!$A$2:$A$2050,AH$1),#N/A)</f>
        <v>74636</v>
      </c>
      <c r="AI47" s="43">
        <f>IF(AI$1,SUMIFS('BalSht Data'!$H$2:$H$2050,'BalSht Data'!$G$2:$G$2050,$A47,'BalSht Data'!$A$2:$A$2050,AI$1),#N/A)</f>
        <v>273557</v>
      </c>
      <c r="AJ47" s="43">
        <f>IF(AJ$1,SUMIFS('BalSht Data'!$H$2:$H$2050,'BalSht Data'!$G$2:$G$2050,$A47,'BalSht Data'!$A$2:$A$2050,AJ$1),#N/A)</f>
        <v>22015</v>
      </c>
      <c r="AK47" s="43" t="e">
        <f>IF(AK$1,SUMIFS('BalSht Data'!$H$2:$H$2050,'BalSht Data'!$G$2:$G$2050,$A47,'BalSht Data'!$A$2:$A$2050,AK$1),#N/A)</f>
        <v>#N/A</v>
      </c>
      <c r="AL47" s="43" t="e">
        <f>IF(AL$1,SUMIFS('BalSht Data'!$H$2:$H$2050,'BalSht Data'!$G$2:$G$2050,$A47,'BalSht Data'!$A$2:$A$2050,AL$1),#N/A)</f>
        <v>#N/A</v>
      </c>
      <c r="AM47" s="43" t="e">
        <f>IF(AM$1,SUMIFS('BalSht Data'!$H$2:$H$2050,'BalSht Data'!$G$2:$G$2050,$A47,'BalSht Data'!$A$2:$A$2050,AM$1),#N/A)</f>
        <v>#N/A</v>
      </c>
      <c r="AN47" s="43" t="e">
        <f>IF(AN$1,SUMIFS('BalSht Data'!$H$2:$H$2050,'BalSht Data'!$G$2:$G$2050,$A47,'BalSht Data'!$A$2:$A$2050,AN$1),#N/A)</f>
        <v>#N/A</v>
      </c>
      <c r="AO47" s="43" t="e">
        <f>IF(AO$1,SUMIFS('BalSht Data'!$H$2:$H$2050,'BalSht Data'!$G$2:$G$2050,$A47,'BalSht Data'!$A$2:$A$2050,AO$1),#N/A)</f>
        <v>#N/A</v>
      </c>
      <c r="AP47" s="43" t="e">
        <f>IF(AP$1,SUMIFS('BalSht Data'!$H$2:$H$2050,'BalSht Data'!$G$2:$G$2050,$A47,'BalSht Data'!$A$2:$A$2050,AP$1),#N/A)</f>
        <v>#N/A</v>
      </c>
      <c r="AQ47" s="43" t="e">
        <f>IF(AQ$1,SUMIFS('BalSht Data'!$H$2:$H$2050,'BalSht Data'!$G$2:$G$2050,$A47,'BalSht Data'!$A$2:$A$2050,AQ$1),#N/A)</f>
        <v>#N/A</v>
      </c>
      <c r="AR47" s="43" t="e">
        <f>IF(AR$1,SUMIFS('BalSht Data'!$H$2:$H$2050,'BalSht Data'!$G$2:$G$2050,$A47,'BalSht Data'!$A$2:$A$2050,AR$1),#N/A)</f>
        <v>#N/A</v>
      </c>
      <c r="AS47" s="43" t="e">
        <f>IF(AS$1,SUMIFS('BalSht Data'!$H$2:$H$2050,'BalSht Data'!$G$2:$G$2050,$A47,'BalSht Data'!$A$2:$A$2050,AS$1),#N/A)</f>
        <v>#N/A</v>
      </c>
      <c r="AT47" s="43" t="e">
        <f>IF(AT$1,SUMIFS('BalSht Data'!$H$2:$H$2050,'BalSht Data'!$G$2:$G$2050,$A47,'BalSht Data'!$A$2:$A$2050,AT$1),#N/A)</f>
        <v>#N/A</v>
      </c>
      <c r="AU47" s="43" t="e">
        <f>IF(AU$1,SUMIFS('BalSht Data'!$H$2:$H$2050,'BalSht Data'!$G$2:$G$2050,$A47,'BalSht Data'!$A$2:$A$2050,AU$1),#N/A)</f>
        <v>#N/A</v>
      </c>
      <c r="AV47" s="43" t="e">
        <f>IF(AV$1,SUMIFS('BalSht Data'!$H$2:$H$2050,'BalSht Data'!$G$2:$G$2050,$A47,'BalSht Data'!$A$2:$A$2050,AV$1),#N/A)</f>
        <v>#N/A</v>
      </c>
      <c r="AW47" s="43" t="e">
        <f>IF(AW$1,SUMIFS('BalSht Data'!$H$2:$H$2050,'BalSht Data'!$G$2:$G$2050,$A47,'BalSht Data'!$A$2:$A$2050,AW$1),#N/A)</f>
        <v>#N/A</v>
      </c>
      <c r="AX47" s="43" t="e">
        <f>IF(AX$1,SUMIFS('BalSht Data'!$H$2:$H$2050,'BalSht Data'!$G$2:$G$2050,$A47,'BalSht Data'!$A$2:$A$2050,AX$1),#N/A)</f>
        <v>#N/A</v>
      </c>
      <c r="AY47" s="43" t="e">
        <f>IF(AY$1,SUMIFS('BalSht Data'!$H$2:$H$2050,'BalSht Data'!$G$2:$G$2050,$A47,'BalSht Data'!$A$2:$A$2050,AY$1),#N/A)</f>
        <v>#N/A</v>
      </c>
      <c r="AZ47" s="43" t="e">
        <f>IF(AZ$1,SUMIFS('BalSht Data'!$H$2:$H$2050,'BalSht Data'!$G$2:$G$2050,$A47,'BalSht Data'!$A$2:$A$2050,AZ$1),#N/A)</f>
        <v>#N/A</v>
      </c>
      <c r="BA47" s="43" t="e">
        <f>IF(BA$1,SUMIFS('BalSht Data'!$H$2:$H$2050,'BalSht Data'!$G$2:$G$2050,$A47,'BalSht Data'!$A$2:$A$2050,BA$1),#N/A)</f>
        <v>#N/A</v>
      </c>
      <c r="BB47" s="43" t="e">
        <f>IF(BB$1,SUMIFS('BalSht Data'!$H$2:$H$2050,'BalSht Data'!$G$2:$G$2050,$A47,'BalSht Data'!$A$2:$A$2050,BB$1),#N/A)</f>
        <v>#N/A</v>
      </c>
      <c r="BC47" s="43" t="e">
        <f>IF(BC$1,SUMIFS('BalSht Data'!$H$2:$H$2050,'BalSht Data'!$G$2:$G$2050,$A47,'BalSht Data'!$A$2:$A$2050,BC$1),#N/A)</f>
        <v>#N/A</v>
      </c>
      <c r="BD47" s="43" t="e">
        <f>IF(BD$1,SUMIFS('BalSht Data'!$H$2:$H$2050,'BalSht Data'!$G$2:$G$2050,$A47,'BalSht Data'!$A$2:$A$2050,BD$1),#N/A)</f>
        <v>#N/A</v>
      </c>
      <c r="BE47" s="43" t="e">
        <f>IF(BE$1,SUMIFS('BalSht Data'!$H$2:$H$2050,'BalSht Data'!$G$2:$G$2050,$A47,'BalSht Data'!$A$2:$A$2050,BE$1),#N/A)</f>
        <v>#N/A</v>
      </c>
      <c r="BF47" s="43" t="e">
        <f>IF(BF$1,SUMIFS('BalSht Data'!$H$2:$H$2050,'BalSht Data'!$G$2:$G$2050,$A47,'BalSht Data'!$A$2:$A$2050,BF$1),#N/A)</f>
        <v>#N/A</v>
      </c>
      <c r="BG47" s="43" t="e">
        <f>IF(BG$1,SUMIFS('BalSht Data'!$H$2:$H$2050,'BalSht Data'!$G$2:$G$2050,$A47,'BalSht Data'!$A$2:$A$2050,BG$1),#N/A)</f>
        <v>#N/A</v>
      </c>
      <c r="BH47" s="43" t="e">
        <f>IF(BH$1,SUMIFS('BalSht Data'!$H$2:$H$2050,'BalSht Data'!$G$2:$G$2050,$A47,'BalSht Data'!$A$2:$A$2050,BH$1),#N/A)</f>
        <v>#N/A</v>
      </c>
      <c r="BI47" s="43" t="e">
        <f>IF(BI$1,SUMIFS('BalSht Data'!$H$2:$H$2050,'BalSht Data'!$G$2:$G$2050,$A47,'BalSht Data'!$A$2:$A$2050,BI$1),#N/A)</f>
        <v>#N/A</v>
      </c>
      <c r="BJ47" s="43" t="e">
        <f>IF(BJ$1,SUMIFS('BalSht Data'!$H$2:$H$2050,'BalSht Data'!$G$2:$G$2050,$A47,'BalSht Data'!$A$2:$A$2050,BJ$1),#N/A)</f>
        <v>#N/A</v>
      </c>
      <c r="BK47" s="43" t="e">
        <f>IF(BK$1,SUMIFS('BalSht Data'!$H$2:$H$2050,'BalSht Data'!$G$2:$G$2050,$A47,'BalSht Data'!$A$2:$A$2050,BK$1),#N/A)</f>
        <v>#N/A</v>
      </c>
      <c r="BL47" s="43" t="e">
        <f>IF(BL$1,SUMIFS('BalSht Data'!$H$2:$H$2050,'BalSht Data'!$G$2:$G$2050,$A47,'BalSht Data'!$A$2:$A$2050,BL$1),#N/A)</f>
        <v>#N/A</v>
      </c>
      <c r="BM47" s="43" t="e">
        <f>IF(BM$1,SUMIFS('BalSht Data'!$H$2:$H$2050,'BalSht Data'!$G$2:$G$2050,$A47,'BalSht Data'!$A$2:$A$2050,BM$1),#N/A)</f>
        <v>#N/A</v>
      </c>
      <c r="BN47" s="43" t="e">
        <f>IF(BN$1,SUMIFS('BalSht Data'!$H$2:$H$2050,'BalSht Data'!$G$2:$G$2050,$A47,'BalSht Data'!$A$2:$A$2050,BN$1),#N/A)</f>
        <v>#N/A</v>
      </c>
      <c r="BO47" s="43" t="e">
        <f>IF(BO$1,SUMIFS('BalSht Data'!$H$2:$H$2050,'BalSht Data'!$G$2:$G$2050,$A47,'BalSht Data'!$A$2:$A$2050,BO$1),#N/A)</f>
        <v>#N/A</v>
      </c>
      <c r="BP47" s="43" t="e">
        <f>IF(BP$1,SUMIFS('BalSht Data'!$H$2:$H$2050,'BalSht Data'!$G$2:$G$2050,$A47,'BalSht Data'!$A$2:$A$2050,BP$1),#N/A)</f>
        <v>#N/A</v>
      </c>
      <c r="BQ47" s="43" t="e">
        <f>IF(BQ$1,SUMIFS('BalSht Data'!$H$2:$H$2050,'BalSht Data'!$G$2:$G$2050,$A47,'BalSht Data'!$A$2:$A$2050,BQ$1),#N/A)</f>
        <v>#N/A</v>
      </c>
      <c r="BR47" s="43" t="e">
        <f>IF(BR$1,SUMIFS('BalSht Data'!$H$2:$H$2050,'BalSht Data'!$G$2:$G$2050,$A47,'BalSht Data'!$A$2:$A$2050,BR$1),#N/A)</f>
        <v>#N/A</v>
      </c>
      <c r="BS47" s="43" t="e">
        <f>IF(BS$1,SUMIFS('BalSht Data'!$H$2:$H$2050,'BalSht Data'!$G$2:$G$2050,$A47,'BalSht Data'!$A$2:$A$2050,BS$1),#N/A)</f>
        <v>#N/A</v>
      </c>
      <c r="BT47" s="43" t="e">
        <f>IF(BT$1,SUMIFS('BalSht Data'!$H$2:$H$2050,'BalSht Data'!$G$2:$G$2050,$A47,'BalSht Data'!$A$2:$A$2050,BT$1),#N/A)</f>
        <v>#N/A</v>
      </c>
      <c r="BU47" s="43" t="e">
        <f>IF(BU$1,SUMIFS('BalSht Data'!$H$2:$H$2050,'BalSht Data'!$G$2:$G$2050,$A47,'BalSht Data'!$A$2:$A$2050,BU$1),#N/A)</f>
        <v>#N/A</v>
      </c>
      <c r="BV47" s="43" t="e">
        <f>IF(BV$1,SUMIFS('BalSht Data'!$H$2:$H$2050,'BalSht Data'!$G$2:$G$2050,$A47,'BalSht Data'!$A$2:$A$2050,BV$1),#N/A)</f>
        <v>#N/A</v>
      </c>
      <c r="BW47" s="43" t="e">
        <f>IF(BW$1,SUMIFS('BalSht Data'!$H$2:$H$2050,'BalSht Data'!$G$2:$G$2050,$A47,'BalSht Data'!$A$2:$A$2050,BW$1),#N/A)</f>
        <v>#N/A</v>
      </c>
      <c r="BX47" s="43" t="e">
        <f>IF(BX$1,SUMIFS('BalSht Data'!$H$2:$H$2050,'BalSht Data'!$G$2:$G$2050,$A47,'BalSht Data'!$A$2:$A$2050,BX$1),#N/A)</f>
        <v>#N/A</v>
      </c>
      <c r="BY47" s="43" t="e">
        <f>IF(BY$1,SUMIFS('BalSht Data'!$H$2:$H$2050,'BalSht Data'!$G$2:$G$2050,$A47,'BalSht Data'!$A$2:$A$2050,BY$1),#N/A)</f>
        <v>#N/A</v>
      </c>
      <c r="BZ47" s="43" t="e">
        <f>IF(BZ$1,SUMIFS('BalSht Data'!$H$2:$H$2050,'BalSht Data'!$G$2:$G$2050,$A47,'BalSht Data'!$A$2:$A$2050,BZ$1),#N/A)</f>
        <v>#N/A</v>
      </c>
      <c r="CA47" s="43" t="e">
        <f>IF(CA$1,SUMIFS('BalSht Data'!$H$2:$H$2050,'BalSht Data'!$G$2:$G$2050,$A47,'BalSht Data'!$A$2:$A$2050,CA$1),#N/A)</f>
        <v>#N/A</v>
      </c>
      <c r="CB47" s="43" t="e">
        <f>IF(CB$1,SUMIFS('BalSht Data'!$H$2:$H$2050,'BalSht Data'!$G$2:$G$2050,$A47,'BalSht Data'!$A$2:$A$2050,CB$1),#N/A)</f>
        <v>#N/A</v>
      </c>
      <c r="CC47" s="43" t="e">
        <f>IF(CC$1,SUMIFS('BalSht Data'!$H$2:$H$2050,'BalSht Data'!$G$2:$G$2050,$A47,'BalSht Data'!$A$2:$A$2050,CC$1),#N/A)</f>
        <v>#N/A</v>
      </c>
      <c r="CD47" s="43" t="e">
        <f>IF(CD$1,SUMIFS('BalSht Data'!$H$2:$H$2050,'BalSht Data'!$G$2:$G$2050,$A47,'BalSht Data'!$A$2:$A$2050,CD$1),#N/A)</f>
        <v>#N/A</v>
      </c>
      <c r="CE47" s="43" t="e">
        <f>IF(CE$1,SUMIFS('BalSht Data'!$H$2:$H$2050,'BalSht Data'!$G$2:$G$2050,$A47,'BalSht Data'!$A$2:$A$2050,CE$1),#N/A)</f>
        <v>#N/A</v>
      </c>
      <c r="CF47" s="43" t="e">
        <f>IF(CF$1,SUMIFS('BalSht Data'!$H$2:$H$2050,'BalSht Data'!$G$2:$G$2050,$A47,'BalSht Data'!$A$2:$A$2050,CF$1),#N/A)</f>
        <v>#N/A</v>
      </c>
      <c r="CG47" s="43" t="e">
        <f>IF(CG$1,SUMIFS('BalSht Data'!$H$2:$H$2050,'BalSht Data'!$G$2:$G$2050,$A47,'BalSht Data'!$A$2:$A$2050,CG$1),#N/A)</f>
        <v>#N/A</v>
      </c>
      <c r="CH47" s="43" t="e">
        <f>IF(CH$1,SUMIFS('BalSht Data'!$H$2:$H$2050,'BalSht Data'!$G$2:$G$2050,$A47,'BalSht Data'!$A$2:$A$2050,CH$1),#N/A)</f>
        <v>#N/A</v>
      </c>
      <c r="CI47" s="43" t="e">
        <f>IF(CI$1,SUMIFS('BalSht Data'!$H$2:$H$2050,'BalSht Data'!$G$2:$G$2050,$A47,'BalSht Data'!$A$2:$A$2050,CI$1),#N/A)</f>
        <v>#N/A</v>
      </c>
      <c r="CJ47" s="43" t="e">
        <f>IF(CJ$1,SUMIFS('BalSht Data'!$H$2:$H$2050,'BalSht Data'!$G$2:$G$2050,$A47,'BalSht Data'!$A$2:$A$2050,CJ$1),#N/A)</f>
        <v>#N/A</v>
      </c>
      <c r="CK47" s="43" t="e">
        <f>IF(CK$1,SUMIFS('BalSht Data'!$H$2:$H$2050,'BalSht Data'!$G$2:$G$2050,$A47,'BalSht Data'!$A$2:$A$2050,CK$1),#N/A)</f>
        <v>#N/A</v>
      </c>
      <c r="CL47" s="43" t="e">
        <f>IF(CL$1,SUMIFS('BalSht Data'!$H$2:$H$2050,'BalSht Data'!$G$2:$G$2050,$A47,'BalSht Data'!$A$2:$A$2050,CL$1),#N/A)</f>
        <v>#N/A</v>
      </c>
      <c r="CM47" s="43" t="e">
        <f>IF(CM$1,SUMIFS('BalSht Data'!$H$2:$H$2050,'BalSht Data'!$G$2:$G$2050,$A47,'BalSht Data'!$A$2:$A$2050,CM$1),#N/A)</f>
        <v>#N/A</v>
      </c>
      <c r="CN47" s="43" t="e">
        <f>IF(CN$1,SUMIFS('BalSht Data'!$H$2:$H$2050,'BalSht Data'!$G$2:$G$2050,$A47,'BalSht Data'!$A$2:$A$2050,CN$1),#N/A)</f>
        <v>#N/A</v>
      </c>
      <c r="CO47" s="43" t="e">
        <f>IF(CO$1,SUMIFS('BalSht Data'!$H$2:$H$2050,'BalSht Data'!$G$2:$G$2050,$A47,'BalSht Data'!$A$2:$A$2050,CO$1),#N/A)</f>
        <v>#N/A</v>
      </c>
      <c r="CP47" s="43" t="e">
        <f>IF(CP$1,SUMIFS('BalSht Data'!$H$2:$H$2050,'BalSht Data'!$G$2:$G$2050,$A47,'BalSht Data'!$A$2:$A$2050,CP$1),#N/A)</f>
        <v>#N/A</v>
      </c>
      <c r="CQ47" s="43" t="e">
        <f>IF(CQ$1,SUMIFS('BalSht Data'!$H$2:$H$2050,'BalSht Data'!$G$2:$G$2050,$A47,'BalSht Data'!$A$2:$A$2050,CQ$1),#N/A)</f>
        <v>#N/A</v>
      </c>
      <c r="CR47" s="43" t="e">
        <f>IF(CR$1,SUMIFS('BalSht Data'!$H$2:$H$2050,'BalSht Data'!$G$2:$G$2050,$A47,'BalSht Data'!$A$2:$A$2050,CR$1),#N/A)</f>
        <v>#N/A</v>
      </c>
      <c r="CS47" s="43" t="e">
        <f>IF(CS$1,SUMIFS('BalSht Data'!$H$2:$H$2050,'BalSht Data'!$G$2:$G$2050,$A47,'BalSht Data'!$A$2:$A$2050,CS$1),#N/A)</f>
        <v>#N/A</v>
      </c>
      <c r="CT47" s="43" t="e">
        <f>IF(CT$1,SUMIFS('BalSht Data'!$H$2:$H$2050,'BalSht Data'!$G$2:$G$2050,$A47,'BalSht Data'!$A$2:$A$2050,CT$1),#N/A)</f>
        <v>#N/A</v>
      </c>
      <c r="CU47" s="43" t="e">
        <f>IF(CU$1,SUMIFS('BalSht Data'!$H$2:$H$2050,'BalSht Data'!$G$2:$G$2050,$A47,'BalSht Data'!$A$2:$A$2050,CU$1),#N/A)</f>
        <v>#N/A</v>
      </c>
      <c r="CV47" s="43" t="e">
        <f>IF(CV$1,SUMIFS('BalSht Data'!$H$2:$H$2050,'BalSht Data'!$G$2:$G$2050,$A47,'BalSht Data'!$A$2:$A$2050,CV$1),#N/A)</f>
        <v>#N/A</v>
      </c>
      <c r="CW47" s="43" t="e">
        <f>IF(CW$1,SUMIFS('BalSht Data'!$H$2:$H$2050,'BalSht Data'!$G$2:$G$2050,$A47,'BalSht Data'!$A$2:$A$2050,CW$1),#N/A)</f>
        <v>#N/A</v>
      </c>
      <c r="CX47" s="43" t="e">
        <f>IF(CX$1,SUMIFS('BalSht Data'!$H$2:$H$2050,'BalSht Data'!$G$2:$G$2050,$A47,'BalSht Data'!$A$2:$A$2050,CX$1),#N/A)</f>
        <v>#N/A</v>
      </c>
      <c r="CY47" s="43" t="e">
        <f>IF(CY$1,SUMIFS('BalSht Data'!$H$2:$H$2050,'BalSht Data'!$G$2:$G$2050,$A47,'BalSht Data'!$A$2:$A$2050,CY$1),#N/A)</f>
        <v>#N/A</v>
      </c>
      <c r="CZ47" s="43" t="e">
        <f>IF(CZ$1,SUMIFS('BalSht Data'!$H$2:$H$2050,'BalSht Data'!$G$2:$G$2050,$A47,'BalSht Data'!$A$2:$A$2050,CZ$1),#N/A)</f>
        <v>#N/A</v>
      </c>
      <c r="DA47" s="43">
        <f>SUM(B47:AJ47)</f>
        <v>1206110</v>
      </c>
    </row>
    <row r="48" spans="1:105" s="42" customFormat="1" x14ac:dyDescent="0.2">
      <c r="A48" s="53" t="s">
        <v>24</v>
      </c>
      <c r="B48" s="43">
        <f>IF(B$1,SUMIFS('BalSht Data'!$H$2:$H$2050,'BalSht Data'!$G$2:$G$2050,$A48,'BalSht Data'!$A$2:$A$2050,B$1),#N/A)</f>
        <v>321876</v>
      </c>
      <c r="C48" s="43">
        <f>IF(C$1,SUMIFS('BalSht Data'!$H$2:$H$2050,'BalSht Data'!$G$2:$G$2050,$A48,'BalSht Data'!$A$2:$A$2050,C$1),#N/A)</f>
        <v>147898</v>
      </c>
      <c r="D48" s="43">
        <f>IF(D$1,SUMIFS('BalSht Data'!$H$2:$H$2050,'BalSht Data'!$G$2:$G$2050,$A48,'BalSht Data'!$A$2:$A$2050,D$1),#N/A)</f>
        <v>134479</v>
      </c>
      <c r="E48" s="43">
        <f>IF(E$1,SUMIFS('BalSht Data'!$H$2:$H$2050,'BalSht Data'!$G$2:$G$2050,$A48,'BalSht Data'!$A$2:$A$2050,E$1),#N/A)</f>
        <v>9664</v>
      </c>
      <c r="F48" s="43">
        <f>IF(F$1,SUMIFS('BalSht Data'!$H$2:$H$2050,'BalSht Data'!$G$2:$G$2050,$A48,'BalSht Data'!$A$2:$A$2050,F$1),#N/A)</f>
        <v>17936</v>
      </c>
      <c r="G48" s="43">
        <f>IF(G$1,SUMIFS('BalSht Data'!$H$2:$H$2050,'BalSht Data'!$G$2:$G$2050,$A48,'BalSht Data'!$A$2:$A$2050,G$1),#N/A)</f>
        <v>227854</v>
      </c>
      <c r="H48" s="43">
        <f>IF(H$1,SUMIFS('BalSht Data'!$H$2:$H$2050,'BalSht Data'!$G$2:$G$2050,$A48,'BalSht Data'!$A$2:$A$2050,H$1),#N/A)</f>
        <v>19163</v>
      </c>
      <c r="I48" s="43">
        <f>IF(I$1,SUMIFS('BalSht Data'!$H$2:$H$2050,'BalSht Data'!$G$2:$G$2050,$A48,'BalSht Data'!$A$2:$A$2050,I$1),#N/A)</f>
        <v>44071</v>
      </c>
      <c r="J48" s="43">
        <f>IF(J$1,SUMIFS('BalSht Data'!$H$2:$H$2050,'BalSht Data'!$G$2:$G$2050,$A48,'BalSht Data'!$A$2:$A$2050,J$1),#N/A)</f>
        <v>44878</v>
      </c>
      <c r="K48" s="43">
        <f>IF(K$1,SUMIFS('BalSht Data'!$H$2:$H$2050,'BalSht Data'!$G$2:$G$2050,$A48,'BalSht Data'!$A$2:$A$2050,K$1),#N/A)</f>
        <v>114711</v>
      </c>
      <c r="L48" s="43">
        <f>IF(L$1,SUMIFS('BalSht Data'!$H$2:$H$2050,'BalSht Data'!$G$2:$G$2050,$A48,'BalSht Data'!$A$2:$A$2050,L$1),#N/A)</f>
        <v>70791</v>
      </c>
      <c r="M48" s="43">
        <f>IF(M$1,SUMIFS('BalSht Data'!$H$2:$H$2050,'BalSht Data'!$G$2:$G$2050,$A48,'BalSht Data'!$A$2:$A$2050,M$1),#N/A)</f>
        <v>93353</v>
      </c>
      <c r="N48" s="43">
        <f>IF(N$1,SUMIFS('BalSht Data'!$H$2:$H$2050,'BalSht Data'!$G$2:$G$2050,$A48,'BalSht Data'!$A$2:$A$2050,N$1),#N/A)</f>
        <v>107569</v>
      </c>
      <c r="O48" s="43">
        <f>IF(O$1,SUMIFS('BalSht Data'!$H$2:$H$2050,'BalSht Data'!$G$2:$G$2050,$A48,'BalSht Data'!$A$2:$A$2050,O$1),#N/A)</f>
        <v>63557</v>
      </c>
      <c r="P48" s="43">
        <f>IF(P$1,SUMIFS('BalSht Data'!$H$2:$H$2050,'BalSht Data'!$G$2:$G$2050,$A48,'BalSht Data'!$A$2:$A$2050,P$1),#N/A)</f>
        <v>38593</v>
      </c>
      <c r="Q48" s="43">
        <f>IF(Q$1,SUMIFS('BalSht Data'!$H$2:$H$2050,'BalSht Data'!$G$2:$G$2050,$A48,'BalSht Data'!$A$2:$A$2050,Q$1),#N/A)</f>
        <v>52422</v>
      </c>
      <c r="R48" s="43">
        <f>IF(R$1,SUMIFS('BalSht Data'!$H$2:$H$2050,'BalSht Data'!$G$2:$G$2050,$A48,'BalSht Data'!$A$2:$A$2050,R$1),#N/A)</f>
        <v>57050</v>
      </c>
      <c r="S48" s="43">
        <f>IF(S$1,SUMIFS('BalSht Data'!$H$2:$H$2050,'BalSht Data'!$G$2:$G$2050,$A48,'BalSht Data'!$A$2:$A$2050,S$1),#N/A)</f>
        <v>390728</v>
      </c>
      <c r="T48" s="43">
        <f>IF(T$1,SUMIFS('BalSht Data'!$H$2:$H$2050,'BalSht Data'!$G$2:$G$2050,$A48,'BalSht Data'!$A$2:$A$2050,T$1),#N/A)</f>
        <v>61551</v>
      </c>
      <c r="U48" s="43">
        <f>IF(U$1,SUMIFS('BalSht Data'!$H$2:$H$2050,'BalSht Data'!$G$2:$G$2050,$A48,'BalSht Data'!$A$2:$A$2050,U$1),#N/A)</f>
        <v>31051</v>
      </c>
      <c r="V48" s="43">
        <f>IF(V$1,SUMIFS('BalSht Data'!$H$2:$H$2050,'BalSht Data'!$G$2:$G$2050,$A48,'BalSht Data'!$A$2:$A$2050,V$1),#N/A)</f>
        <v>13746</v>
      </c>
      <c r="W48" s="43">
        <f>IF(W$1,SUMIFS('BalSht Data'!$H$2:$H$2050,'BalSht Data'!$G$2:$G$2050,$A48,'BalSht Data'!$A$2:$A$2050,W$1),#N/A)</f>
        <v>89741</v>
      </c>
      <c r="X48" s="43">
        <f>IF(X$1,SUMIFS('BalSht Data'!$H$2:$H$2050,'BalSht Data'!$G$2:$G$2050,$A48,'BalSht Data'!$A$2:$A$2050,X$1),#N/A)</f>
        <v>74173</v>
      </c>
      <c r="Y48" s="43">
        <f>IF(Y$1,SUMIFS('BalSht Data'!$H$2:$H$2050,'BalSht Data'!$G$2:$G$2050,$A48,'BalSht Data'!$A$2:$A$2050,Y$1),#N/A)</f>
        <v>114556</v>
      </c>
      <c r="Z48" s="43">
        <f>IF(Z$1,SUMIFS('BalSht Data'!$H$2:$H$2050,'BalSht Data'!$G$2:$G$2050,$A48,'BalSht Data'!$A$2:$A$2050,Z$1),#N/A)</f>
        <v>0</v>
      </c>
      <c r="AA48" s="43">
        <f>IF(AA$1,SUMIFS('BalSht Data'!$H$2:$H$2050,'BalSht Data'!$G$2:$G$2050,$A48,'BalSht Data'!$A$2:$A$2050,AA$1),#N/A)</f>
        <v>56317</v>
      </c>
      <c r="AB48" s="43">
        <f>IF(AB$1,SUMIFS('BalSht Data'!$H$2:$H$2050,'BalSht Data'!$G$2:$G$2050,$A48,'BalSht Data'!$A$2:$A$2050,AB$1),#N/A)</f>
        <v>0</v>
      </c>
      <c r="AC48" s="43">
        <f>IF(AC$1,SUMIFS('BalSht Data'!$H$2:$H$2050,'BalSht Data'!$G$2:$G$2050,$A48,'BalSht Data'!$A$2:$A$2050,AC$1),#N/A)</f>
        <v>0</v>
      </c>
      <c r="AD48" s="43">
        <f>IF(AD$1,SUMIFS('BalSht Data'!$H$2:$H$2050,'BalSht Data'!$G$2:$G$2050,$A48,'BalSht Data'!$A$2:$A$2050,AD$1),#N/A)</f>
        <v>503655</v>
      </c>
      <c r="AE48" s="43">
        <f>IF(AE$1,SUMIFS('BalSht Data'!$H$2:$H$2050,'BalSht Data'!$G$2:$G$2050,$A48,'BalSht Data'!$A$2:$A$2050,AE$1),#N/A)</f>
        <v>265243</v>
      </c>
      <c r="AF48" s="43">
        <f>IF(AF$1,SUMIFS('BalSht Data'!$H$2:$H$2050,'BalSht Data'!$G$2:$G$2050,$A48,'BalSht Data'!$A$2:$A$2050,AF$1),#N/A)</f>
        <v>62399</v>
      </c>
      <c r="AG48" s="43">
        <f>IF(AG$1,SUMIFS('BalSht Data'!$H$2:$H$2050,'BalSht Data'!$G$2:$G$2050,$A48,'BalSht Data'!$A$2:$A$2050,AG$1),#N/A)</f>
        <v>148565</v>
      </c>
      <c r="AH48" s="43">
        <f>IF(AH$1,SUMIFS('BalSht Data'!$H$2:$H$2050,'BalSht Data'!$G$2:$G$2050,$A48,'BalSht Data'!$A$2:$A$2050,AH$1),#N/A)</f>
        <v>11217</v>
      </c>
      <c r="AI48" s="43">
        <f>IF(AI$1,SUMIFS('BalSht Data'!$H$2:$H$2050,'BalSht Data'!$G$2:$G$2050,$A48,'BalSht Data'!$A$2:$A$2050,AI$1),#N/A)</f>
        <v>435194</v>
      </c>
      <c r="AJ48" s="43">
        <f>IF(AJ$1,SUMIFS('BalSht Data'!$H$2:$H$2050,'BalSht Data'!$G$2:$G$2050,$A48,'BalSht Data'!$A$2:$A$2050,AJ$1),#N/A)</f>
        <v>596491</v>
      </c>
      <c r="AK48" s="43" t="e">
        <f>IF(AK$1,SUMIFS('BalSht Data'!$H$2:$H$2050,'BalSht Data'!$G$2:$G$2050,$A48,'BalSht Data'!$A$2:$A$2050,AK$1),#N/A)</f>
        <v>#N/A</v>
      </c>
      <c r="AL48" s="43" t="e">
        <f>IF(AL$1,SUMIFS('BalSht Data'!$H$2:$H$2050,'BalSht Data'!$G$2:$G$2050,$A48,'BalSht Data'!$A$2:$A$2050,AL$1),#N/A)</f>
        <v>#N/A</v>
      </c>
      <c r="AM48" s="43" t="e">
        <f>IF(AM$1,SUMIFS('BalSht Data'!$H$2:$H$2050,'BalSht Data'!$G$2:$G$2050,$A48,'BalSht Data'!$A$2:$A$2050,AM$1),#N/A)</f>
        <v>#N/A</v>
      </c>
      <c r="AN48" s="43" t="e">
        <f>IF(AN$1,SUMIFS('BalSht Data'!$H$2:$H$2050,'BalSht Data'!$G$2:$G$2050,$A48,'BalSht Data'!$A$2:$A$2050,AN$1),#N/A)</f>
        <v>#N/A</v>
      </c>
      <c r="AO48" s="43" t="e">
        <f>IF(AO$1,SUMIFS('BalSht Data'!$H$2:$H$2050,'BalSht Data'!$G$2:$G$2050,$A48,'BalSht Data'!$A$2:$A$2050,AO$1),#N/A)</f>
        <v>#N/A</v>
      </c>
      <c r="AP48" s="43" t="e">
        <f>IF(AP$1,SUMIFS('BalSht Data'!$H$2:$H$2050,'BalSht Data'!$G$2:$G$2050,$A48,'BalSht Data'!$A$2:$A$2050,AP$1),#N/A)</f>
        <v>#N/A</v>
      </c>
      <c r="AQ48" s="43" t="e">
        <f>IF(AQ$1,SUMIFS('BalSht Data'!$H$2:$H$2050,'BalSht Data'!$G$2:$G$2050,$A48,'BalSht Data'!$A$2:$A$2050,AQ$1),#N/A)</f>
        <v>#N/A</v>
      </c>
      <c r="AR48" s="43" t="e">
        <f>IF(AR$1,SUMIFS('BalSht Data'!$H$2:$H$2050,'BalSht Data'!$G$2:$G$2050,$A48,'BalSht Data'!$A$2:$A$2050,AR$1),#N/A)</f>
        <v>#N/A</v>
      </c>
      <c r="AS48" s="43" t="e">
        <f>IF(AS$1,SUMIFS('BalSht Data'!$H$2:$H$2050,'BalSht Data'!$G$2:$G$2050,$A48,'BalSht Data'!$A$2:$A$2050,AS$1),#N/A)</f>
        <v>#N/A</v>
      </c>
      <c r="AT48" s="43" t="e">
        <f>IF(AT$1,SUMIFS('BalSht Data'!$H$2:$H$2050,'BalSht Data'!$G$2:$G$2050,$A48,'BalSht Data'!$A$2:$A$2050,AT$1),#N/A)</f>
        <v>#N/A</v>
      </c>
      <c r="AU48" s="43" t="e">
        <f>IF(AU$1,SUMIFS('BalSht Data'!$H$2:$H$2050,'BalSht Data'!$G$2:$G$2050,$A48,'BalSht Data'!$A$2:$A$2050,AU$1),#N/A)</f>
        <v>#N/A</v>
      </c>
      <c r="AV48" s="43" t="e">
        <f>IF(AV$1,SUMIFS('BalSht Data'!$H$2:$H$2050,'BalSht Data'!$G$2:$G$2050,$A48,'BalSht Data'!$A$2:$A$2050,AV$1),#N/A)</f>
        <v>#N/A</v>
      </c>
      <c r="AW48" s="43" t="e">
        <f>IF(AW$1,SUMIFS('BalSht Data'!$H$2:$H$2050,'BalSht Data'!$G$2:$G$2050,$A48,'BalSht Data'!$A$2:$A$2050,AW$1),#N/A)</f>
        <v>#N/A</v>
      </c>
      <c r="AX48" s="43" t="e">
        <f>IF(AX$1,SUMIFS('BalSht Data'!$H$2:$H$2050,'BalSht Data'!$G$2:$G$2050,$A48,'BalSht Data'!$A$2:$A$2050,AX$1),#N/A)</f>
        <v>#N/A</v>
      </c>
      <c r="AY48" s="43" t="e">
        <f>IF(AY$1,SUMIFS('BalSht Data'!$H$2:$H$2050,'BalSht Data'!$G$2:$G$2050,$A48,'BalSht Data'!$A$2:$A$2050,AY$1),#N/A)</f>
        <v>#N/A</v>
      </c>
      <c r="AZ48" s="43" t="e">
        <f>IF(AZ$1,SUMIFS('BalSht Data'!$H$2:$H$2050,'BalSht Data'!$G$2:$G$2050,$A48,'BalSht Data'!$A$2:$A$2050,AZ$1),#N/A)</f>
        <v>#N/A</v>
      </c>
      <c r="BA48" s="43" t="e">
        <f>IF(BA$1,SUMIFS('BalSht Data'!$H$2:$H$2050,'BalSht Data'!$G$2:$G$2050,$A48,'BalSht Data'!$A$2:$A$2050,BA$1),#N/A)</f>
        <v>#N/A</v>
      </c>
      <c r="BB48" s="43" t="e">
        <f>IF(BB$1,SUMIFS('BalSht Data'!$H$2:$H$2050,'BalSht Data'!$G$2:$G$2050,$A48,'BalSht Data'!$A$2:$A$2050,BB$1),#N/A)</f>
        <v>#N/A</v>
      </c>
      <c r="BC48" s="43" t="e">
        <f>IF(BC$1,SUMIFS('BalSht Data'!$H$2:$H$2050,'BalSht Data'!$G$2:$G$2050,$A48,'BalSht Data'!$A$2:$A$2050,BC$1),#N/A)</f>
        <v>#N/A</v>
      </c>
      <c r="BD48" s="43" t="e">
        <f>IF(BD$1,SUMIFS('BalSht Data'!$H$2:$H$2050,'BalSht Data'!$G$2:$G$2050,$A48,'BalSht Data'!$A$2:$A$2050,BD$1),#N/A)</f>
        <v>#N/A</v>
      </c>
      <c r="BE48" s="43" t="e">
        <f>IF(BE$1,SUMIFS('BalSht Data'!$H$2:$H$2050,'BalSht Data'!$G$2:$G$2050,$A48,'BalSht Data'!$A$2:$A$2050,BE$1),#N/A)</f>
        <v>#N/A</v>
      </c>
      <c r="BF48" s="43" t="e">
        <f>IF(BF$1,SUMIFS('BalSht Data'!$H$2:$H$2050,'BalSht Data'!$G$2:$G$2050,$A48,'BalSht Data'!$A$2:$A$2050,BF$1),#N/A)</f>
        <v>#N/A</v>
      </c>
      <c r="BG48" s="43" t="e">
        <f>IF(BG$1,SUMIFS('BalSht Data'!$H$2:$H$2050,'BalSht Data'!$G$2:$G$2050,$A48,'BalSht Data'!$A$2:$A$2050,BG$1),#N/A)</f>
        <v>#N/A</v>
      </c>
      <c r="BH48" s="43" t="e">
        <f>IF(BH$1,SUMIFS('BalSht Data'!$H$2:$H$2050,'BalSht Data'!$G$2:$G$2050,$A48,'BalSht Data'!$A$2:$A$2050,BH$1),#N/A)</f>
        <v>#N/A</v>
      </c>
      <c r="BI48" s="43" t="e">
        <f>IF(BI$1,SUMIFS('BalSht Data'!$H$2:$H$2050,'BalSht Data'!$G$2:$G$2050,$A48,'BalSht Data'!$A$2:$A$2050,BI$1),#N/A)</f>
        <v>#N/A</v>
      </c>
      <c r="BJ48" s="43" t="e">
        <f>IF(BJ$1,SUMIFS('BalSht Data'!$H$2:$H$2050,'BalSht Data'!$G$2:$G$2050,$A48,'BalSht Data'!$A$2:$A$2050,BJ$1),#N/A)</f>
        <v>#N/A</v>
      </c>
      <c r="BK48" s="43" t="e">
        <f>IF(BK$1,SUMIFS('BalSht Data'!$H$2:$H$2050,'BalSht Data'!$G$2:$G$2050,$A48,'BalSht Data'!$A$2:$A$2050,BK$1),#N/A)</f>
        <v>#N/A</v>
      </c>
      <c r="BL48" s="43" t="e">
        <f>IF(BL$1,SUMIFS('BalSht Data'!$H$2:$H$2050,'BalSht Data'!$G$2:$G$2050,$A48,'BalSht Data'!$A$2:$A$2050,BL$1),#N/A)</f>
        <v>#N/A</v>
      </c>
      <c r="BM48" s="43" t="e">
        <f>IF(BM$1,SUMIFS('BalSht Data'!$H$2:$H$2050,'BalSht Data'!$G$2:$G$2050,$A48,'BalSht Data'!$A$2:$A$2050,BM$1),#N/A)</f>
        <v>#N/A</v>
      </c>
      <c r="BN48" s="43" t="e">
        <f>IF(BN$1,SUMIFS('BalSht Data'!$H$2:$H$2050,'BalSht Data'!$G$2:$G$2050,$A48,'BalSht Data'!$A$2:$A$2050,BN$1),#N/A)</f>
        <v>#N/A</v>
      </c>
      <c r="BO48" s="43" t="e">
        <f>IF(BO$1,SUMIFS('BalSht Data'!$H$2:$H$2050,'BalSht Data'!$G$2:$G$2050,$A48,'BalSht Data'!$A$2:$A$2050,BO$1),#N/A)</f>
        <v>#N/A</v>
      </c>
      <c r="BP48" s="43" t="e">
        <f>IF(BP$1,SUMIFS('BalSht Data'!$H$2:$H$2050,'BalSht Data'!$G$2:$G$2050,$A48,'BalSht Data'!$A$2:$A$2050,BP$1),#N/A)</f>
        <v>#N/A</v>
      </c>
      <c r="BQ48" s="43" t="e">
        <f>IF(BQ$1,SUMIFS('BalSht Data'!$H$2:$H$2050,'BalSht Data'!$G$2:$G$2050,$A48,'BalSht Data'!$A$2:$A$2050,BQ$1),#N/A)</f>
        <v>#N/A</v>
      </c>
      <c r="BR48" s="43" t="e">
        <f>IF(BR$1,SUMIFS('BalSht Data'!$H$2:$H$2050,'BalSht Data'!$G$2:$G$2050,$A48,'BalSht Data'!$A$2:$A$2050,BR$1),#N/A)</f>
        <v>#N/A</v>
      </c>
      <c r="BS48" s="43" t="e">
        <f>IF(BS$1,SUMIFS('BalSht Data'!$H$2:$H$2050,'BalSht Data'!$G$2:$G$2050,$A48,'BalSht Data'!$A$2:$A$2050,BS$1),#N/A)</f>
        <v>#N/A</v>
      </c>
      <c r="BT48" s="43" t="e">
        <f>IF(BT$1,SUMIFS('BalSht Data'!$H$2:$H$2050,'BalSht Data'!$G$2:$G$2050,$A48,'BalSht Data'!$A$2:$A$2050,BT$1),#N/A)</f>
        <v>#N/A</v>
      </c>
      <c r="BU48" s="43" t="e">
        <f>IF(BU$1,SUMIFS('BalSht Data'!$H$2:$H$2050,'BalSht Data'!$G$2:$G$2050,$A48,'BalSht Data'!$A$2:$A$2050,BU$1),#N/A)</f>
        <v>#N/A</v>
      </c>
      <c r="BV48" s="43" t="e">
        <f>IF(BV$1,SUMIFS('BalSht Data'!$H$2:$H$2050,'BalSht Data'!$G$2:$G$2050,$A48,'BalSht Data'!$A$2:$A$2050,BV$1),#N/A)</f>
        <v>#N/A</v>
      </c>
      <c r="BW48" s="43" t="e">
        <f>IF(BW$1,SUMIFS('BalSht Data'!$H$2:$H$2050,'BalSht Data'!$G$2:$G$2050,$A48,'BalSht Data'!$A$2:$A$2050,BW$1),#N/A)</f>
        <v>#N/A</v>
      </c>
      <c r="BX48" s="43" t="e">
        <f>IF(BX$1,SUMIFS('BalSht Data'!$H$2:$H$2050,'BalSht Data'!$G$2:$G$2050,$A48,'BalSht Data'!$A$2:$A$2050,BX$1),#N/A)</f>
        <v>#N/A</v>
      </c>
      <c r="BY48" s="43" t="e">
        <f>IF(BY$1,SUMIFS('BalSht Data'!$H$2:$H$2050,'BalSht Data'!$G$2:$G$2050,$A48,'BalSht Data'!$A$2:$A$2050,BY$1),#N/A)</f>
        <v>#N/A</v>
      </c>
      <c r="BZ48" s="43" t="e">
        <f>IF(BZ$1,SUMIFS('BalSht Data'!$H$2:$H$2050,'BalSht Data'!$G$2:$G$2050,$A48,'BalSht Data'!$A$2:$A$2050,BZ$1),#N/A)</f>
        <v>#N/A</v>
      </c>
      <c r="CA48" s="43" t="e">
        <f>IF(CA$1,SUMIFS('BalSht Data'!$H$2:$H$2050,'BalSht Data'!$G$2:$G$2050,$A48,'BalSht Data'!$A$2:$A$2050,CA$1),#N/A)</f>
        <v>#N/A</v>
      </c>
      <c r="CB48" s="43" t="e">
        <f>IF(CB$1,SUMIFS('BalSht Data'!$H$2:$H$2050,'BalSht Data'!$G$2:$G$2050,$A48,'BalSht Data'!$A$2:$A$2050,CB$1),#N/A)</f>
        <v>#N/A</v>
      </c>
      <c r="CC48" s="43" t="e">
        <f>IF(CC$1,SUMIFS('BalSht Data'!$H$2:$H$2050,'BalSht Data'!$G$2:$G$2050,$A48,'BalSht Data'!$A$2:$A$2050,CC$1),#N/A)</f>
        <v>#N/A</v>
      </c>
      <c r="CD48" s="43" t="e">
        <f>IF(CD$1,SUMIFS('BalSht Data'!$H$2:$H$2050,'BalSht Data'!$G$2:$G$2050,$A48,'BalSht Data'!$A$2:$A$2050,CD$1),#N/A)</f>
        <v>#N/A</v>
      </c>
      <c r="CE48" s="43" t="e">
        <f>IF(CE$1,SUMIFS('BalSht Data'!$H$2:$H$2050,'BalSht Data'!$G$2:$G$2050,$A48,'BalSht Data'!$A$2:$A$2050,CE$1),#N/A)</f>
        <v>#N/A</v>
      </c>
      <c r="CF48" s="43" t="e">
        <f>IF(CF$1,SUMIFS('BalSht Data'!$H$2:$H$2050,'BalSht Data'!$G$2:$G$2050,$A48,'BalSht Data'!$A$2:$A$2050,CF$1),#N/A)</f>
        <v>#N/A</v>
      </c>
      <c r="CG48" s="43" t="e">
        <f>IF(CG$1,SUMIFS('BalSht Data'!$H$2:$H$2050,'BalSht Data'!$G$2:$G$2050,$A48,'BalSht Data'!$A$2:$A$2050,CG$1),#N/A)</f>
        <v>#N/A</v>
      </c>
      <c r="CH48" s="43" t="e">
        <f>IF(CH$1,SUMIFS('BalSht Data'!$H$2:$H$2050,'BalSht Data'!$G$2:$G$2050,$A48,'BalSht Data'!$A$2:$A$2050,CH$1),#N/A)</f>
        <v>#N/A</v>
      </c>
      <c r="CI48" s="43" t="e">
        <f>IF(CI$1,SUMIFS('BalSht Data'!$H$2:$H$2050,'BalSht Data'!$G$2:$G$2050,$A48,'BalSht Data'!$A$2:$A$2050,CI$1),#N/A)</f>
        <v>#N/A</v>
      </c>
      <c r="CJ48" s="43" t="e">
        <f>IF(CJ$1,SUMIFS('BalSht Data'!$H$2:$H$2050,'BalSht Data'!$G$2:$G$2050,$A48,'BalSht Data'!$A$2:$A$2050,CJ$1),#N/A)</f>
        <v>#N/A</v>
      </c>
      <c r="CK48" s="43" t="e">
        <f>IF(CK$1,SUMIFS('BalSht Data'!$H$2:$H$2050,'BalSht Data'!$G$2:$G$2050,$A48,'BalSht Data'!$A$2:$A$2050,CK$1),#N/A)</f>
        <v>#N/A</v>
      </c>
      <c r="CL48" s="43" t="e">
        <f>IF(CL$1,SUMIFS('BalSht Data'!$H$2:$H$2050,'BalSht Data'!$G$2:$G$2050,$A48,'BalSht Data'!$A$2:$A$2050,CL$1),#N/A)</f>
        <v>#N/A</v>
      </c>
      <c r="CM48" s="43" t="e">
        <f>IF(CM$1,SUMIFS('BalSht Data'!$H$2:$H$2050,'BalSht Data'!$G$2:$G$2050,$A48,'BalSht Data'!$A$2:$A$2050,CM$1),#N/A)</f>
        <v>#N/A</v>
      </c>
      <c r="CN48" s="43" t="e">
        <f>IF(CN$1,SUMIFS('BalSht Data'!$H$2:$H$2050,'BalSht Data'!$G$2:$G$2050,$A48,'BalSht Data'!$A$2:$A$2050,CN$1),#N/A)</f>
        <v>#N/A</v>
      </c>
      <c r="CO48" s="43" t="e">
        <f>IF(CO$1,SUMIFS('BalSht Data'!$H$2:$H$2050,'BalSht Data'!$G$2:$G$2050,$A48,'BalSht Data'!$A$2:$A$2050,CO$1),#N/A)</f>
        <v>#N/A</v>
      </c>
      <c r="CP48" s="43" t="e">
        <f>IF(CP$1,SUMIFS('BalSht Data'!$H$2:$H$2050,'BalSht Data'!$G$2:$G$2050,$A48,'BalSht Data'!$A$2:$A$2050,CP$1),#N/A)</f>
        <v>#N/A</v>
      </c>
      <c r="CQ48" s="43" t="e">
        <f>IF(CQ$1,SUMIFS('BalSht Data'!$H$2:$H$2050,'BalSht Data'!$G$2:$G$2050,$A48,'BalSht Data'!$A$2:$A$2050,CQ$1),#N/A)</f>
        <v>#N/A</v>
      </c>
      <c r="CR48" s="43" t="e">
        <f>IF(CR$1,SUMIFS('BalSht Data'!$H$2:$H$2050,'BalSht Data'!$G$2:$G$2050,$A48,'BalSht Data'!$A$2:$A$2050,CR$1),#N/A)</f>
        <v>#N/A</v>
      </c>
      <c r="CS48" s="43" t="e">
        <f>IF(CS$1,SUMIFS('BalSht Data'!$H$2:$H$2050,'BalSht Data'!$G$2:$G$2050,$A48,'BalSht Data'!$A$2:$A$2050,CS$1),#N/A)</f>
        <v>#N/A</v>
      </c>
      <c r="CT48" s="43" t="e">
        <f>IF(CT$1,SUMIFS('BalSht Data'!$H$2:$H$2050,'BalSht Data'!$G$2:$G$2050,$A48,'BalSht Data'!$A$2:$A$2050,CT$1),#N/A)</f>
        <v>#N/A</v>
      </c>
      <c r="CU48" s="43" t="e">
        <f>IF(CU$1,SUMIFS('BalSht Data'!$H$2:$H$2050,'BalSht Data'!$G$2:$G$2050,$A48,'BalSht Data'!$A$2:$A$2050,CU$1),#N/A)</f>
        <v>#N/A</v>
      </c>
      <c r="CV48" s="43" t="e">
        <f>IF(CV$1,SUMIFS('BalSht Data'!$H$2:$H$2050,'BalSht Data'!$G$2:$G$2050,$A48,'BalSht Data'!$A$2:$A$2050,CV$1),#N/A)</f>
        <v>#N/A</v>
      </c>
      <c r="CW48" s="43" t="e">
        <f>IF(CW$1,SUMIFS('BalSht Data'!$H$2:$H$2050,'BalSht Data'!$G$2:$G$2050,$A48,'BalSht Data'!$A$2:$A$2050,CW$1),#N/A)</f>
        <v>#N/A</v>
      </c>
      <c r="CX48" s="43" t="e">
        <f>IF(CX$1,SUMIFS('BalSht Data'!$H$2:$H$2050,'BalSht Data'!$G$2:$G$2050,$A48,'BalSht Data'!$A$2:$A$2050,CX$1),#N/A)</f>
        <v>#N/A</v>
      </c>
      <c r="CY48" s="43" t="e">
        <f>IF(CY$1,SUMIFS('BalSht Data'!$H$2:$H$2050,'BalSht Data'!$G$2:$G$2050,$A48,'BalSht Data'!$A$2:$A$2050,CY$1),#N/A)</f>
        <v>#N/A</v>
      </c>
      <c r="CZ48" s="43" t="e">
        <f>IF(CZ$1,SUMIFS('BalSht Data'!$H$2:$H$2050,'BalSht Data'!$G$2:$G$2050,$A48,'BalSht Data'!$A$2:$A$2050,CZ$1),#N/A)</f>
        <v>#N/A</v>
      </c>
      <c r="DA48" s="43">
        <f>SUM(B48:AJ48)</f>
        <v>4420492</v>
      </c>
    </row>
    <row r="49" spans="1:106" s="42" customFormat="1" x14ac:dyDescent="0.2">
      <c r="A49" s="53" t="s">
        <v>137</v>
      </c>
      <c r="B49" s="43">
        <f>IF(B$1,SUMIFS('BalSht Data'!$H$2:$H$2050,'BalSht Data'!$G$2:$G$2050,$A49,'BalSht Data'!$A$2:$A$2050,B$1),#N/A)</f>
        <v>0</v>
      </c>
      <c r="C49" s="43">
        <f>IF(C$1,SUMIFS('BalSht Data'!$H$2:$H$2050,'BalSht Data'!$G$2:$G$2050,$A49,'BalSht Data'!$A$2:$A$2050,C$1),#N/A)</f>
        <v>0</v>
      </c>
      <c r="D49" s="43">
        <f>IF(D$1,SUMIFS('BalSht Data'!$H$2:$H$2050,'BalSht Data'!$G$2:$G$2050,$A49,'BalSht Data'!$A$2:$A$2050,D$1),#N/A)</f>
        <v>0</v>
      </c>
      <c r="E49" s="43">
        <f>IF(E$1,SUMIFS('BalSht Data'!$H$2:$H$2050,'BalSht Data'!$G$2:$G$2050,$A49,'BalSht Data'!$A$2:$A$2050,E$1),#N/A)</f>
        <v>0</v>
      </c>
      <c r="F49" s="43">
        <f>IF(F$1,SUMIFS('BalSht Data'!$H$2:$H$2050,'BalSht Data'!$G$2:$G$2050,$A49,'BalSht Data'!$A$2:$A$2050,F$1),#N/A)</f>
        <v>0</v>
      </c>
      <c r="G49" s="43">
        <f>IF(G$1,SUMIFS('BalSht Data'!$H$2:$H$2050,'BalSht Data'!$G$2:$G$2050,$A49,'BalSht Data'!$A$2:$A$2050,G$1),#N/A)</f>
        <v>0</v>
      </c>
      <c r="H49" s="43">
        <f>IF(H$1,SUMIFS('BalSht Data'!$H$2:$H$2050,'BalSht Data'!$G$2:$G$2050,$A49,'BalSht Data'!$A$2:$A$2050,H$1),#N/A)</f>
        <v>0</v>
      </c>
      <c r="I49" s="43">
        <f>IF(I$1,SUMIFS('BalSht Data'!$H$2:$H$2050,'BalSht Data'!$G$2:$G$2050,$A49,'BalSht Data'!$A$2:$A$2050,I$1),#N/A)</f>
        <v>0</v>
      </c>
      <c r="J49" s="43">
        <f>IF(J$1,SUMIFS('BalSht Data'!$H$2:$H$2050,'BalSht Data'!$G$2:$G$2050,$A49,'BalSht Data'!$A$2:$A$2050,J$1),#N/A)</f>
        <v>0</v>
      </c>
      <c r="K49" s="43">
        <f>IF(K$1,SUMIFS('BalSht Data'!$H$2:$H$2050,'BalSht Data'!$G$2:$G$2050,$A49,'BalSht Data'!$A$2:$A$2050,K$1),#N/A)</f>
        <v>0</v>
      </c>
      <c r="L49" s="43">
        <f>IF(L$1,SUMIFS('BalSht Data'!$H$2:$H$2050,'BalSht Data'!$G$2:$G$2050,$A49,'BalSht Data'!$A$2:$A$2050,L$1),#N/A)</f>
        <v>0</v>
      </c>
      <c r="M49" s="43">
        <f>IF(M$1,SUMIFS('BalSht Data'!$H$2:$H$2050,'BalSht Data'!$G$2:$G$2050,$A49,'BalSht Data'!$A$2:$A$2050,M$1),#N/A)</f>
        <v>0</v>
      </c>
      <c r="N49" s="43">
        <f>IF(N$1,SUMIFS('BalSht Data'!$H$2:$H$2050,'BalSht Data'!$G$2:$G$2050,$A49,'BalSht Data'!$A$2:$A$2050,N$1),#N/A)</f>
        <v>0</v>
      </c>
      <c r="O49" s="43">
        <f>IF(O$1,SUMIFS('BalSht Data'!$H$2:$H$2050,'BalSht Data'!$G$2:$G$2050,$A49,'BalSht Data'!$A$2:$A$2050,O$1),#N/A)</f>
        <v>0</v>
      </c>
      <c r="P49" s="43">
        <f>IF(P$1,SUMIFS('BalSht Data'!$H$2:$H$2050,'BalSht Data'!$G$2:$G$2050,$A49,'BalSht Data'!$A$2:$A$2050,P$1),#N/A)</f>
        <v>0</v>
      </c>
      <c r="Q49" s="43">
        <f>IF(Q$1,SUMIFS('BalSht Data'!$H$2:$H$2050,'BalSht Data'!$G$2:$G$2050,$A49,'BalSht Data'!$A$2:$A$2050,Q$1),#N/A)</f>
        <v>0</v>
      </c>
      <c r="R49" s="43">
        <f>IF(R$1,SUMIFS('BalSht Data'!$H$2:$H$2050,'BalSht Data'!$G$2:$G$2050,$A49,'BalSht Data'!$A$2:$A$2050,R$1),#N/A)</f>
        <v>0</v>
      </c>
      <c r="S49" s="43">
        <f>IF(S$1,SUMIFS('BalSht Data'!$H$2:$H$2050,'BalSht Data'!$G$2:$G$2050,$A49,'BalSht Data'!$A$2:$A$2050,S$1),#N/A)</f>
        <v>0</v>
      </c>
      <c r="T49" s="43">
        <f>IF(T$1,SUMIFS('BalSht Data'!$H$2:$H$2050,'BalSht Data'!$G$2:$G$2050,$A49,'BalSht Data'!$A$2:$A$2050,T$1),#N/A)</f>
        <v>0</v>
      </c>
      <c r="U49" s="43">
        <f>IF(U$1,SUMIFS('BalSht Data'!$H$2:$H$2050,'BalSht Data'!$G$2:$G$2050,$A49,'BalSht Data'!$A$2:$A$2050,U$1),#N/A)</f>
        <v>0</v>
      </c>
      <c r="V49" s="43">
        <f>IF(V$1,SUMIFS('BalSht Data'!$H$2:$H$2050,'BalSht Data'!$G$2:$G$2050,$A49,'BalSht Data'!$A$2:$A$2050,V$1),#N/A)</f>
        <v>0</v>
      </c>
      <c r="W49" s="43">
        <f>IF(W$1,SUMIFS('BalSht Data'!$H$2:$H$2050,'BalSht Data'!$G$2:$G$2050,$A49,'BalSht Data'!$A$2:$A$2050,W$1),#N/A)</f>
        <v>37587</v>
      </c>
      <c r="X49" s="43">
        <f>IF(X$1,SUMIFS('BalSht Data'!$H$2:$H$2050,'BalSht Data'!$G$2:$G$2050,$A49,'BalSht Data'!$A$2:$A$2050,X$1),#N/A)</f>
        <v>0</v>
      </c>
      <c r="Y49" s="43">
        <f>IF(Y$1,SUMIFS('BalSht Data'!$H$2:$H$2050,'BalSht Data'!$G$2:$G$2050,$A49,'BalSht Data'!$A$2:$A$2050,Y$1),#N/A)</f>
        <v>0</v>
      </c>
      <c r="Z49" s="43">
        <f>IF(Z$1,SUMIFS('BalSht Data'!$H$2:$H$2050,'BalSht Data'!$G$2:$G$2050,$A49,'BalSht Data'!$A$2:$A$2050,Z$1),#N/A)</f>
        <v>0</v>
      </c>
      <c r="AA49" s="43">
        <f>IF(AA$1,SUMIFS('BalSht Data'!$H$2:$H$2050,'BalSht Data'!$G$2:$G$2050,$A49,'BalSht Data'!$A$2:$A$2050,AA$1),#N/A)</f>
        <v>0</v>
      </c>
      <c r="AB49" s="43">
        <f>IF(AB$1,SUMIFS('BalSht Data'!$H$2:$H$2050,'BalSht Data'!$G$2:$G$2050,$A49,'BalSht Data'!$A$2:$A$2050,AB$1),#N/A)</f>
        <v>0</v>
      </c>
      <c r="AC49" s="43">
        <f>IF(AC$1,SUMIFS('BalSht Data'!$H$2:$H$2050,'BalSht Data'!$G$2:$G$2050,$A49,'BalSht Data'!$A$2:$A$2050,AC$1),#N/A)</f>
        <v>0</v>
      </c>
      <c r="AD49" s="43">
        <f>IF(AD$1,SUMIFS('BalSht Data'!$H$2:$H$2050,'BalSht Data'!$G$2:$G$2050,$A49,'BalSht Data'!$A$2:$A$2050,AD$1),#N/A)</f>
        <v>0</v>
      </c>
      <c r="AE49" s="43">
        <f>IF(AE$1,SUMIFS('BalSht Data'!$H$2:$H$2050,'BalSht Data'!$G$2:$G$2050,$A49,'BalSht Data'!$A$2:$A$2050,AE$1),#N/A)</f>
        <v>0</v>
      </c>
      <c r="AF49" s="43">
        <f>IF(AF$1,SUMIFS('BalSht Data'!$H$2:$H$2050,'BalSht Data'!$G$2:$G$2050,$A49,'BalSht Data'!$A$2:$A$2050,AF$1),#N/A)</f>
        <v>0</v>
      </c>
      <c r="AG49" s="43">
        <f>IF(AG$1,SUMIFS('BalSht Data'!$H$2:$H$2050,'BalSht Data'!$G$2:$G$2050,$A49,'BalSht Data'!$A$2:$A$2050,AG$1),#N/A)</f>
        <v>0</v>
      </c>
      <c r="AH49" s="43">
        <f>IF(AH$1,SUMIFS('BalSht Data'!$H$2:$H$2050,'BalSht Data'!$G$2:$G$2050,$A49,'BalSht Data'!$A$2:$A$2050,AH$1),#N/A)</f>
        <v>0</v>
      </c>
      <c r="AI49" s="43">
        <f>IF(AI$1,SUMIFS('BalSht Data'!$H$2:$H$2050,'BalSht Data'!$G$2:$G$2050,$A49,'BalSht Data'!$A$2:$A$2050,AI$1),#N/A)</f>
        <v>0</v>
      </c>
      <c r="AJ49" s="43">
        <f>IF(AJ$1,SUMIFS('BalSht Data'!$H$2:$H$2050,'BalSht Data'!$G$2:$G$2050,$A49,'BalSht Data'!$A$2:$A$2050,AJ$1),#N/A)</f>
        <v>0</v>
      </c>
      <c r="AK49" s="43" t="e">
        <f>IF(AK$1,SUMIFS('BalSht Data'!$H$2:$H$2050,'BalSht Data'!$G$2:$G$2050,$A49,'BalSht Data'!$A$2:$A$2050,AK$1),#N/A)</f>
        <v>#N/A</v>
      </c>
      <c r="AL49" s="43" t="e">
        <f>IF(AL$1,SUMIFS('BalSht Data'!$H$2:$H$2050,'BalSht Data'!$G$2:$G$2050,$A49,'BalSht Data'!$A$2:$A$2050,AL$1),#N/A)</f>
        <v>#N/A</v>
      </c>
      <c r="AM49" s="43" t="e">
        <f>IF(AM$1,SUMIFS('BalSht Data'!$H$2:$H$2050,'BalSht Data'!$G$2:$G$2050,$A49,'BalSht Data'!$A$2:$A$2050,AM$1),#N/A)</f>
        <v>#N/A</v>
      </c>
      <c r="AN49" s="43" t="e">
        <f>IF(AN$1,SUMIFS('BalSht Data'!$H$2:$H$2050,'BalSht Data'!$G$2:$G$2050,$A49,'BalSht Data'!$A$2:$A$2050,AN$1),#N/A)</f>
        <v>#N/A</v>
      </c>
      <c r="AO49" s="43" t="e">
        <f>IF(AO$1,SUMIFS('BalSht Data'!$H$2:$H$2050,'BalSht Data'!$G$2:$G$2050,$A49,'BalSht Data'!$A$2:$A$2050,AO$1),#N/A)</f>
        <v>#N/A</v>
      </c>
      <c r="AP49" s="43" t="e">
        <f>IF(AP$1,SUMIFS('BalSht Data'!$H$2:$H$2050,'BalSht Data'!$G$2:$G$2050,$A49,'BalSht Data'!$A$2:$A$2050,AP$1),#N/A)</f>
        <v>#N/A</v>
      </c>
      <c r="AQ49" s="43" t="e">
        <f>IF(AQ$1,SUMIFS('BalSht Data'!$H$2:$H$2050,'BalSht Data'!$G$2:$G$2050,$A49,'BalSht Data'!$A$2:$A$2050,AQ$1),#N/A)</f>
        <v>#N/A</v>
      </c>
      <c r="AR49" s="43" t="e">
        <f>IF(AR$1,SUMIFS('BalSht Data'!$H$2:$H$2050,'BalSht Data'!$G$2:$G$2050,$A49,'BalSht Data'!$A$2:$A$2050,AR$1),#N/A)</f>
        <v>#N/A</v>
      </c>
      <c r="AS49" s="43" t="e">
        <f>IF(AS$1,SUMIFS('BalSht Data'!$H$2:$H$2050,'BalSht Data'!$G$2:$G$2050,$A49,'BalSht Data'!$A$2:$A$2050,AS$1),#N/A)</f>
        <v>#N/A</v>
      </c>
      <c r="AT49" s="43" t="e">
        <f>IF(AT$1,SUMIFS('BalSht Data'!$H$2:$H$2050,'BalSht Data'!$G$2:$G$2050,$A49,'BalSht Data'!$A$2:$A$2050,AT$1),#N/A)</f>
        <v>#N/A</v>
      </c>
      <c r="AU49" s="43" t="e">
        <f>IF(AU$1,SUMIFS('BalSht Data'!$H$2:$H$2050,'BalSht Data'!$G$2:$G$2050,$A49,'BalSht Data'!$A$2:$A$2050,AU$1),#N/A)</f>
        <v>#N/A</v>
      </c>
      <c r="AV49" s="43" t="e">
        <f>IF(AV$1,SUMIFS('BalSht Data'!$H$2:$H$2050,'BalSht Data'!$G$2:$G$2050,$A49,'BalSht Data'!$A$2:$A$2050,AV$1),#N/A)</f>
        <v>#N/A</v>
      </c>
      <c r="AW49" s="43" t="e">
        <f>IF(AW$1,SUMIFS('BalSht Data'!$H$2:$H$2050,'BalSht Data'!$G$2:$G$2050,$A49,'BalSht Data'!$A$2:$A$2050,AW$1),#N/A)</f>
        <v>#N/A</v>
      </c>
      <c r="AX49" s="43" t="e">
        <f>IF(AX$1,SUMIFS('BalSht Data'!$H$2:$H$2050,'BalSht Data'!$G$2:$G$2050,$A49,'BalSht Data'!$A$2:$A$2050,AX$1),#N/A)</f>
        <v>#N/A</v>
      </c>
      <c r="AY49" s="43" t="e">
        <f>IF(AY$1,SUMIFS('BalSht Data'!$H$2:$H$2050,'BalSht Data'!$G$2:$G$2050,$A49,'BalSht Data'!$A$2:$A$2050,AY$1),#N/A)</f>
        <v>#N/A</v>
      </c>
      <c r="AZ49" s="43" t="e">
        <f>IF(AZ$1,SUMIFS('BalSht Data'!$H$2:$H$2050,'BalSht Data'!$G$2:$G$2050,$A49,'BalSht Data'!$A$2:$A$2050,AZ$1),#N/A)</f>
        <v>#N/A</v>
      </c>
      <c r="BA49" s="43" t="e">
        <f>IF(BA$1,SUMIFS('BalSht Data'!$H$2:$H$2050,'BalSht Data'!$G$2:$G$2050,$A49,'BalSht Data'!$A$2:$A$2050,BA$1),#N/A)</f>
        <v>#N/A</v>
      </c>
      <c r="BB49" s="43" t="e">
        <f>IF(BB$1,SUMIFS('BalSht Data'!$H$2:$H$2050,'BalSht Data'!$G$2:$G$2050,$A49,'BalSht Data'!$A$2:$A$2050,BB$1),#N/A)</f>
        <v>#N/A</v>
      </c>
      <c r="BC49" s="43" t="e">
        <f>IF(BC$1,SUMIFS('BalSht Data'!$H$2:$H$2050,'BalSht Data'!$G$2:$G$2050,$A49,'BalSht Data'!$A$2:$A$2050,BC$1),#N/A)</f>
        <v>#N/A</v>
      </c>
      <c r="BD49" s="43" t="e">
        <f>IF(BD$1,SUMIFS('BalSht Data'!$H$2:$H$2050,'BalSht Data'!$G$2:$G$2050,$A49,'BalSht Data'!$A$2:$A$2050,BD$1),#N/A)</f>
        <v>#N/A</v>
      </c>
      <c r="BE49" s="43" t="e">
        <f>IF(BE$1,SUMIFS('BalSht Data'!$H$2:$H$2050,'BalSht Data'!$G$2:$G$2050,$A49,'BalSht Data'!$A$2:$A$2050,BE$1),#N/A)</f>
        <v>#N/A</v>
      </c>
      <c r="BF49" s="43" t="e">
        <f>IF(BF$1,SUMIFS('BalSht Data'!$H$2:$H$2050,'BalSht Data'!$G$2:$G$2050,$A49,'BalSht Data'!$A$2:$A$2050,BF$1),#N/A)</f>
        <v>#N/A</v>
      </c>
      <c r="BG49" s="43" t="e">
        <f>IF(BG$1,SUMIFS('BalSht Data'!$H$2:$H$2050,'BalSht Data'!$G$2:$G$2050,$A49,'BalSht Data'!$A$2:$A$2050,BG$1),#N/A)</f>
        <v>#N/A</v>
      </c>
      <c r="BH49" s="43" t="e">
        <f>IF(BH$1,SUMIFS('BalSht Data'!$H$2:$H$2050,'BalSht Data'!$G$2:$G$2050,$A49,'BalSht Data'!$A$2:$A$2050,BH$1),#N/A)</f>
        <v>#N/A</v>
      </c>
      <c r="BI49" s="43" t="e">
        <f>IF(BI$1,SUMIFS('BalSht Data'!$H$2:$H$2050,'BalSht Data'!$G$2:$G$2050,$A49,'BalSht Data'!$A$2:$A$2050,BI$1),#N/A)</f>
        <v>#N/A</v>
      </c>
      <c r="BJ49" s="43" t="e">
        <f>IF(BJ$1,SUMIFS('BalSht Data'!$H$2:$H$2050,'BalSht Data'!$G$2:$G$2050,$A49,'BalSht Data'!$A$2:$A$2050,BJ$1),#N/A)</f>
        <v>#N/A</v>
      </c>
      <c r="BK49" s="43" t="e">
        <f>IF(BK$1,SUMIFS('BalSht Data'!$H$2:$H$2050,'BalSht Data'!$G$2:$G$2050,$A49,'BalSht Data'!$A$2:$A$2050,BK$1),#N/A)</f>
        <v>#N/A</v>
      </c>
      <c r="BL49" s="43" t="e">
        <f>IF(BL$1,SUMIFS('BalSht Data'!$H$2:$H$2050,'BalSht Data'!$G$2:$G$2050,$A49,'BalSht Data'!$A$2:$A$2050,BL$1),#N/A)</f>
        <v>#N/A</v>
      </c>
      <c r="BM49" s="43" t="e">
        <f>IF(BM$1,SUMIFS('BalSht Data'!$H$2:$H$2050,'BalSht Data'!$G$2:$G$2050,$A49,'BalSht Data'!$A$2:$A$2050,BM$1),#N/A)</f>
        <v>#N/A</v>
      </c>
      <c r="BN49" s="43" t="e">
        <f>IF(BN$1,SUMIFS('BalSht Data'!$H$2:$H$2050,'BalSht Data'!$G$2:$G$2050,$A49,'BalSht Data'!$A$2:$A$2050,BN$1),#N/A)</f>
        <v>#N/A</v>
      </c>
      <c r="BO49" s="43" t="e">
        <f>IF(BO$1,SUMIFS('BalSht Data'!$H$2:$H$2050,'BalSht Data'!$G$2:$G$2050,$A49,'BalSht Data'!$A$2:$A$2050,BO$1),#N/A)</f>
        <v>#N/A</v>
      </c>
      <c r="BP49" s="43" t="e">
        <f>IF(BP$1,SUMIFS('BalSht Data'!$H$2:$H$2050,'BalSht Data'!$G$2:$G$2050,$A49,'BalSht Data'!$A$2:$A$2050,BP$1),#N/A)</f>
        <v>#N/A</v>
      </c>
      <c r="BQ49" s="43" t="e">
        <f>IF(BQ$1,SUMIFS('BalSht Data'!$H$2:$H$2050,'BalSht Data'!$G$2:$G$2050,$A49,'BalSht Data'!$A$2:$A$2050,BQ$1),#N/A)</f>
        <v>#N/A</v>
      </c>
      <c r="BR49" s="43" t="e">
        <f>IF(BR$1,SUMIFS('BalSht Data'!$H$2:$H$2050,'BalSht Data'!$G$2:$G$2050,$A49,'BalSht Data'!$A$2:$A$2050,BR$1),#N/A)</f>
        <v>#N/A</v>
      </c>
      <c r="BS49" s="43" t="e">
        <f>IF(BS$1,SUMIFS('BalSht Data'!$H$2:$H$2050,'BalSht Data'!$G$2:$G$2050,$A49,'BalSht Data'!$A$2:$A$2050,BS$1),#N/A)</f>
        <v>#N/A</v>
      </c>
      <c r="BT49" s="43" t="e">
        <f>IF(BT$1,SUMIFS('BalSht Data'!$H$2:$H$2050,'BalSht Data'!$G$2:$G$2050,$A49,'BalSht Data'!$A$2:$A$2050,BT$1),#N/A)</f>
        <v>#N/A</v>
      </c>
      <c r="BU49" s="43" t="e">
        <f>IF(BU$1,SUMIFS('BalSht Data'!$H$2:$H$2050,'BalSht Data'!$G$2:$G$2050,$A49,'BalSht Data'!$A$2:$A$2050,BU$1),#N/A)</f>
        <v>#N/A</v>
      </c>
      <c r="BV49" s="43" t="e">
        <f>IF(BV$1,SUMIFS('BalSht Data'!$H$2:$H$2050,'BalSht Data'!$G$2:$G$2050,$A49,'BalSht Data'!$A$2:$A$2050,BV$1),#N/A)</f>
        <v>#N/A</v>
      </c>
      <c r="BW49" s="43" t="e">
        <f>IF(BW$1,SUMIFS('BalSht Data'!$H$2:$H$2050,'BalSht Data'!$G$2:$G$2050,$A49,'BalSht Data'!$A$2:$A$2050,BW$1),#N/A)</f>
        <v>#N/A</v>
      </c>
      <c r="BX49" s="43" t="e">
        <f>IF(BX$1,SUMIFS('BalSht Data'!$H$2:$H$2050,'BalSht Data'!$G$2:$G$2050,$A49,'BalSht Data'!$A$2:$A$2050,BX$1),#N/A)</f>
        <v>#N/A</v>
      </c>
      <c r="BY49" s="43" t="e">
        <f>IF(BY$1,SUMIFS('BalSht Data'!$H$2:$H$2050,'BalSht Data'!$G$2:$G$2050,$A49,'BalSht Data'!$A$2:$A$2050,BY$1),#N/A)</f>
        <v>#N/A</v>
      </c>
      <c r="BZ49" s="43" t="e">
        <f>IF(BZ$1,SUMIFS('BalSht Data'!$H$2:$H$2050,'BalSht Data'!$G$2:$G$2050,$A49,'BalSht Data'!$A$2:$A$2050,BZ$1),#N/A)</f>
        <v>#N/A</v>
      </c>
      <c r="CA49" s="43" t="e">
        <f>IF(CA$1,SUMIFS('BalSht Data'!$H$2:$H$2050,'BalSht Data'!$G$2:$G$2050,$A49,'BalSht Data'!$A$2:$A$2050,CA$1),#N/A)</f>
        <v>#N/A</v>
      </c>
      <c r="CB49" s="43" t="e">
        <f>IF(CB$1,SUMIFS('BalSht Data'!$H$2:$H$2050,'BalSht Data'!$G$2:$G$2050,$A49,'BalSht Data'!$A$2:$A$2050,CB$1),#N/A)</f>
        <v>#N/A</v>
      </c>
      <c r="CC49" s="43" t="e">
        <f>IF(CC$1,SUMIFS('BalSht Data'!$H$2:$H$2050,'BalSht Data'!$G$2:$G$2050,$A49,'BalSht Data'!$A$2:$A$2050,CC$1),#N/A)</f>
        <v>#N/A</v>
      </c>
      <c r="CD49" s="43" t="e">
        <f>IF(CD$1,SUMIFS('BalSht Data'!$H$2:$H$2050,'BalSht Data'!$G$2:$G$2050,$A49,'BalSht Data'!$A$2:$A$2050,CD$1),#N/A)</f>
        <v>#N/A</v>
      </c>
      <c r="CE49" s="43" t="e">
        <f>IF(CE$1,SUMIFS('BalSht Data'!$H$2:$H$2050,'BalSht Data'!$G$2:$G$2050,$A49,'BalSht Data'!$A$2:$A$2050,CE$1),#N/A)</f>
        <v>#N/A</v>
      </c>
      <c r="CF49" s="43" t="e">
        <f>IF(CF$1,SUMIFS('BalSht Data'!$H$2:$H$2050,'BalSht Data'!$G$2:$G$2050,$A49,'BalSht Data'!$A$2:$A$2050,CF$1),#N/A)</f>
        <v>#N/A</v>
      </c>
      <c r="CG49" s="43" t="e">
        <f>IF(CG$1,SUMIFS('BalSht Data'!$H$2:$H$2050,'BalSht Data'!$G$2:$G$2050,$A49,'BalSht Data'!$A$2:$A$2050,CG$1),#N/A)</f>
        <v>#N/A</v>
      </c>
      <c r="CH49" s="43" t="e">
        <f>IF(CH$1,SUMIFS('BalSht Data'!$H$2:$H$2050,'BalSht Data'!$G$2:$G$2050,$A49,'BalSht Data'!$A$2:$A$2050,CH$1),#N/A)</f>
        <v>#N/A</v>
      </c>
      <c r="CI49" s="43" t="e">
        <f>IF(CI$1,SUMIFS('BalSht Data'!$H$2:$H$2050,'BalSht Data'!$G$2:$G$2050,$A49,'BalSht Data'!$A$2:$A$2050,CI$1),#N/A)</f>
        <v>#N/A</v>
      </c>
      <c r="CJ49" s="43" t="e">
        <f>IF(CJ$1,SUMIFS('BalSht Data'!$H$2:$H$2050,'BalSht Data'!$G$2:$G$2050,$A49,'BalSht Data'!$A$2:$A$2050,CJ$1),#N/A)</f>
        <v>#N/A</v>
      </c>
      <c r="CK49" s="43" t="e">
        <f>IF(CK$1,SUMIFS('BalSht Data'!$H$2:$H$2050,'BalSht Data'!$G$2:$G$2050,$A49,'BalSht Data'!$A$2:$A$2050,CK$1),#N/A)</f>
        <v>#N/A</v>
      </c>
      <c r="CL49" s="43" t="e">
        <f>IF(CL$1,SUMIFS('BalSht Data'!$H$2:$H$2050,'BalSht Data'!$G$2:$G$2050,$A49,'BalSht Data'!$A$2:$A$2050,CL$1),#N/A)</f>
        <v>#N/A</v>
      </c>
      <c r="CM49" s="43" t="e">
        <f>IF(CM$1,SUMIFS('BalSht Data'!$H$2:$H$2050,'BalSht Data'!$G$2:$G$2050,$A49,'BalSht Data'!$A$2:$A$2050,CM$1),#N/A)</f>
        <v>#N/A</v>
      </c>
      <c r="CN49" s="43" t="e">
        <f>IF(CN$1,SUMIFS('BalSht Data'!$H$2:$H$2050,'BalSht Data'!$G$2:$G$2050,$A49,'BalSht Data'!$A$2:$A$2050,CN$1),#N/A)</f>
        <v>#N/A</v>
      </c>
      <c r="CO49" s="43" t="e">
        <f>IF(CO$1,SUMIFS('BalSht Data'!$H$2:$H$2050,'BalSht Data'!$G$2:$G$2050,$A49,'BalSht Data'!$A$2:$A$2050,CO$1),#N/A)</f>
        <v>#N/A</v>
      </c>
      <c r="CP49" s="43" t="e">
        <f>IF(CP$1,SUMIFS('BalSht Data'!$H$2:$H$2050,'BalSht Data'!$G$2:$G$2050,$A49,'BalSht Data'!$A$2:$A$2050,CP$1),#N/A)</f>
        <v>#N/A</v>
      </c>
      <c r="CQ49" s="43" t="e">
        <f>IF(CQ$1,SUMIFS('BalSht Data'!$H$2:$H$2050,'BalSht Data'!$G$2:$G$2050,$A49,'BalSht Data'!$A$2:$A$2050,CQ$1),#N/A)</f>
        <v>#N/A</v>
      </c>
      <c r="CR49" s="43" t="e">
        <f>IF(CR$1,SUMIFS('BalSht Data'!$H$2:$H$2050,'BalSht Data'!$G$2:$G$2050,$A49,'BalSht Data'!$A$2:$A$2050,CR$1),#N/A)</f>
        <v>#N/A</v>
      </c>
      <c r="CS49" s="43" t="e">
        <f>IF(CS$1,SUMIFS('BalSht Data'!$H$2:$H$2050,'BalSht Data'!$G$2:$G$2050,$A49,'BalSht Data'!$A$2:$A$2050,CS$1),#N/A)</f>
        <v>#N/A</v>
      </c>
      <c r="CT49" s="43" t="e">
        <f>IF(CT$1,SUMIFS('BalSht Data'!$H$2:$H$2050,'BalSht Data'!$G$2:$G$2050,$A49,'BalSht Data'!$A$2:$A$2050,CT$1),#N/A)</f>
        <v>#N/A</v>
      </c>
      <c r="CU49" s="43" t="e">
        <f>IF(CU$1,SUMIFS('BalSht Data'!$H$2:$H$2050,'BalSht Data'!$G$2:$G$2050,$A49,'BalSht Data'!$A$2:$A$2050,CU$1),#N/A)</f>
        <v>#N/A</v>
      </c>
      <c r="CV49" s="43" t="e">
        <f>IF(CV$1,SUMIFS('BalSht Data'!$H$2:$H$2050,'BalSht Data'!$G$2:$G$2050,$A49,'BalSht Data'!$A$2:$A$2050,CV$1),#N/A)</f>
        <v>#N/A</v>
      </c>
      <c r="CW49" s="43" t="e">
        <f>IF(CW$1,SUMIFS('BalSht Data'!$H$2:$H$2050,'BalSht Data'!$G$2:$G$2050,$A49,'BalSht Data'!$A$2:$A$2050,CW$1),#N/A)</f>
        <v>#N/A</v>
      </c>
      <c r="CX49" s="43" t="e">
        <f>IF(CX$1,SUMIFS('BalSht Data'!$H$2:$H$2050,'BalSht Data'!$G$2:$G$2050,$A49,'BalSht Data'!$A$2:$A$2050,CX$1),#N/A)</f>
        <v>#N/A</v>
      </c>
      <c r="CY49" s="43" t="e">
        <f>IF(CY$1,SUMIFS('BalSht Data'!$H$2:$H$2050,'BalSht Data'!$G$2:$G$2050,$A49,'BalSht Data'!$A$2:$A$2050,CY$1),#N/A)</f>
        <v>#N/A</v>
      </c>
      <c r="CZ49" s="43" t="e">
        <f>IF(CZ$1,SUMIFS('BalSht Data'!$H$2:$H$2050,'BalSht Data'!$G$2:$G$2050,$A49,'BalSht Data'!$A$2:$A$2050,CZ$1),#N/A)</f>
        <v>#N/A</v>
      </c>
      <c r="DA49" s="43">
        <f>SUM(B49:AJ49)</f>
        <v>37587</v>
      </c>
      <c r="DB49" s="43"/>
    </row>
    <row r="50" spans="1:106" s="42" customFormat="1" x14ac:dyDescent="0.2">
      <c r="A50" s="53" t="s">
        <v>23</v>
      </c>
      <c r="B50" s="43">
        <f>IF(B$1,SUMIFS('BalSht Data'!$H$2:$H$2050,'BalSht Data'!$G$2:$G$2050,$A50,'BalSht Data'!$A$2:$A$2050,B$1),#N/A)</f>
        <v>73366</v>
      </c>
      <c r="C50" s="43">
        <f>IF(C$1,SUMIFS('BalSht Data'!$H$2:$H$2050,'BalSht Data'!$G$2:$G$2050,$A50,'BalSht Data'!$A$2:$A$2050,C$1),#N/A)</f>
        <v>45884</v>
      </c>
      <c r="D50" s="43">
        <f>IF(D$1,SUMIFS('BalSht Data'!$H$2:$H$2050,'BalSht Data'!$G$2:$G$2050,$A50,'BalSht Data'!$A$2:$A$2050,D$1),#N/A)</f>
        <v>66559</v>
      </c>
      <c r="E50" s="43">
        <f>IF(E$1,SUMIFS('BalSht Data'!$H$2:$H$2050,'BalSht Data'!$G$2:$G$2050,$A50,'BalSht Data'!$A$2:$A$2050,E$1),#N/A)</f>
        <v>77814</v>
      </c>
      <c r="F50" s="43">
        <f>IF(F$1,SUMIFS('BalSht Data'!$H$2:$H$2050,'BalSht Data'!$G$2:$G$2050,$A50,'BalSht Data'!$A$2:$A$2050,F$1),#N/A)</f>
        <v>77525</v>
      </c>
      <c r="G50" s="43">
        <f>IF(G$1,SUMIFS('BalSht Data'!$H$2:$H$2050,'BalSht Data'!$G$2:$G$2050,$A50,'BalSht Data'!$A$2:$A$2050,G$1),#N/A)</f>
        <v>76860</v>
      </c>
      <c r="H50" s="43">
        <f>IF(H$1,SUMIFS('BalSht Data'!$H$2:$H$2050,'BalSht Data'!$G$2:$G$2050,$A50,'BalSht Data'!$A$2:$A$2050,H$1),#N/A)</f>
        <v>54496</v>
      </c>
      <c r="I50" s="43">
        <f>IF(I$1,SUMIFS('BalSht Data'!$H$2:$H$2050,'BalSht Data'!$G$2:$G$2050,$A50,'BalSht Data'!$A$2:$A$2050,I$1),#N/A)</f>
        <v>107316</v>
      </c>
      <c r="J50" s="43">
        <f>IF(J$1,SUMIFS('BalSht Data'!$H$2:$H$2050,'BalSht Data'!$G$2:$G$2050,$A50,'BalSht Data'!$A$2:$A$2050,J$1),#N/A)</f>
        <v>196483</v>
      </c>
      <c r="K50" s="43">
        <f>IF(K$1,SUMIFS('BalSht Data'!$H$2:$H$2050,'BalSht Data'!$G$2:$G$2050,$A50,'BalSht Data'!$A$2:$A$2050,K$1),#N/A)</f>
        <v>231308</v>
      </c>
      <c r="L50" s="43">
        <f>IF(L$1,SUMIFS('BalSht Data'!$H$2:$H$2050,'BalSht Data'!$G$2:$G$2050,$A50,'BalSht Data'!$A$2:$A$2050,L$1),#N/A)</f>
        <v>105079</v>
      </c>
      <c r="M50" s="43">
        <f>IF(M$1,SUMIFS('BalSht Data'!$H$2:$H$2050,'BalSht Data'!$G$2:$G$2050,$A50,'BalSht Data'!$A$2:$A$2050,M$1),#N/A)</f>
        <v>80936</v>
      </c>
      <c r="N50" s="43">
        <f>IF(N$1,SUMIFS('BalSht Data'!$H$2:$H$2050,'BalSht Data'!$G$2:$G$2050,$A50,'BalSht Data'!$A$2:$A$2050,N$1),#N/A)</f>
        <v>140342</v>
      </c>
      <c r="O50" s="43">
        <f>IF(O$1,SUMIFS('BalSht Data'!$H$2:$H$2050,'BalSht Data'!$G$2:$G$2050,$A50,'BalSht Data'!$A$2:$A$2050,O$1),#N/A)</f>
        <v>73063</v>
      </c>
      <c r="P50" s="43">
        <f>IF(P$1,SUMIFS('BalSht Data'!$H$2:$H$2050,'BalSht Data'!$G$2:$G$2050,$A50,'BalSht Data'!$A$2:$A$2050,P$1),#N/A)</f>
        <v>113716</v>
      </c>
      <c r="Q50" s="43">
        <f>IF(Q$1,SUMIFS('BalSht Data'!$H$2:$H$2050,'BalSht Data'!$G$2:$G$2050,$A50,'BalSht Data'!$A$2:$A$2050,Q$1),#N/A)</f>
        <v>73220</v>
      </c>
      <c r="R50" s="43">
        <f>IF(R$1,SUMIFS('BalSht Data'!$H$2:$H$2050,'BalSht Data'!$G$2:$G$2050,$A50,'BalSht Data'!$A$2:$A$2050,R$1),#N/A)</f>
        <v>90195</v>
      </c>
      <c r="S50" s="43">
        <f>IF(S$1,SUMIFS('BalSht Data'!$H$2:$H$2050,'BalSht Data'!$G$2:$G$2050,$A50,'BalSht Data'!$A$2:$A$2050,S$1),#N/A)</f>
        <v>544133</v>
      </c>
      <c r="T50" s="43">
        <f>IF(T$1,SUMIFS('BalSht Data'!$H$2:$H$2050,'BalSht Data'!$G$2:$G$2050,$A50,'BalSht Data'!$A$2:$A$2050,T$1),#N/A)</f>
        <v>96505</v>
      </c>
      <c r="U50" s="43">
        <f>IF(U$1,SUMIFS('BalSht Data'!$H$2:$H$2050,'BalSht Data'!$G$2:$G$2050,$A50,'BalSht Data'!$A$2:$A$2050,U$1),#N/A)</f>
        <v>108992</v>
      </c>
      <c r="V50" s="43">
        <f>IF(V$1,SUMIFS('BalSht Data'!$H$2:$H$2050,'BalSht Data'!$G$2:$G$2050,$A50,'BalSht Data'!$A$2:$A$2050,V$1),#N/A)</f>
        <v>66694</v>
      </c>
      <c r="W50" s="43">
        <f>IF(W$1,SUMIFS('BalSht Data'!$H$2:$H$2050,'BalSht Data'!$G$2:$G$2050,$A50,'BalSht Data'!$A$2:$A$2050,W$1),#N/A)</f>
        <v>49024</v>
      </c>
      <c r="X50" s="43">
        <f>IF(X$1,SUMIFS('BalSht Data'!$H$2:$H$2050,'BalSht Data'!$G$2:$G$2050,$A50,'BalSht Data'!$A$2:$A$2050,X$1),#N/A)</f>
        <v>39902</v>
      </c>
      <c r="Y50" s="43">
        <f>IF(Y$1,SUMIFS('BalSht Data'!$H$2:$H$2050,'BalSht Data'!$G$2:$G$2050,$A50,'BalSht Data'!$A$2:$A$2050,Y$1),#N/A)</f>
        <v>83789</v>
      </c>
      <c r="Z50" s="43">
        <f>IF(Z$1,SUMIFS('BalSht Data'!$H$2:$H$2050,'BalSht Data'!$G$2:$G$2050,$A50,'BalSht Data'!$A$2:$A$2050,Z$1),#N/A)</f>
        <v>0</v>
      </c>
      <c r="AA50" s="43">
        <f>IF(AA$1,SUMIFS('BalSht Data'!$H$2:$H$2050,'BalSht Data'!$G$2:$G$2050,$A50,'BalSht Data'!$A$2:$A$2050,AA$1),#N/A)</f>
        <v>60667</v>
      </c>
      <c r="AB50" s="43">
        <f>IF(AB$1,SUMIFS('BalSht Data'!$H$2:$H$2050,'BalSht Data'!$G$2:$G$2050,$A50,'BalSht Data'!$A$2:$A$2050,AB$1),#N/A)</f>
        <v>0</v>
      </c>
      <c r="AC50" s="43">
        <f>IF(AC$1,SUMIFS('BalSht Data'!$H$2:$H$2050,'BalSht Data'!$G$2:$G$2050,$A50,'BalSht Data'!$A$2:$A$2050,AC$1),#N/A)</f>
        <v>0</v>
      </c>
      <c r="AD50" s="43">
        <f>IF(AD$1,SUMIFS('BalSht Data'!$H$2:$H$2050,'BalSht Data'!$G$2:$G$2050,$A50,'BalSht Data'!$A$2:$A$2050,AD$1),#N/A)</f>
        <v>133846</v>
      </c>
      <c r="AE50" s="43">
        <f>IF(AE$1,SUMIFS('BalSht Data'!$H$2:$H$2050,'BalSht Data'!$G$2:$G$2050,$A50,'BalSht Data'!$A$2:$A$2050,AE$1),#N/A)</f>
        <v>292716</v>
      </c>
      <c r="AF50" s="43">
        <f>IF(AF$1,SUMIFS('BalSht Data'!$H$2:$H$2050,'BalSht Data'!$G$2:$G$2050,$A50,'BalSht Data'!$A$2:$A$2050,AF$1),#N/A)</f>
        <v>83454</v>
      </c>
      <c r="AG50" s="43">
        <f>IF(AG$1,SUMIFS('BalSht Data'!$H$2:$H$2050,'BalSht Data'!$G$2:$G$2050,$A50,'BalSht Data'!$A$2:$A$2050,AG$1),#N/A)</f>
        <v>79812</v>
      </c>
      <c r="AH50" s="43">
        <f>IF(AH$1,SUMIFS('BalSht Data'!$H$2:$H$2050,'BalSht Data'!$G$2:$G$2050,$A50,'BalSht Data'!$A$2:$A$2050,AH$1),#N/A)</f>
        <v>67520</v>
      </c>
      <c r="AI50" s="43">
        <f>IF(AI$1,SUMIFS('BalSht Data'!$H$2:$H$2050,'BalSht Data'!$G$2:$G$2050,$A50,'BalSht Data'!$A$2:$A$2050,AI$1),#N/A)</f>
        <v>88019</v>
      </c>
      <c r="AJ50" s="43">
        <f>IF(AJ$1,SUMIFS('BalSht Data'!$H$2:$H$2050,'BalSht Data'!$G$2:$G$2050,$A50,'BalSht Data'!$A$2:$A$2050,AJ$1),#N/A)</f>
        <v>59053</v>
      </c>
      <c r="AK50" s="43" t="e">
        <f>IF(AK$1,SUMIFS('BalSht Data'!$H$2:$H$2050,'BalSht Data'!$G$2:$G$2050,$A50,'BalSht Data'!$A$2:$A$2050,AK$1),#N/A)</f>
        <v>#N/A</v>
      </c>
      <c r="AL50" s="43" t="e">
        <f>IF(AL$1,SUMIFS('BalSht Data'!$H$2:$H$2050,'BalSht Data'!$G$2:$G$2050,$A50,'BalSht Data'!$A$2:$A$2050,AL$1),#N/A)</f>
        <v>#N/A</v>
      </c>
      <c r="AM50" s="43" t="e">
        <f>IF(AM$1,SUMIFS('BalSht Data'!$H$2:$H$2050,'BalSht Data'!$G$2:$G$2050,$A50,'BalSht Data'!$A$2:$A$2050,AM$1),#N/A)</f>
        <v>#N/A</v>
      </c>
      <c r="AN50" s="43" t="e">
        <f>IF(AN$1,SUMIFS('BalSht Data'!$H$2:$H$2050,'BalSht Data'!$G$2:$G$2050,$A50,'BalSht Data'!$A$2:$A$2050,AN$1),#N/A)</f>
        <v>#N/A</v>
      </c>
      <c r="AO50" s="43" t="e">
        <f>IF(AO$1,SUMIFS('BalSht Data'!$H$2:$H$2050,'BalSht Data'!$G$2:$G$2050,$A50,'BalSht Data'!$A$2:$A$2050,AO$1),#N/A)</f>
        <v>#N/A</v>
      </c>
      <c r="AP50" s="43" t="e">
        <f>IF(AP$1,SUMIFS('BalSht Data'!$H$2:$H$2050,'BalSht Data'!$G$2:$G$2050,$A50,'BalSht Data'!$A$2:$A$2050,AP$1),#N/A)</f>
        <v>#N/A</v>
      </c>
      <c r="AQ50" s="43" t="e">
        <f>IF(AQ$1,SUMIFS('BalSht Data'!$H$2:$H$2050,'BalSht Data'!$G$2:$G$2050,$A50,'BalSht Data'!$A$2:$A$2050,AQ$1),#N/A)</f>
        <v>#N/A</v>
      </c>
      <c r="AR50" s="43" t="e">
        <f>IF(AR$1,SUMIFS('BalSht Data'!$H$2:$H$2050,'BalSht Data'!$G$2:$G$2050,$A50,'BalSht Data'!$A$2:$A$2050,AR$1),#N/A)</f>
        <v>#N/A</v>
      </c>
      <c r="AS50" s="43" t="e">
        <f>IF(AS$1,SUMIFS('BalSht Data'!$H$2:$H$2050,'BalSht Data'!$G$2:$G$2050,$A50,'BalSht Data'!$A$2:$A$2050,AS$1),#N/A)</f>
        <v>#N/A</v>
      </c>
      <c r="AT50" s="43" t="e">
        <f>IF(AT$1,SUMIFS('BalSht Data'!$H$2:$H$2050,'BalSht Data'!$G$2:$G$2050,$A50,'BalSht Data'!$A$2:$A$2050,AT$1),#N/A)</f>
        <v>#N/A</v>
      </c>
      <c r="AU50" s="43" t="e">
        <f>IF(AU$1,SUMIFS('BalSht Data'!$H$2:$H$2050,'BalSht Data'!$G$2:$G$2050,$A50,'BalSht Data'!$A$2:$A$2050,AU$1),#N/A)</f>
        <v>#N/A</v>
      </c>
      <c r="AV50" s="43" t="e">
        <f>IF(AV$1,SUMIFS('BalSht Data'!$H$2:$H$2050,'BalSht Data'!$G$2:$G$2050,$A50,'BalSht Data'!$A$2:$A$2050,AV$1),#N/A)</f>
        <v>#N/A</v>
      </c>
      <c r="AW50" s="43" t="e">
        <f>IF(AW$1,SUMIFS('BalSht Data'!$H$2:$H$2050,'BalSht Data'!$G$2:$G$2050,$A50,'BalSht Data'!$A$2:$A$2050,AW$1),#N/A)</f>
        <v>#N/A</v>
      </c>
      <c r="AX50" s="43" t="e">
        <f>IF(AX$1,SUMIFS('BalSht Data'!$H$2:$H$2050,'BalSht Data'!$G$2:$G$2050,$A50,'BalSht Data'!$A$2:$A$2050,AX$1),#N/A)</f>
        <v>#N/A</v>
      </c>
      <c r="AY50" s="43" t="e">
        <f>IF(AY$1,SUMIFS('BalSht Data'!$H$2:$H$2050,'BalSht Data'!$G$2:$G$2050,$A50,'BalSht Data'!$A$2:$A$2050,AY$1),#N/A)</f>
        <v>#N/A</v>
      </c>
      <c r="AZ50" s="43" t="e">
        <f>IF(AZ$1,SUMIFS('BalSht Data'!$H$2:$H$2050,'BalSht Data'!$G$2:$G$2050,$A50,'BalSht Data'!$A$2:$A$2050,AZ$1),#N/A)</f>
        <v>#N/A</v>
      </c>
      <c r="BA50" s="43" t="e">
        <f>IF(BA$1,SUMIFS('BalSht Data'!$H$2:$H$2050,'BalSht Data'!$G$2:$G$2050,$A50,'BalSht Data'!$A$2:$A$2050,BA$1),#N/A)</f>
        <v>#N/A</v>
      </c>
      <c r="BB50" s="43" t="e">
        <f>IF(BB$1,SUMIFS('BalSht Data'!$H$2:$H$2050,'BalSht Data'!$G$2:$G$2050,$A50,'BalSht Data'!$A$2:$A$2050,BB$1),#N/A)</f>
        <v>#N/A</v>
      </c>
      <c r="BC50" s="43" t="e">
        <f>IF(BC$1,SUMIFS('BalSht Data'!$H$2:$H$2050,'BalSht Data'!$G$2:$G$2050,$A50,'BalSht Data'!$A$2:$A$2050,BC$1),#N/A)</f>
        <v>#N/A</v>
      </c>
      <c r="BD50" s="43" t="e">
        <f>IF(BD$1,SUMIFS('BalSht Data'!$H$2:$H$2050,'BalSht Data'!$G$2:$G$2050,$A50,'BalSht Data'!$A$2:$A$2050,BD$1),#N/A)</f>
        <v>#N/A</v>
      </c>
      <c r="BE50" s="43" t="e">
        <f>IF(BE$1,SUMIFS('BalSht Data'!$H$2:$H$2050,'BalSht Data'!$G$2:$G$2050,$A50,'BalSht Data'!$A$2:$A$2050,BE$1),#N/A)</f>
        <v>#N/A</v>
      </c>
      <c r="BF50" s="43" t="e">
        <f>IF(BF$1,SUMIFS('BalSht Data'!$H$2:$H$2050,'BalSht Data'!$G$2:$G$2050,$A50,'BalSht Data'!$A$2:$A$2050,BF$1),#N/A)</f>
        <v>#N/A</v>
      </c>
      <c r="BG50" s="43" t="e">
        <f>IF(BG$1,SUMIFS('BalSht Data'!$H$2:$H$2050,'BalSht Data'!$G$2:$G$2050,$A50,'BalSht Data'!$A$2:$A$2050,BG$1),#N/A)</f>
        <v>#N/A</v>
      </c>
      <c r="BH50" s="43" t="e">
        <f>IF(BH$1,SUMIFS('BalSht Data'!$H$2:$H$2050,'BalSht Data'!$G$2:$G$2050,$A50,'BalSht Data'!$A$2:$A$2050,BH$1),#N/A)</f>
        <v>#N/A</v>
      </c>
      <c r="BI50" s="43" t="e">
        <f>IF(BI$1,SUMIFS('BalSht Data'!$H$2:$H$2050,'BalSht Data'!$G$2:$G$2050,$A50,'BalSht Data'!$A$2:$A$2050,BI$1),#N/A)</f>
        <v>#N/A</v>
      </c>
      <c r="BJ50" s="43" t="e">
        <f>IF(BJ$1,SUMIFS('BalSht Data'!$H$2:$H$2050,'BalSht Data'!$G$2:$G$2050,$A50,'BalSht Data'!$A$2:$A$2050,BJ$1),#N/A)</f>
        <v>#N/A</v>
      </c>
      <c r="BK50" s="43" t="e">
        <f>IF(BK$1,SUMIFS('BalSht Data'!$H$2:$H$2050,'BalSht Data'!$G$2:$G$2050,$A50,'BalSht Data'!$A$2:$A$2050,BK$1),#N/A)</f>
        <v>#N/A</v>
      </c>
      <c r="BL50" s="43" t="e">
        <f>IF(BL$1,SUMIFS('BalSht Data'!$H$2:$H$2050,'BalSht Data'!$G$2:$G$2050,$A50,'BalSht Data'!$A$2:$A$2050,BL$1),#N/A)</f>
        <v>#N/A</v>
      </c>
      <c r="BM50" s="43" t="e">
        <f>IF(BM$1,SUMIFS('BalSht Data'!$H$2:$H$2050,'BalSht Data'!$G$2:$G$2050,$A50,'BalSht Data'!$A$2:$A$2050,BM$1),#N/A)</f>
        <v>#N/A</v>
      </c>
      <c r="BN50" s="43" t="e">
        <f>IF(BN$1,SUMIFS('BalSht Data'!$H$2:$H$2050,'BalSht Data'!$G$2:$G$2050,$A50,'BalSht Data'!$A$2:$A$2050,BN$1),#N/A)</f>
        <v>#N/A</v>
      </c>
      <c r="BO50" s="43" t="e">
        <f>IF(BO$1,SUMIFS('BalSht Data'!$H$2:$H$2050,'BalSht Data'!$G$2:$G$2050,$A50,'BalSht Data'!$A$2:$A$2050,BO$1),#N/A)</f>
        <v>#N/A</v>
      </c>
      <c r="BP50" s="43" t="e">
        <f>IF(BP$1,SUMIFS('BalSht Data'!$H$2:$H$2050,'BalSht Data'!$G$2:$G$2050,$A50,'BalSht Data'!$A$2:$A$2050,BP$1),#N/A)</f>
        <v>#N/A</v>
      </c>
      <c r="BQ50" s="43" t="e">
        <f>IF(BQ$1,SUMIFS('BalSht Data'!$H$2:$H$2050,'BalSht Data'!$G$2:$G$2050,$A50,'BalSht Data'!$A$2:$A$2050,BQ$1),#N/A)</f>
        <v>#N/A</v>
      </c>
      <c r="BR50" s="43" t="e">
        <f>IF(BR$1,SUMIFS('BalSht Data'!$H$2:$H$2050,'BalSht Data'!$G$2:$G$2050,$A50,'BalSht Data'!$A$2:$A$2050,BR$1),#N/A)</f>
        <v>#N/A</v>
      </c>
      <c r="BS50" s="43" t="e">
        <f>IF(BS$1,SUMIFS('BalSht Data'!$H$2:$H$2050,'BalSht Data'!$G$2:$G$2050,$A50,'BalSht Data'!$A$2:$A$2050,BS$1),#N/A)</f>
        <v>#N/A</v>
      </c>
      <c r="BT50" s="43" t="e">
        <f>IF(BT$1,SUMIFS('BalSht Data'!$H$2:$H$2050,'BalSht Data'!$G$2:$G$2050,$A50,'BalSht Data'!$A$2:$A$2050,BT$1),#N/A)</f>
        <v>#N/A</v>
      </c>
      <c r="BU50" s="43" t="e">
        <f>IF(BU$1,SUMIFS('BalSht Data'!$H$2:$H$2050,'BalSht Data'!$G$2:$G$2050,$A50,'BalSht Data'!$A$2:$A$2050,BU$1),#N/A)</f>
        <v>#N/A</v>
      </c>
      <c r="BV50" s="43" t="e">
        <f>IF(BV$1,SUMIFS('BalSht Data'!$H$2:$H$2050,'BalSht Data'!$G$2:$G$2050,$A50,'BalSht Data'!$A$2:$A$2050,BV$1),#N/A)</f>
        <v>#N/A</v>
      </c>
      <c r="BW50" s="43" t="e">
        <f>IF(BW$1,SUMIFS('BalSht Data'!$H$2:$H$2050,'BalSht Data'!$G$2:$G$2050,$A50,'BalSht Data'!$A$2:$A$2050,BW$1),#N/A)</f>
        <v>#N/A</v>
      </c>
      <c r="BX50" s="43" t="e">
        <f>IF(BX$1,SUMIFS('BalSht Data'!$H$2:$H$2050,'BalSht Data'!$G$2:$G$2050,$A50,'BalSht Data'!$A$2:$A$2050,BX$1),#N/A)</f>
        <v>#N/A</v>
      </c>
      <c r="BY50" s="43" t="e">
        <f>IF(BY$1,SUMIFS('BalSht Data'!$H$2:$H$2050,'BalSht Data'!$G$2:$G$2050,$A50,'BalSht Data'!$A$2:$A$2050,BY$1),#N/A)</f>
        <v>#N/A</v>
      </c>
      <c r="BZ50" s="43" t="e">
        <f>IF(BZ$1,SUMIFS('BalSht Data'!$H$2:$H$2050,'BalSht Data'!$G$2:$G$2050,$A50,'BalSht Data'!$A$2:$A$2050,BZ$1),#N/A)</f>
        <v>#N/A</v>
      </c>
      <c r="CA50" s="43" t="e">
        <f>IF(CA$1,SUMIFS('BalSht Data'!$H$2:$H$2050,'BalSht Data'!$G$2:$G$2050,$A50,'BalSht Data'!$A$2:$A$2050,CA$1),#N/A)</f>
        <v>#N/A</v>
      </c>
      <c r="CB50" s="43" t="e">
        <f>IF(CB$1,SUMIFS('BalSht Data'!$H$2:$H$2050,'BalSht Data'!$G$2:$G$2050,$A50,'BalSht Data'!$A$2:$A$2050,CB$1),#N/A)</f>
        <v>#N/A</v>
      </c>
      <c r="CC50" s="43" t="e">
        <f>IF(CC$1,SUMIFS('BalSht Data'!$H$2:$H$2050,'BalSht Data'!$G$2:$G$2050,$A50,'BalSht Data'!$A$2:$A$2050,CC$1),#N/A)</f>
        <v>#N/A</v>
      </c>
      <c r="CD50" s="43" t="e">
        <f>IF(CD$1,SUMIFS('BalSht Data'!$H$2:$H$2050,'BalSht Data'!$G$2:$G$2050,$A50,'BalSht Data'!$A$2:$A$2050,CD$1),#N/A)</f>
        <v>#N/A</v>
      </c>
      <c r="CE50" s="43" t="e">
        <f>IF(CE$1,SUMIFS('BalSht Data'!$H$2:$H$2050,'BalSht Data'!$G$2:$G$2050,$A50,'BalSht Data'!$A$2:$A$2050,CE$1),#N/A)</f>
        <v>#N/A</v>
      </c>
      <c r="CF50" s="43" t="e">
        <f>IF(CF$1,SUMIFS('BalSht Data'!$H$2:$H$2050,'BalSht Data'!$G$2:$G$2050,$A50,'BalSht Data'!$A$2:$A$2050,CF$1),#N/A)</f>
        <v>#N/A</v>
      </c>
      <c r="CG50" s="43" t="e">
        <f>IF(CG$1,SUMIFS('BalSht Data'!$H$2:$H$2050,'BalSht Data'!$G$2:$G$2050,$A50,'BalSht Data'!$A$2:$A$2050,CG$1),#N/A)</f>
        <v>#N/A</v>
      </c>
      <c r="CH50" s="43" t="e">
        <f>IF(CH$1,SUMIFS('BalSht Data'!$H$2:$H$2050,'BalSht Data'!$G$2:$G$2050,$A50,'BalSht Data'!$A$2:$A$2050,CH$1),#N/A)</f>
        <v>#N/A</v>
      </c>
      <c r="CI50" s="43" t="e">
        <f>IF(CI$1,SUMIFS('BalSht Data'!$H$2:$H$2050,'BalSht Data'!$G$2:$G$2050,$A50,'BalSht Data'!$A$2:$A$2050,CI$1),#N/A)</f>
        <v>#N/A</v>
      </c>
      <c r="CJ50" s="43" t="e">
        <f>IF(CJ$1,SUMIFS('BalSht Data'!$H$2:$H$2050,'BalSht Data'!$G$2:$G$2050,$A50,'BalSht Data'!$A$2:$A$2050,CJ$1),#N/A)</f>
        <v>#N/A</v>
      </c>
      <c r="CK50" s="43" t="e">
        <f>IF(CK$1,SUMIFS('BalSht Data'!$H$2:$H$2050,'BalSht Data'!$G$2:$G$2050,$A50,'BalSht Data'!$A$2:$A$2050,CK$1),#N/A)</f>
        <v>#N/A</v>
      </c>
      <c r="CL50" s="43" t="e">
        <f>IF(CL$1,SUMIFS('BalSht Data'!$H$2:$H$2050,'BalSht Data'!$G$2:$G$2050,$A50,'BalSht Data'!$A$2:$A$2050,CL$1),#N/A)</f>
        <v>#N/A</v>
      </c>
      <c r="CM50" s="43" t="e">
        <f>IF(CM$1,SUMIFS('BalSht Data'!$H$2:$H$2050,'BalSht Data'!$G$2:$G$2050,$A50,'BalSht Data'!$A$2:$A$2050,CM$1),#N/A)</f>
        <v>#N/A</v>
      </c>
      <c r="CN50" s="43" t="e">
        <f>IF(CN$1,SUMIFS('BalSht Data'!$H$2:$H$2050,'BalSht Data'!$G$2:$G$2050,$A50,'BalSht Data'!$A$2:$A$2050,CN$1),#N/A)</f>
        <v>#N/A</v>
      </c>
      <c r="CO50" s="43" t="e">
        <f>IF(CO$1,SUMIFS('BalSht Data'!$H$2:$H$2050,'BalSht Data'!$G$2:$G$2050,$A50,'BalSht Data'!$A$2:$A$2050,CO$1),#N/A)</f>
        <v>#N/A</v>
      </c>
      <c r="CP50" s="43" t="e">
        <f>IF(CP$1,SUMIFS('BalSht Data'!$H$2:$H$2050,'BalSht Data'!$G$2:$G$2050,$A50,'BalSht Data'!$A$2:$A$2050,CP$1),#N/A)</f>
        <v>#N/A</v>
      </c>
      <c r="CQ50" s="43" t="e">
        <f>IF(CQ$1,SUMIFS('BalSht Data'!$H$2:$H$2050,'BalSht Data'!$G$2:$G$2050,$A50,'BalSht Data'!$A$2:$A$2050,CQ$1),#N/A)</f>
        <v>#N/A</v>
      </c>
      <c r="CR50" s="43" t="e">
        <f>IF(CR$1,SUMIFS('BalSht Data'!$H$2:$H$2050,'BalSht Data'!$G$2:$G$2050,$A50,'BalSht Data'!$A$2:$A$2050,CR$1),#N/A)</f>
        <v>#N/A</v>
      </c>
      <c r="CS50" s="43" t="e">
        <f>IF(CS$1,SUMIFS('BalSht Data'!$H$2:$H$2050,'BalSht Data'!$G$2:$G$2050,$A50,'BalSht Data'!$A$2:$A$2050,CS$1),#N/A)</f>
        <v>#N/A</v>
      </c>
      <c r="CT50" s="43" t="e">
        <f>IF(CT$1,SUMIFS('BalSht Data'!$H$2:$H$2050,'BalSht Data'!$G$2:$G$2050,$A50,'BalSht Data'!$A$2:$A$2050,CT$1),#N/A)</f>
        <v>#N/A</v>
      </c>
      <c r="CU50" s="43" t="e">
        <f>IF(CU$1,SUMIFS('BalSht Data'!$H$2:$H$2050,'BalSht Data'!$G$2:$G$2050,$A50,'BalSht Data'!$A$2:$A$2050,CU$1),#N/A)</f>
        <v>#N/A</v>
      </c>
      <c r="CV50" s="43" t="e">
        <f>IF(CV$1,SUMIFS('BalSht Data'!$H$2:$H$2050,'BalSht Data'!$G$2:$G$2050,$A50,'BalSht Data'!$A$2:$A$2050,CV$1),#N/A)</f>
        <v>#N/A</v>
      </c>
      <c r="CW50" s="43" t="e">
        <f>IF(CW$1,SUMIFS('BalSht Data'!$H$2:$H$2050,'BalSht Data'!$G$2:$G$2050,$A50,'BalSht Data'!$A$2:$A$2050,CW$1),#N/A)</f>
        <v>#N/A</v>
      </c>
      <c r="CX50" s="43" t="e">
        <f>IF(CX$1,SUMIFS('BalSht Data'!$H$2:$H$2050,'BalSht Data'!$G$2:$G$2050,$A50,'BalSht Data'!$A$2:$A$2050,CX$1),#N/A)</f>
        <v>#N/A</v>
      </c>
      <c r="CY50" s="43" t="e">
        <f>IF(CY$1,SUMIFS('BalSht Data'!$H$2:$H$2050,'BalSht Data'!$G$2:$G$2050,$A50,'BalSht Data'!$A$2:$A$2050,CY$1),#N/A)</f>
        <v>#N/A</v>
      </c>
      <c r="CZ50" s="43" t="e">
        <f>IF(CZ$1,SUMIFS('BalSht Data'!$H$2:$H$2050,'BalSht Data'!$G$2:$G$2050,$A50,'BalSht Data'!$A$2:$A$2050,CZ$1),#N/A)</f>
        <v>#N/A</v>
      </c>
      <c r="DA50" s="43">
        <f>SUM(B50:AJ50)</f>
        <v>3538288</v>
      </c>
      <c r="DB50" s="43"/>
    </row>
    <row r="51" spans="1:106" s="42" customFormat="1" x14ac:dyDescent="0.2">
      <c r="A51" s="53" t="s">
        <v>25</v>
      </c>
      <c r="B51" s="43">
        <f>IF(B$1,SUMIFS('BalSht Data'!$H$2:$H$2050,'BalSht Data'!$G$2:$G$2050,$A51,'BalSht Data'!$A$2:$A$2050,B$1),#N/A)</f>
        <v>6300</v>
      </c>
      <c r="C51" s="43">
        <f>IF(C$1,SUMIFS('BalSht Data'!$H$2:$H$2050,'BalSht Data'!$G$2:$G$2050,$A51,'BalSht Data'!$A$2:$A$2050,C$1),#N/A)</f>
        <v>5133</v>
      </c>
      <c r="D51" s="43">
        <f>IF(D$1,SUMIFS('BalSht Data'!$H$2:$H$2050,'BalSht Data'!$G$2:$G$2050,$A51,'BalSht Data'!$A$2:$A$2050,D$1),#N/A)</f>
        <v>6300</v>
      </c>
      <c r="E51" s="43">
        <f>IF(E$1,SUMIFS('BalSht Data'!$H$2:$H$2050,'BalSht Data'!$G$2:$G$2050,$A51,'BalSht Data'!$A$2:$A$2050,E$1),#N/A)</f>
        <v>7893</v>
      </c>
      <c r="F51" s="43">
        <f>IF(F$1,SUMIFS('BalSht Data'!$H$2:$H$2050,'BalSht Data'!$G$2:$G$2050,$A51,'BalSht Data'!$A$2:$A$2050,F$1),#N/A)</f>
        <v>2154</v>
      </c>
      <c r="G51" s="43">
        <f>IF(G$1,SUMIFS('BalSht Data'!$H$2:$H$2050,'BalSht Data'!$G$2:$G$2050,$A51,'BalSht Data'!$A$2:$A$2050,G$1),#N/A)</f>
        <v>98</v>
      </c>
      <c r="H51" s="43">
        <f>IF(H$1,SUMIFS('BalSht Data'!$H$2:$H$2050,'BalSht Data'!$G$2:$G$2050,$A51,'BalSht Data'!$A$2:$A$2050,H$1),#N/A)</f>
        <v>2575610</v>
      </c>
      <c r="I51" s="43">
        <f>IF(I$1,SUMIFS('BalSht Data'!$H$2:$H$2050,'BalSht Data'!$G$2:$G$2050,$A51,'BalSht Data'!$A$2:$A$2050,I$1),#N/A)</f>
        <v>7198</v>
      </c>
      <c r="J51" s="43">
        <f>IF(J$1,SUMIFS('BalSht Data'!$H$2:$H$2050,'BalSht Data'!$G$2:$G$2050,$A51,'BalSht Data'!$A$2:$A$2050,J$1),#N/A)</f>
        <v>10386</v>
      </c>
      <c r="K51" s="43">
        <f>IF(K$1,SUMIFS('BalSht Data'!$H$2:$H$2050,'BalSht Data'!$G$2:$G$2050,$A51,'BalSht Data'!$A$2:$A$2050,K$1),#N/A)</f>
        <v>76834</v>
      </c>
      <c r="L51" s="43">
        <f>IF(L$1,SUMIFS('BalSht Data'!$H$2:$H$2050,'BalSht Data'!$G$2:$G$2050,$A51,'BalSht Data'!$A$2:$A$2050,L$1),#N/A)</f>
        <v>23005</v>
      </c>
      <c r="M51" s="43">
        <f>IF(M$1,SUMIFS('BalSht Data'!$H$2:$H$2050,'BalSht Data'!$G$2:$G$2050,$A51,'BalSht Data'!$A$2:$A$2050,M$1),#N/A)</f>
        <v>28687</v>
      </c>
      <c r="N51" s="43">
        <f>IF(N$1,SUMIFS('BalSht Data'!$H$2:$H$2050,'BalSht Data'!$G$2:$G$2050,$A51,'BalSht Data'!$A$2:$A$2050,N$1),#N/A)</f>
        <v>235653</v>
      </c>
      <c r="O51" s="43">
        <f>IF(O$1,SUMIFS('BalSht Data'!$H$2:$H$2050,'BalSht Data'!$G$2:$G$2050,$A51,'BalSht Data'!$A$2:$A$2050,O$1),#N/A)</f>
        <v>8943</v>
      </c>
      <c r="P51" s="43">
        <f>IF(P$1,SUMIFS('BalSht Data'!$H$2:$H$2050,'BalSht Data'!$G$2:$G$2050,$A51,'BalSht Data'!$A$2:$A$2050,P$1),#N/A)</f>
        <v>8786</v>
      </c>
      <c r="Q51" s="43">
        <f>IF(Q$1,SUMIFS('BalSht Data'!$H$2:$H$2050,'BalSht Data'!$G$2:$G$2050,$A51,'BalSht Data'!$A$2:$A$2050,Q$1),#N/A)</f>
        <v>8572</v>
      </c>
      <c r="R51" s="43">
        <f>IF(R$1,SUMIFS('BalSht Data'!$H$2:$H$2050,'BalSht Data'!$G$2:$G$2050,$A51,'BalSht Data'!$A$2:$A$2050,R$1),#N/A)</f>
        <v>7956</v>
      </c>
      <c r="S51" s="43">
        <f>IF(S$1,SUMIFS('BalSht Data'!$H$2:$H$2050,'BalSht Data'!$G$2:$G$2050,$A51,'BalSht Data'!$A$2:$A$2050,S$1),#N/A)</f>
        <v>9148</v>
      </c>
      <c r="T51" s="43">
        <f>IF(T$1,SUMIFS('BalSht Data'!$H$2:$H$2050,'BalSht Data'!$G$2:$G$2050,$A51,'BalSht Data'!$A$2:$A$2050,T$1),#N/A)</f>
        <v>8411</v>
      </c>
      <c r="U51" s="43">
        <f>IF(U$1,SUMIFS('BalSht Data'!$H$2:$H$2050,'BalSht Data'!$G$2:$G$2050,$A51,'BalSht Data'!$A$2:$A$2050,U$1),#N/A)</f>
        <v>8891</v>
      </c>
      <c r="V51" s="43">
        <f>IF(V$1,SUMIFS('BalSht Data'!$H$2:$H$2050,'BalSht Data'!$G$2:$G$2050,$A51,'BalSht Data'!$A$2:$A$2050,V$1),#N/A)</f>
        <v>10658</v>
      </c>
      <c r="W51" s="43">
        <f>IF(W$1,SUMIFS('BalSht Data'!$H$2:$H$2050,'BalSht Data'!$G$2:$G$2050,$A51,'BalSht Data'!$A$2:$A$2050,W$1),#N/A)</f>
        <v>11113</v>
      </c>
      <c r="X51" s="43">
        <f>IF(X$1,SUMIFS('BalSht Data'!$H$2:$H$2050,'BalSht Data'!$G$2:$G$2050,$A51,'BalSht Data'!$A$2:$A$2050,X$1),#N/A)</f>
        <v>6991</v>
      </c>
      <c r="Y51" s="43">
        <f>IF(Y$1,SUMIFS('BalSht Data'!$H$2:$H$2050,'BalSht Data'!$G$2:$G$2050,$A51,'BalSht Data'!$A$2:$A$2050,Y$1),#N/A)</f>
        <v>17638</v>
      </c>
      <c r="Z51" s="43">
        <f>IF(Z$1,SUMIFS('BalSht Data'!$H$2:$H$2050,'BalSht Data'!$G$2:$G$2050,$A51,'BalSht Data'!$A$2:$A$2050,Z$1),#N/A)</f>
        <v>0</v>
      </c>
      <c r="AA51" s="43">
        <f>IF(AA$1,SUMIFS('BalSht Data'!$H$2:$H$2050,'BalSht Data'!$G$2:$G$2050,$A51,'BalSht Data'!$A$2:$A$2050,AA$1),#N/A)</f>
        <v>8299</v>
      </c>
      <c r="AB51" s="43">
        <f>IF(AB$1,SUMIFS('BalSht Data'!$H$2:$H$2050,'BalSht Data'!$G$2:$G$2050,$A51,'BalSht Data'!$A$2:$A$2050,AB$1),#N/A)</f>
        <v>0</v>
      </c>
      <c r="AC51" s="43">
        <f>IF(AC$1,SUMIFS('BalSht Data'!$H$2:$H$2050,'BalSht Data'!$G$2:$G$2050,$A51,'BalSht Data'!$A$2:$A$2050,AC$1),#N/A)</f>
        <v>0</v>
      </c>
      <c r="AD51" s="43">
        <f>IF(AD$1,SUMIFS('BalSht Data'!$H$2:$H$2050,'BalSht Data'!$G$2:$G$2050,$A51,'BalSht Data'!$A$2:$A$2050,AD$1),#N/A)</f>
        <v>8768</v>
      </c>
      <c r="AE51" s="43">
        <f>IF(AE$1,SUMIFS('BalSht Data'!$H$2:$H$2050,'BalSht Data'!$G$2:$G$2050,$A51,'BalSht Data'!$A$2:$A$2050,AE$1),#N/A)</f>
        <v>15194</v>
      </c>
      <c r="AF51" s="43">
        <f>IF(AF$1,SUMIFS('BalSht Data'!$H$2:$H$2050,'BalSht Data'!$G$2:$G$2050,$A51,'BalSht Data'!$A$2:$A$2050,AF$1),#N/A)</f>
        <v>6385</v>
      </c>
      <c r="AG51" s="43">
        <f>IF(AG$1,SUMIFS('BalSht Data'!$H$2:$H$2050,'BalSht Data'!$G$2:$G$2050,$A51,'BalSht Data'!$A$2:$A$2050,AG$1),#N/A)</f>
        <v>5810</v>
      </c>
      <c r="AH51" s="43">
        <f>IF(AH$1,SUMIFS('BalSht Data'!$H$2:$H$2050,'BalSht Data'!$G$2:$G$2050,$A51,'BalSht Data'!$A$2:$A$2050,AH$1),#N/A)</f>
        <v>8371</v>
      </c>
      <c r="AI51" s="43">
        <f>IF(AI$1,SUMIFS('BalSht Data'!$H$2:$H$2050,'BalSht Data'!$G$2:$G$2050,$A51,'BalSht Data'!$A$2:$A$2050,AI$1),#N/A)</f>
        <v>9294</v>
      </c>
      <c r="AJ51" s="43">
        <f>IF(AJ$1,SUMIFS('BalSht Data'!$H$2:$H$2050,'BalSht Data'!$G$2:$G$2050,$A51,'BalSht Data'!$A$2:$A$2050,AJ$1),#N/A)</f>
        <v>9197</v>
      </c>
      <c r="AK51" s="43" t="e">
        <f>IF(AK$1,SUMIFS('BalSht Data'!$H$2:$H$2050,'BalSht Data'!$G$2:$G$2050,$A51,'BalSht Data'!$A$2:$A$2050,AK$1),#N/A)</f>
        <v>#N/A</v>
      </c>
      <c r="AL51" s="43" t="e">
        <f>IF(AL$1,SUMIFS('BalSht Data'!$H$2:$H$2050,'BalSht Data'!$G$2:$G$2050,$A51,'BalSht Data'!$A$2:$A$2050,AL$1),#N/A)</f>
        <v>#N/A</v>
      </c>
      <c r="AM51" s="43" t="e">
        <f>IF(AM$1,SUMIFS('BalSht Data'!$H$2:$H$2050,'BalSht Data'!$G$2:$G$2050,$A51,'BalSht Data'!$A$2:$A$2050,AM$1),#N/A)</f>
        <v>#N/A</v>
      </c>
      <c r="AN51" s="43" t="e">
        <f>IF(AN$1,SUMIFS('BalSht Data'!$H$2:$H$2050,'BalSht Data'!$G$2:$G$2050,$A51,'BalSht Data'!$A$2:$A$2050,AN$1),#N/A)</f>
        <v>#N/A</v>
      </c>
      <c r="AO51" s="43" t="e">
        <f>IF(AO$1,SUMIFS('BalSht Data'!$H$2:$H$2050,'BalSht Data'!$G$2:$G$2050,$A51,'BalSht Data'!$A$2:$A$2050,AO$1),#N/A)</f>
        <v>#N/A</v>
      </c>
      <c r="AP51" s="43" t="e">
        <f>IF(AP$1,SUMIFS('BalSht Data'!$H$2:$H$2050,'BalSht Data'!$G$2:$G$2050,$A51,'BalSht Data'!$A$2:$A$2050,AP$1),#N/A)</f>
        <v>#N/A</v>
      </c>
      <c r="AQ51" s="43" t="e">
        <f>IF(AQ$1,SUMIFS('BalSht Data'!$H$2:$H$2050,'BalSht Data'!$G$2:$G$2050,$A51,'BalSht Data'!$A$2:$A$2050,AQ$1),#N/A)</f>
        <v>#N/A</v>
      </c>
      <c r="AR51" s="43" t="e">
        <f>IF(AR$1,SUMIFS('BalSht Data'!$H$2:$H$2050,'BalSht Data'!$G$2:$G$2050,$A51,'BalSht Data'!$A$2:$A$2050,AR$1),#N/A)</f>
        <v>#N/A</v>
      </c>
      <c r="AS51" s="43" t="e">
        <f>IF(AS$1,SUMIFS('BalSht Data'!$H$2:$H$2050,'BalSht Data'!$G$2:$G$2050,$A51,'BalSht Data'!$A$2:$A$2050,AS$1),#N/A)</f>
        <v>#N/A</v>
      </c>
      <c r="AT51" s="43" t="e">
        <f>IF(AT$1,SUMIFS('BalSht Data'!$H$2:$H$2050,'BalSht Data'!$G$2:$G$2050,$A51,'BalSht Data'!$A$2:$A$2050,AT$1),#N/A)</f>
        <v>#N/A</v>
      </c>
      <c r="AU51" s="43" t="e">
        <f>IF(AU$1,SUMIFS('BalSht Data'!$H$2:$H$2050,'BalSht Data'!$G$2:$G$2050,$A51,'BalSht Data'!$A$2:$A$2050,AU$1),#N/A)</f>
        <v>#N/A</v>
      </c>
      <c r="AV51" s="43" t="e">
        <f>IF(AV$1,SUMIFS('BalSht Data'!$H$2:$H$2050,'BalSht Data'!$G$2:$G$2050,$A51,'BalSht Data'!$A$2:$A$2050,AV$1),#N/A)</f>
        <v>#N/A</v>
      </c>
      <c r="AW51" s="43" t="e">
        <f>IF(AW$1,SUMIFS('BalSht Data'!$H$2:$H$2050,'BalSht Data'!$G$2:$G$2050,$A51,'BalSht Data'!$A$2:$A$2050,AW$1),#N/A)</f>
        <v>#N/A</v>
      </c>
      <c r="AX51" s="43" t="e">
        <f>IF(AX$1,SUMIFS('BalSht Data'!$H$2:$H$2050,'BalSht Data'!$G$2:$G$2050,$A51,'BalSht Data'!$A$2:$A$2050,AX$1),#N/A)</f>
        <v>#N/A</v>
      </c>
      <c r="AY51" s="43" t="e">
        <f>IF(AY$1,SUMIFS('BalSht Data'!$H$2:$H$2050,'BalSht Data'!$G$2:$G$2050,$A51,'BalSht Data'!$A$2:$A$2050,AY$1),#N/A)</f>
        <v>#N/A</v>
      </c>
      <c r="AZ51" s="43" t="e">
        <f>IF(AZ$1,SUMIFS('BalSht Data'!$H$2:$H$2050,'BalSht Data'!$G$2:$G$2050,$A51,'BalSht Data'!$A$2:$A$2050,AZ$1),#N/A)</f>
        <v>#N/A</v>
      </c>
      <c r="BA51" s="43" t="e">
        <f>IF(BA$1,SUMIFS('BalSht Data'!$H$2:$H$2050,'BalSht Data'!$G$2:$G$2050,$A51,'BalSht Data'!$A$2:$A$2050,BA$1),#N/A)</f>
        <v>#N/A</v>
      </c>
      <c r="BB51" s="43" t="e">
        <f>IF(BB$1,SUMIFS('BalSht Data'!$H$2:$H$2050,'BalSht Data'!$G$2:$G$2050,$A51,'BalSht Data'!$A$2:$A$2050,BB$1),#N/A)</f>
        <v>#N/A</v>
      </c>
      <c r="BC51" s="43" t="e">
        <f>IF(BC$1,SUMIFS('BalSht Data'!$H$2:$H$2050,'BalSht Data'!$G$2:$G$2050,$A51,'BalSht Data'!$A$2:$A$2050,BC$1),#N/A)</f>
        <v>#N/A</v>
      </c>
      <c r="BD51" s="43" t="e">
        <f>IF(BD$1,SUMIFS('BalSht Data'!$H$2:$H$2050,'BalSht Data'!$G$2:$G$2050,$A51,'BalSht Data'!$A$2:$A$2050,BD$1),#N/A)</f>
        <v>#N/A</v>
      </c>
      <c r="BE51" s="43" t="e">
        <f>IF(BE$1,SUMIFS('BalSht Data'!$H$2:$H$2050,'BalSht Data'!$G$2:$G$2050,$A51,'BalSht Data'!$A$2:$A$2050,BE$1),#N/A)</f>
        <v>#N/A</v>
      </c>
      <c r="BF51" s="43" t="e">
        <f>IF(BF$1,SUMIFS('BalSht Data'!$H$2:$H$2050,'BalSht Data'!$G$2:$G$2050,$A51,'BalSht Data'!$A$2:$A$2050,BF$1),#N/A)</f>
        <v>#N/A</v>
      </c>
      <c r="BG51" s="43" t="e">
        <f>IF(BG$1,SUMIFS('BalSht Data'!$H$2:$H$2050,'BalSht Data'!$G$2:$G$2050,$A51,'BalSht Data'!$A$2:$A$2050,BG$1),#N/A)</f>
        <v>#N/A</v>
      </c>
      <c r="BH51" s="43" t="e">
        <f>IF(BH$1,SUMIFS('BalSht Data'!$H$2:$H$2050,'BalSht Data'!$G$2:$G$2050,$A51,'BalSht Data'!$A$2:$A$2050,BH$1),#N/A)</f>
        <v>#N/A</v>
      </c>
      <c r="BI51" s="43" t="e">
        <f>IF(BI$1,SUMIFS('BalSht Data'!$H$2:$H$2050,'BalSht Data'!$G$2:$G$2050,$A51,'BalSht Data'!$A$2:$A$2050,BI$1),#N/A)</f>
        <v>#N/A</v>
      </c>
      <c r="BJ51" s="43" t="e">
        <f>IF(BJ$1,SUMIFS('BalSht Data'!$H$2:$H$2050,'BalSht Data'!$G$2:$G$2050,$A51,'BalSht Data'!$A$2:$A$2050,BJ$1),#N/A)</f>
        <v>#N/A</v>
      </c>
      <c r="BK51" s="43" t="e">
        <f>IF(BK$1,SUMIFS('BalSht Data'!$H$2:$H$2050,'BalSht Data'!$G$2:$G$2050,$A51,'BalSht Data'!$A$2:$A$2050,BK$1),#N/A)</f>
        <v>#N/A</v>
      </c>
      <c r="BL51" s="43" t="e">
        <f>IF(BL$1,SUMIFS('BalSht Data'!$H$2:$H$2050,'BalSht Data'!$G$2:$G$2050,$A51,'BalSht Data'!$A$2:$A$2050,BL$1),#N/A)</f>
        <v>#N/A</v>
      </c>
      <c r="BM51" s="43" t="e">
        <f>IF(BM$1,SUMIFS('BalSht Data'!$H$2:$H$2050,'BalSht Data'!$G$2:$G$2050,$A51,'BalSht Data'!$A$2:$A$2050,BM$1),#N/A)</f>
        <v>#N/A</v>
      </c>
      <c r="BN51" s="43" t="e">
        <f>IF(BN$1,SUMIFS('BalSht Data'!$H$2:$H$2050,'BalSht Data'!$G$2:$G$2050,$A51,'BalSht Data'!$A$2:$A$2050,BN$1),#N/A)</f>
        <v>#N/A</v>
      </c>
      <c r="BO51" s="43" t="e">
        <f>IF(BO$1,SUMIFS('BalSht Data'!$H$2:$H$2050,'BalSht Data'!$G$2:$G$2050,$A51,'BalSht Data'!$A$2:$A$2050,BO$1),#N/A)</f>
        <v>#N/A</v>
      </c>
      <c r="BP51" s="43" t="e">
        <f>IF(BP$1,SUMIFS('BalSht Data'!$H$2:$H$2050,'BalSht Data'!$G$2:$G$2050,$A51,'BalSht Data'!$A$2:$A$2050,BP$1),#N/A)</f>
        <v>#N/A</v>
      </c>
      <c r="BQ51" s="43" t="e">
        <f>IF(BQ$1,SUMIFS('BalSht Data'!$H$2:$H$2050,'BalSht Data'!$G$2:$G$2050,$A51,'BalSht Data'!$A$2:$A$2050,BQ$1),#N/A)</f>
        <v>#N/A</v>
      </c>
      <c r="BR51" s="43" t="e">
        <f>IF(BR$1,SUMIFS('BalSht Data'!$H$2:$H$2050,'BalSht Data'!$G$2:$G$2050,$A51,'BalSht Data'!$A$2:$A$2050,BR$1),#N/A)</f>
        <v>#N/A</v>
      </c>
      <c r="BS51" s="43" t="e">
        <f>IF(BS$1,SUMIFS('BalSht Data'!$H$2:$H$2050,'BalSht Data'!$G$2:$G$2050,$A51,'BalSht Data'!$A$2:$A$2050,BS$1),#N/A)</f>
        <v>#N/A</v>
      </c>
      <c r="BT51" s="43" t="e">
        <f>IF(BT$1,SUMIFS('BalSht Data'!$H$2:$H$2050,'BalSht Data'!$G$2:$G$2050,$A51,'BalSht Data'!$A$2:$A$2050,BT$1),#N/A)</f>
        <v>#N/A</v>
      </c>
      <c r="BU51" s="43" t="e">
        <f>IF(BU$1,SUMIFS('BalSht Data'!$H$2:$H$2050,'BalSht Data'!$G$2:$G$2050,$A51,'BalSht Data'!$A$2:$A$2050,BU$1),#N/A)</f>
        <v>#N/A</v>
      </c>
      <c r="BV51" s="43" t="e">
        <f>IF(BV$1,SUMIFS('BalSht Data'!$H$2:$H$2050,'BalSht Data'!$G$2:$G$2050,$A51,'BalSht Data'!$A$2:$A$2050,BV$1),#N/A)</f>
        <v>#N/A</v>
      </c>
      <c r="BW51" s="43" t="e">
        <f>IF(BW$1,SUMIFS('BalSht Data'!$H$2:$H$2050,'BalSht Data'!$G$2:$G$2050,$A51,'BalSht Data'!$A$2:$A$2050,BW$1),#N/A)</f>
        <v>#N/A</v>
      </c>
      <c r="BX51" s="43" t="e">
        <f>IF(BX$1,SUMIFS('BalSht Data'!$H$2:$H$2050,'BalSht Data'!$G$2:$G$2050,$A51,'BalSht Data'!$A$2:$A$2050,BX$1),#N/A)</f>
        <v>#N/A</v>
      </c>
      <c r="BY51" s="43" t="e">
        <f>IF(BY$1,SUMIFS('BalSht Data'!$H$2:$H$2050,'BalSht Data'!$G$2:$G$2050,$A51,'BalSht Data'!$A$2:$A$2050,BY$1),#N/A)</f>
        <v>#N/A</v>
      </c>
      <c r="BZ51" s="43" t="e">
        <f>IF(BZ$1,SUMIFS('BalSht Data'!$H$2:$H$2050,'BalSht Data'!$G$2:$G$2050,$A51,'BalSht Data'!$A$2:$A$2050,BZ$1),#N/A)</f>
        <v>#N/A</v>
      </c>
      <c r="CA51" s="43" t="e">
        <f>IF(CA$1,SUMIFS('BalSht Data'!$H$2:$H$2050,'BalSht Data'!$G$2:$G$2050,$A51,'BalSht Data'!$A$2:$A$2050,CA$1),#N/A)</f>
        <v>#N/A</v>
      </c>
      <c r="CB51" s="43" t="e">
        <f>IF(CB$1,SUMIFS('BalSht Data'!$H$2:$H$2050,'BalSht Data'!$G$2:$G$2050,$A51,'BalSht Data'!$A$2:$A$2050,CB$1),#N/A)</f>
        <v>#N/A</v>
      </c>
      <c r="CC51" s="43" t="e">
        <f>IF(CC$1,SUMIFS('BalSht Data'!$H$2:$H$2050,'BalSht Data'!$G$2:$G$2050,$A51,'BalSht Data'!$A$2:$A$2050,CC$1),#N/A)</f>
        <v>#N/A</v>
      </c>
      <c r="CD51" s="43" t="e">
        <f>IF(CD$1,SUMIFS('BalSht Data'!$H$2:$H$2050,'BalSht Data'!$G$2:$G$2050,$A51,'BalSht Data'!$A$2:$A$2050,CD$1),#N/A)</f>
        <v>#N/A</v>
      </c>
      <c r="CE51" s="43" t="e">
        <f>IF(CE$1,SUMIFS('BalSht Data'!$H$2:$H$2050,'BalSht Data'!$G$2:$G$2050,$A51,'BalSht Data'!$A$2:$A$2050,CE$1),#N/A)</f>
        <v>#N/A</v>
      </c>
      <c r="CF51" s="43" t="e">
        <f>IF(CF$1,SUMIFS('BalSht Data'!$H$2:$H$2050,'BalSht Data'!$G$2:$G$2050,$A51,'BalSht Data'!$A$2:$A$2050,CF$1),#N/A)</f>
        <v>#N/A</v>
      </c>
      <c r="CG51" s="43" t="e">
        <f>IF(CG$1,SUMIFS('BalSht Data'!$H$2:$H$2050,'BalSht Data'!$G$2:$G$2050,$A51,'BalSht Data'!$A$2:$A$2050,CG$1),#N/A)</f>
        <v>#N/A</v>
      </c>
      <c r="CH51" s="43" t="e">
        <f>IF(CH$1,SUMIFS('BalSht Data'!$H$2:$H$2050,'BalSht Data'!$G$2:$G$2050,$A51,'BalSht Data'!$A$2:$A$2050,CH$1),#N/A)</f>
        <v>#N/A</v>
      </c>
      <c r="CI51" s="43" t="e">
        <f>IF(CI$1,SUMIFS('BalSht Data'!$H$2:$H$2050,'BalSht Data'!$G$2:$G$2050,$A51,'BalSht Data'!$A$2:$A$2050,CI$1),#N/A)</f>
        <v>#N/A</v>
      </c>
      <c r="CJ51" s="43" t="e">
        <f>IF(CJ$1,SUMIFS('BalSht Data'!$H$2:$H$2050,'BalSht Data'!$G$2:$G$2050,$A51,'BalSht Data'!$A$2:$A$2050,CJ$1),#N/A)</f>
        <v>#N/A</v>
      </c>
      <c r="CK51" s="43" t="e">
        <f>IF(CK$1,SUMIFS('BalSht Data'!$H$2:$H$2050,'BalSht Data'!$G$2:$G$2050,$A51,'BalSht Data'!$A$2:$A$2050,CK$1),#N/A)</f>
        <v>#N/A</v>
      </c>
      <c r="CL51" s="43" t="e">
        <f>IF(CL$1,SUMIFS('BalSht Data'!$H$2:$H$2050,'BalSht Data'!$G$2:$G$2050,$A51,'BalSht Data'!$A$2:$A$2050,CL$1),#N/A)</f>
        <v>#N/A</v>
      </c>
      <c r="CM51" s="43" t="e">
        <f>IF(CM$1,SUMIFS('BalSht Data'!$H$2:$H$2050,'BalSht Data'!$G$2:$G$2050,$A51,'BalSht Data'!$A$2:$A$2050,CM$1),#N/A)</f>
        <v>#N/A</v>
      </c>
      <c r="CN51" s="43" t="e">
        <f>IF(CN$1,SUMIFS('BalSht Data'!$H$2:$H$2050,'BalSht Data'!$G$2:$G$2050,$A51,'BalSht Data'!$A$2:$A$2050,CN$1),#N/A)</f>
        <v>#N/A</v>
      </c>
      <c r="CO51" s="43" t="e">
        <f>IF(CO$1,SUMIFS('BalSht Data'!$H$2:$H$2050,'BalSht Data'!$G$2:$G$2050,$A51,'BalSht Data'!$A$2:$A$2050,CO$1),#N/A)</f>
        <v>#N/A</v>
      </c>
      <c r="CP51" s="43" t="e">
        <f>IF(CP$1,SUMIFS('BalSht Data'!$H$2:$H$2050,'BalSht Data'!$G$2:$G$2050,$A51,'BalSht Data'!$A$2:$A$2050,CP$1),#N/A)</f>
        <v>#N/A</v>
      </c>
      <c r="CQ51" s="43" t="e">
        <f>IF(CQ$1,SUMIFS('BalSht Data'!$H$2:$H$2050,'BalSht Data'!$G$2:$G$2050,$A51,'BalSht Data'!$A$2:$A$2050,CQ$1),#N/A)</f>
        <v>#N/A</v>
      </c>
      <c r="CR51" s="43" t="e">
        <f>IF(CR$1,SUMIFS('BalSht Data'!$H$2:$H$2050,'BalSht Data'!$G$2:$G$2050,$A51,'BalSht Data'!$A$2:$A$2050,CR$1),#N/A)</f>
        <v>#N/A</v>
      </c>
      <c r="CS51" s="43" t="e">
        <f>IF(CS$1,SUMIFS('BalSht Data'!$H$2:$H$2050,'BalSht Data'!$G$2:$G$2050,$A51,'BalSht Data'!$A$2:$A$2050,CS$1),#N/A)</f>
        <v>#N/A</v>
      </c>
      <c r="CT51" s="43" t="e">
        <f>IF(CT$1,SUMIFS('BalSht Data'!$H$2:$H$2050,'BalSht Data'!$G$2:$G$2050,$A51,'BalSht Data'!$A$2:$A$2050,CT$1),#N/A)</f>
        <v>#N/A</v>
      </c>
      <c r="CU51" s="43" t="e">
        <f>IF(CU$1,SUMIFS('BalSht Data'!$H$2:$H$2050,'BalSht Data'!$G$2:$G$2050,$A51,'BalSht Data'!$A$2:$A$2050,CU$1),#N/A)</f>
        <v>#N/A</v>
      </c>
      <c r="CV51" s="43" t="e">
        <f>IF(CV$1,SUMIFS('BalSht Data'!$H$2:$H$2050,'BalSht Data'!$G$2:$G$2050,$A51,'BalSht Data'!$A$2:$A$2050,CV$1),#N/A)</f>
        <v>#N/A</v>
      </c>
      <c r="CW51" s="43" t="e">
        <f>IF(CW$1,SUMIFS('BalSht Data'!$H$2:$H$2050,'BalSht Data'!$G$2:$G$2050,$A51,'BalSht Data'!$A$2:$A$2050,CW$1),#N/A)</f>
        <v>#N/A</v>
      </c>
      <c r="CX51" s="43" t="e">
        <f>IF(CX$1,SUMIFS('BalSht Data'!$H$2:$H$2050,'BalSht Data'!$G$2:$G$2050,$A51,'BalSht Data'!$A$2:$A$2050,CX$1),#N/A)</f>
        <v>#N/A</v>
      </c>
      <c r="CY51" s="43" t="e">
        <f>IF(CY$1,SUMIFS('BalSht Data'!$H$2:$H$2050,'BalSht Data'!$G$2:$G$2050,$A51,'BalSht Data'!$A$2:$A$2050,CY$1),#N/A)</f>
        <v>#N/A</v>
      </c>
      <c r="CZ51" s="43" t="e">
        <f>IF(CZ$1,SUMIFS('BalSht Data'!$H$2:$H$2050,'BalSht Data'!$G$2:$G$2050,$A51,'BalSht Data'!$A$2:$A$2050,CZ$1),#N/A)</f>
        <v>#N/A</v>
      </c>
      <c r="DA51" s="43">
        <f>SUM(B51:AJ51)</f>
        <v>3163676</v>
      </c>
      <c r="DB51" s="43"/>
    </row>
    <row r="52" spans="1:106" s="48" customFormat="1" ht="15" x14ac:dyDescent="0.35">
      <c r="A52" s="53" t="s">
        <v>158</v>
      </c>
      <c r="B52" s="49">
        <f>IF(B$1,SUMIFS('BalSht Data'!$H$2:$H$2050,'BalSht Data'!$G$2:$G$2050,$A52,'BalSht Data'!$A$2:$A$2050,B$1),#N/A)</f>
        <v>38574</v>
      </c>
      <c r="C52" s="49">
        <f>IF(C$1,SUMIFS('BalSht Data'!$H$2:$H$2050,'BalSht Data'!$G$2:$G$2050,$A52,'BalSht Data'!$A$2:$A$2050,C$1),#N/A)</f>
        <v>29586</v>
      </c>
      <c r="D52" s="49">
        <f>IF(D$1,SUMIFS('BalSht Data'!$H$2:$H$2050,'BalSht Data'!$G$2:$G$2050,$A52,'BalSht Data'!$A$2:$A$2050,D$1),#N/A)</f>
        <v>33998</v>
      </c>
      <c r="E52" s="49">
        <f>IF(E$1,SUMIFS('BalSht Data'!$H$2:$H$2050,'BalSht Data'!$G$2:$G$2050,$A52,'BalSht Data'!$A$2:$A$2050,E$1),#N/A)</f>
        <v>46158</v>
      </c>
      <c r="F52" s="49">
        <f>IF(F$1,SUMIFS('BalSht Data'!$H$2:$H$2050,'BalSht Data'!$G$2:$G$2050,$A52,'BalSht Data'!$A$2:$A$2050,F$1),#N/A)</f>
        <v>52426</v>
      </c>
      <c r="G52" s="49">
        <f>IF(G$1,SUMIFS('BalSht Data'!$H$2:$H$2050,'BalSht Data'!$G$2:$G$2050,$A52,'BalSht Data'!$A$2:$A$2050,G$1),#N/A)</f>
        <v>44780</v>
      </c>
      <c r="H52" s="49">
        <f>IF(H$1,SUMIFS('BalSht Data'!$H$2:$H$2050,'BalSht Data'!$G$2:$G$2050,$A52,'BalSht Data'!$A$2:$A$2050,H$1),#N/A)</f>
        <v>36375</v>
      </c>
      <c r="I52" s="49">
        <f>IF(I$1,SUMIFS('BalSht Data'!$H$2:$H$2050,'BalSht Data'!$G$2:$G$2050,$A52,'BalSht Data'!$A$2:$A$2050,I$1),#N/A)</f>
        <v>48777</v>
      </c>
      <c r="J52" s="49">
        <f>IF(J$1,SUMIFS('BalSht Data'!$H$2:$H$2050,'BalSht Data'!$G$2:$G$2050,$A52,'BalSht Data'!$A$2:$A$2050,J$1),#N/A)</f>
        <v>35778</v>
      </c>
      <c r="K52" s="49">
        <f>IF(K$1,SUMIFS('BalSht Data'!$H$2:$H$2050,'BalSht Data'!$G$2:$G$2050,$A52,'BalSht Data'!$A$2:$A$2050,K$1),#N/A)</f>
        <v>81142</v>
      </c>
      <c r="L52" s="49">
        <f>IF(L$1,SUMIFS('BalSht Data'!$H$2:$H$2050,'BalSht Data'!$G$2:$G$2050,$A52,'BalSht Data'!$A$2:$A$2050,L$1),#N/A)</f>
        <v>55364</v>
      </c>
      <c r="M52" s="49">
        <f>IF(M$1,SUMIFS('BalSht Data'!$H$2:$H$2050,'BalSht Data'!$G$2:$G$2050,$A52,'BalSht Data'!$A$2:$A$2050,M$1),#N/A)</f>
        <v>56436</v>
      </c>
      <c r="N52" s="49">
        <f>IF(N$1,SUMIFS('BalSht Data'!$H$2:$H$2050,'BalSht Data'!$G$2:$G$2050,$A52,'BalSht Data'!$A$2:$A$2050,N$1),#N/A)</f>
        <v>64144</v>
      </c>
      <c r="O52" s="49">
        <f>IF(O$1,SUMIFS('BalSht Data'!$H$2:$H$2050,'BalSht Data'!$G$2:$G$2050,$A52,'BalSht Data'!$A$2:$A$2050,O$1),#N/A)</f>
        <v>64658</v>
      </c>
      <c r="P52" s="49">
        <f>IF(P$1,SUMIFS('BalSht Data'!$H$2:$H$2050,'BalSht Data'!$G$2:$G$2050,$A52,'BalSht Data'!$A$2:$A$2050,P$1),#N/A)</f>
        <v>47558</v>
      </c>
      <c r="Q52" s="49">
        <f>IF(Q$1,SUMIFS('BalSht Data'!$H$2:$H$2050,'BalSht Data'!$G$2:$G$2050,$A52,'BalSht Data'!$A$2:$A$2050,Q$1),#N/A)</f>
        <v>61474</v>
      </c>
      <c r="R52" s="49">
        <f>IF(R$1,SUMIFS('BalSht Data'!$H$2:$H$2050,'BalSht Data'!$G$2:$G$2050,$A52,'BalSht Data'!$A$2:$A$2050,R$1),#N/A)</f>
        <v>56721</v>
      </c>
      <c r="S52" s="49">
        <f>IF(S$1,SUMIFS('BalSht Data'!$H$2:$H$2050,'BalSht Data'!$G$2:$G$2050,$A52,'BalSht Data'!$A$2:$A$2050,S$1),#N/A)</f>
        <v>49852</v>
      </c>
      <c r="T52" s="49">
        <f>IF(T$1,SUMIFS('BalSht Data'!$H$2:$H$2050,'BalSht Data'!$G$2:$G$2050,$A52,'BalSht Data'!$A$2:$A$2050,T$1),#N/A)</f>
        <v>67912</v>
      </c>
      <c r="U52" s="49">
        <f>IF(U$1,SUMIFS('BalSht Data'!$H$2:$H$2050,'BalSht Data'!$G$2:$G$2050,$A52,'BalSht Data'!$A$2:$A$2050,U$1),#N/A)</f>
        <v>54746</v>
      </c>
      <c r="V52" s="49">
        <f>IF(V$1,SUMIFS('BalSht Data'!$H$2:$H$2050,'BalSht Data'!$G$2:$G$2050,$A52,'BalSht Data'!$A$2:$A$2050,V$1),#N/A)</f>
        <v>43747</v>
      </c>
      <c r="W52" s="49">
        <f>IF(W$1,SUMIFS('BalSht Data'!$H$2:$H$2050,'BalSht Data'!$G$2:$G$2050,$A52,'BalSht Data'!$A$2:$A$2050,W$1),#N/A)</f>
        <v>48552</v>
      </c>
      <c r="X52" s="49">
        <f>IF(X$1,SUMIFS('BalSht Data'!$H$2:$H$2050,'BalSht Data'!$G$2:$G$2050,$A52,'BalSht Data'!$A$2:$A$2050,X$1),#N/A)</f>
        <v>39640</v>
      </c>
      <c r="Y52" s="49">
        <f>IF(Y$1,SUMIFS('BalSht Data'!$H$2:$H$2050,'BalSht Data'!$G$2:$G$2050,$A52,'BalSht Data'!$A$2:$A$2050,Y$1),#N/A)</f>
        <v>0</v>
      </c>
      <c r="Z52" s="49">
        <f>IF(Z$1,SUMIFS('BalSht Data'!$H$2:$H$2050,'BalSht Data'!$G$2:$G$2050,$A52,'BalSht Data'!$A$2:$A$2050,Z$1),#N/A)</f>
        <v>0</v>
      </c>
      <c r="AA52" s="49">
        <f>IF(AA$1,SUMIFS('BalSht Data'!$H$2:$H$2050,'BalSht Data'!$G$2:$G$2050,$A52,'BalSht Data'!$A$2:$A$2050,AA$1),#N/A)</f>
        <v>64152</v>
      </c>
      <c r="AB52" s="49">
        <f>IF(AB$1,SUMIFS('BalSht Data'!$H$2:$H$2050,'BalSht Data'!$G$2:$G$2050,$A52,'BalSht Data'!$A$2:$A$2050,AB$1),#N/A)</f>
        <v>0</v>
      </c>
      <c r="AC52" s="49">
        <f>IF(AC$1,SUMIFS('BalSht Data'!$H$2:$H$2050,'BalSht Data'!$G$2:$G$2050,$A52,'BalSht Data'!$A$2:$A$2050,AC$1),#N/A)</f>
        <v>0</v>
      </c>
      <c r="AD52" s="49">
        <f>IF(AD$1,SUMIFS('BalSht Data'!$H$2:$H$2050,'BalSht Data'!$G$2:$G$2050,$A52,'BalSht Data'!$A$2:$A$2050,AD$1),#N/A)</f>
        <v>64348</v>
      </c>
      <c r="AE52" s="49">
        <f>IF(AE$1,SUMIFS('BalSht Data'!$H$2:$H$2050,'BalSht Data'!$G$2:$G$2050,$A52,'BalSht Data'!$A$2:$A$2050,AE$1),#N/A)</f>
        <v>80307</v>
      </c>
      <c r="AF52" s="49">
        <f>IF(AF$1,SUMIFS('BalSht Data'!$H$2:$H$2050,'BalSht Data'!$G$2:$G$2050,$A52,'BalSht Data'!$A$2:$A$2050,AF$1),#N/A)</f>
        <v>35412</v>
      </c>
      <c r="AG52" s="49">
        <f>IF(AG$1,SUMIFS('BalSht Data'!$H$2:$H$2050,'BalSht Data'!$G$2:$G$2050,$A52,'BalSht Data'!$A$2:$A$2050,AG$1),#N/A)</f>
        <v>55247</v>
      </c>
      <c r="AH52" s="49">
        <f>IF(AH$1,SUMIFS('BalSht Data'!$H$2:$H$2050,'BalSht Data'!$G$2:$G$2050,$A52,'BalSht Data'!$A$2:$A$2050,AH$1),#N/A)</f>
        <v>43349</v>
      </c>
      <c r="AI52" s="49">
        <f>IF(AI$1,SUMIFS('BalSht Data'!$H$2:$H$2050,'BalSht Data'!$G$2:$G$2050,$A52,'BalSht Data'!$A$2:$A$2050,AI$1),#N/A)</f>
        <v>50284</v>
      </c>
      <c r="AJ52" s="49">
        <f>IF(AJ$1,SUMIFS('BalSht Data'!$H$2:$H$2050,'BalSht Data'!$G$2:$G$2050,$A52,'BalSht Data'!$A$2:$A$2050,AJ$1),#N/A)</f>
        <v>32738</v>
      </c>
      <c r="AK52" s="49" t="e">
        <f>IF(AK$1,SUMIFS('BalSht Data'!$H$2:$H$2050,'BalSht Data'!$G$2:$G$2050,$A52,'BalSht Data'!$A$2:$A$2050,AK$1),#N/A)</f>
        <v>#N/A</v>
      </c>
      <c r="AL52" s="49" t="e">
        <f>IF(AL$1,SUMIFS('BalSht Data'!$H$2:$H$2050,'BalSht Data'!$G$2:$G$2050,$A52,'BalSht Data'!$A$2:$A$2050,AL$1),#N/A)</f>
        <v>#N/A</v>
      </c>
      <c r="AM52" s="49" t="e">
        <f>IF(AM$1,SUMIFS('BalSht Data'!$H$2:$H$2050,'BalSht Data'!$G$2:$G$2050,$A52,'BalSht Data'!$A$2:$A$2050,AM$1),#N/A)</f>
        <v>#N/A</v>
      </c>
      <c r="AN52" s="49" t="e">
        <f>IF(AN$1,SUMIFS('BalSht Data'!$H$2:$H$2050,'BalSht Data'!$G$2:$G$2050,$A52,'BalSht Data'!$A$2:$A$2050,AN$1),#N/A)</f>
        <v>#N/A</v>
      </c>
      <c r="AO52" s="49" t="e">
        <f>IF(AO$1,SUMIFS('BalSht Data'!$H$2:$H$2050,'BalSht Data'!$G$2:$G$2050,$A52,'BalSht Data'!$A$2:$A$2050,AO$1),#N/A)</f>
        <v>#N/A</v>
      </c>
      <c r="AP52" s="49" t="e">
        <f>IF(AP$1,SUMIFS('BalSht Data'!$H$2:$H$2050,'BalSht Data'!$G$2:$G$2050,$A52,'BalSht Data'!$A$2:$A$2050,AP$1),#N/A)</f>
        <v>#N/A</v>
      </c>
      <c r="AQ52" s="49" t="e">
        <f>IF(AQ$1,SUMIFS('BalSht Data'!$H$2:$H$2050,'BalSht Data'!$G$2:$G$2050,$A52,'BalSht Data'!$A$2:$A$2050,AQ$1),#N/A)</f>
        <v>#N/A</v>
      </c>
      <c r="AR52" s="49" t="e">
        <f>IF(AR$1,SUMIFS('BalSht Data'!$H$2:$H$2050,'BalSht Data'!$G$2:$G$2050,$A52,'BalSht Data'!$A$2:$A$2050,AR$1),#N/A)</f>
        <v>#N/A</v>
      </c>
      <c r="AS52" s="49" t="e">
        <f>IF(AS$1,SUMIFS('BalSht Data'!$H$2:$H$2050,'BalSht Data'!$G$2:$G$2050,$A52,'BalSht Data'!$A$2:$A$2050,AS$1),#N/A)</f>
        <v>#N/A</v>
      </c>
      <c r="AT52" s="49" t="e">
        <f>IF(AT$1,SUMIFS('BalSht Data'!$H$2:$H$2050,'BalSht Data'!$G$2:$G$2050,$A52,'BalSht Data'!$A$2:$A$2050,AT$1),#N/A)</f>
        <v>#N/A</v>
      </c>
      <c r="AU52" s="49" t="e">
        <f>IF(AU$1,SUMIFS('BalSht Data'!$H$2:$H$2050,'BalSht Data'!$G$2:$G$2050,$A52,'BalSht Data'!$A$2:$A$2050,AU$1),#N/A)</f>
        <v>#N/A</v>
      </c>
      <c r="AV52" s="49" t="e">
        <f>IF(AV$1,SUMIFS('BalSht Data'!$H$2:$H$2050,'BalSht Data'!$G$2:$G$2050,$A52,'BalSht Data'!$A$2:$A$2050,AV$1),#N/A)</f>
        <v>#N/A</v>
      </c>
      <c r="AW52" s="49" t="e">
        <f>IF(AW$1,SUMIFS('BalSht Data'!$H$2:$H$2050,'BalSht Data'!$G$2:$G$2050,$A52,'BalSht Data'!$A$2:$A$2050,AW$1),#N/A)</f>
        <v>#N/A</v>
      </c>
      <c r="AX52" s="49" t="e">
        <f>IF(AX$1,SUMIFS('BalSht Data'!$H$2:$H$2050,'BalSht Data'!$G$2:$G$2050,$A52,'BalSht Data'!$A$2:$A$2050,AX$1),#N/A)</f>
        <v>#N/A</v>
      </c>
      <c r="AY52" s="49" t="e">
        <f>IF(AY$1,SUMIFS('BalSht Data'!$H$2:$H$2050,'BalSht Data'!$G$2:$G$2050,$A52,'BalSht Data'!$A$2:$A$2050,AY$1),#N/A)</f>
        <v>#N/A</v>
      </c>
      <c r="AZ52" s="49" t="e">
        <f>IF(AZ$1,SUMIFS('BalSht Data'!$H$2:$H$2050,'BalSht Data'!$G$2:$G$2050,$A52,'BalSht Data'!$A$2:$A$2050,AZ$1),#N/A)</f>
        <v>#N/A</v>
      </c>
      <c r="BA52" s="49" t="e">
        <f>IF(BA$1,SUMIFS('BalSht Data'!$H$2:$H$2050,'BalSht Data'!$G$2:$G$2050,$A52,'BalSht Data'!$A$2:$A$2050,BA$1),#N/A)</f>
        <v>#N/A</v>
      </c>
      <c r="BB52" s="49" t="e">
        <f>IF(BB$1,SUMIFS('BalSht Data'!$H$2:$H$2050,'BalSht Data'!$G$2:$G$2050,$A52,'BalSht Data'!$A$2:$A$2050,BB$1),#N/A)</f>
        <v>#N/A</v>
      </c>
      <c r="BC52" s="49" t="e">
        <f>IF(BC$1,SUMIFS('BalSht Data'!$H$2:$H$2050,'BalSht Data'!$G$2:$G$2050,$A52,'BalSht Data'!$A$2:$A$2050,BC$1),#N/A)</f>
        <v>#N/A</v>
      </c>
      <c r="BD52" s="49" t="e">
        <f>IF(BD$1,SUMIFS('BalSht Data'!$H$2:$H$2050,'BalSht Data'!$G$2:$G$2050,$A52,'BalSht Data'!$A$2:$A$2050,BD$1),#N/A)</f>
        <v>#N/A</v>
      </c>
      <c r="BE52" s="49" t="e">
        <f>IF(BE$1,SUMIFS('BalSht Data'!$H$2:$H$2050,'BalSht Data'!$G$2:$G$2050,$A52,'BalSht Data'!$A$2:$A$2050,BE$1),#N/A)</f>
        <v>#N/A</v>
      </c>
      <c r="BF52" s="49" t="e">
        <f>IF(BF$1,SUMIFS('BalSht Data'!$H$2:$H$2050,'BalSht Data'!$G$2:$G$2050,$A52,'BalSht Data'!$A$2:$A$2050,BF$1),#N/A)</f>
        <v>#N/A</v>
      </c>
      <c r="BG52" s="49" t="e">
        <f>IF(BG$1,SUMIFS('BalSht Data'!$H$2:$H$2050,'BalSht Data'!$G$2:$G$2050,$A52,'BalSht Data'!$A$2:$A$2050,BG$1),#N/A)</f>
        <v>#N/A</v>
      </c>
      <c r="BH52" s="49" t="e">
        <f>IF(BH$1,SUMIFS('BalSht Data'!$H$2:$H$2050,'BalSht Data'!$G$2:$G$2050,$A52,'BalSht Data'!$A$2:$A$2050,BH$1),#N/A)</f>
        <v>#N/A</v>
      </c>
      <c r="BI52" s="49" t="e">
        <f>IF(BI$1,SUMIFS('BalSht Data'!$H$2:$H$2050,'BalSht Data'!$G$2:$G$2050,$A52,'BalSht Data'!$A$2:$A$2050,BI$1),#N/A)</f>
        <v>#N/A</v>
      </c>
      <c r="BJ52" s="49" t="e">
        <f>IF(BJ$1,SUMIFS('BalSht Data'!$H$2:$H$2050,'BalSht Data'!$G$2:$G$2050,$A52,'BalSht Data'!$A$2:$A$2050,BJ$1),#N/A)</f>
        <v>#N/A</v>
      </c>
      <c r="BK52" s="49" t="e">
        <f>IF(BK$1,SUMIFS('BalSht Data'!$H$2:$H$2050,'BalSht Data'!$G$2:$G$2050,$A52,'BalSht Data'!$A$2:$A$2050,BK$1),#N/A)</f>
        <v>#N/A</v>
      </c>
      <c r="BL52" s="49" t="e">
        <f>IF(BL$1,SUMIFS('BalSht Data'!$H$2:$H$2050,'BalSht Data'!$G$2:$G$2050,$A52,'BalSht Data'!$A$2:$A$2050,BL$1),#N/A)</f>
        <v>#N/A</v>
      </c>
      <c r="BM52" s="49" t="e">
        <f>IF(BM$1,SUMIFS('BalSht Data'!$H$2:$H$2050,'BalSht Data'!$G$2:$G$2050,$A52,'BalSht Data'!$A$2:$A$2050,BM$1),#N/A)</f>
        <v>#N/A</v>
      </c>
      <c r="BN52" s="49" t="e">
        <f>IF(BN$1,SUMIFS('BalSht Data'!$H$2:$H$2050,'BalSht Data'!$G$2:$G$2050,$A52,'BalSht Data'!$A$2:$A$2050,BN$1),#N/A)</f>
        <v>#N/A</v>
      </c>
      <c r="BO52" s="49" t="e">
        <f>IF(BO$1,SUMIFS('BalSht Data'!$H$2:$H$2050,'BalSht Data'!$G$2:$G$2050,$A52,'BalSht Data'!$A$2:$A$2050,BO$1),#N/A)</f>
        <v>#N/A</v>
      </c>
      <c r="BP52" s="49" t="e">
        <f>IF(BP$1,SUMIFS('BalSht Data'!$H$2:$H$2050,'BalSht Data'!$G$2:$G$2050,$A52,'BalSht Data'!$A$2:$A$2050,BP$1),#N/A)</f>
        <v>#N/A</v>
      </c>
      <c r="BQ52" s="49" t="e">
        <f>IF(BQ$1,SUMIFS('BalSht Data'!$H$2:$H$2050,'BalSht Data'!$G$2:$G$2050,$A52,'BalSht Data'!$A$2:$A$2050,BQ$1),#N/A)</f>
        <v>#N/A</v>
      </c>
      <c r="BR52" s="49" t="e">
        <f>IF(BR$1,SUMIFS('BalSht Data'!$H$2:$H$2050,'BalSht Data'!$G$2:$G$2050,$A52,'BalSht Data'!$A$2:$A$2050,BR$1),#N/A)</f>
        <v>#N/A</v>
      </c>
      <c r="BS52" s="49" t="e">
        <f>IF(BS$1,SUMIFS('BalSht Data'!$H$2:$H$2050,'BalSht Data'!$G$2:$G$2050,$A52,'BalSht Data'!$A$2:$A$2050,BS$1),#N/A)</f>
        <v>#N/A</v>
      </c>
      <c r="BT52" s="49" t="e">
        <f>IF(BT$1,SUMIFS('BalSht Data'!$H$2:$H$2050,'BalSht Data'!$G$2:$G$2050,$A52,'BalSht Data'!$A$2:$A$2050,BT$1),#N/A)</f>
        <v>#N/A</v>
      </c>
      <c r="BU52" s="49" t="e">
        <f>IF(BU$1,SUMIFS('BalSht Data'!$H$2:$H$2050,'BalSht Data'!$G$2:$G$2050,$A52,'BalSht Data'!$A$2:$A$2050,BU$1),#N/A)</f>
        <v>#N/A</v>
      </c>
      <c r="BV52" s="49" t="e">
        <f>IF(BV$1,SUMIFS('BalSht Data'!$H$2:$H$2050,'BalSht Data'!$G$2:$G$2050,$A52,'BalSht Data'!$A$2:$A$2050,BV$1),#N/A)</f>
        <v>#N/A</v>
      </c>
      <c r="BW52" s="49" t="e">
        <f>IF(BW$1,SUMIFS('BalSht Data'!$H$2:$H$2050,'BalSht Data'!$G$2:$G$2050,$A52,'BalSht Data'!$A$2:$A$2050,BW$1),#N/A)</f>
        <v>#N/A</v>
      </c>
      <c r="BX52" s="49" t="e">
        <f>IF(BX$1,SUMIFS('BalSht Data'!$H$2:$H$2050,'BalSht Data'!$G$2:$G$2050,$A52,'BalSht Data'!$A$2:$A$2050,BX$1),#N/A)</f>
        <v>#N/A</v>
      </c>
      <c r="BY52" s="49" t="e">
        <f>IF(BY$1,SUMIFS('BalSht Data'!$H$2:$H$2050,'BalSht Data'!$G$2:$G$2050,$A52,'BalSht Data'!$A$2:$A$2050,BY$1),#N/A)</f>
        <v>#N/A</v>
      </c>
      <c r="BZ52" s="49" t="e">
        <f>IF(BZ$1,SUMIFS('BalSht Data'!$H$2:$H$2050,'BalSht Data'!$G$2:$G$2050,$A52,'BalSht Data'!$A$2:$A$2050,BZ$1),#N/A)</f>
        <v>#N/A</v>
      </c>
      <c r="CA52" s="49" t="e">
        <f>IF(CA$1,SUMIFS('BalSht Data'!$H$2:$H$2050,'BalSht Data'!$G$2:$G$2050,$A52,'BalSht Data'!$A$2:$A$2050,CA$1),#N/A)</f>
        <v>#N/A</v>
      </c>
      <c r="CB52" s="49" t="e">
        <f>IF(CB$1,SUMIFS('BalSht Data'!$H$2:$H$2050,'BalSht Data'!$G$2:$G$2050,$A52,'BalSht Data'!$A$2:$A$2050,CB$1),#N/A)</f>
        <v>#N/A</v>
      </c>
      <c r="CC52" s="49" t="e">
        <f>IF(CC$1,SUMIFS('BalSht Data'!$H$2:$H$2050,'BalSht Data'!$G$2:$G$2050,$A52,'BalSht Data'!$A$2:$A$2050,CC$1),#N/A)</f>
        <v>#N/A</v>
      </c>
      <c r="CD52" s="49" t="e">
        <f>IF(CD$1,SUMIFS('BalSht Data'!$H$2:$H$2050,'BalSht Data'!$G$2:$G$2050,$A52,'BalSht Data'!$A$2:$A$2050,CD$1),#N/A)</f>
        <v>#N/A</v>
      </c>
      <c r="CE52" s="49" t="e">
        <f>IF(CE$1,SUMIFS('BalSht Data'!$H$2:$H$2050,'BalSht Data'!$G$2:$G$2050,$A52,'BalSht Data'!$A$2:$A$2050,CE$1),#N/A)</f>
        <v>#N/A</v>
      </c>
      <c r="CF52" s="49" t="e">
        <f>IF(CF$1,SUMIFS('BalSht Data'!$H$2:$H$2050,'BalSht Data'!$G$2:$G$2050,$A52,'BalSht Data'!$A$2:$A$2050,CF$1),#N/A)</f>
        <v>#N/A</v>
      </c>
      <c r="CG52" s="49" t="e">
        <f>IF(CG$1,SUMIFS('BalSht Data'!$H$2:$H$2050,'BalSht Data'!$G$2:$G$2050,$A52,'BalSht Data'!$A$2:$A$2050,CG$1),#N/A)</f>
        <v>#N/A</v>
      </c>
      <c r="CH52" s="49" t="e">
        <f>IF(CH$1,SUMIFS('BalSht Data'!$H$2:$H$2050,'BalSht Data'!$G$2:$G$2050,$A52,'BalSht Data'!$A$2:$A$2050,CH$1),#N/A)</f>
        <v>#N/A</v>
      </c>
      <c r="CI52" s="49" t="e">
        <f>IF(CI$1,SUMIFS('BalSht Data'!$H$2:$H$2050,'BalSht Data'!$G$2:$G$2050,$A52,'BalSht Data'!$A$2:$A$2050,CI$1),#N/A)</f>
        <v>#N/A</v>
      </c>
      <c r="CJ52" s="49" t="e">
        <f>IF(CJ$1,SUMIFS('BalSht Data'!$H$2:$H$2050,'BalSht Data'!$G$2:$G$2050,$A52,'BalSht Data'!$A$2:$A$2050,CJ$1),#N/A)</f>
        <v>#N/A</v>
      </c>
      <c r="CK52" s="49" t="e">
        <f>IF(CK$1,SUMIFS('BalSht Data'!$H$2:$H$2050,'BalSht Data'!$G$2:$G$2050,$A52,'BalSht Data'!$A$2:$A$2050,CK$1),#N/A)</f>
        <v>#N/A</v>
      </c>
      <c r="CL52" s="49" t="e">
        <f>IF(CL$1,SUMIFS('BalSht Data'!$H$2:$H$2050,'BalSht Data'!$G$2:$G$2050,$A52,'BalSht Data'!$A$2:$A$2050,CL$1),#N/A)</f>
        <v>#N/A</v>
      </c>
      <c r="CM52" s="49" t="e">
        <f>IF(CM$1,SUMIFS('BalSht Data'!$H$2:$H$2050,'BalSht Data'!$G$2:$G$2050,$A52,'BalSht Data'!$A$2:$A$2050,CM$1),#N/A)</f>
        <v>#N/A</v>
      </c>
      <c r="CN52" s="49" t="e">
        <f>IF(CN$1,SUMIFS('BalSht Data'!$H$2:$H$2050,'BalSht Data'!$G$2:$G$2050,$A52,'BalSht Data'!$A$2:$A$2050,CN$1),#N/A)</f>
        <v>#N/A</v>
      </c>
      <c r="CO52" s="49" t="e">
        <f>IF(CO$1,SUMIFS('BalSht Data'!$H$2:$H$2050,'BalSht Data'!$G$2:$G$2050,$A52,'BalSht Data'!$A$2:$A$2050,CO$1),#N/A)</f>
        <v>#N/A</v>
      </c>
      <c r="CP52" s="49" t="e">
        <f>IF(CP$1,SUMIFS('BalSht Data'!$H$2:$H$2050,'BalSht Data'!$G$2:$G$2050,$A52,'BalSht Data'!$A$2:$A$2050,CP$1),#N/A)</f>
        <v>#N/A</v>
      </c>
      <c r="CQ52" s="49" t="e">
        <f>IF(CQ$1,SUMIFS('BalSht Data'!$H$2:$H$2050,'BalSht Data'!$G$2:$G$2050,$A52,'BalSht Data'!$A$2:$A$2050,CQ$1),#N/A)</f>
        <v>#N/A</v>
      </c>
      <c r="CR52" s="49" t="e">
        <f>IF(CR$1,SUMIFS('BalSht Data'!$H$2:$H$2050,'BalSht Data'!$G$2:$G$2050,$A52,'BalSht Data'!$A$2:$A$2050,CR$1),#N/A)</f>
        <v>#N/A</v>
      </c>
      <c r="CS52" s="49" t="e">
        <f>IF(CS$1,SUMIFS('BalSht Data'!$H$2:$H$2050,'BalSht Data'!$G$2:$G$2050,$A52,'BalSht Data'!$A$2:$A$2050,CS$1),#N/A)</f>
        <v>#N/A</v>
      </c>
      <c r="CT52" s="49" t="e">
        <f>IF(CT$1,SUMIFS('BalSht Data'!$H$2:$H$2050,'BalSht Data'!$G$2:$G$2050,$A52,'BalSht Data'!$A$2:$A$2050,CT$1),#N/A)</f>
        <v>#N/A</v>
      </c>
      <c r="CU52" s="49" t="e">
        <f>IF(CU$1,SUMIFS('BalSht Data'!$H$2:$H$2050,'BalSht Data'!$G$2:$G$2050,$A52,'BalSht Data'!$A$2:$A$2050,CU$1),#N/A)</f>
        <v>#N/A</v>
      </c>
      <c r="CV52" s="49" t="e">
        <f>IF(CV$1,SUMIFS('BalSht Data'!$H$2:$H$2050,'BalSht Data'!$G$2:$G$2050,$A52,'BalSht Data'!$A$2:$A$2050,CV$1),#N/A)</f>
        <v>#N/A</v>
      </c>
      <c r="CW52" s="49" t="e">
        <f>IF(CW$1,SUMIFS('BalSht Data'!$H$2:$H$2050,'BalSht Data'!$G$2:$G$2050,$A52,'BalSht Data'!$A$2:$A$2050,CW$1),#N/A)</f>
        <v>#N/A</v>
      </c>
      <c r="CX52" s="49" t="e">
        <f>IF(CX$1,SUMIFS('BalSht Data'!$H$2:$H$2050,'BalSht Data'!$G$2:$G$2050,$A52,'BalSht Data'!$A$2:$A$2050,CX$1),#N/A)</f>
        <v>#N/A</v>
      </c>
      <c r="CY52" s="49" t="e">
        <f>IF(CY$1,SUMIFS('BalSht Data'!$H$2:$H$2050,'BalSht Data'!$G$2:$G$2050,$A52,'BalSht Data'!$A$2:$A$2050,CY$1),#N/A)</f>
        <v>#N/A</v>
      </c>
      <c r="CZ52" s="49" t="e">
        <f>IF(CZ$1,SUMIFS('BalSht Data'!$H$2:$H$2050,'BalSht Data'!$G$2:$G$2050,$A52,'BalSht Data'!$A$2:$A$2050,CZ$1),#N/A)</f>
        <v>#N/A</v>
      </c>
      <c r="DA52" s="49">
        <f>SUM(B52:AJ52)</f>
        <v>1584235</v>
      </c>
      <c r="DB52" s="49"/>
    </row>
    <row r="53" spans="1:106" s="40" customFormat="1" x14ac:dyDescent="0.2">
      <c r="A53" s="63"/>
      <c r="B53" s="43"/>
      <c r="C53" s="43"/>
      <c r="D53" s="43"/>
      <c r="E53" s="43"/>
      <c r="F53" s="43"/>
      <c r="G53" s="43"/>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43"/>
      <c r="BL53" s="43"/>
      <c r="BM53" s="43"/>
      <c r="BN53" s="43"/>
      <c r="BO53" s="43"/>
      <c r="BP53" s="43"/>
      <c r="BQ53" s="43"/>
      <c r="BR53" s="43"/>
      <c r="BS53" s="43"/>
      <c r="BT53" s="43"/>
      <c r="BU53" s="43"/>
      <c r="BV53" s="43"/>
      <c r="BW53" s="43"/>
      <c r="BX53" s="43"/>
      <c r="BY53" s="43"/>
      <c r="BZ53" s="43"/>
      <c r="CA53" s="43"/>
      <c r="CB53" s="43"/>
      <c r="CC53" s="43"/>
      <c r="CD53" s="43"/>
      <c r="CE53" s="43"/>
      <c r="CF53" s="43"/>
      <c r="CG53" s="43"/>
      <c r="CH53" s="43"/>
      <c r="CI53" s="43"/>
      <c r="CJ53" s="43"/>
      <c r="CK53" s="43"/>
      <c r="CL53" s="43"/>
      <c r="CM53" s="43"/>
      <c r="CN53" s="43"/>
      <c r="CO53" s="43"/>
      <c r="CP53" s="43"/>
      <c r="CQ53" s="43"/>
      <c r="CR53" s="43"/>
      <c r="CS53" s="43"/>
      <c r="CT53" s="43"/>
      <c r="CU53" s="43"/>
      <c r="CV53" s="43"/>
      <c r="CW53" s="43"/>
      <c r="CX53" s="43"/>
      <c r="CY53" s="43"/>
      <c r="CZ53" s="43"/>
      <c r="DA53" s="43"/>
    </row>
    <row r="54" spans="1:106" s="40" customFormat="1" x14ac:dyDescent="0.2">
      <c r="A54" s="65" t="s">
        <v>159</v>
      </c>
      <c r="B54" s="40">
        <f>SUM((B40:B52))</f>
        <v>3724628</v>
      </c>
      <c r="C54" s="40">
        <f>SUM((C40:C52))</f>
        <v>2814677</v>
      </c>
      <c r="D54" s="40">
        <f t="shared" ref="D54:BN54" si="14">SUM((D40:D52))</f>
        <v>4831902</v>
      </c>
      <c r="E54" s="40">
        <f t="shared" si="14"/>
        <v>3257290</v>
      </c>
      <c r="F54" s="40">
        <f t="shared" si="14"/>
        <v>5710321</v>
      </c>
      <c r="G54" s="40">
        <f t="shared" si="14"/>
        <v>6125432</v>
      </c>
      <c r="H54" s="40">
        <f t="shared" si="14"/>
        <v>10073410</v>
      </c>
      <c r="I54" s="40">
        <f t="shared" si="14"/>
        <v>7708714</v>
      </c>
      <c r="J54" s="40">
        <f t="shared" si="14"/>
        <v>12742449</v>
      </c>
      <c r="K54" s="40">
        <f t="shared" si="14"/>
        <v>12862693</v>
      </c>
      <c r="L54" s="40">
        <f t="shared" si="14"/>
        <v>8825811</v>
      </c>
      <c r="M54" s="40">
        <f t="shared" si="14"/>
        <v>9255330</v>
      </c>
      <c r="N54" s="40">
        <f t="shared" si="14"/>
        <v>28515521</v>
      </c>
      <c r="O54" s="40">
        <f t="shared" si="14"/>
        <v>8660659</v>
      </c>
      <c r="P54" s="40">
        <f t="shared" si="14"/>
        <v>5694757</v>
      </c>
      <c r="Q54" s="40">
        <f t="shared" si="14"/>
        <v>8693632</v>
      </c>
      <c r="R54" s="40">
        <f t="shared" si="14"/>
        <v>6628884</v>
      </c>
      <c r="S54" s="40">
        <f t="shared" si="14"/>
        <v>8778801</v>
      </c>
      <c r="T54" s="40">
        <f t="shared" si="14"/>
        <v>2429790</v>
      </c>
      <c r="U54" s="40">
        <f t="shared" si="14"/>
        <v>3817742</v>
      </c>
      <c r="V54" s="40">
        <f t="shared" si="14"/>
        <v>2452750</v>
      </c>
      <c r="W54" s="40">
        <f t="shared" si="14"/>
        <v>6742759</v>
      </c>
      <c r="X54" s="40">
        <f t="shared" si="14"/>
        <v>1653175</v>
      </c>
      <c r="Y54" s="40">
        <f t="shared" si="14"/>
        <v>7500351</v>
      </c>
      <c r="Z54" s="40">
        <f t="shared" si="14"/>
        <v>0</v>
      </c>
      <c r="AA54" s="40">
        <f t="shared" si="14"/>
        <v>3600578</v>
      </c>
      <c r="AB54" s="40">
        <f t="shared" si="14"/>
        <v>0</v>
      </c>
      <c r="AC54" s="40">
        <f t="shared" si="14"/>
        <v>0</v>
      </c>
      <c r="AD54" s="40">
        <f t="shared" si="14"/>
        <v>7447503</v>
      </c>
      <c r="AE54" s="40">
        <f t="shared" si="14"/>
        <v>9082782</v>
      </c>
      <c r="AF54" s="40">
        <f t="shared" si="14"/>
        <v>3424047</v>
      </c>
      <c r="AG54" s="40">
        <f t="shared" si="14"/>
        <v>7384325</v>
      </c>
      <c r="AH54" s="40">
        <f t="shared" si="14"/>
        <v>4779657</v>
      </c>
      <c r="AI54" s="40">
        <f t="shared" si="14"/>
        <v>4043934</v>
      </c>
      <c r="AJ54" s="40">
        <f t="shared" si="14"/>
        <v>4539032</v>
      </c>
      <c r="AK54" s="40" t="e">
        <f t="shared" ref="AK54" si="15">SUM((AK40:AK52))</f>
        <v>#N/A</v>
      </c>
      <c r="AL54" s="40" t="e">
        <f t="shared" si="14"/>
        <v>#N/A</v>
      </c>
      <c r="AM54" s="40" t="e">
        <f t="shared" si="14"/>
        <v>#N/A</v>
      </c>
      <c r="AN54" s="40" t="e">
        <f t="shared" si="14"/>
        <v>#N/A</v>
      </c>
      <c r="AO54" s="40" t="e">
        <f t="shared" si="14"/>
        <v>#N/A</v>
      </c>
      <c r="AP54" s="40" t="e">
        <f t="shared" si="14"/>
        <v>#N/A</v>
      </c>
      <c r="AQ54" s="40" t="e">
        <f t="shared" si="14"/>
        <v>#N/A</v>
      </c>
      <c r="AR54" s="40" t="e">
        <f t="shared" si="14"/>
        <v>#N/A</v>
      </c>
      <c r="AS54" s="40" t="e">
        <f t="shared" si="14"/>
        <v>#N/A</v>
      </c>
      <c r="AT54" s="40" t="e">
        <f t="shared" si="14"/>
        <v>#N/A</v>
      </c>
      <c r="AU54" s="40" t="e">
        <f t="shared" si="14"/>
        <v>#N/A</v>
      </c>
      <c r="AV54" s="40" t="e">
        <f t="shared" si="14"/>
        <v>#N/A</v>
      </c>
      <c r="AW54" s="40" t="e">
        <f t="shared" si="14"/>
        <v>#N/A</v>
      </c>
      <c r="AX54" s="40" t="e">
        <f t="shared" si="14"/>
        <v>#N/A</v>
      </c>
      <c r="AY54" s="40" t="e">
        <f t="shared" si="14"/>
        <v>#N/A</v>
      </c>
      <c r="AZ54" s="40" t="e">
        <f t="shared" si="14"/>
        <v>#N/A</v>
      </c>
      <c r="BA54" s="40" t="e">
        <f t="shared" si="14"/>
        <v>#N/A</v>
      </c>
      <c r="BB54" s="40" t="e">
        <f t="shared" si="14"/>
        <v>#N/A</v>
      </c>
      <c r="BC54" s="40" t="e">
        <f t="shared" si="14"/>
        <v>#N/A</v>
      </c>
      <c r="BD54" s="40" t="e">
        <f t="shared" si="14"/>
        <v>#N/A</v>
      </c>
      <c r="BE54" s="40" t="e">
        <f t="shared" si="14"/>
        <v>#N/A</v>
      </c>
      <c r="BF54" s="40" t="e">
        <f t="shared" si="14"/>
        <v>#N/A</v>
      </c>
      <c r="BG54" s="40" t="e">
        <f t="shared" si="14"/>
        <v>#N/A</v>
      </c>
      <c r="BH54" s="40" t="e">
        <f t="shared" si="14"/>
        <v>#N/A</v>
      </c>
      <c r="BI54" s="40" t="e">
        <f t="shared" si="14"/>
        <v>#N/A</v>
      </c>
      <c r="BJ54" s="40" t="e">
        <f t="shared" si="14"/>
        <v>#N/A</v>
      </c>
      <c r="BK54" s="40" t="e">
        <f t="shared" si="14"/>
        <v>#N/A</v>
      </c>
      <c r="BL54" s="40" t="e">
        <f t="shared" si="14"/>
        <v>#N/A</v>
      </c>
      <c r="BM54" s="40" t="e">
        <f t="shared" si="14"/>
        <v>#N/A</v>
      </c>
      <c r="BN54" s="40" t="e">
        <f t="shared" si="14"/>
        <v>#N/A</v>
      </c>
      <c r="BO54" s="40" t="e">
        <f t="shared" ref="BO54:CZ54" si="16">SUM((BO40:BO52))</f>
        <v>#N/A</v>
      </c>
      <c r="BP54" s="40" t="e">
        <f t="shared" si="16"/>
        <v>#N/A</v>
      </c>
      <c r="BQ54" s="40" t="e">
        <f t="shared" si="16"/>
        <v>#N/A</v>
      </c>
      <c r="BR54" s="40" t="e">
        <f t="shared" si="16"/>
        <v>#N/A</v>
      </c>
      <c r="BS54" s="40" t="e">
        <f t="shared" si="16"/>
        <v>#N/A</v>
      </c>
      <c r="BT54" s="40" t="e">
        <f t="shared" si="16"/>
        <v>#N/A</v>
      </c>
      <c r="BU54" s="40" t="e">
        <f t="shared" si="16"/>
        <v>#N/A</v>
      </c>
      <c r="BV54" s="40" t="e">
        <f t="shared" si="16"/>
        <v>#N/A</v>
      </c>
      <c r="BW54" s="40" t="e">
        <f t="shared" si="16"/>
        <v>#N/A</v>
      </c>
      <c r="BX54" s="40" t="e">
        <f t="shared" si="16"/>
        <v>#N/A</v>
      </c>
      <c r="BY54" s="40" t="e">
        <f t="shared" si="16"/>
        <v>#N/A</v>
      </c>
      <c r="BZ54" s="40" t="e">
        <f t="shared" si="16"/>
        <v>#N/A</v>
      </c>
      <c r="CA54" s="40" t="e">
        <f t="shared" si="16"/>
        <v>#N/A</v>
      </c>
      <c r="CB54" s="40" t="e">
        <f t="shared" si="16"/>
        <v>#N/A</v>
      </c>
      <c r="CC54" s="40" t="e">
        <f t="shared" si="16"/>
        <v>#N/A</v>
      </c>
      <c r="CD54" s="40" t="e">
        <f t="shared" si="16"/>
        <v>#N/A</v>
      </c>
      <c r="CE54" s="40" t="e">
        <f t="shared" si="16"/>
        <v>#N/A</v>
      </c>
      <c r="CF54" s="40" t="e">
        <f t="shared" si="16"/>
        <v>#N/A</v>
      </c>
      <c r="CG54" s="40" t="e">
        <f t="shared" si="16"/>
        <v>#N/A</v>
      </c>
      <c r="CH54" s="40" t="e">
        <f t="shared" si="16"/>
        <v>#N/A</v>
      </c>
      <c r="CI54" s="40" t="e">
        <f t="shared" si="16"/>
        <v>#N/A</v>
      </c>
      <c r="CJ54" s="40" t="e">
        <f t="shared" si="16"/>
        <v>#N/A</v>
      </c>
      <c r="CK54" s="40" t="e">
        <f t="shared" si="16"/>
        <v>#N/A</v>
      </c>
      <c r="CL54" s="40" t="e">
        <f t="shared" si="16"/>
        <v>#N/A</v>
      </c>
      <c r="CM54" s="40" t="e">
        <f t="shared" si="16"/>
        <v>#N/A</v>
      </c>
      <c r="CN54" s="40" t="e">
        <f t="shared" si="16"/>
        <v>#N/A</v>
      </c>
      <c r="CO54" s="40" t="e">
        <f t="shared" si="16"/>
        <v>#N/A</v>
      </c>
      <c r="CP54" s="40" t="e">
        <f t="shared" si="16"/>
        <v>#N/A</v>
      </c>
      <c r="CQ54" s="40" t="e">
        <f t="shared" si="16"/>
        <v>#N/A</v>
      </c>
      <c r="CR54" s="40" t="e">
        <f t="shared" si="16"/>
        <v>#N/A</v>
      </c>
      <c r="CS54" s="40" t="e">
        <f t="shared" si="16"/>
        <v>#N/A</v>
      </c>
      <c r="CT54" s="40" t="e">
        <f t="shared" si="16"/>
        <v>#N/A</v>
      </c>
      <c r="CU54" s="40" t="e">
        <f t="shared" si="16"/>
        <v>#N/A</v>
      </c>
      <c r="CV54" s="40" t="e">
        <f t="shared" si="16"/>
        <v>#N/A</v>
      </c>
      <c r="CW54" s="40" t="e">
        <f t="shared" si="16"/>
        <v>#N/A</v>
      </c>
      <c r="CX54" s="40" t="e">
        <f t="shared" si="16"/>
        <v>#N/A</v>
      </c>
      <c r="CY54" s="40" t="e">
        <f t="shared" si="16"/>
        <v>#N/A</v>
      </c>
      <c r="CZ54" s="40" t="e">
        <f t="shared" si="16"/>
        <v>#N/A</v>
      </c>
      <c r="DA54" s="40">
        <f>SUM(B54:AJ54)</f>
        <v>223803336</v>
      </c>
    </row>
    <row r="55" spans="1:106" s="40" customFormat="1" x14ac:dyDescent="0.2">
      <c r="A55" s="2"/>
      <c r="B55" s="43"/>
      <c r="C55" s="43"/>
      <c r="D55" s="43"/>
      <c r="E55" s="43"/>
      <c r="F55" s="43"/>
      <c r="G55" s="43"/>
      <c r="H55" s="43"/>
      <c r="I55" s="43"/>
      <c r="J55" s="43"/>
      <c r="K55" s="43"/>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43"/>
      <c r="BL55" s="43"/>
      <c r="BM55" s="43"/>
      <c r="BN55" s="43"/>
      <c r="BO55" s="43"/>
      <c r="BP55" s="43"/>
      <c r="BQ55" s="43"/>
      <c r="BR55" s="43"/>
      <c r="BS55" s="43"/>
      <c r="BT55" s="43"/>
      <c r="BU55" s="43"/>
      <c r="BV55" s="43"/>
      <c r="BW55" s="43"/>
      <c r="BX55" s="43"/>
      <c r="BY55" s="43"/>
      <c r="BZ55" s="43"/>
      <c r="CA55" s="43"/>
      <c r="CB55" s="43"/>
      <c r="CC55" s="43"/>
      <c r="CD55" s="43"/>
      <c r="CE55" s="43"/>
      <c r="CF55" s="43"/>
      <c r="CG55" s="43"/>
      <c r="CH55" s="43"/>
      <c r="CI55" s="43"/>
      <c r="CJ55" s="43"/>
      <c r="CK55" s="43"/>
      <c r="CL55" s="43"/>
      <c r="CM55" s="43"/>
      <c r="CN55" s="43"/>
      <c r="CO55" s="43"/>
      <c r="CP55" s="43"/>
      <c r="CQ55" s="43"/>
      <c r="CR55" s="43"/>
      <c r="CS55" s="43"/>
      <c r="CT55" s="43"/>
      <c r="CU55" s="43"/>
      <c r="CV55" s="43"/>
      <c r="CW55" s="43"/>
      <c r="CX55" s="43"/>
      <c r="CY55" s="43"/>
      <c r="CZ55" s="43"/>
      <c r="DA55" s="43"/>
    </row>
    <row r="56" spans="1:106" s="42" customFormat="1" ht="15" x14ac:dyDescent="0.35">
      <c r="A56" s="61" t="s">
        <v>160</v>
      </c>
      <c r="B56" s="49">
        <f>IF(B$1,(SUM(SUMIFS('BalSht Data'!$H$2:$H$2050,'BalSht Data'!$G$2:$G$2050,$A56,'BalSht Data'!$A$2:$A$2050,B$1),INDEX(IncStmt!$B$11:AR$37,MATCH("NET INCOME / LOSS",IncStmt!$A$11:$A$37,0),MATCH(B1,IncStmt!$B$1:$AS$1,0)))),#N/A)</f>
        <v>-856155</v>
      </c>
      <c r="C56" s="49">
        <f>IF(C$1,(SUM(SUMIFS('BalSht Data'!$H$2:$H$2050,'BalSht Data'!$G$2:$G$2050,$A56,'BalSht Data'!$A$2:$A$2050,C$1),INDEX(IncStmt!$B$11:AS$37,MATCH("NET INCOME / LOSS",IncStmt!$A$11:$A$37,0),MATCH(C1,IncStmt!$B$1:$AS$1,0)))),#N/A)</f>
        <v>312944</v>
      </c>
      <c r="D56" s="49">
        <f>IF(D$1,(SUM(SUMIFS('BalSht Data'!$H$2:$H$2050,'BalSht Data'!$G$2:$G$2050,$A56,'BalSht Data'!$A$2:$A$2050,D$1),INDEX(IncStmt!$B$11:AT$37,MATCH("NET INCOME / LOSS",IncStmt!$A$11:$A$37,0),MATCH(D1,IncStmt!$B$1:$AS$1,0)))),#N/A)</f>
        <v>-700608</v>
      </c>
      <c r="E56" s="49">
        <f>IF(E$1,(SUM(SUMIFS('BalSht Data'!$H$2:$H$2050,'BalSht Data'!$G$2:$G$2050,$A56,'BalSht Data'!$A$2:$A$2050,E$1),INDEX(IncStmt!$B$11:AU$37,MATCH("NET INCOME / LOSS",IncStmt!$A$11:$A$37,0),MATCH(E1,IncStmt!$B$1:$AS$1,0)))),#N/A)</f>
        <v>4105998</v>
      </c>
      <c r="F56" s="49">
        <f>IF(F$1,(SUM(SUMIFS('BalSht Data'!$H$2:$H$2050,'BalSht Data'!$G$2:$G$2050,$A56,'BalSht Data'!$A$2:$A$2050,F$1),INDEX(IncStmt!$B$11:AV$37,MATCH("NET INCOME / LOSS",IncStmt!$A$11:$A$37,0),MATCH(F1,IncStmt!$B$1:$AS$1,0)))),#N/A)</f>
        <v>2113119</v>
      </c>
      <c r="G56" s="49">
        <f>IF(G$1,(SUM(SUMIFS('BalSht Data'!$H$2:$H$2050,'BalSht Data'!$G$2:$G$2050,$A56,'BalSht Data'!$A$2:$A$2050,G$1),INDEX(IncStmt!$B$11:AW$37,MATCH("NET INCOME / LOSS",IncStmt!$A$11:$A$37,0),MATCH(G1,IncStmt!$B$1:$AS$1,0)))),#N/A)</f>
        <v>-2900895</v>
      </c>
      <c r="H56" s="49">
        <f>IF(H$1,(SUM(SUMIFS('BalSht Data'!$H$2:$H$2050,'BalSht Data'!$G$2:$G$2050,$A56,'BalSht Data'!$A$2:$A$2050,H$1),INDEX(IncStmt!$B$11:AX$37,MATCH("NET INCOME / LOSS",IncStmt!$A$11:$A$37,0),MATCH(H1,IncStmt!$B$1:$AS$1,0)))),#N/A)</f>
        <v>-1603772</v>
      </c>
      <c r="I56" s="49">
        <f>IF(I$1,(SUM(SUMIFS('BalSht Data'!$H$2:$H$2050,'BalSht Data'!$G$2:$G$2050,$A56,'BalSht Data'!$A$2:$A$2050,I$1),INDEX(IncStmt!$B$11:AY$37,MATCH("NET INCOME / LOSS",IncStmt!$A$11:$A$37,0),MATCH(I1,IncStmt!$B$1:$AS$1,0)))),#N/A)</f>
        <v>-4127449</v>
      </c>
      <c r="J56" s="49">
        <f>IF(J$1,(SUM(SUMIFS('BalSht Data'!$H$2:$H$2050,'BalSht Data'!$G$2:$G$2050,$A56,'BalSht Data'!$A$2:$A$2050,J$1),INDEX(IncStmt!$B$11:AZ$37,MATCH("NET INCOME / LOSS",IncStmt!$A$11:$A$37,0),MATCH(J1,IncStmt!$B$1:$AS$1,0)))),#N/A)</f>
        <v>-6222568</v>
      </c>
      <c r="K56" s="49">
        <f>IF(K$1,(SUM(SUMIFS('BalSht Data'!$H$2:$H$2050,'BalSht Data'!$G$2:$G$2050,$A56,'BalSht Data'!$A$2:$A$2050,K$1),INDEX(IncStmt!$B$11:BA$37,MATCH("NET INCOME / LOSS",IncStmt!$A$11:$A$37,0),MATCH(K1,IncStmt!$B$1:$AS$1,0)))),#N/A)</f>
        <v>-1893318</v>
      </c>
      <c r="L56" s="49">
        <f>IF(L$1,(SUM(SUMIFS('BalSht Data'!$H$2:$H$2050,'BalSht Data'!$G$2:$G$2050,$A56,'BalSht Data'!$A$2:$A$2050,L$1),INDEX(IncStmt!$B$11:BB$37,MATCH("NET INCOME / LOSS",IncStmt!$A$11:$A$37,0),MATCH(L1,IncStmt!$B$1:$AS$1,0)))),#N/A)</f>
        <v>-3428730</v>
      </c>
      <c r="M56" s="49">
        <f>IF(M$1,(SUM(SUMIFS('BalSht Data'!$H$2:$H$2050,'BalSht Data'!$G$2:$G$2050,$A56,'BalSht Data'!$A$2:$A$2050,M$1),INDEX(IncStmt!$B$11:BC$37,MATCH("NET INCOME / LOSS",IncStmt!$A$11:$A$37,0),MATCH(M1,IncStmt!$B$1:$AS$1,0)))),#N/A)</f>
        <v>-4184822</v>
      </c>
      <c r="N56" s="49">
        <f>IF(N$1,(SUM(SUMIFS('BalSht Data'!$H$2:$H$2050,'BalSht Data'!$G$2:$G$2050,$A56,'BalSht Data'!$A$2:$A$2050,N$1),INDEX(IncStmt!$B$11:BD$37,MATCH("NET INCOME / LOSS",IncStmt!$A$11:$A$37,0),MATCH(N1,IncStmt!$B$1:$AS$1,0)))),#N/A)</f>
        <v>-14808602</v>
      </c>
      <c r="O56" s="49">
        <f>IF(O$1,(SUM(SUMIFS('BalSht Data'!$H$2:$H$2050,'BalSht Data'!$G$2:$G$2050,$A56,'BalSht Data'!$A$2:$A$2050,O$1),INDEX(IncStmt!$B$11:BE$37,MATCH("NET INCOME / LOSS",IncStmt!$A$11:$A$37,0),MATCH(O1,IncStmt!$B$1:$AS$1,0)))),#N/A)</f>
        <v>-2368726</v>
      </c>
      <c r="P56" s="49">
        <f>IF(P$1,(SUM(SUMIFS('BalSht Data'!$H$2:$H$2050,'BalSht Data'!$G$2:$G$2050,$A56,'BalSht Data'!$A$2:$A$2050,P$1),INDEX(IncStmt!$B$11:BF$37,MATCH("NET INCOME / LOSS",IncStmt!$A$11:$A$37,0),MATCH(P1,IncStmt!$B$1:$AS$1,0)))),#N/A)</f>
        <v>-1921199</v>
      </c>
      <c r="Q56" s="49">
        <f>IF(Q$1,(SUM(SUMIFS('BalSht Data'!$H$2:$H$2050,'BalSht Data'!$G$2:$G$2050,$A56,'BalSht Data'!$A$2:$A$2050,Q$1),INDEX(IncStmt!$B$11:BG$37,MATCH("NET INCOME / LOSS",IncStmt!$A$11:$A$37,0),MATCH(Q1,IncStmt!$B$1:$AS$1,0)))),#N/A)</f>
        <v>-3600131</v>
      </c>
      <c r="R56" s="49">
        <f>IF(R$1,(SUM(SUMIFS('BalSht Data'!$H$2:$H$2050,'BalSht Data'!$G$2:$G$2050,$A56,'BalSht Data'!$A$2:$A$2050,R$1),INDEX(IncStmt!$B$11:BH$37,MATCH("NET INCOME / LOSS",IncStmt!$A$11:$A$37,0),MATCH(R1,IncStmt!$B$1:$AS$1,0)))),#N/A)</f>
        <v>-2363599</v>
      </c>
      <c r="S56" s="49">
        <f>IF(S$1,(SUM(SUMIFS('BalSht Data'!$H$2:$H$2050,'BalSht Data'!$G$2:$G$2050,$A56,'BalSht Data'!$A$2:$A$2050,S$1),INDEX(IncStmt!$B$11:BI$37,MATCH("NET INCOME / LOSS",IncStmt!$A$11:$A$37,0),MATCH(S1,IncStmt!$B$1:$AS$1,0)))),#N/A)</f>
        <v>527663</v>
      </c>
      <c r="T56" s="49">
        <f>IF(T$1,(SUM(SUMIFS('BalSht Data'!$H$2:$H$2050,'BalSht Data'!$G$2:$G$2050,$A56,'BalSht Data'!$A$2:$A$2050,T$1),INDEX(IncStmt!$B$11:BJ$37,MATCH("NET INCOME / LOSS",IncStmt!$A$11:$A$37,0),MATCH(T1,IncStmt!$B$1:$AS$1,0)))),#N/A)</f>
        <v>6614899</v>
      </c>
      <c r="U56" s="49">
        <f>IF(U$1,(SUM(SUMIFS('BalSht Data'!$H$2:$H$2050,'BalSht Data'!$G$2:$G$2050,$A56,'BalSht Data'!$A$2:$A$2050,U$1),INDEX(IncStmt!$B$11:BK$37,MATCH("NET INCOME / LOSS",IncStmt!$A$11:$A$37,0),MATCH(U1,IncStmt!$B$1:$AS$1,0)))),#N/A)</f>
        <v>1566596</v>
      </c>
      <c r="V56" s="49">
        <f>IF(V$1,(SUM(SUMIFS('BalSht Data'!$H$2:$H$2050,'BalSht Data'!$G$2:$G$2050,$A56,'BalSht Data'!$A$2:$A$2050,V$1),INDEX(IncStmt!$B$11:BL$37,MATCH("NET INCOME / LOSS",IncStmt!$A$11:$A$37,0),MATCH(V1,IncStmt!$B$1:$AS$1,0)))),#N/A)</f>
        <v>6806979</v>
      </c>
      <c r="W56" s="49">
        <f>IF(W$1,(SUM(SUMIFS('BalSht Data'!$H$2:$H$2050,'BalSht Data'!$G$2:$G$2050,$A56,'BalSht Data'!$A$2:$A$2050,W$1),INDEX(IncStmt!$B$11:BM$37,MATCH("NET INCOME / LOSS",IncStmt!$A$11:$A$37,0),MATCH(W1,IncStmt!$B$1:$AS$1,0)))),#N/A)</f>
        <v>861990</v>
      </c>
      <c r="X56" s="49">
        <f>IF(X$1,(SUM(SUMIFS('BalSht Data'!$H$2:$H$2050,'BalSht Data'!$G$2:$G$2050,$A56,'BalSht Data'!$A$2:$A$2050,X$1),INDEX(IncStmt!$B$11:BN$37,MATCH("NET INCOME / LOSS",IncStmt!$A$11:$A$37,0),MATCH(X1,IncStmt!$B$1:$AS$1,0)))),#N/A)</f>
        <v>5803716</v>
      </c>
      <c r="Y56" s="49">
        <f>IF(Y$1,(SUM(SUMIFS('BalSht Data'!$H$2:$H$2050,'BalSht Data'!$G$2:$G$2050,$A56,'BalSht Data'!$A$2:$A$2050,Y$1),INDEX(IncStmt!$B$11:BO$37,MATCH("NET INCOME / LOSS",IncStmt!$A$11:$A$37,0),MATCH(Y1,IncStmt!$B$1:$AS$1,0)))),#N/A)</f>
        <v>0</v>
      </c>
      <c r="Z56" s="49">
        <f>IF(Z$1,(SUM(SUMIFS('BalSht Data'!$H$2:$H$2050,'BalSht Data'!$G$2:$G$2050,$A56,'BalSht Data'!$A$2:$A$2050,Z$1),INDEX(IncStmt!$B$11:BP$37,MATCH("NET INCOME / LOSS",IncStmt!$A$11:$A$37,0),MATCH(Z1,IncStmt!$B$1:$AS$1,0)))),#N/A)</f>
        <v>0</v>
      </c>
      <c r="AA56" s="49">
        <f>IF(AA$1,(SUM(SUMIFS('BalSht Data'!$H$2:$H$2050,'BalSht Data'!$G$2:$G$2050,$A56,'BalSht Data'!$A$2:$A$2050,AA$1),INDEX(IncStmt!$B$11:BQ$37,MATCH("NET INCOME / LOSS",IncStmt!$A$11:$A$37,0),MATCH(AA1,IncStmt!$B$1:$AS$1,0)))),#N/A)</f>
        <v>2390909</v>
      </c>
      <c r="AB56" s="49">
        <f>IF(AB$1,(SUM(SUMIFS('BalSht Data'!$H$2:$H$2050,'BalSht Data'!$G$2:$G$2050,$A56,'BalSht Data'!$A$2:$A$2050,AB$1),INDEX(IncStmt!$B$11:BR$37,MATCH("NET INCOME / LOSS",IncStmt!$A$11:$A$37,0),MATCH(AB1,IncStmt!$B$1:$AS$1,0)))),#N/A)</f>
        <v>0</v>
      </c>
      <c r="AC56" s="49">
        <f>IF(AC$1,(SUM(SUMIFS('BalSht Data'!$H$2:$H$2050,'BalSht Data'!$G$2:$G$2050,$A56,'BalSht Data'!$A$2:$A$2050,AC$1),INDEX(IncStmt!$B$11:BS$37,MATCH("NET INCOME / LOSS",IncStmt!$A$11:$A$37,0),MATCH(AC1,IncStmt!$B$1:$AS$1,0)))),#N/A)</f>
        <v>0</v>
      </c>
      <c r="AD56" s="49">
        <f>IF(AD$1,(SUM(SUMIFS('BalSht Data'!$H$2:$H$2050,'BalSht Data'!$G$2:$G$2050,$A56,'BalSht Data'!$A$2:$A$2050,AD$1),INDEX(IncStmt!$B$11:BT$37,MATCH("NET INCOME / LOSS",IncStmt!$A$11:$A$37,0),MATCH(AD1,IncStmt!$B$1:$AS$1,0)))),#N/A)</f>
        <v>226357</v>
      </c>
      <c r="AE56" s="49">
        <f>IF(AE$1,(SUM(SUMIFS('BalSht Data'!$H$2:$H$2050,'BalSht Data'!$G$2:$G$2050,$A56,'BalSht Data'!$A$2:$A$2050,AE$1),INDEX(IncStmt!$B$11:BU$37,MATCH("NET INCOME / LOSS",IncStmt!$A$11:$A$37,0),MATCH(AE1,IncStmt!$B$1:$AS$1,0)))),#N/A)</f>
        <v>885911</v>
      </c>
      <c r="AF56" s="49">
        <f>IF(AF$1,(SUM(SUMIFS('BalSht Data'!$H$2:$H$2050,'BalSht Data'!$G$2:$G$2050,$A56,'BalSht Data'!$A$2:$A$2050,AF$1),INDEX(IncStmt!$B$11:BV$37,MATCH("NET INCOME / LOSS",IncStmt!$A$11:$A$37,0),MATCH(AF1,IncStmt!$B$1:$AS$1,0)))),#N/A)</f>
        <v>4789983</v>
      </c>
      <c r="AG56" s="49">
        <f>IF(AG$1,(SUM(SUMIFS('BalSht Data'!$H$2:$H$2050,'BalSht Data'!$G$2:$G$2050,$A56,'BalSht Data'!$A$2:$A$2050,AG$1),INDEX(IncStmt!$B$11:BW$37,MATCH("NET INCOME / LOSS",IncStmt!$A$11:$A$37,0),MATCH(AG1,IncStmt!$B$1:$AS$1,0)))),#N/A)</f>
        <v>4712965</v>
      </c>
      <c r="AH56" s="49">
        <f>IF(AH$1,(SUM(SUMIFS('BalSht Data'!$H$2:$H$2050,'BalSht Data'!$G$2:$G$2050,$A56,'BalSht Data'!$A$2:$A$2050,AH$1),INDEX(IncStmt!$B$11:BX$37,MATCH("NET INCOME / LOSS",IncStmt!$A$11:$A$37,0),MATCH(AH1,IncStmt!$B$1:$AS$1,0)))),#N/A)</f>
        <v>2608305</v>
      </c>
      <c r="AI56" s="49">
        <f>IF(AI$1,(SUM(SUMIFS('BalSht Data'!$H$2:$H$2050,'BalSht Data'!$G$2:$G$2050,$A56,'BalSht Data'!$A$2:$A$2050,AI$1),INDEX(IncStmt!$B$11:BY$37,MATCH("NET INCOME / LOSS",IncStmt!$A$11:$A$37,0),MATCH(AI1,IncStmt!$B$1:$AS$1,0)))),#N/A)</f>
        <v>3314779</v>
      </c>
      <c r="AJ56" s="49">
        <f>IF(AJ$1,(SUM(SUMIFS('BalSht Data'!$H$2:$H$2050,'BalSht Data'!$G$2:$G$2050,$A56,'BalSht Data'!$A$2:$A$2050,AJ$1),INDEX(IncStmt!$B$11:BZ$37,MATCH("NET INCOME / LOSS",IncStmt!$A$11:$A$37,0),MATCH(AJ1,IncStmt!$B$1:$AS$1,0)))),#N/A)</f>
        <v>3307116</v>
      </c>
      <c r="AK56" s="49" t="e">
        <f>IF(AK$1,(SUM(SUMIFS('BalSht Data'!$H$2:$H$2050,'BalSht Data'!$G$2:$G$2050,$A56,'BalSht Data'!$A$2:$A$2050,AK$1),INDEX(IncStmt!$B$11:CA$37,MATCH("NET INCOME / LOSS",IncStmt!$A$11:$A$37,0),MATCH(AK1,IncStmt!$B$1:$AS$1,0)))),#N/A)</f>
        <v>#N/A</v>
      </c>
      <c r="AL56" s="49" t="e">
        <f>IF(AL$1,(SUM(SUMIFS('BalSht Data'!$H$2:$H$2050,'BalSht Data'!$G$2:$G$2050,$A56,'BalSht Data'!$A$2:$A$2050,AL$1),INDEX(IncStmt!$B$11:CB$37,MATCH("NET INCOME / LOSS",IncStmt!$A$11:$A$37,0),MATCH(AL1,IncStmt!$B$1:$AS$1,0)))),#N/A)</f>
        <v>#N/A</v>
      </c>
      <c r="AM56" s="49" t="e">
        <f>IF(AM$1,(SUM(SUMIFS('BalSht Data'!$H$2:$H$2050,'BalSht Data'!$G$2:$G$2050,$A56,'BalSht Data'!$A$2:$A$2050,AM$1),INDEX(IncStmt!$B$11:CC$37,MATCH("NET INCOME / LOSS",IncStmt!$A$11:$A$37,0),MATCH(AM1,IncStmt!$B$1:$AS$1,0)))),#N/A)</f>
        <v>#N/A</v>
      </c>
      <c r="AN56" s="49" t="e">
        <f>IF(AN$1,(SUM(SUMIFS('BalSht Data'!$H$2:$H$2050,'BalSht Data'!$G$2:$G$2050,$A56,'BalSht Data'!$A$2:$A$2050,AN$1),INDEX(IncStmt!$B$11:CD$37,MATCH("NET INCOME / LOSS",IncStmt!$A$11:$A$37,0),MATCH(AN1,IncStmt!$B$1:$AS$1,0)))),#N/A)</f>
        <v>#N/A</v>
      </c>
      <c r="AO56" s="49" t="e">
        <f>IF(AO$1,(SUM(SUMIFS('BalSht Data'!$H$2:$H$2050,'BalSht Data'!$G$2:$G$2050,$A56,'BalSht Data'!$A$2:$A$2050,AO$1),INDEX(IncStmt!$B$11:CE$37,MATCH("NET INCOME / LOSS",IncStmt!$A$11:$A$37,0),MATCH(AO1,IncStmt!$B$1:$AS$1,0)))),#N/A)</f>
        <v>#N/A</v>
      </c>
      <c r="AP56" s="49" t="e">
        <f>IF(AP$1,(SUM(SUMIFS('BalSht Data'!$H$2:$H$2050,'BalSht Data'!$G$2:$G$2050,$A56,'BalSht Data'!$A$2:$A$2050,AP$1),INDEX(IncStmt!$B$11:CF$37,MATCH("NET INCOME / LOSS",IncStmt!$A$11:$A$37,0),MATCH(AP1,IncStmt!$B$1:$AS$1,0)))),#N/A)</f>
        <v>#N/A</v>
      </c>
      <c r="AQ56" s="49" t="e">
        <f>IF(AQ$1,(SUM(SUMIFS('BalSht Data'!$H$2:$H$2050,'BalSht Data'!$G$2:$G$2050,$A56,'BalSht Data'!$A$2:$A$2050,AQ$1),INDEX(IncStmt!$B$11:CG$37,MATCH("NET INCOME / LOSS",IncStmt!$A$11:$A$37,0),MATCH(AQ1,IncStmt!$B$1:$AS$1,0)))),#N/A)</f>
        <v>#N/A</v>
      </c>
      <c r="AR56" s="49" t="e">
        <f>IF(AR$1,(SUM(SUMIFS('BalSht Data'!$H$2:$H$2050,'BalSht Data'!$G$2:$G$2050,$A56,'BalSht Data'!$A$2:$A$2050,AR$1),INDEX(IncStmt!$B$11:CH$37,MATCH("NET INCOME / LOSS",IncStmt!$A$11:$A$37,0),MATCH(AR1,IncStmt!$B$1:$AS$1,0)))),#N/A)</f>
        <v>#N/A</v>
      </c>
      <c r="AS56" s="49" t="e">
        <f>IF(AS$1,(SUM(SUMIFS('BalSht Data'!$H$2:$H$2050,'BalSht Data'!$G$2:$G$2050,$A56,'BalSht Data'!$A$2:$A$2050,AS$1),INDEX(IncStmt!$B$11:CI$37,MATCH("NET INCOME / LOSS",IncStmt!$A$11:$A$37,0),MATCH(AS1,IncStmt!$B$1:$AS$1,0)))),#N/A)</f>
        <v>#N/A</v>
      </c>
      <c r="AT56" s="49" t="e">
        <f>IF(AT$1,(SUM(SUMIFS('BalSht Data'!$H$2:$H$2050,'BalSht Data'!$G$2:$G$2050,$A56,'BalSht Data'!$A$2:$A$2050,AT$1),INDEX(IncStmt!$B$11:CJ$37,MATCH("NET INCOME / LOSS",IncStmt!$A$11:$A$37,0),MATCH(AT1,IncStmt!$B$1:$AS$1,0)))),#N/A)</f>
        <v>#N/A</v>
      </c>
      <c r="AU56" s="49" t="e">
        <f>IF(AU$1,(SUM(SUMIFS('BalSht Data'!$H$2:$H$2050,'BalSht Data'!$G$2:$G$2050,$A56,'BalSht Data'!$A$2:$A$2050,AU$1),INDEX(IncStmt!$B$11:CK$37,MATCH("NET INCOME / LOSS",IncStmt!$A$11:$A$37,0),MATCH(AU1,IncStmt!$B$1:$AS$1,0)))),#N/A)</f>
        <v>#N/A</v>
      </c>
      <c r="AV56" s="49" t="e">
        <f>IF(AV$1,(SUM(SUMIFS('BalSht Data'!$H$2:$H$2050,'BalSht Data'!$G$2:$G$2050,$A56,'BalSht Data'!$A$2:$A$2050,AV$1),INDEX(IncStmt!$B$11:CL$37,MATCH("NET INCOME / LOSS",IncStmt!$A$11:$A$37,0),MATCH(AV1,IncStmt!$B$1:$AS$1,0)))),#N/A)</f>
        <v>#N/A</v>
      </c>
      <c r="AW56" s="49" t="e">
        <f>IF(AW$1,(SUM(SUMIFS('BalSht Data'!$H$2:$H$2050,'BalSht Data'!$G$2:$G$2050,$A56,'BalSht Data'!$A$2:$A$2050,AW$1),INDEX(IncStmt!$B$11:CM$37,MATCH("NET INCOME / LOSS",IncStmt!$A$11:$A$37,0),MATCH(AW1,IncStmt!$B$1:$AS$1,0)))),#N/A)</f>
        <v>#N/A</v>
      </c>
      <c r="AX56" s="49" t="e">
        <f>IF(AX$1,(SUM(SUMIFS('BalSht Data'!$H$2:$H$2050,'BalSht Data'!$G$2:$G$2050,$A56,'BalSht Data'!$A$2:$A$2050,AX$1),INDEX(IncStmt!$B$11:CN$37,MATCH("NET INCOME / LOSS",IncStmt!$A$11:$A$37,0),MATCH(AX1,IncStmt!$B$1:$AS$1,0)))),#N/A)</f>
        <v>#N/A</v>
      </c>
      <c r="AY56" s="49" t="e">
        <f>IF(AY$1,(SUM(SUMIFS('BalSht Data'!$H$2:$H$2050,'BalSht Data'!$G$2:$G$2050,$A56,'BalSht Data'!$A$2:$A$2050,AY$1),INDEX(IncStmt!$B$11:CO$37,MATCH("NET INCOME / LOSS",IncStmt!$A$11:$A$37,0),MATCH(AY1,IncStmt!$B$1:$AS$1,0)))),#N/A)</f>
        <v>#N/A</v>
      </c>
      <c r="AZ56" s="49" t="e">
        <f>IF(AZ$1,(SUM(SUMIFS('BalSht Data'!$H$2:$H$2050,'BalSht Data'!$G$2:$G$2050,$A56,'BalSht Data'!$A$2:$A$2050,AZ$1),INDEX(IncStmt!$B$11:CP$37,MATCH("NET INCOME / LOSS",IncStmt!$A$11:$A$37,0),MATCH(AZ1,IncStmt!$B$1:$AS$1,0)))),#N/A)</f>
        <v>#N/A</v>
      </c>
      <c r="BA56" s="49" t="e">
        <f>IF(BA$1,(SUM(SUMIFS('BalSht Data'!$H$2:$H$2050,'BalSht Data'!$G$2:$G$2050,$A56,'BalSht Data'!$A$2:$A$2050,BA$1),INDEX(IncStmt!$B$11:CQ$37,MATCH("NET INCOME / LOSS",IncStmt!$A$11:$A$37,0),MATCH(BA1,IncStmt!$B$1:$AS$1,0)))),#N/A)</f>
        <v>#N/A</v>
      </c>
      <c r="BB56" s="49" t="e">
        <f>IF(BB$1,(SUM(SUMIFS('BalSht Data'!$H$2:$H$2050,'BalSht Data'!$G$2:$G$2050,$A56,'BalSht Data'!$A$2:$A$2050,BB$1),INDEX(IncStmt!$B$11:CR$37,MATCH("NET INCOME / LOSS",IncStmt!$A$11:$A$37,0),MATCH(BB1,IncStmt!$B$1:$AS$1,0)))),#N/A)</f>
        <v>#N/A</v>
      </c>
      <c r="BC56" s="49" t="e">
        <f>IF(BC$1,(SUM(SUMIFS('BalSht Data'!$H$2:$H$2050,'BalSht Data'!$G$2:$G$2050,$A56,'BalSht Data'!$A$2:$A$2050,BC$1),INDEX(IncStmt!$B$11:CS$37,MATCH("NET INCOME / LOSS",IncStmt!$A$11:$A$37,0),MATCH(BC1,IncStmt!$B$1:$AS$1,0)))),#N/A)</f>
        <v>#N/A</v>
      </c>
      <c r="BD56" s="49" t="e">
        <f>IF(BD$1,(SUM(SUMIFS('BalSht Data'!$H$2:$H$2050,'BalSht Data'!$G$2:$G$2050,$A56,'BalSht Data'!$A$2:$A$2050,BD$1),INDEX(IncStmt!$B$11:CT$37,MATCH("NET INCOME / LOSS",IncStmt!$A$11:$A$37,0),MATCH(BD1,IncStmt!$B$1:$AS$1,0)))),#N/A)</f>
        <v>#N/A</v>
      </c>
      <c r="BE56" s="49" t="e">
        <f>IF(BE$1,(SUM(SUMIFS('BalSht Data'!$H$2:$H$2050,'BalSht Data'!$G$2:$G$2050,$A56,'BalSht Data'!$A$2:$A$2050,BE$1),INDEX(IncStmt!$B$11:CU$37,MATCH("NET INCOME / LOSS",IncStmt!$A$11:$A$37,0),MATCH(BE1,IncStmt!$B$1:$AS$1,0)))),#N/A)</f>
        <v>#N/A</v>
      </c>
      <c r="BF56" s="49" t="e">
        <f>IF(BF$1,(SUM(SUMIFS('BalSht Data'!$H$2:$H$2050,'BalSht Data'!$G$2:$G$2050,$A56,'BalSht Data'!$A$2:$A$2050,BF$1),INDEX(IncStmt!$B$11:CV$37,MATCH("NET INCOME / LOSS",IncStmt!$A$11:$A$37,0),MATCH(BF1,IncStmt!$B$1:$AS$1,0)))),#N/A)</f>
        <v>#N/A</v>
      </c>
      <c r="BG56" s="49" t="e">
        <f>IF(BG$1,(SUM(SUMIFS('BalSht Data'!$H$2:$H$2050,'BalSht Data'!$G$2:$G$2050,$A56,'BalSht Data'!$A$2:$A$2050,BG$1),INDEX(IncStmt!$B$11:CW$37,MATCH("NET INCOME / LOSS",IncStmt!$A$11:$A$37,0),MATCH(BG1,IncStmt!$B$1:$AS$1,0)))),#N/A)</f>
        <v>#N/A</v>
      </c>
      <c r="BH56" s="49" t="e">
        <f>IF(BH$1,(SUM(SUMIFS('BalSht Data'!$H$2:$H$2050,'BalSht Data'!$G$2:$G$2050,$A56,'BalSht Data'!$A$2:$A$2050,BH$1),INDEX(IncStmt!$B$11:CX$37,MATCH("NET INCOME / LOSS",IncStmt!$A$11:$A$37,0),MATCH(BH1,IncStmt!$B$1:$AS$1,0)))),#N/A)</f>
        <v>#N/A</v>
      </c>
      <c r="BI56" s="49" t="e">
        <f>IF(BI$1,(SUM(SUMIFS('BalSht Data'!$H$2:$H$2050,'BalSht Data'!$G$2:$G$2050,$A56,'BalSht Data'!$A$2:$A$2050,BI$1),INDEX(IncStmt!$B$11:CY$37,MATCH("NET INCOME / LOSS",IncStmt!$A$11:$A$37,0),MATCH(BI1,IncStmt!$B$1:$AS$1,0)))),#N/A)</f>
        <v>#N/A</v>
      </c>
      <c r="BJ56" s="49" t="e">
        <f>IF(BJ$1,(SUM(SUMIFS('BalSht Data'!$H$2:$H$2050,'BalSht Data'!$G$2:$G$2050,$A56,'BalSht Data'!$A$2:$A$2050,BJ$1),INDEX(IncStmt!$B$11:CZ$37,MATCH("NET INCOME / LOSS",IncStmt!$A$11:$A$37,0),MATCH(BJ1,IncStmt!$B$1:$AS$1,0)))),#N/A)</f>
        <v>#N/A</v>
      </c>
      <c r="BK56" s="49" t="e">
        <f>IF(BK$1,(SUM(SUMIFS('BalSht Data'!$H$2:$H$2050,'BalSht Data'!$G$2:$G$2050,$A56,'BalSht Data'!$A$2:$A$2050,BK$1),INDEX(IncStmt!$B$11:DA$37,MATCH("NET INCOME / LOSS",IncStmt!$A$11:$A$37,0),MATCH(BK1,IncStmt!$B$1:$AS$1,0)))),#N/A)</f>
        <v>#N/A</v>
      </c>
      <c r="BL56" s="49" t="e">
        <f>IF(BL$1,(SUM(SUMIFS('BalSht Data'!$H$2:$H$2050,'BalSht Data'!$G$2:$G$2050,$A56,'BalSht Data'!$A$2:$A$2050,BL$1),INDEX(IncStmt!$B$11:DB$37,MATCH("NET INCOME / LOSS",IncStmt!$A$11:$A$37,0),MATCH(BL1,IncStmt!$B$1:$AS$1,0)))),#N/A)</f>
        <v>#N/A</v>
      </c>
      <c r="BM56" s="49" t="e">
        <f>IF(BM$1,(SUM(SUMIFS('BalSht Data'!$H$2:$H$2050,'BalSht Data'!$G$2:$G$2050,$A56,'BalSht Data'!$A$2:$A$2050,BM$1),INDEX(IncStmt!$B$11:DC$37,MATCH("NET INCOME / LOSS",IncStmt!$A$11:$A$37,0),MATCH(BM1,IncStmt!$B$1:$AS$1,0)))),#N/A)</f>
        <v>#N/A</v>
      </c>
      <c r="BN56" s="49" t="e">
        <f>IF(BN$1,(SUM(SUMIFS('BalSht Data'!$H$2:$H$2050,'BalSht Data'!$G$2:$G$2050,$A56,'BalSht Data'!$A$2:$A$2050,BN$1),INDEX(IncStmt!$B$11:DD$37,MATCH("NET INCOME / LOSS",IncStmt!$A$11:$A$37,0),MATCH(BN1,IncStmt!$B$1:$AS$1,0)))),#N/A)</f>
        <v>#N/A</v>
      </c>
      <c r="BO56" s="49" t="e">
        <f>IF(BO$1,(SUM(SUMIFS('BalSht Data'!$H$2:$H$2050,'BalSht Data'!$G$2:$G$2050,$A56,'BalSht Data'!$A$2:$A$2050,BO$1),INDEX(IncStmt!$B$11:DE$37,MATCH("NET INCOME / LOSS",IncStmt!$A$11:$A$37,0),MATCH(BO1,IncStmt!$B$1:$AS$1,0)))),#N/A)</f>
        <v>#N/A</v>
      </c>
      <c r="BP56" s="49" t="e">
        <f>IF(BP$1,(SUM(SUMIFS('BalSht Data'!$H$2:$H$2050,'BalSht Data'!$G$2:$G$2050,$A56,'BalSht Data'!$A$2:$A$2050,BP$1),INDEX(IncStmt!$B$11:DF$37,MATCH("NET INCOME / LOSS",IncStmt!$A$11:$A$37,0),MATCH(BP1,IncStmt!$B$1:$AS$1,0)))),#N/A)</f>
        <v>#N/A</v>
      </c>
      <c r="BQ56" s="49" t="e">
        <f>IF(BQ$1,(SUM(SUMIFS('BalSht Data'!$H$2:$H$2050,'BalSht Data'!$G$2:$G$2050,$A56,'BalSht Data'!$A$2:$A$2050,BQ$1),INDEX(IncStmt!$B$11:DG$37,MATCH("NET INCOME / LOSS",IncStmt!$A$11:$A$37,0),MATCH(BQ1,IncStmt!$B$1:$AS$1,0)))),#N/A)</f>
        <v>#N/A</v>
      </c>
      <c r="BR56" s="49" t="e">
        <f>IF(BR$1,(SUM(SUMIFS('BalSht Data'!$H$2:$H$2050,'BalSht Data'!$G$2:$G$2050,$A56,'BalSht Data'!$A$2:$A$2050,BR$1),INDEX(IncStmt!$B$11:DH$37,MATCH("NET INCOME / LOSS",IncStmt!$A$11:$A$37,0),MATCH(BR1,IncStmt!$B$1:$AS$1,0)))),#N/A)</f>
        <v>#N/A</v>
      </c>
      <c r="BS56" s="49" t="e">
        <f>IF(BS$1,(SUM(SUMIFS('BalSht Data'!$H$2:$H$2050,'BalSht Data'!$G$2:$G$2050,$A56,'BalSht Data'!$A$2:$A$2050,BS$1),INDEX(IncStmt!$B$11:DI$37,MATCH("NET INCOME / LOSS",IncStmt!$A$11:$A$37,0),MATCH(BS1,IncStmt!$B$1:$AS$1,0)))),#N/A)</f>
        <v>#N/A</v>
      </c>
      <c r="BT56" s="49" t="e">
        <f>IF(BT$1,(SUM(SUMIFS('BalSht Data'!$H$2:$H$2050,'BalSht Data'!$G$2:$G$2050,$A56,'BalSht Data'!$A$2:$A$2050,BT$1),INDEX(IncStmt!$B$11:DJ$37,MATCH("NET INCOME / LOSS",IncStmt!$A$11:$A$37,0),MATCH(BT1,IncStmt!$B$1:$AS$1,0)))),#N/A)</f>
        <v>#N/A</v>
      </c>
      <c r="BU56" s="49" t="e">
        <f>IF(BU$1,(SUM(SUMIFS('BalSht Data'!$H$2:$H$2050,'BalSht Data'!$G$2:$G$2050,$A56,'BalSht Data'!$A$2:$A$2050,BU$1),INDEX(IncStmt!$B$11:DK$37,MATCH("NET INCOME / LOSS",IncStmt!$A$11:$A$37,0),MATCH(BU1,IncStmt!$B$1:$AS$1,0)))),#N/A)</f>
        <v>#N/A</v>
      </c>
      <c r="BV56" s="49" t="e">
        <f>IF(BV$1,(SUM(SUMIFS('BalSht Data'!$H$2:$H$2050,'BalSht Data'!$G$2:$G$2050,$A56,'BalSht Data'!$A$2:$A$2050,BV$1),INDEX(IncStmt!$B$11:DL$37,MATCH("NET INCOME / LOSS",IncStmt!$A$11:$A$37,0),MATCH(BV1,IncStmt!$B$1:$AS$1,0)))),#N/A)</f>
        <v>#N/A</v>
      </c>
      <c r="BW56" s="49" t="e">
        <f>IF(BW$1,(SUM(SUMIFS('BalSht Data'!$H$2:$H$2050,'BalSht Data'!$G$2:$G$2050,$A56,'BalSht Data'!$A$2:$A$2050,BW$1),INDEX(IncStmt!$B$11:DM$37,MATCH("NET INCOME / LOSS",IncStmt!$A$11:$A$37,0),MATCH(BW1,IncStmt!$B$1:$AS$1,0)))),#N/A)</f>
        <v>#N/A</v>
      </c>
      <c r="BX56" s="49" t="e">
        <f>IF(BX$1,(SUM(SUMIFS('BalSht Data'!$H$2:$H$2050,'BalSht Data'!$G$2:$G$2050,$A56,'BalSht Data'!$A$2:$A$2050,BX$1),INDEX(IncStmt!$B$11:DN$37,MATCH("NET INCOME / LOSS",IncStmt!$A$11:$A$37,0),MATCH(BX1,IncStmt!$B$1:$AS$1,0)))),#N/A)</f>
        <v>#N/A</v>
      </c>
      <c r="BY56" s="49" t="e">
        <f>IF(BY$1,(SUM(SUMIFS('BalSht Data'!$H$2:$H$2050,'BalSht Data'!$G$2:$G$2050,$A56,'BalSht Data'!$A$2:$A$2050,BY$1),INDEX(IncStmt!$B$11:DO$37,MATCH("NET INCOME / LOSS",IncStmt!$A$11:$A$37,0),MATCH(BY1,IncStmt!$B$1:$AS$1,0)))),#N/A)</f>
        <v>#N/A</v>
      </c>
      <c r="BZ56" s="49" t="e">
        <f>IF(BZ$1,(SUM(SUMIFS('BalSht Data'!$H$2:$H$2050,'BalSht Data'!$G$2:$G$2050,$A56,'BalSht Data'!$A$2:$A$2050,BZ$1),INDEX(IncStmt!$B$11:DP$37,MATCH("NET INCOME / LOSS",IncStmt!$A$11:$A$37,0),MATCH(BZ1,IncStmt!$B$1:$AS$1,0)))),#N/A)</f>
        <v>#N/A</v>
      </c>
      <c r="CA56" s="49" t="e">
        <f>IF(CA$1,(SUM(SUMIFS('BalSht Data'!$H$2:$H$2050,'BalSht Data'!$G$2:$G$2050,$A56,'BalSht Data'!$A$2:$A$2050,CA$1),INDEX(IncStmt!$B$11:DQ$37,MATCH("NET INCOME / LOSS",IncStmt!$A$11:$A$37,0),MATCH(CA1,IncStmt!$B$1:$AS$1,0)))),#N/A)</f>
        <v>#N/A</v>
      </c>
      <c r="CB56" s="49" t="e">
        <f>IF(CB$1,(SUM(SUMIFS('BalSht Data'!$H$2:$H$2050,'BalSht Data'!$G$2:$G$2050,$A56,'BalSht Data'!$A$2:$A$2050,CB$1),INDEX(IncStmt!$B$11:DR$37,MATCH("NET INCOME / LOSS",IncStmt!$A$11:$A$37,0),MATCH(CB1,IncStmt!$B$1:$AS$1,0)))),#N/A)</f>
        <v>#N/A</v>
      </c>
      <c r="CC56" s="49" t="e">
        <f>IF(CC$1,(SUM(SUMIFS('BalSht Data'!$H$2:$H$2050,'BalSht Data'!$G$2:$G$2050,$A56,'BalSht Data'!$A$2:$A$2050,CC$1),INDEX(IncStmt!$B$11:DS$37,MATCH("NET INCOME / LOSS",IncStmt!$A$11:$A$37,0),MATCH(CC1,IncStmt!$B$1:$AS$1,0)))),#N/A)</f>
        <v>#N/A</v>
      </c>
      <c r="CD56" s="49" t="e">
        <f>IF(CD$1,(SUM(SUMIFS('BalSht Data'!$H$2:$H$2050,'BalSht Data'!$G$2:$G$2050,$A56,'BalSht Data'!$A$2:$A$2050,CD$1),INDEX(IncStmt!$B$11:DT$37,MATCH("NET INCOME / LOSS",IncStmt!$A$11:$A$37,0),MATCH(CD1,IncStmt!$B$1:$AS$1,0)))),#N/A)</f>
        <v>#N/A</v>
      </c>
      <c r="CE56" s="49" t="e">
        <f>IF(CE$1,(SUM(SUMIFS('BalSht Data'!$H$2:$H$2050,'BalSht Data'!$G$2:$G$2050,$A56,'BalSht Data'!$A$2:$A$2050,CE$1),INDEX(IncStmt!$B$11:DU$37,MATCH("NET INCOME / LOSS",IncStmt!$A$11:$A$37,0),MATCH(CE1,IncStmt!$B$1:$AS$1,0)))),#N/A)</f>
        <v>#N/A</v>
      </c>
      <c r="CF56" s="49" t="e">
        <f>IF(CF$1,(SUM(SUMIFS('BalSht Data'!$H$2:$H$2050,'BalSht Data'!$G$2:$G$2050,$A56,'BalSht Data'!$A$2:$A$2050,CF$1),INDEX(IncStmt!$B$11:DV$37,MATCH("NET INCOME / LOSS",IncStmt!$A$11:$A$37,0),MATCH(CF1,IncStmt!$B$1:$AS$1,0)))),#N/A)</f>
        <v>#N/A</v>
      </c>
      <c r="CG56" s="49" t="e">
        <f>IF(CG$1,(SUM(SUMIFS('BalSht Data'!$H$2:$H$2050,'BalSht Data'!$G$2:$G$2050,$A56,'BalSht Data'!$A$2:$A$2050,CG$1),INDEX(IncStmt!$B$11:DW$37,MATCH("NET INCOME / LOSS",IncStmt!$A$11:$A$37,0),MATCH(CG1,IncStmt!$B$1:$AS$1,0)))),#N/A)</f>
        <v>#N/A</v>
      </c>
      <c r="CH56" s="49" t="e">
        <f>IF(CH$1,(SUM(SUMIFS('BalSht Data'!$H$2:$H$2050,'BalSht Data'!$G$2:$G$2050,$A56,'BalSht Data'!$A$2:$A$2050,CH$1),INDEX(IncStmt!$B$11:DX$37,MATCH("NET INCOME / LOSS",IncStmt!$A$11:$A$37,0),MATCH(CH1,IncStmt!$B$1:$AS$1,0)))),#N/A)</f>
        <v>#N/A</v>
      </c>
      <c r="CI56" s="49" t="e">
        <f>IF(CI$1,(SUM(SUMIFS('BalSht Data'!$H$2:$H$2050,'BalSht Data'!$G$2:$G$2050,$A56,'BalSht Data'!$A$2:$A$2050,CI$1),INDEX(IncStmt!$B$11:DY$37,MATCH("NET INCOME / LOSS",IncStmt!$A$11:$A$37,0),MATCH(CI1,IncStmt!$B$1:$AS$1,0)))),#N/A)</f>
        <v>#N/A</v>
      </c>
      <c r="CJ56" s="49" t="e">
        <f>IF(CJ$1,(SUM(SUMIFS('BalSht Data'!$H$2:$H$2050,'BalSht Data'!$G$2:$G$2050,$A56,'BalSht Data'!$A$2:$A$2050,CJ$1),INDEX(IncStmt!$B$11:DZ$37,MATCH("NET INCOME / LOSS",IncStmt!$A$11:$A$37,0),MATCH(CJ1,IncStmt!$B$1:$AS$1,0)))),#N/A)</f>
        <v>#N/A</v>
      </c>
      <c r="CK56" s="49" t="e">
        <f>IF(CK$1,(SUM(SUMIFS('BalSht Data'!$H$2:$H$2050,'BalSht Data'!$G$2:$G$2050,$A56,'BalSht Data'!$A$2:$A$2050,CK$1),INDEX(IncStmt!$B$11:EA$37,MATCH("NET INCOME / LOSS",IncStmt!$A$11:$A$37,0),MATCH(CK1,IncStmt!$B$1:$AS$1,0)))),#N/A)</f>
        <v>#N/A</v>
      </c>
      <c r="CL56" s="49" t="e">
        <f>IF(CL$1,(SUM(SUMIFS('BalSht Data'!$H$2:$H$2050,'BalSht Data'!$G$2:$G$2050,$A56,'BalSht Data'!$A$2:$A$2050,CL$1),INDEX(IncStmt!$B$11:EB$37,MATCH("NET INCOME / LOSS",IncStmt!$A$11:$A$37,0),MATCH(CL1,IncStmt!$B$1:$AS$1,0)))),#N/A)</f>
        <v>#N/A</v>
      </c>
      <c r="CM56" s="49" t="e">
        <f>IF(CM$1,(SUM(SUMIFS('BalSht Data'!$H$2:$H$2050,'BalSht Data'!$G$2:$G$2050,$A56,'BalSht Data'!$A$2:$A$2050,CM$1),INDEX(IncStmt!$B$11:EC$37,MATCH("NET INCOME / LOSS",IncStmt!$A$11:$A$37,0),MATCH(CM1,IncStmt!$B$1:$AS$1,0)))),#N/A)</f>
        <v>#N/A</v>
      </c>
      <c r="CN56" s="49" t="e">
        <f>IF(CN$1,(SUM(SUMIFS('BalSht Data'!$H$2:$H$2050,'BalSht Data'!$G$2:$G$2050,$A56,'BalSht Data'!$A$2:$A$2050,CN$1),INDEX(IncStmt!$B$11:ED$37,MATCH("NET INCOME / LOSS",IncStmt!$A$11:$A$37,0),MATCH(CN1,IncStmt!$B$1:$AS$1,0)))),#N/A)</f>
        <v>#N/A</v>
      </c>
      <c r="CO56" s="49" t="e">
        <f>IF(CO$1,(SUM(SUMIFS('BalSht Data'!$H$2:$H$2050,'BalSht Data'!$G$2:$G$2050,$A56,'BalSht Data'!$A$2:$A$2050,CO$1),INDEX(IncStmt!$B$11:EE$37,MATCH("NET INCOME / LOSS",IncStmt!$A$11:$A$37,0),MATCH(CO1,IncStmt!$B$1:$AS$1,0)))),#N/A)</f>
        <v>#N/A</v>
      </c>
      <c r="CP56" s="49" t="e">
        <f>IF(CP$1,(SUM(SUMIFS('BalSht Data'!$H$2:$H$2050,'BalSht Data'!$G$2:$G$2050,$A56,'BalSht Data'!$A$2:$A$2050,CP$1),INDEX(IncStmt!$B$11:EF$37,MATCH("NET INCOME / LOSS",IncStmt!$A$11:$A$37,0),MATCH(CP1,IncStmt!$B$1:$AS$1,0)))),#N/A)</f>
        <v>#N/A</v>
      </c>
      <c r="CQ56" s="49" t="e">
        <f>IF(CQ$1,(SUM(SUMIFS('BalSht Data'!$H$2:$H$2050,'BalSht Data'!$G$2:$G$2050,$A56,'BalSht Data'!$A$2:$A$2050,CQ$1),INDEX(IncStmt!$B$11:EG$37,MATCH("NET INCOME / LOSS",IncStmt!$A$11:$A$37,0),MATCH(CQ1,IncStmt!$B$1:$AS$1,0)))),#N/A)</f>
        <v>#N/A</v>
      </c>
      <c r="CR56" s="49" t="e">
        <f>IF(CR$1,(SUM(SUMIFS('BalSht Data'!$H$2:$H$2050,'BalSht Data'!$G$2:$G$2050,$A56,'BalSht Data'!$A$2:$A$2050,CR$1),INDEX(IncStmt!$B$11:EH$37,MATCH("NET INCOME / LOSS",IncStmt!$A$11:$A$37,0),MATCH(CR1,IncStmt!$B$1:$AS$1,0)))),#N/A)</f>
        <v>#N/A</v>
      </c>
      <c r="CS56" s="49" t="e">
        <f>IF(CS$1,(SUM(SUMIFS('BalSht Data'!$H$2:$H$2050,'BalSht Data'!$G$2:$G$2050,$A56,'BalSht Data'!$A$2:$A$2050,CS$1),INDEX(IncStmt!$B$11:EI$37,MATCH("NET INCOME / LOSS",IncStmt!$A$11:$A$37,0),MATCH(CS1,IncStmt!$B$1:$AS$1,0)))),#N/A)</f>
        <v>#N/A</v>
      </c>
      <c r="CT56" s="49" t="e">
        <f>IF(CT$1,(SUM(SUMIFS('BalSht Data'!$H$2:$H$2050,'BalSht Data'!$G$2:$G$2050,$A56,'BalSht Data'!$A$2:$A$2050,CT$1),INDEX(IncStmt!$B$11:EJ$37,MATCH("NET INCOME / LOSS",IncStmt!$A$11:$A$37,0),MATCH(CT1,IncStmt!$B$1:$AS$1,0)))),#N/A)</f>
        <v>#N/A</v>
      </c>
      <c r="CU56" s="49" t="e">
        <f>IF(CU$1,(SUM(SUMIFS('BalSht Data'!$H$2:$H$2050,'BalSht Data'!$G$2:$G$2050,$A56,'BalSht Data'!$A$2:$A$2050,CU$1),INDEX(IncStmt!$B$11:EK$37,MATCH("NET INCOME / LOSS",IncStmt!$A$11:$A$37,0),MATCH(CU1,IncStmt!$B$1:$AS$1,0)))),#N/A)</f>
        <v>#N/A</v>
      </c>
      <c r="CV56" s="49" t="e">
        <f>IF(CV$1,(SUM(SUMIFS('BalSht Data'!$H$2:$H$2050,'BalSht Data'!$G$2:$G$2050,$A56,'BalSht Data'!$A$2:$A$2050,CV$1),INDEX(IncStmt!$B$11:EL$37,MATCH("NET INCOME / LOSS",IncStmt!$A$11:$A$37,0),MATCH(CV1,IncStmt!$B$1:$AS$1,0)))),#N/A)</f>
        <v>#N/A</v>
      </c>
      <c r="CW56" s="49" t="e">
        <f>IF(CW$1,(SUM(SUMIFS('BalSht Data'!$H$2:$H$2050,'BalSht Data'!$G$2:$G$2050,$A56,'BalSht Data'!$A$2:$A$2050,CW$1),INDEX(IncStmt!$B$11:EM$37,MATCH("NET INCOME / LOSS",IncStmt!$A$11:$A$37,0),MATCH(CW1,IncStmt!$B$1:$AS$1,0)))),#N/A)</f>
        <v>#N/A</v>
      </c>
      <c r="CX56" s="49" t="e">
        <f>IF(CX$1,(SUM(SUMIFS('BalSht Data'!$H$2:$H$2050,'BalSht Data'!$G$2:$G$2050,$A56,'BalSht Data'!$A$2:$A$2050,CX$1),INDEX(IncStmt!$B$11:EN$37,MATCH("NET INCOME / LOSS",IncStmt!$A$11:$A$37,0),MATCH(CX1,IncStmt!$B$1:$AS$1,0)))),#N/A)</f>
        <v>#N/A</v>
      </c>
      <c r="CY56" s="49" t="e">
        <f>IF(CY$1,(SUM(SUMIFS('BalSht Data'!$H$2:$H$2050,'BalSht Data'!$G$2:$G$2050,$A56,'BalSht Data'!$A$2:$A$2050,CY$1),INDEX(IncStmt!$B$11:EO$37,MATCH("NET INCOME / LOSS",IncStmt!$A$11:$A$37,0),MATCH(CY1,IncStmt!$B$1:$AS$1,0)))),#N/A)</f>
        <v>#N/A</v>
      </c>
      <c r="CZ56" s="49" t="e">
        <f>IF(CZ$1,(SUM(SUMIFS('BalSht Data'!$H$2:$H$2050,'BalSht Data'!$G$2:$G$2050,$A56,'BalSht Data'!$A$2:$A$2050,CZ$1),INDEX(IncStmt!$B$11:EP$37,MATCH("NET INCOME / LOSS",IncStmt!$A$11:$A$37,0),MATCH(CZ1,IncStmt!$B$1:$AS$1,0)))),#N/A)</f>
        <v>#N/A</v>
      </c>
      <c r="DA56" s="49">
        <f>SUM(B56:AJ56)</f>
        <v>-30345</v>
      </c>
    </row>
    <row r="57" spans="1:106" s="40" customFormat="1" x14ac:dyDescent="0.2">
      <c r="A57" s="2"/>
    </row>
    <row r="58" spans="1:106" s="42" customFormat="1" ht="15" x14ac:dyDescent="0.35">
      <c r="A58" s="3" t="s">
        <v>161</v>
      </c>
      <c r="B58" s="51">
        <f>+B54+B56</f>
        <v>2868473</v>
      </c>
      <c r="C58" s="51">
        <f>+C54+C56</f>
        <v>3127621</v>
      </c>
      <c r="D58" s="51">
        <f t="shared" ref="D58:BN58" si="17">+D54+D56</f>
        <v>4131294</v>
      </c>
      <c r="E58" s="51">
        <f t="shared" si="17"/>
        <v>7363288</v>
      </c>
      <c r="F58" s="51">
        <f>+F54+F56</f>
        <v>7823440</v>
      </c>
      <c r="G58" s="51">
        <f t="shared" si="17"/>
        <v>3224537</v>
      </c>
      <c r="H58" s="51">
        <f t="shared" si="17"/>
        <v>8469638</v>
      </c>
      <c r="I58" s="51">
        <f t="shared" si="17"/>
        <v>3581265</v>
      </c>
      <c r="J58" s="51">
        <f t="shared" si="17"/>
        <v>6519881</v>
      </c>
      <c r="K58" s="51">
        <f t="shared" si="17"/>
        <v>10969375</v>
      </c>
      <c r="L58" s="51">
        <f t="shared" si="17"/>
        <v>5397081</v>
      </c>
      <c r="M58" s="51">
        <f t="shared" si="17"/>
        <v>5070508</v>
      </c>
      <c r="N58" s="51">
        <f t="shared" si="17"/>
        <v>13706919</v>
      </c>
      <c r="O58" s="51">
        <f t="shared" si="17"/>
        <v>6291933</v>
      </c>
      <c r="P58" s="51">
        <f t="shared" si="17"/>
        <v>3773558</v>
      </c>
      <c r="Q58" s="51">
        <f t="shared" si="17"/>
        <v>5093501</v>
      </c>
      <c r="R58" s="51">
        <f t="shared" si="17"/>
        <v>4265285</v>
      </c>
      <c r="S58" s="51">
        <f t="shared" si="17"/>
        <v>9306464</v>
      </c>
      <c r="T58" s="51">
        <f t="shared" si="17"/>
        <v>9044689</v>
      </c>
      <c r="U58" s="51">
        <f t="shared" si="17"/>
        <v>5384338</v>
      </c>
      <c r="V58" s="51">
        <f t="shared" si="17"/>
        <v>9259729</v>
      </c>
      <c r="W58" s="51">
        <f t="shared" si="17"/>
        <v>7604749</v>
      </c>
      <c r="X58" s="51">
        <f t="shared" si="17"/>
        <v>7456891</v>
      </c>
      <c r="Y58" s="51">
        <f t="shared" si="17"/>
        <v>7500351</v>
      </c>
      <c r="Z58" s="51">
        <f t="shared" si="17"/>
        <v>0</v>
      </c>
      <c r="AA58" s="51">
        <f t="shared" si="17"/>
        <v>5991487</v>
      </c>
      <c r="AB58" s="51">
        <f t="shared" si="17"/>
        <v>0</v>
      </c>
      <c r="AC58" s="51">
        <f t="shared" si="17"/>
        <v>0</v>
      </c>
      <c r="AD58" s="51">
        <f t="shared" si="17"/>
        <v>7673860</v>
      </c>
      <c r="AE58" s="51">
        <f t="shared" si="17"/>
        <v>9968693</v>
      </c>
      <c r="AF58" s="51">
        <f t="shared" si="17"/>
        <v>8214030</v>
      </c>
      <c r="AG58" s="51">
        <f t="shared" si="17"/>
        <v>12097290</v>
      </c>
      <c r="AH58" s="51">
        <f t="shared" si="17"/>
        <v>7387962</v>
      </c>
      <c r="AI58" s="51">
        <f t="shared" si="17"/>
        <v>7358713</v>
      </c>
      <c r="AJ58" s="51">
        <f>+AJ54+AJ56</f>
        <v>7846148</v>
      </c>
      <c r="AK58" s="51" t="e">
        <f>+AK54+AK56</f>
        <v>#N/A</v>
      </c>
      <c r="AL58" s="51" t="e">
        <f t="shared" si="17"/>
        <v>#N/A</v>
      </c>
      <c r="AM58" s="51" t="e">
        <f t="shared" si="17"/>
        <v>#N/A</v>
      </c>
      <c r="AN58" s="51" t="e">
        <f t="shared" si="17"/>
        <v>#N/A</v>
      </c>
      <c r="AO58" s="51" t="e">
        <f t="shared" si="17"/>
        <v>#N/A</v>
      </c>
      <c r="AP58" s="51" t="e">
        <f t="shared" si="17"/>
        <v>#N/A</v>
      </c>
      <c r="AQ58" s="51" t="e">
        <f t="shared" si="17"/>
        <v>#N/A</v>
      </c>
      <c r="AR58" s="51" t="e">
        <f t="shared" si="17"/>
        <v>#N/A</v>
      </c>
      <c r="AS58" s="51" t="e">
        <f t="shared" si="17"/>
        <v>#N/A</v>
      </c>
      <c r="AT58" s="51" t="e">
        <f t="shared" si="17"/>
        <v>#N/A</v>
      </c>
      <c r="AU58" s="51" t="e">
        <f t="shared" si="17"/>
        <v>#N/A</v>
      </c>
      <c r="AV58" s="51" t="e">
        <f t="shared" si="17"/>
        <v>#N/A</v>
      </c>
      <c r="AW58" s="51" t="e">
        <f t="shared" si="17"/>
        <v>#N/A</v>
      </c>
      <c r="AX58" s="51" t="e">
        <f t="shared" si="17"/>
        <v>#N/A</v>
      </c>
      <c r="AY58" s="51" t="e">
        <f t="shared" si="17"/>
        <v>#N/A</v>
      </c>
      <c r="AZ58" s="51" t="e">
        <f t="shared" si="17"/>
        <v>#N/A</v>
      </c>
      <c r="BA58" s="51" t="e">
        <f t="shared" si="17"/>
        <v>#N/A</v>
      </c>
      <c r="BB58" s="51" t="e">
        <f t="shared" si="17"/>
        <v>#N/A</v>
      </c>
      <c r="BC58" s="51" t="e">
        <f t="shared" si="17"/>
        <v>#N/A</v>
      </c>
      <c r="BD58" s="51" t="e">
        <f t="shared" si="17"/>
        <v>#N/A</v>
      </c>
      <c r="BE58" s="51" t="e">
        <f t="shared" si="17"/>
        <v>#N/A</v>
      </c>
      <c r="BF58" s="51" t="e">
        <f t="shared" si="17"/>
        <v>#N/A</v>
      </c>
      <c r="BG58" s="51" t="e">
        <f t="shared" si="17"/>
        <v>#N/A</v>
      </c>
      <c r="BH58" s="51" t="e">
        <f t="shared" si="17"/>
        <v>#N/A</v>
      </c>
      <c r="BI58" s="51" t="e">
        <f t="shared" si="17"/>
        <v>#N/A</v>
      </c>
      <c r="BJ58" s="51" t="e">
        <f t="shared" si="17"/>
        <v>#N/A</v>
      </c>
      <c r="BK58" s="51" t="e">
        <f t="shared" si="17"/>
        <v>#N/A</v>
      </c>
      <c r="BL58" s="51" t="e">
        <f t="shared" si="17"/>
        <v>#N/A</v>
      </c>
      <c r="BM58" s="51" t="e">
        <f t="shared" si="17"/>
        <v>#N/A</v>
      </c>
      <c r="BN58" s="51" t="e">
        <f t="shared" si="17"/>
        <v>#N/A</v>
      </c>
      <c r="BO58" s="51" t="e">
        <f t="shared" ref="BO58:CZ58" si="18">+BO54+BO56</f>
        <v>#N/A</v>
      </c>
      <c r="BP58" s="51" t="e">
        <f t="shared" si="18"/>
        <v>#N/A</v>
      </c>
      <c r="BQ58" s="51" t="e">
        <f t="shared" si="18"/>
        <v>#N/A</v>
      </c>
      <c r="BR58" s="51" t="e">
        <f t="shared" si="18"/>
        <v>#N/A</v>
      </c>
      <c r="BS58" s="51" t="e">
        <f t="shared" si="18"/>
        <v>#N/A</v>
      </c>
      <c r="BT58" s="51" t="e">
        <f t="shared" si="18"/>
        <v>#N/A</v>
      </c>
      <c r="BU58" s="51" t="e">
        <f t="shared" si="18"/>
        <v>#N/A</v>
      </c>
      <c r="BV58" s="51" t="e">
        <f t="shared" si="18"/>
        <v>#N/A</v>
      </c>
      <c r="BW58" s="51" t="e">
        <f t="shared" si="18"/>
        <v>#N/A</v>
      </c>
      <c r="BX58" s="51" t="e">
        <f t="shared" si="18"/>
        <v>#N/A</v>
      </c>
      <c r="BY58" s="51" t="e">
        <f t="shared" si="18"/>
        <v>#N/A</v>
      </c>
      <c r="BZ58" s="51" t="e">
        <f t="shared" si="18"/>
        <v>#N/A</v>
      </c>
      <c r="CA58" s="51" t="e">
        <f t="shared" si="18"/>
        <v>#N/A</v>
      </c>
      <c r="CB58" s="51" t="e">
        <f t="shared" si="18"/>
        <v>#N/A</v>
      </c>
      <c r="CC58" s="51" t="e">
        <f t="shared" si="18"/>
        <v>#N/A</v>
      </c>
      <c r="CD58" s="51" t="e">
        <f t="shared" si="18"/>
        <v>#N/A</v>
      </c>
      <c r="CE58" s="51" t="e">
        <f t="shared" si="18"/>
        <v>#N/A</v>
      </c>
      <c r="CF58" s="51" t="e">
        <f t="shared" si="18"/>
        <v>#N/A</v>
      </c>
      <c r="CG58" s="51" t="e">
        <f t="shared" si="18"/>
        <v>#N/A</v>
      </c>
      <c r="CH58" s="51" t="e">
        <f t="shared" si="18"/>
        <v>#N/A</v>
      </c>
      <c r="CI58" s="51" t="e">
        <f t="shared" si="18"/>
        <v>#N/A</v>
      </c>
      <c r="CJ58" s="51" t="e">
        <f t="shared" si="18"/>
        <v>#N/A</v>
      </c>
      <c r="CK58" s="51" t="e">
        <f t="shared" si="18"/>
        <v>#N/A</v>
      </c>
      <c r="CL58" s="51" t="e">
        <f t="shared" si="18"/>
        <v>#N/A</v>
      </c>
      <c r="CM58" s="51" t="e">
        <f t="shared" si="18"/>
        <v>#N/A</v>
      </c>
      <c r="CN58" s="51" t="e">
        <f t="shared" si="18"/>
        <v>#N/A</v>
      </c>
      <c r="CO58" s="51" t="e">
        <f t="shared" si="18"/>
        <v>#N/A</v>
      </c>
      <c r="CP58" s="51" t="e">
        <f t="shared" si="18"/>
        <v>#N/A</v>
      </c>
      <c r="CQ58" s="51" t="e">
        <f t="shared" si="18"/>
        <v>#N/A</v>
      </c>
      <c r="CR58" s="51" t="e">
        <f t="shared" si="18"/>
        <v>#N/A</v>
      </c>
      <c r="CS58" s="51" t="e">
        <f t="shared" si="18"/>
        <v>#N/A</v>
      </c>
      <c r="CT58" s="51" t="e">
        <f t="shared" si="18"/>
        <v>#N/A</v>
      </c>
      <c r="CU58" s="51" t="e">
        <f t="shared" si="18"/>
        <v>#N/A</v>
      </c>
      <c r="CV58" s="51" t="e">
        <f t="shared" si="18"/>
        <v>#N/A</v>
      </c>
      <c r="CW58" s="51" t="e">
        <f t="shared" si="18"/>
        <v>#N/A</v>
      </c>
      <c r="CX58" s="51" t="e">
        <f t="shared" si="18"/>
        <v>#N/A</v>
      </c>
      <c r="CY58" s="51" t="e">
        <f t="shared" si="18"/>
        <v>#N/A</v>
      </c>
      <c r="CZ58" s="51" t="e">
        <f t="shared" si="18"/>
        <v>#N/A</v>
      </c>
      <c r="DA58" s="51">
        <f>SUM(B58:AJ58)</f>
        <v>223772991</v>
      </c>
    </row>
    <row r="59" spans="1:106" x14ac:dyDescent="0.2">
      <c r="B59" s="40"/>
      <c r="C59" s="40"/>
      <c r="D59" s="40"/>
      <c r="E59" s="40"/>
      <c r="F59" s="40"/>
      <c r="G59" s="40"/>
      <c r="H59" s="40"/>
      <c r="I59" s="40"/>
      <c r="J59" s="40"/>
      <c r="K59" s="40"/>
      <c r="L59" s="40"/>
      <c r="M59" s="40"/>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c r="CM59" s="40"/>
      <c r="CN59" s="40"/>
      <c r="CO59" s="40"/>
      <c r="CP59" s="40"/>
      <c r="CQ59" s="40"/>
      <c r="CR59" s="40"/>
      <c r="CS59" s="40"/>
      <c r="CT59" s="40"/>
      <c r="CU59" s="40"/>
      <c r="CV59" s="40"/>
      <c r="CW59" s="40"/>
      <c r="CX59" s="40"/>
      <c r="CY59" s="40"/>
      <c r="CZ59" s="40"/>
      <c r="DA59" s="40"/>
    </row>
    <row r="60" spans="1:106" x14ac:dyDescent="0.2">
      <c r="A60" s="63"/>
      <c r="B60" s="40"/>
      <c r="C60" s="40"/>
      <c r="D60" s="40"/>
      <c r="E60" s="40"/>
      <c r="F60" s="40"/>
      <c r="G60" s="40"/>
      <c r="H60" s="40"/>
      <c r="I60" s="40"/>
      <c r="J60" s="40"/>
      <c r="K60" s="40"/>
      <c r="L60" s="40"/>
      <c r="M60" s="40"/>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c r="AM60" s="40"/>
      <c r="AN60" s="40"/>
      <c r="AO60" s="40"/>
      <c r="AP60" s="40"/>
      <c r="AQ60" s="40"/>
      <c r="AR60" s="40"/>
      <c r="AS60" s="40"/>
      <c r="AT60" s="40"/>
      <c r="AU60" s="40"/>
      <c r="AV60" s="40"/>
      <c r="AW60" s="40"/>
      <c r="AX60" s="40"/>
      <c r="AY60" s="40"/>
      <c r="AZ60" s="40"/>
      <c r="BA60" s="40"/>
      <c r="BB60" s="40"/>
      <c r="BC60" s="40"/>
      <c r="BD60" s="40"/>
      <c r="BE60" s="40"/>
      <c r="BF60" s="40"/>
      <c r="BG60" s="40"/>
      <c r="BH60" s="40"/>
      <c r="BI60" s="40"/>
      <c r="BJ60" s="40"/>
      <c r="BK60" s="40"/>
      <c r="BL60" s="40"/>
      <c r="BM60" s="40"/>
      <c r="BN60" s="40"/>
      <c r="BO60" s="40"/>
      <c r="BP60" s="40"/>
      <c r="BQ60" s="40"/>
      <c r="BR60" s="40"/>
      <c r="BS60" s="40"/>
      <c r="BT60" s="40"/>
      <c r="BU60" s="40"/>
      <c r="BV60" s="40"/>
      <c r="BW60" s="40"/>
      <c r="BX60" s="40"/>
      <c r="BY60" s="40"/>
      <c r="BZ60" s="40"/>
      <c r="CA60" s="40"/>
      <c r="CB60" s="40"/>
      <c r="CC60" s="40"/>
      <c r="CD60" s="40"/>
      <c r="CE60" s="40"/>
      <c r="CF60" s="40"/>
      <c r="CG60" s="40"/>
      <c r="CH60" s="40"/>
      <c r="CI60" s="40"/>
      <c r="CJ60" s="40"/>
      <c r="CK60" s="40"/>
      <c r="CL60" s="40"/>
      <c r="CM60" s="40"/>
      <c r="CN60" s="40"/>
      <c r="CO60" s="40"/>
      <c r="CP60" s="40"/>
      <c r="CQ60" s="40"/>
      <c r="CR60" s="40"/>
      <c r="CS60" s="40"/>
      <c r="CT60" s="40"/>
      <c r="CU60" s="40"/>
      <c r="CV60" s="40"/>
      <c r="CW60" s="40"/>
      <c r="CX60" s="40"/>
      <c r="CY60" s="40"/>
      <c r="CZ60" s="40"/>
      <c r="DA60" s="40"/>
    </row>
    <row r="61" spans="1:106" x14ac:dyDescent="0.2">
      <c r="A61" s="63"/>
      <c r="B61" s="40">
        <f>B37-B58</f>
        <v>0</v>
      </c>
      <c r="C61" s="40">
        <f t="shared" ref="C61:BN61" si="19">C37-C58</f>
        <v>0</v>
      </c>
      <c r="D61" s="40">
        <f t="shared" si="19"/>
        <v>0</v>
      </c>
      <c r="E61" s="40">
        <f t="shared" si="19"/>
        <v>0</v>
      </c>
      <c r="F61" s="40">
        <f t="shared" si="19"/>
        <v>0</v>
      </c>
      <c r="G61" s="40">
        <f t="shared" si="19"/>
        <v>0</v>
      </c>
      <c r="H61" s="40">
        <f t="shared" si="19"/>
        <v>0</v>
      </c>
      <c r="I61" s="40">
        <f t="shared" si="19"/>
        <v>0</v>
      </c>
      <c r="J61" s="40">
        <f t="shared" si="19"/>
        <v>0</v>
      </c>
      <c r="K61" s="40">
        <f t="shared" si="19"/>
        <v>0</v>
      </c>
      <c r="L61" s="40">
        <f t="shared" si="19"/>
        <v>0</v>
      </c>
      <c r="M61" s="40">
        <f t="shared" si="19"/>
        <v>0</v>
      </c>
      <c r="N61" s="40">
        <f t="shared" si="19"/>
        <v>0</v>
      </c>
      <c r="O61" s="40">
        <f t="shared" si="19"/>
        <v>0</v>
      </c>
      <c r="P61" s="40">
        <f t="shared" si="19"/>
        <v>0</v>
      </c>
      <c r="Q61" s="40">
        <f t="shared" si="19"/>
        <v>68885</v>
      </c>
      <c r="R61" s="40">
        <f>R37-R58</f>
        <v>196576</v>
      </c>
      <c r="S61" s="40">
        <f t="shared" si="19"/>
        <v>0</v>
      </c>
      <c r="T61" s="40">
        <f t="shared" si="19"/>
        <v>0</v>
      </c>
      <c r="U61" s="40">
        <f t="shared" si="19"/>
        <v>0</v>
      </c>
      <c r="V61" s="40">
        <f t="shared" si="19"/>
        <v>0</v>
      </c>
      <c r="W61" s="40">
        <f t="shared" si="19"/>
        <v>0</v>
      </c>
      <c r="X61" s="40">
        <f t="shared" si="19"/>
        <v>0</v>
      </c>
      <c r="Y61" s="40">
        <f t="shared" si="19"/>
        <v>151645</v>
      </c>
      <c r="Z61" s="40">
        <f t="shared" si="19"/>
        <v>0</v>
      </c>
      <c r="AA61" s="40">
        <f t="shared" si="19"/>
        <v>-55470</v>
      </c>
      <c r="AB61" s="40">
        <f t="shared" si="19"/>
        <v>0</v>
      </c>
      <c r="AC61" s="40">
        <f t="shared" si="19"/>
        <v>0</v>
      </c>
      <c r="AD61" s="40">
        <f t="shared" si="19"/>
        <v>0</v>
      </c>
      <c r="AE61" s="40">
        <f t="shared" si="19"/>
        <v>0</v>
      </c>
      <c r="AF61" s="40">
        <f t="shared" si="19"/>
        <v>0</v>
      </c>
      <c r="AG61" s="40">
        <f t="shared" si="19"/>
        <v>0</v>
      </c>
      <c r="AH61" s="40">
        <f t="shared" si="19"/>
        <v>0</v>
      </c>
      <c r="AI61" s="40">
        <f t="shared" si="19"/>
        <v>0</v>
      </c>
      <c r="AJ61" s="40">
        <f t="shared" si="19"/>
        <v>0</v>
      </c>
      <c r="AK61" s="40" t="e">
        <f t="shared" ref="AK61" si="20">AK37-AK58</f>
        <v>#N/A</v>
      </c>
      <c r="AL61" s="40" t="e">
        <f t="shared" si="19"/>
        <v>#N/A</v>
      </c>
      <c r="AM61" s="40" t="e">
        <f t="shared" si="19"/>
        <v>#N/A</v>
      </c>
      <c r="AN61" s="40" t="e">
        <f t="shared" si="19"/>
        <v>#N/A</v>
      </c>
      <c r="AO61" s="40" t="e">
        <f t="shared" si="19"/>
        <v>#N/A</v>
      </c>
      <c r="AP61" s="40" t="e">
        <f t="shared" si="19"/>
        <v>#N/A</v>
      </c>
      <c r="AQ61" s="40" t="e">
        <f t="shared" si="19"/>
        <v>#N/A</v>
      </c>
      <c r="AR61" s="40" t="e">
        <f t="shared" si="19"/>
        <v>#N/A</v>
      </c>
      <c r="AS61" s="40" t="e">
        <f t="shared" si="19"/>
        <v>#N/A</v>
      </c>
      <c r="AT61" s="40" t="e">
        <f t="shared" si="19"/>
        <v>#N/A</v>
      </c>
      <c r="AU61" s="40" t="e">
        <f t="shared" si="19"/>
        <v>#N/A</v>
      </c>
      <c r="AV61" s="40" t="e">
        <f t="shared" si="19"/>
        <v>#N/A</v>
      </c>
      <c r="AW61" s="40" t="e">
        <f t="shared" si="19"/>
        <v>#N/A</v>
      </c>
      <c r="AX61" s="40" t="e">
        <f t="shared" si="19"/>
        <v>#N/A</v>
      </c>
      <c r="AY61" s="40" t="e">
        <f t="shared" si="19"/>
        <v>#N/A</v>
      </c>
      <c r="AZ61" s="40" t="e">
        <f t="shared" si="19"/>
        <v>#N/A</v>
      </c>
      <c r="BA61" s="40" t="e">
        <f t="shared" si="19"/>
        <v>#N/A</v>
      </c>
      <c r="BB61" s="40" t="e">
        <f t="shared" si="19"/>
        <v>#N/A</v>
      </c>
      <c r="BC61" s="40" t="e">
        <f t="shared" si="19"/>
        <v>#N/A</v>
      </c>
      <c r="BD61" s="40" t="e">
        <f t="shared" si="19"/>
        <v>#N/A</v>
      </c>
      <c r="BE61" s="40" t="e">
        <f t="shared" si="19"/>
        <v>#N/A</v>
      </c>
      <c r="BF61" s="40" t="e">
        <f t="shared" si="19"/>
        <v>#N/A</v>
      </c>
      <c r="BG61" s="40" t="e">
        <f t="shared" si="19"/>
        <v>#N/A</v>
      </c>
      <c r="BH61" s="40" t="e">
        <f t="shared" si="19"/>
        <v>#N/A</v>
      </c>
      <c r="BI61" s="40" t="e">
        <f t="shared" si="19"/>
        <v>#N/A</v>
      </c>
      <c r="BJ61" s="40" t="e">
        <f t="shared" si="19"/>
        <v>#N/A</v>
      </c>
      <c r="BK61" s="40" t="e">
        <f t="shared" si="19"/>
        <v>#N/A</v>
      </c>
      <c r="BL61" s="40" t="e">
        <f t="shared" si="19"/>
        <v>#N/A</v>
      </c>
      <c r="BM61" s="40" t="e">
        <f t="shared" si="19"/>
        <v>#N/A</v>
      </c>
      <c r="BN61" s="40" t="e">
        <f t="shared" si="19"/>
        <v>#N/A</v>
      </c>
      <c r="BO61" s="40" t="e">
        <f t="shared" ref="BO61:CZ61" si="21">BO37-BO58</f>
        <v>#N/A</v>
      </c>
      <c r="BP61" s="40" t="e">
        <f t="shared" si="21"/>
        <v>#N/A</v>
      </c>
      <c r="BQ61" s="40" t="e">
        <f t="shared" si="21"/>
        <v>#N/A</v>
      </c>
      <c r="BR61" s="40" t="e">
        <f t="shared" si="21"/>
        <v>#N/A</v>
      </c>
      <c r="BS61" s="40" t="e">
        <f t="shared" si="21"/>
        <v>#N/A</v>
      </c>
      <c r="BT61" s="40" t="e">
        <f t="shared" si="21"/>
        <v>#N/A</v>
      </c>
      <c r="BU61" s="40" t="e">
        <f t="shared" si="21"/>
        <v>#N/A</v>
      </c>
      <c r="BV61" s="40" t="e">
        <f t="shared" si="21"/>
        <v>#N/A</v>
      </c>
      <c r="BW61" s="40" t="e">
        <f t="shared" si="21"/>
        <v>#N/A</v>
      </c>
      <c r="BX61" s="40" t="e">
        <f t="shared" si="21"/>
        <v>#N/A</v>
      </c>
      <c r="BY61" s="40" t="e">
        <f t="shared" si="21"/>
        <v>#N/A</v>
      </c>
      <c r="BZ61" s="40" t="e">
        <f t="shared" si="21"/>
        <v>#N/A</v>
      </c>
      <c r="CA61" s="40" t="e">
        <f t="shared" si="21"/>
        <v>#N/A</v>
      </c>
      <c r="CB61" s="40" t="e">
        <f t="shared" si="21"/>
        <v>#N/A</v>
      </c>
      <c r="CC61" s="40" t="e">
        <f t="shared" si="21"/>
        <v>#N/A</v>
      </c>
      <c r="CD61" s="40" t="e">
        <f t="shared" si="21"/>
        <v>#N/A</v>
      </c>
      <c r="CE61" s="40" t="e">
        <f t="shared" si="21"/>
        <v>#N/A</v>
      </c>
      <c r="CF61" s="40" t="e">
        <f t="shared" si="21"/>
        <v>#N/A</v>
      </c>
      <c r="CG61" s="40" t="e">
        <f t="shared" si="21"/>
        <v>#N/A</v>
      </c>
      <c r="CH61" s="40" t="e">
        <f t="shared" si="21"/>
        <v>#N/A</v>
      </c>
      <c r="CI61" s="40" t="e">
        <f t="shared" si="21"/>
        <v>#N/A</v>
      </c>
      <c r="CJ61" s="40" t="e">
        <f t="shared" si="21"/>
        <v>#N/A</v>
      </c>
      <c r="CK61" s="40" t="e">
        <f t="shared" si="21"/>
        <v>#N/A</v>
      </c>
      <c r="CL61" s="40" t="e">
        <f t="shared" si="21"/>
        <v>#N/A</v>
      </c>
      <c r="CM61" s="40" t="e">
        <f t="shared" si="21"/>
        <v>#N/A</v>
      </c>
      <c r="CN61" s="40" t="e">
        <f t="shared" si="21"/>
        <v>#N/A</v>
      </c>
      <c r="CO61" s="40" t="e">
        <f t="shared" si="21"/>
        <v>#N/A</v>
      </c>
      <c r="CP61" s="40" t="e">
        <f t="shared" si="21"/>
        <v>#N/A</v>
      </c>
      <c r="CQ61" s="40" t="e">
        <f t="shared" si="21"/>
        <v>#N/A</v>
      </c>
      <c r="CR61" s="40" t="e">
        <f t="shared" si="21"/>
        <v>#N/A</v>
      </c>
      <c r="CS61" s="40" t="e">
        <f t="shared" si="21"/>
        <v>#N/A</v>
      </c>
      <c r="CT61" s="40" t="e">
        <f t="shared" si="21"/>
        <v>#N/A</v>
      </c>
      <c r="CU61" s="40" t="e">
        <f t="shared" si="21"/>
        <v>#N/A</v>
      </c>
      <c r="CV61" s="40" t="e">
        <f t="shared" si="21"/>
        <v>#N/A</v>
      </c>
      <c r="CW61" s="40" t="e">
        <f t="shared" si="21"/>
        <v>#N/A</v>
      </c>
      <c r="CX61" s="40" t="e">
        <f t="shared" si="21"/>
        <v>#N/A</v>
      </c>
      <c r="CY61" s="40" t="e">
        <f t="shared" si="21"/>
        <v>#N/A</v>
      </c>
      <c r="CZ61" s="40" t="e">
        <f t="shared" si="21"/>
        <v>#N/A</v>
      </c>
      <c r="DA61" s="40">
        <f>SUM(B61:AJ61)</f>
        <v>361636</v>
      </c>
    </row>
    <row r="62" spans="1:106" s="47" customFormat="1" x14ac:dyDescent="0.2">
      <c r="A62" s="66"/>
    </row>
    <row r="63" spans="1:106" x14ac:dyDescent="0.2">
      <c r="A63" s="63"/>
      <c r="B63" s="40"/>
      <c r="C63" s="40"/>
      <c r="D63" s="40"/>
      <c r="E63" s="40"/>
      <c r="F63" s="40"/>
      <c r="G63" s="40"/>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40"/>
      <c r="CP63" s="40"/>
      <c r="CQ63" s="40"/>
      <c r="CR63" s="40"/>
      <c r="CS63" s="40"/>
      <c r="CT63" s="40"/>
      <c r="CU63" s="40"/>
      <c r="CV63" s="40"/>
      <c r="CW63" s="40"/>
      <c r="CX63" s="40"/>
      <c r="CY63" s="40"/>
      <c r="CZ63" s="40"/>
    </row>
    <row r="64" spans="1:106" x14ac:dyDescent="0.2">
      <c r="B64" s="40"/>
      <c r="C64" s="40"/>
      <c r="D64" s="40"/>
      <c r="E64" s="40"/>
      <c r="F64" s="40"/>
      <c r="G64" s="40"/>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40"/>
      <c r="CR64" s="40"/>
      <c r="CS64" s="40"/>
      <c r="CT64" s="40"/>
      <c r="CU64" s="40"/>
      <c r="CV64" s="40"/>
      <c r="CW64" s="40"/>
      <c r="CX64" s="40"/>
      <c r="CY64" s="40"/>
      <c r="CZ64" s="40"/>
    </row>
  </sheetData>
  <sortState ref="A30:A42">
    <sortCondition ref="A30"/>
  </sortState>
  <conditionalFormatting sqref="A27:A33">
    <cfRule type="cellIs" dxfId="1" priority="2" operator="lessThan">
      <formula>0</formula>
    </cfRule>
  </conditionalFormatting>
  <conditionalFormatting sqref="A40:A52">
    <cfRule type="cellIs" dxfId="0" priority="1" operator="lessThan">
      <formula>0</formula>
    </cfRule>
  </conditionalFormatting>
  <printOptions horizontalCentered="1"/>
  <pageMargins left="0.25" right="0.25" top="0.75" bottom="0.75" header="0.3" footer="0.3"/>
  <pageSetup scale="50" fitToWidth="0" orientation="landscape" draft="1" cellComments="atEnd" r:id="rId1"/>
  <headerFooter alignWithMargins="0">
    <oddHeader>&amp;CEnterprise Homes Preservation Fund, LLC
SUMMARIZED BALANCE SHEET
OPERATING PARTNERSHIPS - DETAILS
Unaudited
For period ending December 31, 2017</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276"/>
  <sheetViews>
    <sheetView workbookViewId="0">
      <selection activeCell="A2" sqref="A2"/>
    </sheetView>
  </sheetViews>
  <sheetFormatPr defaultRowHeight="15" x14ac:dyDescent="0.25"/>
  <cols>
    <col min="1" max="1" width="11.5703125" customWidth="1"/>
    <col min="2" max="2" width="15.140625" customWidth="1"/>
    <col min="3" max="3" width="11" customWidth="1"/>
    <col min="4" max="4" width="6" customWidth="1"/>
    <col min="5" max="5" width="22.85546875" customWidth="1"/>
    <col min="6" max="6" width="32" bestFit="1" customWidth="1"/>
    <col min="7" max="7" width="35" bestFit="1" customWidth="1"/>
    <col min="8" max="8" width="10.28515625" customWidth="1"/>
    <col min="9" max="9" width="18.28515625" bestFit="1" customWidth="1"/>
  </cols>
  <sheetData>
    <row r="1" spans="1:9" x14ac:dyDescent="0.25">
      <c r="A1" s="1" t="s">
        <v>6</v>
      </c>
      <c r="B1" s="1" t="s">
        <v>4</v>
      </c>
      <c r="C1" s="59" t="s">
        <v>7</v>
      </c>
      <c r="D1" s="1" t="s">
        <v>8</v>
      </c>
      <c r="E1" s="1" t="s">
        <v>5</v>
      </c>
      <c r="F1" s="1" t="s">
        <v>9</v>
      </c>
      <c r="G1" s="1" t="s">
        <v>10</v>
      </c>
      <c r="H1" s="1" t="s">
        <v>11</v>
      </c>
      <c r="I1" s="59" t="s">
        <v>144</v>
      </c>
    </row>
    <row r="2" spans="1:9" x14ac:dyDescent="0.25">
      <c r="A2">
        <v>70340</v>
      </c>
      <c r="B2" t="s">
        <v>165</v>
      </c>
      <c r="C2" t="s">
        <v>238</v>
      </c>
      <c r="D2">
        <v>4</v>
      </c>
      <c r="E2">
        <v>0</v>
      </c>
      <c r="F2" t="s">
        <v>239</v>
      </c>
      <c r="G2" t="s">
        <v>153</v>
      </c>
      <c r="H2">
        <v>0</v>
      </c>
      <c r="I2" t="s">
        <v>351</v>
      </c>
    </row>
    <row r="3" spans="1:9" x14ac:dyDescent="0.25">
      <c r="A3">
        <v>70340</v>
      </c>
      <c r="B3" t="s">
        <v>165</v>
      </c>
      <c r="C3" t="s">
        <v>238</v>
      </c>
      <c r="D3">
        <v>4</v>
      </c>
      <c r="E3">
        <v>0</v>
      </c>
      <c r="F3" t="s">
        <v>239</v>
      </c>
      <c r="G3" t="s">
        <v>152</v>
      </c>
      <c r="H3">
        <v>0</v>
      </c>
      <c r="I3" t="s">
        <v>352</v>
      </c>
    </row>
    <row r="4" spans="1:9" x14ac:dyDescent="0.25">
      <c r="A4">
        <v>70340</v>
      </c>
      <c r="B4" t="s">
        <v>165</v>
      </c>
      <c r="C4" t="s">
        <v>238</v>
      </c>
      <c r="D4">
        <v>4</v>
      </c>
      <c r="E4">
        <v>0</v>
      </c>
      <c r="F4" t="s">
        <v>239</v>
      </c>
      <c r="G4" t="s">
        <v>154</v>
      </c>
      <c r="H4">
        <v>0</v>
      </c>
      <c r="I4" t="s">
        <v>349</v>
      </c>
    </row>
    <row r="5" spans="1:9" x14ac:dyDescent="0.25">
      <c r="A5">
        <v>70340</v>
      </c>
      <c r="B5" t="s">
        <v>165</v>
      </c>
      <c r="C5" t="s">
        <v>238</v>
      </c>
      <c r="D5">
        <v>4</v>
      </c>
      <c r="E5">
        <v>0</v>
      </c>
      <c r="F5" t="s">
        <v>241</v>
      </c>
      <c r="G5" t="s">
        <v>26</v>
      </c>
      <c r="H5">
        <v>0</v>
      </c>
      <c r="I5" t="s">
        <v>350</v>
      </c>
    </row>
    <row r="6" spans="1:9" x14ac:dyDescent="0.25">
      <c r="A6">
        <v>70340</v>
      </c>
      <c r="B6" t="s">
        <v>165</v>
      </c>
      <c r="C6" t="s">
        <v>238</v>
      </c>
      <c r="D6">
        <v>4</v>
      </c>
      <c r="E6">
        <v>0</v>
      </c>
      <c r="F6" t="s">
        <v>241</v>
      </c>
      <c r="G6" t="s">
        <v>23</v>
      </c>
      <c r="H6">
        <v>0</v>
      </c>
      <c r="I6" t="s">
        <v>269</v>
      </c>
    </row>
    <row r="7" spans="1:9" x14ac:dyDescent="0.25">
      <c r="A7">
        <v>70340</v>
      </c>
      <c r="B7" t="s">
        <v>165</v>
      </c>
      <c r="C7" t="s">
        <v>238</v>
      </c>
      <c r="D7">
        <v>4</v>
      </c>
      <c r="E7">
        <v>0</v>
      </c>
      <c r="F7" t="s">
        <v>241</v>
      </c>
      <c r="G7" t="s">
        <v>26</v>
      </c>
      <c r="H7">
        <v>0</v>
      </c>
      <c r="I7" t="s">
        <v>353</v>
      </c>
    </row>
    <row r="8" spans="1:9" x14ac:dyDescent="0.25">
      <c r="A8">
        <v>70340</v>
      </c>
      <c r="B8" t="s">
        <v>165</v>
      </c>
      <c r="C8" t="s">
        <v>238</v>
      </c>
      <c r="D8">
        <v>4</v>
      </c>
      <c r="E8">
        <v>0</v>
      </c>
      <c r="F8" t="s">
        <v>241</v>
      </c>
      <c r="G8" t="s">
        <v>157</v>
      </c>
      <c r="H8">
        <v>0</v>
      </c>
      <c r="I8" t="s">
        <v>348</v>
      </c>
    </row>
    <row r="9" spans="1:9" x14ac:dyDescent="0.25">
      <c r="A9">
        <v>70340</v>
      </c>
      <c r="B9" t="s">
        <v>165</v>
      </c>
      <c r="C9" t="s">
        <v>238</v>
      </c>
      <c r="D9">
        <v>4</v>
      </c>
      <c r="E9">
        <v>0</v>
      </c>
      <c r="F9" t="s">
        <v>261</v>
      </c>
      <c r="G9" t="s">
        <v>261</v>
      </c>
      <c r="H9">
        <v>0</v>
      </c>
      <c r="I9" t="s">
        <v>272</v>
      </c>
    </row>
    <row r="10" spans="1:9" x14ac:dyDescent="0.25">
      <c r="A10">
        <v>70340</v>
      </c>
      <c r="B10" t="s">
        <v>165</v>
      </c>
      <c r="C10" t="s">
        <v>238</v>
      </c>
      <c r="D10">
        <v>4</v>
      </c>
      <c r="E10">
        <v>0</v>
      </c>
      <c r="F10" t="s">
        <v>261</v>
      </c>
      <c r="G10" t="s">
        <v>261</v>
      </c>
      <c r="H10">
        <v>0</v>
      </c>
      <c r="I10" t="s">
        <v>354</v>
      </c>
    </row>
    <row r="11" spans="1:9" x14ac:dyDescent="0.25">
      <c r="A11">
        <v>70340</v>
      </c>
      <c r="B11" t="s">
        <v>165</v>
      </c>
      <c r="C11" t="s">
        <v>238</v>
      </c>
      <c r="D11">
        <v>4</v>
      </c>
      <c r="E11">
        <v>0</v>
      </c>
      <c r="F11" t="s">
        <v>247</v>
      </c>
      <c r="G11" t="s">
        <v>12</v>
      </c>
      <c r="H11">
        <v>-2442904</v>
      </c>
      <c r="I11" t="s">
        <v>248</v>
      </c>
    </row>
    <row r="12" spans="1:9" x14ac:dyDescent="0.25">
      <c r="A12">
        <v>70340</v>
      </c>
      <c r="B12" t="s">
        <v>165</v>
      </c>
      <c r="C12" t="s">
        <v>238</v>
      </c>
      <c r="D12">
        <v>4</v>
      </c>
      <c r="E12">
        <v>0</v>
      </c>
      <c r="F12" t="s">
        <v>247</v>
      </c>
      <c r="G12" t="s">
        <v>13</v>
      </c>
      <c r="H12">
        <v>9123282</v>
      </c>
      <c r="I12" t="s">
        <v>249</v>
      </c>
    </row>
    <row r="13" spans="1:9" x14ac:dyDescent="0.25">
      <c r="A13">
        <v>70340</v>
      </c>
      <c r="B13" t="s">
        <v>165</v>
      </c>
      <c r="C13" t="s">
        <v>238</v>
      </c>
      <c r="D13">
        <v>4</v>
      </c>
      <c r="E13">
        <v>0</v>
      </c>
      <c r="F13" t="s">
        <v>241</v>
      </c>
      <c r="G13" t="s">
        <v>25</v>
      </c>
      <c r="H13">
        <v>9148</v>
      </c>
      <c r="I13" t="s">
        <v>250</v>
      </c>
    </row>
    <row r="14" spans="1:9" x14ac:dyDescent="0.25">
      <c r="A14">
        <v>70340</v>
      </c>
      <c r="B14" t="s">
        <v>165</v>
      </c>
      <c r="C14" t="s">
        <v>238</v>
      </c>
      <c r="D14">
        <v>4</v>
      </c>
      <c r="E14">
        <v>0</v>
      </c>
      <c r="F14" t="s">
        <v>241</v>
      </c>
      <c r="G14" t="s">
        <v>26</v>
      </c>
      <c r="H14">
        <v>0</v>
      </c>
      <c r="I14" t="s">
        <v>251</v>
      </c>
    </row>
    <row r="15" spans="1:9" x14ac:dyDescent="0.25">
      <c r="A15">
        <v>70340</v>
      </c>
      <c r="B15" t="s">
        <v>165</v>
      </c>
      <c r="C15" t="s">
        <v>238</v>
      </c>
      <c r="D15">
        <v>4</v>
      </c>
      <c r="E15">
        <v>0</v>
      </c>
      <c r="F15" t="s">
        <v>239</v>
      </c>
      <c r="G15" t="s">
        <v>18</v>
      </c>
      <c r="H15">
        <v>303910</v>
      </c>
      <c r="I15" t="s">
        <v>252</v>
      </c>
    </row>
    <row r="16" spans="1:9" x14ac:dyDescent="0.25">
      <c r="A16">
        <v>70340</v>
      </c>
      <c r="B16" t="s">
        <v>165</v>
      </c>
      <c r="C16" t="s">
        <v>238</v>
      </c>
      <c r="D16">
        <v>4</v>
      </c>
      <c r="E16">
        <v>0</v>
      </c>
      <c r="F16" t="s">
        <v>241</v>
      </c>
      <c r="G16" t="s">
        <v>26</v>
      </c>
      <c r="H16">
        <v>28651</v>
      </c>
      <c r="I16" t="s">
        <v>253</v>
      </c>
    </row>
    <row r="17" spans="1:9" x14ac:dyDescent="0.25">
      <c r="A17">
        <v>70340</v>
      </c>
      <c r="B17" t="s">
        <v>165</v>
      </c>
      <c r="C17" t="s">
        <v>238</v>
      </c>
      <c r="D17">
        <v>4</v>
      </c>
      <c r="E17">
        <v>0</v>
      </c>
      <c r="F17" t="s">
        <v>247</v>
      </c>
      <c r="G17" t="s">
        <v>15</v>
      </c>
      <c r="H17">
        <v>268496</v>
      </c>
      <c r="I17" t="s">
        <v>254</v>
      </c>
    </row>
    <row r="18" spans="1:9" x14ac:dyDescent="0.25">
      <c r="A18">
        <v>70340</v>
      </c>
      <c r="B18" t="s">
        <v>165</v>
      </c>
      <c r="C18" t="s">
        <v>238</v>
      </c>
      <c r="D18">
        <v>4</v>
      </c>
      <c r="E18">
        <v>0</v>
      </c>
      <c r="F18" t="s">
        <v>247</v>
      </c>
      <c r="G18" t="s">
        <v>14</v>
      </c>
      <c r="H18">
        <v>0</v>
      </c>
      <c r="I18" t="s">
        <v>355</v>
      </c>
    </row>
    <row r="19" spans="1:9" x14ac:dyDescent="0.25">
      <c r="A19">
        <v>70340</v>
      </c>
      <c r="B19" t="s">
        <v>165</v>
      </c>
      <c r="C19" t="s">
        <v>238</v>
      </c>
      <c r="D19">
        <v>4</v>
      </c>
      <c r="E19">
        <v>0</v>
      </c>
      <c r="F19" t="s">
        <v>241</v>
      </c>
      <c r="G19" t="s">
        <v>23</v>
      </c>
      <c r="H19">
        <v>544133</v>
      </c>
      <c r="I19" t="s">
        <v>242</v>
      </c>
    </row>
    <row r="20" spans="1:9" x14ac:dyDescent="0.25">
      <c r="A20">
        <v>70340</v>
      </c>
      <c r="B20" t="s">
        <v>165</v>
      </c>
      <c r="C20" t="s">
        <v>238</v>
      </c>
      <c r="D20">
        <v>4</v>
      </c>
      <c r="E20">
        <v>0</v>
      </c>
      <c r="F20" t="s">
        <v>241</v>
      </c>
      <c r="G20" t="s">
        <v>24</v>
      </c>
      <c r="H20">
        <v>390728</v>
      </c>
      <c r="I20" t="s">
        <v>243</v>
      </c>
    </row>
    <row r="21" spans="1:9" x14ac:dyDescent="0.25">
      <c r="A21">
        <v>70340</v>
      </c>
      <c r="B21" t="s">
        <v>165</v>
      </c>
      <c r="C21" t="s">
        <v>238</v>
      </c>
      <c r="D21">
        <v>4</v>
      </c>
      <c r="E21">
        <v>0</v>
      </c>
      <c r="F21" t="s">
        <v>241</v>
      </c>
      <c r="G21" t="s">
        <v>21</v>
      </c>
      <c r="H21">
        <v>0</v>
      </c>
      <c r="I21" t="s">
        <v>356</v>
      </c>
    </row>
    <row r="22" spans="1:9" x14ac:dyDescent="0.25">
      <c r="A22">
        <v>70340</v>
      </c>
      <c r="B22" t="s">
        <v>165</v>
      </c>
      <c r="C22" t="s">
        <v>238</v>
      </c>
      <c r="D22">
        <v>4</v>
      </c>
      <c r="E22">
        <v>0</v>
      </c>
      <c r="F22" t="s">
        <v>239</v>
      </c>
      <c r="G22" t="s">
        <v>20</v>
      </c>
      <c r="H22">
        <v>-21714</v>
      </c>
      <c r="I22" t="s">
        <v>244</v>
      </c>
    </row>
    <row r="23" spans="1:9" x14ac:dyDescent="0.25">
      <c r="A23">
        <v>70340</v>
      </c>
      <c r="B23" t="s">
        <v>165</v>
      </c>
      <c r="C23" t="s">
        <v>238</v>
      </c>
      <c r="D23">
        <v>4</v>
      </c>
      <c r="E23">
        <v>0</v>
      </c>
      <c r="F23" t="s">
        <v>241</v>
      </c>
      <c r="G23" t="s">
        <v>22</v>
      </c>
      <c r="H23">
        <v>3609</v>
      </c>
      <c r="I23" t="s">
        <v>245</v>
      </c>
    </row>
    <row r="24" spans="1:9" x14ac:dyDescent="0.25">
      <c r="A24">
        <v>70340</v>
      </c>
      <c r="B24" t="s">
        <v>165</v>
      </c>
      <c r="C24" t="s">
        <v>238</v>
      </c>
      <c r="D24">
        <v>4</v>
      </c>
      <c r="E24">
        <v>0</v>
      </c>
      <c r="F24" t="s">
        <v>241</v>
      </c>
      <c r="G24" t="s">
        <v>26</v>
      </c>
      <c r="H24">
        <v>2037</v>
      </c>
      <c r="I24" t="s">
        <v>246</v>
      </c>
    </row>
    <row r="25" spans="1:9" x14ac:dyDescent="0.25">
      <c r="A25">
        <v>70340</v>
      </c>
      <c r="B25" t="s">
        <v>165</v>
      </c>
      <c r="C25" t="s">
        <v>238</v>
      </c>
      <c r="D25">
        <v>4</v>
      </c>
      <c r="E25">
        <v>0</v>
      </c>
      <c r="F25" t="s">
        <v>239</v>
      </c>
      <c r="G25" t="s">
        <v>17</v>
      </c>
      <c r="H25">
        <v>0</v>
      </c>
      <c r="I25" t="s">
        <v>357</v>
      </c>
    </row>
    <row r="26" spans="1:9" x14ac:dyDescent="0.25">
      <c r="A26">
        <v>70340</v>
      </c>
      <c r="B26" t="s">
        <v>165</v>
      </c>
      <c r="C26" t="s">
        <v>238</v>
      </c>
      <c r="D26">
        <v>4</v>
      </c>
      <c r="E26">
        <v>0</v>
      </c>
      <c r="F26" t="s">
        <v>241</v>
      </c>
      <c r="G26" t="s">
        <v>24</v>
      </c>
      <c r="H26">
        <v>0</v>
      </c>
      <c r="I26" t="s">
        <v>358</v>
      </c>
    </row>
    <row r="27" spans="1:9" x14ac:dyDescent="0.25">
      <c r="A27">
        <v>70340</v>
      </c>
      <c r="B27" t="s">
        <v>165</v>
      </c>
      <c r="C27" t="s">
        <v>238</v>
      </c>
      <c r="D27">
        <v>4</v>
      </c>
      <c r="E27">
        <v>0</v>
      </c>
      <c r="F27" t="s">
        <v>241</v>
      </c>
      <c r="G27" t="s">
        <v>27</v>
      </c>
      <c r="H27">
        <v>0</v>
      </c>
      <c r="I27" t="s">
        <v>359</v>
      </c>
    </row>
    <row r="28" spans="1:9" x14ac:dyDescent="0.25">
      <c r="A28">
        <v>70340</v>
      </c>
      <c r="B28" t="s">
        <v>165</v>
      </c>
      <c r="C28" t="s">
        <v>238</v>
      </c>
      <c r="D28">
        <v>4</v>
      </c>
      <c r="E28">
        <v>0</v>
      </c>
      <c r="F28" t="s">
        <v>239</v>
      </c>
      <c r="G28" t="s">
        <v>19</v>
      </c>
      <c r="H28">
        <v>0</v>
      </c>
      <c r="I28" t="s">
        <v>360</v>
      </c>
    </row>
    <row r="29" spans="1:9" x14ac:dyDescent="0.25">
      <c r="A29">
        <v>70340</v>
      </c>
      <c r="B29" t="s">
        <v>165</v>
      </c>
      <c r="C29" t="s">
        <v>238</v>
      </c>
      <c r="D29">
        <v>4</v>
      </c>
      <c r="E29">
        <v>0</v>
      </c>
      <c r="F29" t="s">
        <v>239</v>
      </c>
      <c r="G29" t="s">
        <v>20</v>
      </c>
      <c r="H29">
        <v>583182</v>
      </c>
      <c r="I29" t="s">
        <v>255</v>
      </c>
    </row>
    <row r="30" spans="1:9" x14ac:dyDescent="0.25">
      <c r="A30">
        <v>70340</v>
      </c>
      <c r="B30" t="s">
        <v>165</v>
      </c>
      <c r="C30" t="s">
        <v>238</v>
      </c>
      <c r="D30">
        <v>4</v>
      </c>
      <c r="E30">
        <v>0</v>
      </c>
      <c r="F30" t="s">
        <v>247</v>
      </c>
      <c r="G30" t="s">
        <v>148</v>
      </c>
      <c r="H30">
        <v>578132</v>
      </c>
      <c r="I30" t="s">
        <v>256</v>
      </c>
    </row>
    <row r="31" spans="1:9" x14ac:dyDescent="0.25">
      <c r="A31">
        <v>70340</v>
      </c>
      <c r="B31" t="s">
        <v>165</v>
      </c>
      <c r="C31" t="s">
        <v>238</v>
      </c>
      <c r="D31">
        <v>4</v>
      </c>
      <c r="E31">
        <v>0</v>
      </c>
      <c r="F31" t="s">
        <v>241</v>
      </c>
      <c r="G31" t="s">
        <v>27</v>
      </c>
      <c r="H31">
        <v>7463885</v>
      </c>
      <c r="I31" t="s">
        <v>257</v>
      </c>
    </row>
    <row r="32" spans="1:9" x14ac:dyDescent="0.25">
      <c r="A32">
        <v>70340</v>
      </c>
      <c r="B32" t="s">
        <v>165</v>
      </c>
      <c r="C32" t="s">
        <v>238</v>
      </c>
      <c r="D32">
        <v>4</v>
      </c>
      <c r="E32">
        <v>0</v>
      </c>
      <c r="F32" t="s">
        <v>241</v>
      </c>
      <c r="G32" t="s">
        <v>27</v>
      </c>
      <c r="H32">
        <v>0</v>
      </c>
      <c r="I32" t="s">
        <v>361</v>
      </c>
    </row>
    <row r="33" spans="1:9" x14ac:dyDescent="0.25">
      <c r="A33">
        <v>70340</v>
      </c>
      <c r="B33" t="s">
        <v>165</v>
      </c>
      <c r="C33" t="s">
        <v>238</v>
      </c>
      <c r="D33">
        <v>4</v>
      </c>
      <c r="E33">
        <v>0</v>
      </c>
      <c r="F33" t="s">
        <v>241</v>
      </c>
      <c r="G33" t="s">
        <v>27</v>
      </c>
      <c r="H33">
        <v>0</v>
      </c>
      <c r="I33" t="s">
        <v>362</v>
      </c>
    </row>
    <row r="34" spans="1:9" x14ac:dyDescent="0.25">
      <c r="A34">
        <v>70340</v>
      </c>
      <c r="B34" t="s">
        <v>165</v>
      </c>
      <c r="C34" t="s">
        <v>238</v>
      </c>
      <c r="D34">
        <v>4</v>
      </c>
      <c r="E34">
        <v>0</v>
      </c>
      <c r="F34" t="s">
        <v>241</v>
      </c>
      <c r="G34" t="s">
        <v>27</v>
      </c>
      <c r="H34">
        <v>0</v>
      </c>
      <c r="I34" t="s">
        <v>363</v>
      </c>
    </row>
    <row r="35" spans="1:9" x14ac:dyDescent="0.25">
      <c r="A35">
        <v>70340</v>
      </c>
      <c r="B35" t="s">
        <v>165</v>
      </c>
      <c r="C35" t="s">
        <v>238</v>
      </c>
      <c r="D35">
        <v>4</v>
      </c>
      <c r="E35">
        <v>0</v>
      </c>
      <c r="F35" t="s">
        <v>239</v>
      </c>
      <c r="G35" t="s">
        <v>16</v>
      </c>
      <c r="H35">
        <v>0</v>
      </c>
      <c r="I35" t="s">
        <v>267</v>
      </c>
    </row>
    <row r="36" spans="1:9" x14ac:dyDescent="0.25">
      <c r="A36">
        <v>70340</v>
      </c>
      <c r="B36" t="s">
        <v>165</v>
      </c>
      <c r="C36" t="s">
        <v>238</v>
      </c>
      <c r="D36">
        <v>4</v>
      </c>
      <c r="E36">
        <v>0</v>
      </c>
      <c r="F36" t="s">
        <v>239</v>
      </c>
      <c r="G36" t="s">
        <v>152</v>
      </c>
      <c r="H36">
        <v>28204</v>
      </c>
      <c r="I36" t="s">
        <v>258</v>
      </c>
    </row>
    <row r="37" spans="1:9" x14ac:dyDescent="0.25">
      <c r="A37">
        <v>70340</v>
      </c>
      <c r="B37" t="s">
        <v>165</v>
      </c>
      <c r="C37" t="s">
        <v>238</v>
      </c>
      <c r="D37">
        <v>4</v>
      </c>
      <c r="E37">
        <v>0</v>
      </c>
      <c r="F37" t="s">
        <v>239</v>
      </c>
      <c r="G37" t="s">
        <v>154</v>
      </c>
      <c r="H37">
        <v>12962</v>
      </c>
      <c r="I37" t="s">
        <v>330</v>
      </c>
    </row>
    <row r="38" spans="1:9" x14ac:dyDescent="0.25">
      <c r="A38">
        <v>70340</v>
      </c>
      <c r="B38" t="s">
        <v>165</v>
      </c>
      <c r="C38" t="s">
        <v>238</v>
      </c>
      <c r="D38">
        <v>4</v>
      </c>
      <c r="E38">
        <v>0</v>
      </c>
      <c r="F38" t="s">
        <v>239</v>
      </c>
      <c r="G38" t="s">
        <v>16</v>
      </c>
      <c r="H38">
        <v>3410</v>
      </c>
      <c r="I38" t="s">
        <v>259</v>
      </c>
    </row>
    <row r="39" spans="1:9" x14ac:dyDescent="0.25">
      <c r="A39">
        <v>70340</v>
      </c>
      <c r="B39" t="s">
        <v>165</v>
      </c>
      <c r="C39" t="s">
        <v>238</v>
      </c>
      <c r="D39">
        <v>4</v>
      </c>
      <c r="E39">
        <v>0</v>
      </c>
      <c r="F39" t="s">
        <v>239</v>
      </c>
      <c r="G39" t="s">
        <v>19</v>
      </c>
      <c r="H39">
        <v>28917</v>
      </c>
      <c r="I39" t="s">
        <v>260</v>
      </c>
    </row>
    <row r="40" spans="1:9" x14ac:dyDescent="0.25">
      <c r="A40">
        <v>70340</v>
      </c>
      <c r="B40" t="s">
        <v>165</v>
      </c>
      <c r="C40" t="s">
        <v>238</v>
      </c>
      <c r="D40">
        <v>4</v>
      </c>
      <c r="E40">
        <v>0</v>
      </c>
      <c r="F40" t="s">
        <v>239</v>
      </c>
      <c r="G40" t="s">
        <v>19</v>
      </c>
      <c r="H40">
        <v>0</v>
      </c>
      <c r="I40" t="s">
        <v>270</v>
      </c>
    </row>
    <row r="41" spans="1:9" x14ac:dyDescent="0.25">
      <c r="A41">
        <v>70340</v>
      </c>
      <c r="B41" t="s">
        <v>165</v>
      </c>
      <c r="C41" t="s">
        <v>238</v>
      </c>
      <c r="D41">
        <v>4</v>
      </c>
      <c r="E41">
        <v>0</v>
      </c>
      <c r="F41" t="s">
        <v>241</v>
      </c>
      <c r="G41" t="s">
        <v>139</v>
      </c>
      <c r="H41">
        <v>0</v>
      </c>
      <c r="I41" t="s">
        <v>331</v>
      </c>
    </row>
    <row r="42" spans="1:9" x14ac:dyDescent="0.25">
      <c r="A42">
        <v>70340</v>
      </c>
      <c r="B42" t="s">
        <v>165</v>
      </c>
      <c r="C42" t="s">
        <v>238</v>
      </c>
      <c r="D42">
        <v>4</v>
      </c>
      <c r="E42">
        <v>0</v>
      </c>
      <c r="F42" t="s">
        <v>261</v>
      </c>
      <c r="G42" t="s">
        <v>261</v>
      </c>
      <c r="H42">
        <v>532712</v>
      </c>
      <c r="I42" t="s">
        <v>262</v>
      </c>
    </row>
    <row r="43" spans="1:9" x14ac:dyDescent="0.25">
      <c r="A43">
        <v>70340</v>
      </c>
      <c r="B43" t="s">
        <v>165</v>
      </c>
      <c r="C43" t="s">
        <v>238</v>
      </c>
      <c r="D43">
        <v>4</v>
      </c>
      <c r="E43">
        <v>0</v>
      </c>
      <c r="F43" t="s">
        <v>239</v>
      </c>
      <c r="G43" t="s">
        <v>19</v>
      </c>
      <c r="H43">
        <v>222874</v>
      </c>
      <c r="I43" t="s">
        <v>263</v>
      </c>
    </row>
    <row r="44" spans="1:9" x14ac:dyDescent="0.25">
      <c r="A44">
        <v>70340</v>
      </c>
      <c r="B44" t="s">
        <v>165</v>
      </c>
      <c r="C44" t="s">
        <v>238</v>
      </c>
      <c r="D44">
        <v>4</v>
      </c>
      <c r="E44">
        <v>0</v>
      </c>
      <c r="F44" t="s">
        <v>239</v>
      </c>
      <c r="G44" t="s">
        <v>16</v>
      </c>
      <c r="H44">
        <v>226</v>
      </c>
      <c r="I44" t="s">
        <v>240</v>
      </c>
    </row>
    <row r="45" spans="1:9" x14ac:dyDescent="0.25">
      <c r="A45">
        <v>70340</v>
      </c>
      <c r="B45" t="s">
        <v>165</v>
      </c>
      <c r="C45" t="s">
        <v>238</v>
      </c>
      <c r="D45">
        <v>4</v>
      </c>
      <c r="E45">
        <v>0</v>
      </c>
      <c r="F45" t="s">
        <v>239</v>
      </c>
      <c r="G45" t="s">
        <v>19</v>
      </c>
      <c r="H45">
        <v>51096</v>
      </c>
      <c r="I45" t="s">
        <v>264</v>
      </c>
    </row>
    <row r="46" spans="1:9" x14ac:dyDescent="0.25">
      <c r="A46">
        <v>70340</v>
      </c>
      <c r="B46" t="s">
        <v>165</v>
      </c>
      <c r="C46" t="s">
        <v>238</v>
      </c>
      <c r="D46">
        <v>4</v>
      </c>
      <c r="E46">
        <v>0</v>
      </c>
      <c r="F46" t="s">
        <v>241</v>
      </c>
      <c r="G46" t="s">
        <v>158</v>
      </c>
      <c r="H46">
        <v>49852</v>
      </c>
      <c r="I46" t="s">
        <v>265</v>
      </c>
    </row>
    <row r="47" spans="1:9" x14ac:dyDescent="0.25">
      <c r="A47">
        <v>70340</v>
      </c>
      <c r="B47" t="s">
        <v>165</v>
      </c>
      <c r="C47" t="s">
        <v>238</v>
      </c>
      <c r="D47">
        <v>4</v>
      </c>
      <c r="E47">
        <v>0</v>
      </c>
      <c r="F47" t="s">
        <v>239</v>
      </c>
      <c r="G47" t="s">
        <v>19</v>
      </c>
      <c r="H47">
        <v>566391</v>
      </c>
      <c r="I47" t="s">
        <v>271</v>
      </c>
    </row>
    <row r="48" spans="1:9" x14ac:dyDescent="0.25">
      <c r="A48">
        <v>70340</v>
      </c>
      <c r="B48" t="s">
        <v>165</v>
      </c>
      <c r="C48" t="s">
        <v>238</v>
      </c>
      <c r="D48">
        <v>4</v>
      </c>
      <c r="E48">
        <v>0</v>
      </c>
      <c r="F48" t="s">
        <v>239</v>
      </c>
      <c r="G48" t="s">
        <v>19</v>
      </c>
      <c r="H48">
        <v>0</v>
      </c>
      <c r="I48" t="s">
        <v>266</v>
      </c>
    </row>
    <row r="49" spans="1:9" x14ac:dyDescent="0.25">
      <c r="A49">
        <v>70340</v>
      </c>
      <c r="B49" t="s">
        <v>165</v>
      </c>
      <c r="C49" t="s">
        <v>238</v>
      </c>
      <c r="D49">
        <v>4</v>
      </c>
      <c r="E49">
        <v>0</v>
      </c>
      <c r="F49" t="s">
        <v>241</v>
      </c>
      <c r="G49" t="s">
        <v>143</v>
      </c>
      <c r="H49">
        <v>0</v>
      </c>
      <c r="I49" t="s">
        <v>332</v>
      </c>
    </row>
    <row r="50" spans="1:9" x14ac:dyDescent="0.25">
      <c r="A50">
        <v>70340</v>
      </c>
      <c r="B50" t="s">
        <v>165</v>
      </c>
      <c r="C50" t="s">
        <v>238</v>
      </c>
      <c r="D50">
        <v>4</v>
      </c>
      <c r="E50">
        <v>0</v>
      </c>
      <c r="F50" t="s">
        <v>241</v>
      </c>
      <c r="G50" t="s">
        <v>138</v>
      </c>
      <c r="H50">
        <v>0</v>
      </c>
      <c r="I50" t="s">
        <v>333</v>
      </c>
    </row>
    <row r="51" spans="1:9" x14ac:dyDescent="0.25">
      <c r="A51">
        <v>70340</v>
      </c>
      <c r="B51" t="s">
        <v>165</v>
      </c>
      <c r="C51" t="s">
        <v>238</v>
      </c>
      <c r="D51">
        <v>4</v>
      </c>
      <c r="E51">
        <v>0</v>
      </c>
      <c r="F51" t="s">
        <v>241</v>
      </c>
      <c r="G51" t="s">
        <v>138</v>
      </c>
      <c r="H51">
        <v>0</v>
      </c>
      <c r="I51" t="s">
        <v>334</v>
      </c>
    </row>
    <row r="52" spans="1:9" x14ac:dyDescent="0.25">
      <c r="A52">
        <v>70340</v>
      </c>
      <c r="B52" t="s">
        <v>165</v>
      </c>
      <c r="C52" t="s">
        <v>238</v>
      </c>
      <c r="D52">
        <v>4</v>
      </c>
      <c r="E52">
        <v>0</v>
      </c>
      <c r="F52" t="s">
        <v>241</v>
      </c>
      <c r="G52" t="s">
        <v>138</v>
      </c>
      <c r="H52">
        <v>286758</v>
      </c>
      <c r="I52" t="s">
        <v>268</v>
      </c>
    </row>
    <row r="53" spans="1:9" x14ac:dyDescent="0.25">
      <c r="A53">
        <v>70340</v>
      </c>
      <c r="B53" t="s">
        <v>165</v>
      </c>
      <c r="C53" t="s">
        <v>238</v>
      </c>
      <c r="D53">
        <v>4</v>
      </c>
      <c r="E53">
        <v>0</v>
      </c>
      <c r="F53" t="s">
        <v>241</v>
      </c>
      <c r="G53" t="s">
        <v>139</v>
      </c>
      <c r="H53">
        <v>0</v>
      </c>
      <c r="I53" t="s">
        <v>336</v>
      </c>
    </row>
    <row r="54" spans="1:9" x14ac:dyDescent="0.25">
      <c r="A54">
        <v>70340</v>
      </c>
      <c r="B54" t="s">
        <v>165</v>
      </c>
      <c r="C54" t="s">
        <v>238</v>
      </c>
      <c r="D54">
        <v>4</v>
      </c>
      <c r="E54">
        <v>0</v>
      </c>
      <c r="F54" t="s">
        <v>241</v>
      </c>
      <c r="G54" t="s">
        <v>139</v>
      </c>
      <c r="H54">
        <v>0</v>
      </c>
      <c r="I54" t="s">
        <v>337</v>
      </c>
    </row>
    <row r="55" spans="1:9" x14ac:dyDescent="0.25">
      <c r="A55">
        <v>70340</v>
      </c>
      <c r="B55" t="s">
        <v>165</v>
      </c>
      <c r="C55" t="s">
        <v>238</v>
      </c>
      <c r="D55">
        <v>4</v>
      </c>
      <c r="E55">
        <v>0</v>
      </c>
      <c r="F55" t="s">
        <v>241</v>
      </c>
      <c r="G55" t="s">
        <v>139</v>
      </c>
      <c r="H55">
        <v>0</v>
      </c>
      <c r="I55" t="s">
        <v>335</v>
      </c>
    </row>
    <row r="56" spans="1:9" x14ac:dyDescent="0.25">
      <c r="A56">
        <v>70340</v>
      </c>
      <c r="B56" t="s">
        <v>165</v>
      </c>
      <c r="C56" t="s">
        <v>238</v>
      </c>
      <c r="D56">
        <v>4</v>
      </c>
      <c r="E56">
        <v>0</v>
      </c>
      <c r="F56" t="s">
        <v>241</v>
      </c>
      <c r="G56" t="s">
        <v>24</v>
      </c>
      <c r="H56">
        <v>0</v>
      </c>
      <c r="I56" t="s">
        <v>338</v>
      </c>
    </row>
    <row r="57" spans="1:9" x14ac:dyDescent="0.25">
      <c r="A57">
        <v>70340</v>
      </c>
      <c r="B57" t="s">
        <v>165</v>
      </c>
      <c r="C57" t="s">
        <v>238</v>
      </c>
      <c r="D57">
        <v>4</v>
      </c>
      <c r="E57">
        <v>0</v>
      </c>
      <c r="F57" t="s">
        <v>241</v>
      </c>
      <c r="G57" t="s">
        <v>24</v>
      </c>
      <c r="H57">
        <v>0</v>
      </c>
      <c r="I57" t="s">
        <v>339</v>
      </c>
    </row>
    <row r="58" spans="1:9" x14ac:dyDescent="0.25">
      <c r="A58">
        <v>70340</v>
      </c>
      <c r="B58" t="s">
        <v>165</v>
      </c>
      <c r="C58" t="s">
        <v>238</v>
      </c>
      <c r="D58">
        <v>4</v>
      </c>
      <c r="E58">
        <v>0</v>
      </c>
      <c r="F58" t="s">
        <v>241</v>
      </c>
      <c r="G58" t="s">
        <v>24</v>
      </c>
      <c r="H58">
        <v>0</v>
      </c>
      <c r="I58" t="s">
        <v>340</v>
      </c>
    </row>
    <row r="59" spans="1:9" x14ac:dyDescent="0.25">
      <c r="A59">
        <v>70340</v>
      </c>
      <c r="B59" t="s">
        <v>165</v>
      </c>
      <c r="C59" t="s">
        <v>238</v>
      </c>
      <c r="D59">
        <v>4</v>
      </c>
      <c r="E59">
        <v>0</v>
      </c>
      <c r="F59" t="s">
        <v>241</v>
      </c>
      <c r="G59" t="s">
        <v>137</v>
      </c>
      <c r="H59">
        <v>0</v>
      </c>
      <c r="I59" t="s">
        <v>273</v>
      </c>
    </row>
    <row r="60" spans="1:9" x14ac:dyDescent="0.25">
      <c r="A60">
        <v>70340</v>
      </c>
      <c r="B60" t="s">
        <v>165</v>
      </c>
      <c r="C60" t="s">
        <v>238</v>
      </c>
      <c r="D60">
        <v>4</v>
      </c>
      <c r="E60">
        <v>0</v>
      </c>
      <c r="F60" t="s">
        <v>241</v>
      </c>
      <c r="G60" t="s">
        <v>137</v>
      </c>
      <c r="H60">
        <v>0</v>
      </c>
      <c r="I60" t="s">
        <v>341</v>
      </c>
    </row>
    <row r="61" spans="1:9" x14ac:dyDescent="0.25">
      <c r="A61">
        <v>70340</v>
      </c>
      <c r="B61" t="s">
        <v>165</v>
      </c>
      <c r="C61" t="s">
        <v>238</v>
      </c>
      <c r="D61">
        <v>4</v>
      </c>
      <c r="E61">
        <v>0</v>
      </c>
      <c r="F61" t="s">
        <v>241</v>
      </c>
      <c r="G61" t="s">
        <v>137</v>
      </c>
      <c r="H61">
        <v>0</v>
      </c>
      <c r="I61" t="s">
        <v>342</v>
      </c>
    </row>
    <row r="62" spans="1:9" x14ac:dyDescent="0.25">
      <c r="A62">
        <v>70340</v>
      </c>
      <c r="B62" t="s">
        <v>165</v>
      </c>
      <c r="C62" t="s">
        <v>238</v>
      </c>
      <c r="D62">
        <v>4</v>
      </c>
      <c r="E62">
        <v>0</v>
      </c>
      <c r="F62" t="s">
        <v>241</v>
      </c>
      <c r="G62" t="s">
        <v>137</v>
      </c>
      <c r="H62">
        <v>0</v>
      </c>
      <c r="I62" t="s">
        <v>343</v>
      </c>
    </row>
    <row r="63" spans="1:9" x14ac:dyDescent="0.25">
      <c r="A63">
        <v>70340</v>
      </c>
      <c r="B63" t="s">
        <v>165</v>
      </c>
      <c r="C63" t="s">
        <v>238</v>
      </c>
      <c r="D63">
        <v>4</v>
      </c>
      <c r="E63">
        <v>0</v>
      </c>
      <c r="F63" t="s">
        <v>241</v>
      </c>
      <c r="G63" t="s">
        <v>143</v>
      </c>
      <c r="H63">
        <v>0</v>
      </c>
      <c r="I63" t="s">
        <v>344</v>
      </c>
    </row>
    <row r="64" spans="1:9" x14ac:dyDescent="0.25">
      <c r="A64">
        <v>70340</v>
      </c>
      <c r="B64" t="s">
        <v>165</v>
      </c>
      <c r="C64" t="s">
        <v>238</v>
      </c>
      <c r="D64">
        <v>4</v>
      </c>
      <c r="E64">
        <v>0</v>
      </c>
      <c r="F64" t="s">
        <v>241</v>
      </c>
      <c r="G64" t="s">
        <v>143</v>
      </c>
      <c r="H64">
        <v>0</v>
      </c>
      <c r="I64" t="s">
        <v>345</v>
      </c>
    </row>
    <row r="65" spans="1:9" x14ac:dyDescent="0.25">
      <c r="A65">
        <v>70340</v>
      </c>
      <c r="B65" t="s">
        <v>165</v>
      </c>
      <c r="C65" t="s">
        <v>238</v>
      </c>
      <c r="D65">
        <v>4</v>
      </c>
      <c r="E65">
        <v>0</v>
      </c>
      <c r="F65" t="s">
        <v>241</v>
      </c>
      <c r="G65" t="s">
        <v>143</v>
      </c>
      <c r="H65">
        <v>0</v>
      </c>
      <c r="I65" t="s">
        <v>346</v>
      </c>
    </row>
    <row r="66" spans="1:9" x14ac:dyDescent="0.25">
      <c r="A66">
        <v>70340</v>
      </c>
      <c r="B66" t="s">
        <v>165</v>
      </c>
      <c r="C66" t="s">
        <v>238</v>
      </c>
      <c r="D66">
        <v>4</v>
      </c>
      <c r="E66">
        <v>0</v>
      </c>
      <c r="F66" t="s">
        <v>241</v>
      </c>
      <c r="G66" t="s">
        <v>138</v>
      </c>
      <c r="H66">
        <v>0</v>
      </c>
      <c r="I66" t="s">
        <v>347</v>
      </c>
    </row>
    <row r="67" spans="1:9" x14ac:dyDescent="0.25">
      <c r="A67">
        <v>70341</v>
      </c>
      <c r="B67" t="s">
        <v>168</v>
      </c>
      <c r="C67" t="s">
        <v>238</v>
      </c>
      <c r="D67">
        <v>4</v>
      </c>
      <c r="E67">
        <v>0</v>
      </c>
      <c r="F67" t="s">
        <v>239</v>
      </c>
      <c r="G67" t="s">
        <v>153</v>
      </c>
      <c r="H67">
        <v>0</v>
      </c>
      <c r="I67" t="s">
        <v>351</v>
      </c>
    </row>
    <row r="68" spans="1:9" x14ac:dyDescent="0.25">
      <c r="A68">
        <v>70341</v>
      </c>
      <c r="B68" t="s">
        <v>168</v>
      </c>
      <c r="C68" t="s">
        <v>238</v>
      </c>
      <c r="D68">
        <v>4</v>
      </c>
      <c r="E68">
        <v>0</v>
      </c>
      <c r="F68" t="s">
        <v>239</v>
      </c>
      <c r="G68" t="s">
        <v>152</v>
      </c>
      <c r="H68">
        <v>0</v>
      </c>
      <c r="I68" t="s">
        <v>352</v>
      </c>
    </row>
    <row r="69" spans="1:9" x14ac:dyDescent="0.25">
      <c r="A69">
        <v>70341</v>
      </c>
      <c r="B69" t="s">
        <v>168</v>
      </c>
      <c r="C69" t="s">
        <v>238</v>
      </c>
      <c r="D69">
        <v>4</v>
      </c>
      <c r="E69">
        <v>0</v>
      </c>
      <c r="F69" t="s">
        <v>239</v>
      </c>
      <c r="G69" t="s">
        <v>154</v>
      </c>
      <c r="H69">
        <v>0</v>
      </c>
      <c r="I69" t="s">
        <v>349</v>
      </c>
    </row>
    <row r="70" spans="1:9" x14ac:dyDescent="0.25">
      <c r="A70">
        <v>70341</v>
      </c>
      <c r="B70" t="s">
        <v>168</v>
      </c>
      <c r="C70" t="s">
        <v>238</v>
      </c>
      <c r="D70">
        <v>4</v>
      </c>
      <c r="E70">
        <v>0</v>
      </c>
      <c r="F70" t="s">
        <v>241</v>
      </c>
      <c r="G70" t="s">
        <v>26</v>
      </c>
      <c r="H70">
        <v>0</v>
      </c>
      <c r="I70" t="s">
        <v>350</v>
      </c>
    </row>
    <row r="71" spans="1:9" x14ac:dyDescent="0.25">
      <c r="A71">
        <v>70341</v>
      </c>
      <c r="B71" t="s">
        <v>168</v>
      </c>
      <c r="C71" t="s">
        <v>238</v>
      </c>
      <c r="D71">
        <v>4</v>
      </c>
      <c r="E71">
        <v>0</v>
      </c>
      <c r="F71" t="s">
        <v>241</v>
      </c>
      <c r="G71" t="s">
        <v>23</v>
      </c>
      <c r="H71">
        <v>0</v>
      </c>
      <c r="I71" t="s">
        <v>269</v>
      </c>
    </row>
    <row r="72" spans="1:9" x14ac:dyDescent="0.25">
      <c r="A72">
        <v>70341</v>
      </c>
      <c r="B72" t="s">
        <v>168</v>
      </c>
      <c r="C72" t="s">
        <v>238</v>
      </c>
      <c r="D72">
        <v>4</v>
      </c>
      <c r="E72">
        <v>0</v>
      </c>
      <c r="F72" t="s">
        <v>241</v>
      </c>
      <c r="G72" t="s">
        <v>26</v>
      </c>
      <c r="H72">
        <v>0</v>
      </c>
      <c r="I72" t="s">
        <v>353</v>
      </c>
    </row>
    <row r="73" spans="1:9" x14ac:dyDescent="0.25">
      <c r="A73">
        <v>70341</v>
      </c>
      <c r="B73" t="s">
        <v>168</v>
      </c>
      <c r="C73" t="s">
        <v>238</v>
      </c>
      <c r="D73">
        <v>4</v>
      </c>
      <c r="E73">
        <v>0</v>
      </c>
      <c r="F73" t="s">
        <v>241</v>
      </c>
      <c r="G73" t="s">
        <v>157</v>
      </c>
      <c r="H73">
        <v>0</v>
      </c>
      <c r="I73" t="s">
        <v>348</v>
      </c>
    </row>
    <row r="74" spans="1:9" x14ac:dyDescent="0.25">
      <c r="A74">
        <v>70341</v>
      </c>
      <c r="B74" t="s">
        <v>168</v>
      </c>
      <c r="C74" t="s">
        <v>238</v>
      </c>
      <c r="D74">
        <v>4</v>
      </c>
      <c r="E74">
        <v>0</v>
      </c>
      <c r="F74" t="s">
        <v>261</v>
      </c>
      <c r="G74" t="s">
        <v>261</v>
      </c>
      <c r="H74">
        <v>0</v>
      </c>
      <c r="I74" t="s">
        <v>272</v>
      </c>
    </row>
    <row r="75" spans="1:9" x14ac:dyDescent="0.25">
      <c r="A75">
        <v>70341</v>
      </c>
      <c r="B75" t="s">
        <v>168</v>
      </c>
      <c r="C75" t="s">
        <v>238</v>
      </c>
      <c r="D75">
        <v>4</v>
      </c>
      <c r="E75">
        <v>0</v>
      </c>
      <c r="F75" t="s">
        <v>261</v>
      </c>
      <c r="G75" t="s">
        <v>261</v>
      </c>
      <c r="H75">
        <v>0</v>
      </c>
      <c r="I75" t="s">
        <v>354</v>
      </c>
    </row>
    <row r="76" spans="1:9" x14ac:dyDescent="0.25">
      <c r="A76">
        <v>70341</v>
      </c>
      <c r="B76" t="s">
        <v>168</v>
      </c>
      <c r="C76" t="s">
        <v>238</v>
      </c>
      <c r="D76">
        <v>4</v>
      </c>
      <c r="E76">
        <v>0</v>
      </c>
      <c r="F76" t="s">
        <v>247</v>
      </c>
      <c r="G76" t="s">
        <v>12</v>
      </c>
      <c r="H76">
        <v>-2826151</v>
      </c>
      <c r="I76" t="s">
        <v>248</v>
      </c>
    </row>
    <row r="77" spans="1:9" x14ac:dyDescent="0.25">
      <c r="A77">
        <v>70341</v>
      </c>
      <c r="B77" t="s">
        <v>168</v>
      </c>
      <c r="C77" t="s">
        <v>238</v>
      </c>
      <c r="D77">
        <v>4</v>
      </c>
      <c r="E77">
        <v>0</v>
      </c>
      <c r="F77" t="s">
        <v>247</v>
      </c>
      <c r="G77" t="s">
        <v>13</v>
      </c>
      <c r="H77">
        <v>8356155</v>
      </c>
      <c r="I77" t="s">
        <v>249</v>
      </c>
    </row>
    <row r="78" spans="1:9" x14ac:dyDescent="0.25">
      <c r="A78">
        <v>70341</v>
      </c>
      <c r="B78" t="s">
        <v>168</v>
      </c>
      <c r="C78" t="s">
        <v>238</v>
      </c>
      <c r="D78">
        <v>4</v>
      </c>
      <c r="E78">
        <v>0</v>
      </c>
      <c r="F78" t="s">
        <v>241</v>
      </c>
      <c r="G78" t="s">
        <v>25</v>
      </c>
      <c r="H78">
        <v>8371</v>
      </c>
      <c r="I78" t="s">
        <v>250</v>
      </c>
    </row>
    <row r="79" spans="1:9" x14ac:dyDescent="0.25">
      <c r="A79">
        <v>70341</v>
      </c>
      <c r="B79" t="s">
        <v>168</v>
      </c>
      <c r="C79" t="s">
        <v>238</v>
      </c>
      <c r="D79">
        <v>4</v>
      </c>
      <c r="E79">
        <v>0</v>
      </c>
      <c r="F79" t="s">
        <v>241</v>
      </c>
      <c r="G79" t="s">
        <v>26</v>
      </c>
      <c r="H79">
        <v>0</v>
      </c>
      <c r="I79" t="s">
        <v>251</v>
      </c>
    </row>
    <row r="80" spans="1:9" x14ac:dyDescent="0.25">
      <c r="A80">
        <v>70341</v>
      </c>
      <c r="B80" t="s">
        <v>168</v>
      </c>
      <c r="C80" t="s">
        <v>238</v>
      </c>
      <c r="D80">
        <v>4</v>
      </c>
      <c r="E80">
        <v>0</v>
      </c>
      <c r="F80" t="s">
        <v>239</v>
      </c>
      <c r="G80" t="s">
        <v>18</v>
      </c>
      <c r="H80">
        <v>311671</v>
      </c>
      <c r="I80" t="s">
        <v>252</v>
      </c>
    </row>
    <row r="81" spans="1:9" x14ac:dyDescent="0.25">
      <c r="A81">
        <v>70341</v>
      </c>
      <c r="B81" t="s">
        <v>168</v>
      </c>
      <c r="C81" t="s">
        <v>238</v>
      </c>
      <c r="D81">
        <v>4</v>
      </c>
      <c r="E81">
        <v>0</v>
      </c>
      <c r="F81" t="s">
        <v>241</v>
      </c>
      <c r="G81" t="s">
        <v>26</v>
      </c>
      <c r="H81">
        <v>72682</v>
      </c>
      <c r="I81" t="s">
        <v>253</v>
      </c>
    </row>
    <row r="82" spans="1:9" x14ac:dyDescent="0.25">
      <c r="A82">
        <v>70341</v>
      </c>
      <c r="B82" t="s">
        <v>168</v>
      </c>
      <c r="C82" t="s">
        <v>238</v>
      </c>
      <c r="D82">
        <v>4</v>
      </c>
      <c r="E82">
        <v>0</v>
      </c>
      <c r="F82" t="s">
        <v>247</v>
      </c>
      <c r="G82" t="s">
        <v>15</v>
      </c>
      <c r="H82">
        <v>285480</v>
      </c>
      <c r="I82" t="s">
        <v>254</v>
      </c>
    </row>
    <row r="83" spans="1:9" x14ac:dyDescent="0.25">
      <c r="A83">
        <v>70341</v>
      </c>
      <c r="B83" t="s">
        <v>168</v>
      </c>
      <c r="C83" t="s">
        <v>238</v>
      </c>
      <c r="D83">
        <v>4</v>
      </c>
      <c r="E83">
        <v>0</v>
      </c>
      <c r="F83" t="s">
        <v>247</v>
      </c>
      <c r="G83" t="s">
        <v>14</v>
      </c>
      <c r="H83">
        <v>0</v>
      </c>
      <c r="I83" t="s">
        <v>355</v>
      </c>
    </row>
    <row r="84" spans="1:9" x14ac:dyDescent="0.25">
      <c r="A84">
        <v>70341</v>
      </c>
      <c r="B84" t="s">
        <v>168</v>
      </c>
      <c r="C84" t="s">
        <v>238</v>
      </c>
      <c r="D84">
        <v>4</v>
      </c>
      <c r="E84">
        <v>0</v>
      </c>
      <c r="F84" t="s">
        <v>241</v>
      </c>
      <c r="G84" t="s">
        <v>23</v>
      </c>
      <c r="H84">
        <v>67520</v>
      </c>
      <c r="I84" t="s">
        <v>242</v>
      </c>
    </row>
    <row r="85" spans="1:9" x14ac:dyDescent="0.25">
      <c r="A85">
        <v>70341</v>
      </c>
      <c r="B85" t="s">
        <v>168</v>
      </c>
      <c r="C85" t="s">
        <v>238</v>
      </c>
      <c r="D85">
        <v>4</v>
      </c>
      <c r="E85">
        <v>0</v>
      </c>
      <c r="F85" t="s">
        <v>241</v>
      </c>
      <c r="G85" t="s">
        <v>24</v>
      </c>
      <c r="H85">
        <v>11217</v>
      </c>
      <c r="I85" t="s">
        <v>243</v>
      </c>
    </row>
    <row r="86" spans="1:9" x14ac:dyDescent="0.25">
      <c r="A86">
        <v>70341</v>
      </c>
      <c r="B86" t="s">
        <v>168</v>
      </c>
      <c r="C86" t="s">
        <v>238</v>
      </c>
      <c r="D86">
        <v>4</v>
      </c>
      <c r="E86">
        <v>0</v>
      </c>
      <c r="F86" t="s">
        <v>241</v>
      </c>
      <c r="G86" t="s">
        <v>21</v>
      </c>
      <c r="H86">
        <v>0</v>
      </c>
      <c r="I86" t="s">
        <v>356</v>
      </c>
    </row>
    <row r="87" spans="1:9" x14ac:dyDescent="0.25">
      <c r="A87">
        <v>70341</v>
      </c>
      <c r="B87" t="s">
        <v>168</v>
      </c>
      <c r="C87" t="s">
        <v>238</v>
      </c>
      <c r="D87">
        <v>4</v>
      </c>
      <c r="E87">
        <v>0</v>
      </c>
      <c r="F87" t="s">
        <v>239</v>
      </c>
      <c r="G87" t="s">
        <v>20</v>
      </c>
      <c r="H87">
        <v>-29337</v>
      </c>
      <c r="I87" t="s">
        <v>244</v>
      </c>
    </row>
    <row r="88" spans="1:9" x14ac:dyDescent="0.25">
      <c r="A88">
        <v>70341</v>
      </c>
      <c r="B88" t="s">
        <v>168</v>
      </c>
      <c r="C88" t="s">
        <v>238</v>
      </c>
      <c r="D88">
        <v>4</v>
      </c>
      <c r="E88">
        <v>0</v>
      </c>
      <c r="F88" t="s">
        <v>241</v>
      </c>
      <c r="G88" t="s">
        <v>22</v>
      </c>
      <c r="H88">
        <v>0</v>
      </c>
      <c r="I88" t="s">
        <v>245</v>
      </c>
    </row>
    <row r="89" spans="1:9" x14ac:dyDescent="0.25">
      <c r="A89">
        <v>70341</v>
      </c>
      <c r="B89" t="s">
        <v>168</v>
      </c>
      <c r="C89" t="s">
        <v>238</v>
      </c>
      <c r="D89">
        <v>4</v>
      </c>
      <c r="E89">
        <v>0</v>
      </c>
      <c r="F89" t="s">
        <v>241</v>
      </c>
      <c r="G89" t="s">
        <v>26</v>
      </c>
      <c r="H89">
        <v>1954</v>
      </c>
      <c r="I89" t="s">
        <v>246</v>
      </c>
    </row>
    <row r="90" spans="1:9" x14ac:dyDescent="0.25">
      <c r="A90">
        <v>70341</v>
      </c>
      <c r="B90" t="s">
        <v>168</v>
      </c>
      <c r="C90" t="s">
        <v>238</v>
      </c>
      <c r="D90">
        <v>4</v>
      </c>
      <c r="E90">
        <v>0</v>
      </c>
      <c r="F90" t="s">
        <v>239</v>
      </c>
      <c r="G90" t="s">
        <v>17</v>
      </c>
      <c r="H90">
        <v>0</v>
      </c>
      <c r="I90" t="s">
        <v>357</v>
      </c>
    </row>
    <row r="91" spans="1:9" x14ac:dyDescent="0.25">
      <c r="A91">
        <v>70341</v>
      </c>
      <c r="B91" t="s">
        <v>168</v>
      </c>
      <c r="C91" t="s">
        <v>238</v>
      </c>
      <c r="D91">
        <v>4</v>
      </c>
      <c r="E91">
        <v>0</v>
      </c>
      <c r="F91" t="s">
        <v>241</v>
      </c>
      <c r="G91" t="s">
        <v>24</v>
      </c>
      <c r="H91">
        <v>0</v>
      </c>
      <c r="I91" t="s">
        <v>358</v>
      </c>
    </row>
    <row r="92" spans="1:9" x14ac:dyDescent="0.25">
      <c r="A92">
        <v>70341</v>
      </c>
      <c r="B92" t="s">
        <v>168</v>
      </c>
      <c r="C92" t="s">
        <v>238</v>
      </c>
      <c r="D92">
        <v>4</v>
      </c>
      <c r="E92">
        <v>0</v>
      </c>
      <c r="F92" t="s">
        <v>241</v>
      </c>
      <c r="G92" t="s">
        <v>27</v>
      </c>
      <c r="H92">
        <v>0</v>
      </c>
      <c r="I92" t="s">
        <v>359</v>
      </c>
    </row>
    <row r="93" spans="1:9" x14ac:dyDescent="0.25">
      <c r="A93">
        <v>70341</v>
      </c>
      <c r="B93" t="s">
        <v>168</v>
      </c>
      <c r="C93" t="s">
        <v>238</v>
      </c>
      <c r="D93">
        <v>4</v>
      </c>
      <c r="E93">
        <v>0</v>
      </c>
      <c r="F93" t="s">
        <v>239</v>
      </c>
      <c r="G93" t="s">
        <v>19</v>
      </c>
      <c r="H93">
        <v>0</v>
      </c>
      <c r="I93" t="s">
        <v>360</v>
      </c>
    </row>
    <row r="94" spans="1:9" x14ac:dyDescent="0.25">
      <c r="A94">
        <v>70341</v>
      </c>
      <c r="B94" t="s">
        <v>168</v>
      </c>
      <c r="C94" t="s">
        <v>238</v>
      </c>
      <c r="D94">
        <v>4</v>
      </c>
      <c r="E94">
        <v>0</v>
      </c>
      <c r="F94" t="s">
        <v>239</v>
      </c>
      <c r="G94" t="s">
        <v>20</v>
      </c>
      <c r="H94">
        <v>40154</v>
      </c>
      <c r="I94" t="s">
        <v>255</v>
      </c>
    </row>
    <row r="95" spans="1:9" x14ac:dyDescent="0.25">
      <c r="A95">
        <v>70341</v>
      </c>
      <c r="B95" t="s">
        <v>168</v>
      </c>
      <c r="C95" t="s">
        <v>238</v>
      </c>
      <c r="D95">
        <v>4</v>
      </c>
      <c r="E95">
        <v>0</v>
      </c>
      <c r="F95" t="s">
        <v>247</v>
      </c>
      <c r="G95" t="s">
        <v>148</v>
      </c>
      <c r="H95">
        <v>954767</v>
      </c>
      <c r="I95" t="s">
        <v>256</v>
      </c>
    </row>
    <row r="96" spans="1:9" x14ac:dyDescent="0.25">
      <c r="A96">
        <v>70341</v>
      </c>
      <c r="B96" t="s">
        <v>168</v>
      </c>
      <c r="C96" t="s">
        <v>238</v>
      </c>
      <c r="D96">
        <v>4</v>
      </c>
      <c r="E96">
        <v>0</v>
      </c>
      <c r="F96" t="s">
        <v>241</v>
      </c>
      <c r="G96" t="s">
        <v>27</v>
      </c>
      <c r="H96">
        <v>4657541</v>
      </c>
      <c r="I96" t="s">
        <v>257</v>
      </c>
    </row>
    <row r="97" spans="1:9" x14ac:dyDescent="0.25">
      <c r="A97">
        <v>70341</v>
      </c>
      <c r="B97" t="s">
        <v>168</v>
      </c>
      <c r="C97" t="s">
        <v>238</v>
      </c>
      <c r="D97">
        <v>4</v>
      </c>
      <c r="E97">
        <v>0</v>
      </c>
      <c r="F97" t="s">
        <v>241</v>
      </c>
      <c r="G97" t="s">
        <v>27</v>
      </c>
      <c r="H97">
        <v>0</v>
      </c>
      <c r="I97" t="s">
        <v>361</v>
      </c>
    </row>
    <row r="98" spans="1:9" x14ac:dyDescent="0.25">
      <c r="A98">
        <v>70341</v>
      </c>
      <c r="B98" t="s">
        <v>168</v>
      </c>
      <c r="C98" t="s">
        <v>238</v>
      </c>
      <c r="D98">
        <v>4</v>
      </c>
      <c r="E98">
        <v>0</v>
      </c>
      <c r="F98" t="s">
        <v>241</v>
      </c>
      <c r="G98" t="s">
        <v>27</v>
      </c>
      <c r="H98">
        <v>0</v>
      </c>
      <c r="I98" t="s">
        <v>362</v>
      </c>
    </row>
    <row r="99" spans="1:9" x14ac:dyDescent="0.25">
      <c r="A99">
        <v>70341</v>
      </c>
      <c r="B99" t="s">
        <v>168</v>
      </c>
      <c r="C99" t="s">
        <v>238</v>
      </c>
      <c r="D99">
        <v>4</v>
      </c>
      <c r="E99">
        <v>0</v>
      </c>
      <c r="F99" t="s">
        <v>241</v>
      </c>
      <c r="G99" t="s">
        <v>27</v>
      </c>
      <c r="H99">
        <v>0</v>
      </c>
      <c r="I99" t="s">
        <v>363</v>
      </c>
    </row>
    <row r="100" spans="1:9" x14ac:dyDescent="0.25">
      <c r="A100">
        <v>70341</v>
      </c>
      <c r="B100" t="s">
        <v>168</v>
      </c>
      <c r="C100" t="s">
        <v>238</v>
      </c>
      <c r="D100">
        <v>4</v>
      </c>
      <c r="E100">
        <v>0</v>
      </c>
      <c r="F100" t="s">
        <v>239</v>
      </c>
      <c r="G100" t="s">
        <v>16</v>
      </c>
      <c r="H100">
        <v>0</v>
      </c>
      <c r="I100" t="s">
        <v>267</v>
      </c>
    </row>
    <row r="101" spans="1:9" x14ac:dyDescent="0.25">
      <c r="A101">
        <v>70341</v>
      </c>
      <c r="B101" t="s">
        <v>168</v>
      </c>
      <c r="C101" t="s">
        <v>238</v>
      </c>
      <c r="D101">
        <v>4</v>
      </c>
      <c r="E101">
        <v>0</v>
      </c>
      <c r="F101" t="s">
        <v>239</v>
      </c>
      <c r="G101" t="s">
        <v>152</v>
      </c>
      <c r="H101">
        <v>19641</v>
      </c>
      <c r="I101" t="s">
        <v>258</v>
      </c>
    </row>
    <row r="102" spans="1:9" x14ac:dyDescent="0.25">
      <c r="A102">
        <v>70341</v>
      </c>
      <c r="B102" t="s">
        <v>168</v>
      </c>
      <c r="C102" t="s">
        <v>238</v>
      </c>
      <c r="D102">
        <v>4</v>
      </c>
      <c r="E102">
        <v>0</v>
      </c>
      <c r="F102" t="s">
        <v>239</v>
      </c>
      <c r="G102" t="s">
        <v>154</v>
      </c>
      <c r="H102">
        <v>0</v>
      </c>
      <c r="I102" t="s">
        <v>330</v>
      </c>
    </row>
    <row r="103" spans="1:9" x14ac:dyDescent="0.25">
      <c r="A103">
        <v>70341</v>
      </c>
      <c r="B103" t="s">
        <v>168</v>
      </c>
      <c r="C103" t="s">
        <v>238</v>
      </c>
      <c r="D103">
        <v>4</v>
      </c>
      <c r="E103">
        <v>0</v>
      </c>
      <c r="F103" t="s">
        <v>239</v>
      </c>
      <c r="G103" t="s">
        <v>16</v>
      </c>
      <c r="H103">
        <v>4218</v>
      </c>
      <c r="I103" t="s">
        <v>259</v>
      </c>
    </row>
    <row r="104" spans="1:9" x14ac:dyDescent="0.25">
      <c r="A104">
        <v>70341</v>
      </c>
      <c r="B104" t="s">
        <v>168</v>
      </c>
      <c r="C104" t="s">
        <v>238</v>
      </c>
      <c r="D104">
        <v>4</v>
      </c>
      <c r="E104">
        <v>0</v>
      </c>
      <c r="F104" t="s">
        <v>239</v>
      </c>
      <c r="G104" t="s">
        <v>19</v>
      </c>
      <c r="H104">
        <v>45675</v>
      </c>
      <c r="I104" t="s">
        <v>260</v>
      </c>
    </row>
    <row r="105" spans="1:9" x14ac:dyDescent="0.25">
      <c r="A105">
        <v>70341</v>
      </c>
      <c r="B105" t="s">
        <v>168</v>
      </c>
      <c r="C105" t="s">
        <v>238</v>
      </c>
      <c r="D105">
        <v>4</v>
      </c>
      <c r="E105">
        <v>0</v>
      </c>
      <c r="F105" t="s">
        <v>239</v>
      </c>
      <c r="G105" t="s">
        <v>19</v>
      </c>
      <c r="H105">
        <v>0</v>
      </c>
      <c r="I105" t="s">
        <v>270</v>
      </c>
    </row>
    <row r="106" spans="1:9" x14ac:dyDescent="0.25">
      <c r="A106">
        <v>70341</v>
      </c>
      <c r="B106" t="s">
        <v>168</v>
      </c>
      <c r="C106" t="s">
        <v>238</v>
      </c>
      <c r="D106">
        <v>4</v>
      </c>
      <c r="E106">
        <v>0</v>
      </c>
      <c r="F106" t="s">
        <v>241</v>
      </c>
      <c r="G106" t="s">
        <v>139</v>
      </c>
      <c r="H106">
        <v>0</v>
      </c>
      <c r="I106" t="s">
        <v>331</v>
      </c>
    </row>
    <row r="107" spans="1:9" x14ac:dyDescent="0.25">
      <c r="A107">
        <v>70341</v>
      </c>
      <c r="B107" t="s">
        <v>168</v>
      </c>
      <c r="C107" t="s">
        <v>238</v>
      </c>
      <c r="D107">
        <v>4</v>
      </c>
      <c r="E107">
        <v>0</v>
      </c>
      <c r="F107" t="s">
        <v>261</v>
      </c>
      <c r="G107" t="s">
        <v>261</v>
      </c>
      <c r="H107">
        <v>2611105</v>
      </c>
      <c r="I107" t="s">
        <v>262</v>
      </c>
    </row>
    <row r="108" spans="1:9" x14ac:dyDescent="0.25">
      <c r="A108">
        <v>70341</v>
      </c>
      <c r="B108" t="s">
        <v>168</v>
      </c>
      <c r="C108" t="s">
        <v>238</v>
      </c>
      <c r="D108">
        <v>4</v>
      </c>
      <c r="E108">
        <v>0</v>
      </c>
      <c r="F108" t="s">
        <v>239</v>
      </c>
      <c r="G108" t="s">
        <v>19</v>
      </c>
      <c r="H108">
        <v>173653</v>
      </c>
      <c r="I108" t="s">
        <v>263</v>
      </c>
    </row>
    <row r="109" spans="1:9" x14ac:dyDescent="0.25">
      <c r="A109">
        <v>70341</v>
      </c>
      <c r="B109" t="s">
        <v>168</v>
      </c>
      <c r="C109" t="s">
        <v>238</v>
      </c>
      <c r="D109">
        <v>4</v>
      </c>
      <c r="E109">
        <v>0</v>
      </c>
      <c r="F109" t="s">
        <v>239</v>
      </c>
      <c r="G109" t="s">
        <v>16</v>
      </c>
      <c r="H109">
        <v>5128</v>
      </c>
      <c r="I109" t="s">
        <v>240</v>
      </c>
    </row>
    <row r="110" spans="1:9" x14ac:dyDescent="0.25">
      <c r="A110">
        <v>70341</v>
      </c>
      <c r="B110" t="s">
        <v>168</v>
      </c>
      <c r="C110" t="s">
        <v>238</v>
      </c>
      <c r="D110">
        <v>4</v>
      </c>
      <c r="E110">
        <v>0</v>
      </c>
      <c r="F110" t="s">
        <v>239</v>
      </c>
      <c r="G110" t="s">
        <v>19</v>
      </c>
      <c r="H110">
        <v>46908</v>
      </c>
      <c r="I110" t="s">
        <v>264</v>
      </c>
    </row>
    <row r="111" spans="1:9" x14ac:dyDescent="0.25">
      <c r="A111">
        <v>70341</v>
      </c>
      <c r="B111" t="s">
        <v>168</v>
      </c>
      <c r="C111" t="s">
        <v>238</v>
      </c>
      <c r="D111">
        <v>4</v>
      </c>
      <c r="E111">
        <v>0</v>
      </c>
      <c r="F111" t="s">
        <v>241</v>
      </c>
      <c r="G111" t="s">
        <v>158</v>
      </c>
      <c r="H111">
        <v>43349</v>
      </c>
      <c r="I111" t="s">
        <v>265</v>
      </c>
    </row>
    <row r="112" spans="1:9" x14ac:dyDescent="0.25">
      <c r="A112">
        <v>70341</v>
      </c>
      <c r="B112" t="s">
        <v>168</v>
      </c>
      <c r="C112" t="s">
        <v>238</v>
      </c>
      <c r="D112">
        <v>4</v>
      </c>
      <c r="E112">
        <v>0</v>
      </c>
      <c r="F112" t="s">
        <v>239</v>
      </c>
      <c r="G112" t="s">
        <v>19</v>
      </c>
      <c r="H112">
        <v>0</v>
      </c>
      <c r="I112" t="s">
        <v>271</v>
      </c>
    </row>
    <row r="113" spans="1:9" x14ac:dyDescent="0.25">
      <c r="A113">
        <v>70341</v>
      </c>
      <c r="B113" t="s">
        <v>168</v>
      </c>
      <c r="C113" t="s">
        <v>238</v>
      </c>
      <c r="D113">
        <v>4</v>
      </c>
      <c r="E113">
        <v>0</v>
      </c>
      <c r="F113" t="s">
        <v>239</v>
      </c>
      <c r="G113" t="s">
        <v>19</v>
      </c>
      <c r="H113">
        <v>0</v>
      </c>
      <c r="I113" t="s">
        <v>266</v>
      </c>
    </row>
    <row r="114" spans="1:9" x14ac:dyDescent="0.25">
      <c r="A114">
        <v>70341</v>
      </c>
      <c r="B114" t="s">
        <v>168</v>
      </c>
      <c r="C114" t="s">
        <v>238</v>
      </c>
      <c r="D114">
        <v>4</v>
      </c>
      <c r="E114">
        <v>0</v>
      </c>
      <c r="F114" t="s">
        <v>241</v>
      </c>
      <c r="G114" t="s">
        <v>143</v>
      </c>
      <c r="H114">
        <v>0</v>
      </c>
      <c r="I114" t="s">
        <v>332</v>
      </c>
    </row>
    <row r="115" spans="1:9" x14ac:dyDescent="0.25">
      <c r="A115">
        <v>70341</v>
      </c>
      <c r="B115" t="s">
        <v>168</v>
      </c>
      <c r="C115" t="s">
        <v>238</v>
      </c>
      <c r="D115">
        <v>4</v>
      </c>
      <c r="E115">
        <v>0</v>
      </c>
      <c r="F115" t="s">
        <v>241</v>
      </c>
      <c r="G115" t="s">
        <v>138</v>
      </c>
      <c r="H115">
        <v>0</v>
      </c>
      <c r="I115" t="s">
        <v>333</v>
      </c>
    </row>
    <row r="116" spans="1:9" x14ac:dyDescent="0.25">
      <c r="A116">
        <v>70341</v>
      </c>
      <c r="B116" t="s">
        <v>168</v>
      </c>
      <c r="C116" t="s">
        <v>238</v>
      </c>
      <c r="D116">
        <v>4</v>
      </c>
      <c r="E116">
        <v>0</v>
      </c>
      <c r="F116" t="s">
        <v>241</v>
      </c>
      <c r="G116" t="s">
        <v>138</v>
      </c>
      <c r="H116">
        <v>0</v>
      </c>
      <c r="I116" t="s">
        <v>334</v>
      </c>
    </row>
    <row r="117" spans="1:9" x14ac:dyDescent="0.25">
      <c r="A117">
        <v>70341</v>
      </c>
      <c r="B117" t="s">
        <v>168</v>
      </c>
      <c r="C117" t="s">
        <v>238</v>
      </c>
      <c r="D117">
        <v>4</v>
      </c>
      <c r="E117">
        <v>0</v>
      </c>
      <c r="F117" t="s">
        <v>241</v>
      </c>
      <c r="G117" t="s">
        <v>138</v>
      </c>
      <c r="H117">
        <v>-82977</v>
      </c>
      <c r="I117" t="s">
        <v>268</v>
      </c>
    </row>
    <row r="118" spans="1:9" x14ac:dyDescent="0.25">
      <c r="A118">
        <v>70341</v>
      </c>
      <c r="B118" t="s">
        <v>168</v>
      </c>
      <c r="C118" t="s">
        <v>238</v>
      </c>
      <c r="D118">
        <v>4</v>
      </c>
      <c r="E118">
        <v>0</v>
      </c>
      <c r="F118" t="s">
        <v>241</v>
      </c>
      <c r="G118" t="s">
        <v>139</v>
      </c>
      <c r="H118">
        <v>0</v>
      </c>
      <c r="I118" t="s">
        <v>336</v>
      </c>
    </row>
    <row r="119" spans="1:9" x14ac:dyDescent="0.25">
      <c r="A119">
        <v>70341</v>
      </c>
      <c r="B119" t="s">
        <v>168</v>
      </c>
      <c r="C119" t="s">
        <v>238</v>
      </c>
      <c r="D119">
        <v>4</v>
      </c>
      <c r="E119">
        <v>0</v>
      </c>
      <c r="F119" t="s">
        <v>241</v>
      </c>
      <c r="G119" t="s">
        <v>139</v>
      </c>
      <c r="H119">
        <v>0</v>
      </c>
      <c r="I119" t="s">
        <v>337</v>
      </c>
    </row>
    <row r="120" spans="1:9" x14ac:dyDescent="0.25">
      <c r="A120">
        <v>70341</v>
      </c>
      <c r="B120" t="s">
        <v>168</v>
      </c>
      <c r="C120" t="s">
        <v>238</v>
      </c>
      <c r="D120">
        <v>4</v>
      </c>
      <c r="E120">
        <v>0</v>
      </c>
      <c r="F120" t="s">
        <v>241</v>
      </c>
      <c r="G120" t="s">
        <v>139</v>
      </c>
      <c r="H120">
        <v>0</v>
      </c>
      <c r="I120" t="s">
        <v>335</v>
      </c>
    </row>
    <row r="121" spans="1:9" x14ac:dyDescent="0.25">
      <c r="A121">
        <v>70341</v>
      </c>
      <c r="B121" t="s">
        <v>168</v>
      </c>
      <c r="C121" t="s">
        <v>238</v>
      </c>
      <c r="D121">
        <v>4</v>
      </c>
      <c r="E121">
        <v>0</v>
      </c>
      <c r="F121" t="s">
        <v>241</v>
      </c>
      <c r="G121" t="s">
        <v>24</v>
      </c>
      <c r="H121">
        <v>0</v>
      </c>
      <c r="I121" t="s">
        <v>338</v>
      </c>
    </row>
    <row r="122" spans="1:9" x14ac:dyDescent="0.25">
      <c r="A122">
        <v>70341</v>
      </c>
      <c r="B122" t="s">
        <v>168</v>
      </c>
      <c r="C122" t="s">
        <v>238</v>
      </c>
      <c r="D122">
        <v>4</v>
      </c>
      <c r="E122">
        <v>0</v>
      </c>
      <c r="F122" t="s">
        <v>241</v>
      </c>
      <c r="G122" t="s">
        <v>24</v>
      </c>
      <c r="H122">
        <v>0</v>
      </c>
      <c r="I122" t="s">
        <v>339</v>
      </c>
    </row>
    <row r="123" spans="1:9" x14ac:dyDescent="0.25">
      <c r="A123">
        <v>70341</v>
      </c>
      <c r="B123" t="s">
        <v>168</v>
      </c>
      <c r="C123" t="s">
        <v>238</v>
      </c>
      <c r="D123">
        <v>4</v>
      </c>
      <c r="E123">
        <v>0</v>
      </c>
      <c r="F123" t="s">
        <v>241</v>
      </c>
      <c r="G123" t="s">
        <v>24</v>
      </c>
      <c r="H123">
        <v>0</v>
      </c>
      <c r="I123" t="s">
        <v>340</v>
      </c>
    </row>
    <row r="124" spans="1:9" x14ac:dyDescent="0.25">
      <c r="A124">
        <v>70341</v>
      </c>
      <c r="B124" t="s">
        <v>168</v>
      </c>
      <c r="C124" t="s">
        <v>238</v>
      </c>
      <c r="D124">
        <v>4</v>
      </c>
      <c r="E124">
        <v>0</v>
      </c>
      <c r="F124" t="s">
        <v>241</v>
      </c>
      <c r="G124" t="s">
        <v>137</v>
      </c>
      <c r="H124">
        <v>0</v>
      </c>
      <c r="I124" t="s">
        <v>273</v>
      </c>
    </row>
    <row r="125" spans="1:9" x14ac:dyDescent="0.25">
      <c r="A125">
        <v>70341</v>
      </c>
      <c r="B125" t="s">
        <v>168</v>
      </c>
      <c r="C125" t="s">
        <v>238</v>
      </c>
      <c r="D125">
        <v>4</v>
      </c>
      <c r="E125">
        <v>0</v>
      </c>
      <c r="F125" t="s">
        <v>241</v>
      </c>
      <c r="G125" t="s">
        <v>137</v>
      </c>
      <c r="H125">
        <v>0</v>
      </c>
      <c r="I125" t="s">
        <v>341</v>
      </c>
    </row>
    <row r="126" spans="1:9" x14ac:dyDescent="0.25">
      <c r="A126">
        <v>70341</v>
      </c>
      <c r="B126" t="s">
        <v>168</v>
      </c>
      <c r="C126" t="s">
        <v>238</v>
      </c>
      <c r="D126">
        <v>4</v>
      </c>
      <c r="E126">
        <v>0</v>
      </c>
      <c r="F126" t="s">
        <v>241</v>
      </c>
      <c r="G126" t="s">
        <v>137</v>
      </c>
      <c r="H126">
        <v>0</v>
      </c>
      <c r="I126" t="s">
        <v>342</v>
      </c>
    </row>
    <row r="127" spans="1:9" x14ac:dyDescent="0.25">
      <c r="A127">
        <v>70341</v>
      </c>
      <c r="B127" t="s">
        <v>168</v>
      </c>
      <c r="C127" t="s">
        <v>238</v>
      </c>
      <c r="D127">
        <v>4</v>
      </c>
      <c r="E127">
        <v>0</v>
      </c>
      <c r="F127" t="s">
        <v>241</v>
      </c>
      <c r="G127" t="s">
        <v>137</v>
      </c>
      <c r="H127">
        <v>0</v>
      </c>
      <c r="I127" t="s">
        <v>343</v>
      </c>
    </row>
    <row r="128" spans="1:9" x14ac:dyDescent="0.25">
      <c r="A128">
        <v>70341</v>
      </c>
      <c r="B128" t="s">
        <v>168</v>
      </c>
      <c r="C128" t="s">
        <v>238</v>
      </c>
      <c r="D128">
        <v>4</v>
      </c>
      <c r="E128">
        <v>0</v>
      </c>
      <c r="F128" t="s">
        <v>241</v>
      </c>
      <c r="G128" t="s">
        <v>143</v>
      </c>
      <c r="H128">
        <v>0</v>
      </c>
      <c r="I128" t="s">
        <v>344</v>
      </c>
    </row>
    <row r="129" spans="1:9" x14ac:dyDescent="0.25">
      <c r="A129">
        <v>70341</v>
      </c>
      <c r="B129" t="s">
        <v>168</v>
      </c>
      <c r="C129" t="s">
        <v>238</v>
      </c>
      <c r="D129">
        <v>4</v>
      </c>
      <c r="E129">
        <v>0</v>
      </c>
      <c r="F129" t="s">
        <v>241</v>
      </c>
      <c r="G129" t="s">
        <v>143</v>
      </c>
      <c r="H129">
        <v>0</v>
      </c>
      <c r="I129" t="s">
        <v>345</v>
      </c>
    </row>
    <row r="130" spans="1:9" x14ac:dyDescent="0.25">
      <c r="A130">
        <v>70341</v>
      </c>
      <c r="B130" t="s">
        <v>168</v>
      </c>
      <c r="C130" t="s">
        <v>238</v>
      </c>
      <c r="D130">
        <v>4</v>
      </c>
      <c r="E130">
        <v>0</v>
      </c>
      <c r="F130" t="s">
        <v>241</v>
      </c>
      <c r="G130" t="s">
        <v>143</v>
      </c>
      <c r="H130">
        <v>0</v>
      </c>
      <c r="I130" t="s">
        <v>346</v>
      </c>
    </row>
    <row r="131" spans="1:9" x14ac:dyDescent="0.25">
      <c r="A131">
        <v>70341</v>
      </c>
      <c r="B131" t="s">
        <v>168</v>
      </c>
      <c r="C131" t="s">
        <v>238</v>
      </c>
      <c r="D131">
        <v>4</v>
      </c>
      <c r="E131">
        <v>0</v>
      </c>
      <c r="F131" t="s">
        <v>241</v>
      </c>
      <c r="G131" t="s">
        <v>138</v>
      </c>
      <c r="H131">
        <v>0</v>
      </c>
      <c r="I131" t="s">
        <v>347</v>
      </c>
    </row>
    <row r="132" spans="1:9" x14ac:dyDescent="0.25">
      <c r="A132">
        <v>70342</v>
      </c>
      <c r="B132" t="s">
        <v>170</v>
      </c>
      <c r="C132" t="s">
        <v>238</v>
      </c>
      <c r="D132">
        <v>4</v>
      </c>
      <c r="E132">
        <v>0</v>
      </c>
      <c r="F132" t="s">
        <v>239</v>
      </c>
      <c r="G132" t="s">
        <v>153</v>
      </c>
      <c r="H132">
        <v>0</v>
      </c>
      <c r="I132" t="s">
        <v>351</v>
      </c>
    </row>
    <row r="133" spans="1:9" x14ac:dyDescent="0.25">
      <c r="A133">
        <v>70342</v>
      </c>
      <c r="B133" t="s">
        <v>170</v>
      </c>
      <c r="C133" t="s">
        <v>238</v>
      </c>
      <c r="D133">
        <v>4</v>
      </c>
      <c r="E133">
        <v>0</v>
      </c>
      <c r="F133" t="s">
        <v>239</v>
      </c>
      <c r="G133" t="s">
        <v>152</v>
      </c>
      <c r="H133">
        <v>0</v>
      </c>
      <c r="I133" t="s">
        <v>352</v>
      </c>
    </row>
    <row r="134" spans="1:9" x14ac:dyDescent="0.25">
      <c r="A134">
        <v>70342</v>
      </c>
      <c r="B134" t="s">
        <v>170</v>
      </c>
      <c r="C134" t="s">
        <v>238</v>
      </c>
      <c r="D134">
        <v>4</v>
      </c>
      <c r="E134">
        <v>0</v>
      </c>
      <c r="F134" t="s">
        <v>239</v>
      </c>
      <c r="G134" t="s">
        <v>154</v>
      </c>
      <c r="H134">
        <v>0</v>
      </c>
      <c r="I134" t="s">
        <v>349</v>
      </c>
    </row>
    <row r="135" spans="1:9" x14ac:dyDescent="0.25">
      <c r="A135">
        <v>70342</v>
      </c>
      <c r="B135" t="s">
        <v>170</v>
      </c>
      <c r="C135" t="s">
        <v>238</v>
      </c>
      <c r="D135">
        <v>4</v>
      </c>
      <c r="E135">
        <v>0</v>
      </c>
      <c r="F135" t="s">
        <v>241</v>
      </c>
      <c r="G135" t="s">
        <v>26</v>
      </c>
      <c r="H135">
        <v>0</v>
      </c>
      <c r="I135" t="s">
        <v>350</v>
      </c>
    </row>
    <row r="136" spans="1:9" x14ac:dyDescent="0.25">
      <c r="A136">
        <v>70342</v>
      </c>
      <c r="B136" t="s">
        <v>170</v>
      </c>
      <c r="C136" t="s">
        <v>238</v>
      </c>
      <c r="D136">
        <v>4</v>
      </c>
      <c r="E136">
        <v>0</v>
      </c>
      <c r="F136" t="s">
        <v>241</v>
      </c>
      <c r="G136" t="s">
        <v>23</v>
      </c>
      <c r="H136">
        <v>0</v>
      </c>
      <c r="I136" t="s">
        <v>269</v>
      </c>
    </row>
    <row r="137" spans="1:9" x14ac:dyDescent="0.25">
      <c r="A137">
        <v>70342</v>
      </c>
      <c r="B137" t="s">
        <v>170</v>
      </c>
      <c r="C137" t="s">
        <v>238</v>
      </c>
      <c r="D137">
        <v>4</v>
      </c>
      <c r="E137">
        <v>0</v>
      </c>
      <c r="F137" t="s">
        <v>241</v>
      </c>
      <c r="G137" t="s">
        <v>26</v>
      </c>
      <c r="H137">
        <v>0</v>
      </c>
      <c r="I137" t="s">
        <v>353</v>
      </c>
    </row>
    <row r="138" spans="1:9" x14ac:dyDescent="0.25">
      <c r="A138">
        <v>70342</v>
      </c>
      <c r="B138" t="s">
        <v>170</v>
      </c>
      <c r="C138" t="s">
        <v>238</v>
      </c>
      <c r="D138">
        <v>4</v>
      </c>
      <c r="E138">
        <v>0</v>
      </c>
      <c r="F138" t="s">
        <v>241</v>
      </c>
      <c r="G138" t="s">
        <v>157</v>
      </c>
      <c r="H138">
        <v>0</v>
      </c>
      <c r="I138" t="s">
        <v>348</v>
      </c>
    </row>
    <row r="139" spans="1:9" x14ac:dyDescent="0.25">
      <c r="A139">
        <v>70342</v>
      </c>
      <c r="B139" t="s">
        <v>170</v>
      </c>
      <c r="C139" t="s">
        <v>238</v>
      </c>
      <c r="D139">
        <v>4</v>
      </c>
      <c r="E139">
        <v>0</v>
      </c>
      <c r="F139" t="s">
        <v>261</v>
      </c>
      <c r="G139" t="s">
        <v>261</v>
      </c>
      <c r="H139">
        <v>0</v>
      </c>
      <c r="I139" t="s">
        <v>272</v>
      </c>
    </row>
    <row r="140" spans="1:9" x14ac:dyDescent="0.25">
      <c r="A140">
        <v>70342</v>
      </c>
      <c r="B140" t="s">
        <v>170</v>
      </c>
      <c r="C140" t="s">
        <v>238</v>
      </c>
      <c r="D140">
        <v>4</v>
      </c>
      <c r="E140">
        <v>0</v>
      </c>
      <c r="F140" t="s">
        <v>261</v>
      </c>
      <c r="G140" t="s">
        <v>261</v>
      </c>
      <c r="H140">
        <v>0</v>
      </c>
      <c r="I140" t="s">
        <v>354</v>
      </c>
    </row>
    <row r="141" spans="1:9" x14ac:dyDescent="0.25">
      <c r="A141">
        <v>70342</v>
      </c>
      <c r="B141" t="s">
        <v>170</v>
      </c>
      <c r="C141" t="s">
        <v>238</v>
      </c>
      <c r="D141">
        <v>4</v>
      </c>
      <c r="E141">
        <v>0</v>
      </c>
      <c r="F141" t="s">
        <v>247</v>
      </c>
      <c r="G141" t="s">
        <v>12</v>
      </c>
      <c r="H141">
        <v>-2625445</v>
      </c>
      <c r="I141" t="s">
        <v>248</v>
      </c>
    </row>
    <row r="142" spans="1:9" x14ac:dyDescent="0.25">
      <c r="A142">
        <v>70342</v>
      </c>
      <c r="B142" t="s">
        <v>170</v>
      </c>
      <c r="C142" t="s">
        <v>238</v>
      </c>
      <c r="D142">
        <v>4</v>
      </c>
      <c r="E142">
        <v>0</v>
      </c>
      <c r="F142" t="s">
        <v>247</v>
      </c>
      <c r="G142" t="s">
        <v>13</v>
      </c>
      <c r="H142">
        <v>4335982</v>
      </c>
      <c r="I142" t="s">
        <v>249</v>
      </c>
    </row>
    <row r="143" spans="1:9" x14ac:dyDescent="0.25">
      <c r="A143">
        <v>70342</v>
      </c>
      <c r="B143" t="s">
        <v>170</v>
      </c>
      <c r="C143" t="s">
        <v>238</v>
      </c>
      <c r="D143">
        <v>4</v>
      </c>
      <c r="E143">
        <v>0</v>
      </c>
      <c r="F143" t="s">
        <v>241</v>
      </c>
      <c r="G143" t="s">
        <v>25</v>
      </c>
      <c r="H143">
        <v>6300</v>
      </c>
      <c r="I143" t="s">
        <v>250</v>
      </c>
    </row>
    <row r="144" spans="1:9" x14ac:dyDescent="0.25">
      <c r="A144">
        <v>70342</v>
      </c>
      <c r="B144" t="s">
        <v>170</v>
      </c>
      <c r="C144" t="s">
        <v>238</v>
      </c>
      <c r="D144">
        <v>4</v>
      </c>
      <c r="E144">
        <v>0</v>
      </c>
      <c r="F144" t="s">
        <v>241</v>
      </c>
      <c r="G144" t="s">
        <v>26</v>
      </c>
      <c r="H144">
        <v>0</v>
      </c>
      <c r="I144" t="s">
        <v>251</v>
      </c>
    </row>
    <row r="145" spans="1:9" x14ac:dyDescent="0.25">
      <c r="A145">
        <v>70342</v>
      </c>
      <c r="B145" t="s">
        <v>170</v>
      </c>
      <c r="C145" t="s">
        <v>238</v>
      </c>
      <c r="D145">
        <v>4</v>
      </c>
      <c r="E145">
        <v>0</v>
      </c>
      <c r="F145" t="s">
        <v>239</v>
      </c>
      <c r="G145" t="s">
        <v>18</v>
      </c>
      <c r="H145">
        <v>132995</v>
      </c>
      <c r="I145" t="s">
        <v>252</v>
      </c>
    </row>
    <row r="146" spans="1:9" x14ac:dyDescent="0.25">
      <c r="A146">
        <v>70342</v>
      </c>
      <c r="B146" t="s">
        <v>170</v>
      </c>
      <c r="C146" t="s">
        <v>238</v>
      </c>
      <c r="D146">
        <v>4</v>
      </c>
      <c r="E146">
        <v>0</v>
      </c>
      <c r="F146" t="s">
        <v>241</v>
      </c>
      <c r="G146" t="s">
        <v>26</v>
      </c>
      <c r="H146">
        <v>0</v>
      </c>
      <c r="I146" t="s">
        <v>253</v>
      </c>
    </row>
    <row r="147" spans="1:9" x14ac:dyDescent="0.25">
      <c r="A147">
        <v>70342</v>
      </c>
      <c r="B147" t="s">
        <v>170</v>
      </c>
      <c r="C147" t="s">
        <v>238</v>
      </c>
      <c r="D147">
        <v>4</v>
      </c>
      <c r="E147">
        <v>0</v>
      </c>
      <c r="F147" t="s">
        <v>247</v>
      </c>
      <c r="G147" t="s">
        <v>15</v>
      </c>
      <c r="H147">
        <v>294273</v>
      </c>
      <c r="I147" t="s">
        <v>254</v>
      </c>
    </row>
    <row r="148" spans="1:9" x14ac:dyDescent="0.25">
      <c r="A148">
        <v>70342</v>
      </c>
      <c r="B148" t="s">
        <v>170</v>
      </c>
      <c r="C148" t="s">
        <v>238</v>
      </c>
      <c r="D148">
        <v>4</v>
      </c>
      <c r="E148">
        <v>0</v>
      </c>
      <c r="F148" t="s">
        <v>247</v>
      </c>
      <c r="G148" t="s">
        <v>14</v>
      </c>
      <c r="H148">
        <v>0</v>
      </c>
      <c r="I148" t="s">
        <v>355</v>
      </c>
    </row>
    <row r="149" spans="1:9" x14ac:dyDescent="0.25">
      <c r="A149">
        <v>70342</v>
      </c>
      <c r="B149" t="s">
        <v>170</v>
      </c>
      <c r="C149" t="s">
        <v>238</v>
      </c>
      <c r="D149">
        <v>4</v>
      </c>
      <c r="E149">
        <v>0</v>
      </c>
      <c r="F149" t="s">
        <v>241</v>
      </c>
      <c r="G149" t="s">
        <v>23</v>
      </c>
      <c r="H149">
        <v>73366</v>
      </c>
      <c r="I149" t="s">
        <v>242</v>
      </c>
    </row>
    <row r="150" spans="1:9" x14ac:dyDescent="0.25">
      <c r="A150">
        <v>70342</v>
      </c>
      <c r="B150" t="s">
        <v>170</v>
      </c>
      <c r="C150" t="s">
        <v>238</v>
      </c>
      <c r="D150">
        <v>4</v>
      </c>
      <c r="E150">
        <v>0</v>
      </c>
      <c r="F150" t="s">
        <v>241</v>
      </c>
      <c r="G150" t="s">
        <v>24</v>
      </c>
      <c r="H150">
        <v>321876</v>
      </c>
      <c r="I150" t="s">
        <v>243</v>
      </c>
    </row>
    <row r="151" spans="1:9" x14ac:dyDescent="0.25">
      <c r="A151">
        <v>70342</v>
      </c>
      <c r="B151" t="s">
        <v>170</v>
      </c>
      <c r="C151" t="s">
        <v>238</v>
      </c>
      <c r="D151">
        <v>4</v>
      </c>
      <c r="E151">
        <v>0</v>
      </c>
      <c r="F151" t="s">
        <v>241</v>
      </c>
      <c r="G151" t="s">
        <v>21</v>
      </c>
      <c r="H151">
        <v>0</v>
      </c>
      <c r="I151" t="s">
        <v>356</v>
      </c>
    </row>
    <row r="152" spans="1:9" x14ac:dyDescent="0.25">
      <c r="A152">
        <v>70342</v>
      </c>
      <c r="B152" t="s">
        <v>170</v>
      </c>
      <c r="C152" t="s">
        <v>238</v>
      </c>
      <c r="D152">
        <v>4</v>
      </c>
      <c r="E152">
        <v>0</v>
      </c>
      <c r="F152" t="s">
        <v>239</v>
      </c>
      <c r="G152" t="s">
        <v>20</v>
      </c>
      <c r="H152">
        <v>-806</v>
      </c>
      <c r="I152" t="s">
        <v>244</v>
      </c>
    </row>
    <row r="153" spans="1:9" x14ac:dyDescent="0.25">
      <c r="A153">
        <v>70342</v>
      </c>
      <c r="B153" t="s">
        <v>170</v>
      </c>
      <c r="C153" t="s">
        <v>238</v>
      </c>
      <c r="D153">
        <v>4</v>
      </c>
      <c r="E153">
        <v>0</v>
      </c>
      <c r="F153" t="s">
        <v>241</v>
      </c>
      <c r="G153" t="s">
        <v>22</v>
      </c>
      <c r="H153">
        <v>9</v>
      </c>
      <c r="I153" t="s">
        <v>245</v>
      </c>
    </row>
    <row r="154" spans="1:9" x14ac:dyDescent="0.25">
      <c r="A154">
        <v>70342</v>
      </c>
      <c r="B154" t="s">
        <v>170</v>
      </c>
      <c r="C154" t="s">
        <v>238</v>
      </c>
      <c r="D154">
        <v>4</v>
      </c>
      <c r="E154">
        <v>0</v>
      </c>
      <c r="F154" t="s">
        <v>241</v>
      </c>
      <c r="G154" t="s">
        <v>26</v>
      </c>
      <c r="H154">
        <v>1591</v>
      </c>
      <c r="I154" t="s">
        <v>246</v>
      </c>
    </row>
    <row r="155" spans="1:9" x14ac:dyDescent="0.25">
      <c r="A155">
        <v>70342</v>
      </c>
      <c r="B155" t="s">
        <v>170</v>
      </c>
      <c r="C155" t="s">
        <v>238</v>
      </c>
      <c r="D155">
        <v>4</v>
      </c>
      <c r="E155">
        <v>0</v>
      </c>
      <c r="F155" t="s">
        <v>239</v>
      </c>
      <c r="G155" t="s">
        <v>17</v>
      </c>
      <c r="H155">
        <v>0</v>
      </c>
      <c r="I155" t="s">
        <v>357</v>
      </c>
    </row>
    <row r="156" spans="1:9" x14ac:dyDescent="0.25">
      <c r="A156">
        <v>70342</v>
      </c>
      <c r="B156" t="s">
        <v>170</v>
      </c>
      <c r="C156" t="s">
        <v>238</v>
      </c>
      <c r="D156">
        <v>4</v>
      </c>
      <c r="E156">
        <v>0</v>
      </c>
      <c r="F156" t="s">
        <v>241</v>
      </c>
      <c r="G156" t="s">
        <v>24</v>
      </c>
      <c r="H156">
        <v>0</v>
      </c>
      <c r="I156" t="s">
        <v>358</v>
      </c>
    </row>
    <row r="157" spans="1:9" x14ac:dyDescent="0.25">
      <c r="A157">
        <v>70342</v>
      </c>
      <c r="B157" t="s">
        <v>170</v>
      </c>
      <c r="C157" t="s">
        <v>238</v>
      </c>
      <c r="D157">
        <v>4</v>
      </c>
      <c r="E157">
        <v>0</v>
      </c>
      <c r="F157" t="s">
        <v>241</v>
      </c>
      <c r="G157" t="s">
        <v>27</v>
      </c>
      <c r="H157">
        <v>0</v>
      </c>
      <c r="I157" t="s">
        <v>359</v>
      </c>
    </row>
    <row r="158" spans="1:9" x14ac:dyDescent="0.25">
      <c r="A158">
        <v>70342</v>
      </c>
      <c r="B158" t="s">
        <v>170</v>
      </c>
      <c r="C158" t="s">
        <v>238</v>
      </c>
      <c r="D158">
        <v>4</v>
      </c>
      <c r="E158">
        <v>0</v>
      </c>
      <c r="F158" t="s">
        <v>239</v>
      </c>
      <c r="G158" t="s">
        <v>19</v>
      </c>
      <c r="H158">
        <v>0</v>
      </c>
      <c r="I158" t="s">
        <v>360</v>
      </c>
    </row>
    <row r="159" spans="1:9" x14ac:dyDescent="0.25">
      <c r="A159">
        <v>70342</v>
      </c>
      <c r="B159" t="s">
        <v>170</v>
      </c>
      <c r="C159" t="s">
        <v>238</v>
      </c>
      <c r="D159">
        <v>4</v>
      </c>
      <c r="E159">
        <v>0</v>
      </c>
      <c r="F159" t="s">
        <v>239</v>
      </c>
      <c r="G159" t="s">
        <v>20</v>
      </c>
      <c r="H159">
        <v>48388</v>
      </c>
      <c r="I159" t="s">
        <v>255</v>
      </c>
    </row>
    <row r="160" spans="1:9" x14ac:dyDescent="0.25">
      <c r="A160">
        <v>70342</v>
      </c>
      <c r="B160" t="s">
        <v>170</v>
      </c>
      <c r="C160" t="s">
        <v>238</v>
      </c>
      <c r="D160">
        <v>4</v>
      </c>
      <c r="E160">
        <v>0</v>
      </c>
      <c r="F160" t="s">
        <v>247</v>
      </c>
      <c r="G160" t="s">
        <v>148</v>
      </c>
      <c r="H160">
        <v>214886</v>
      </c>
      <c r="I160" t="s">
        <v>256</v>
      </c>
    </row>
    <row r="161" spans="1:9" x14ac:dyDescent="0.25">
      <c r="A161">
        <v>70342</v>
      </c>
      <c r="B161" t="s">
        <v>170</v>
      </c>
      <c r="C161" t="s">
        <v>238</v>
      </c>
      <c r="D161">
        <v>4</v>
      </c>
      <c r="E161">
        <v>0</v>
      </c>
      <c r="F161" t="s">
        <v>241</v>
      </c>
      <c r="G161" t="s">
        <v>27</v>
      </c>
      <c r="H161">
        <v>3316380</v>
      </c>
      <c r="I161" t="s">
        <v>257</v>
      </c>
    </row>
    <row r="162" spans="1:9" x14ac:dyDescent="0.25">
      <c r="A162">
        <v>70342</v>
      </c>
      <c r="B162" t="s">
        <v>170</v>
      </c>
      <c r="C162" t="s">
        <v>238</v>
      </c>
      <c r="D162">
        <v>4</v>
      </c>
      <c r="E162">
        <v>0</v>
      </c>
      <c r="F162" t="s">
        <v>241</v>
      </c>
      <c r="G162" t="s">
        <v>27</v>
      </c>
      <c r="H162">
        <v>0</v>
      </c>
      <c r="I162" t="s">
        <v>361</v>
      </c>
    </row>
    <row r="163" spans="1:9" x14ac:dyDescent="0.25">
      <c r="A163">
        <v>70342</v>
      </c>
      <c r="B163" t="s">
        <v>170</v>
      </c>
      <c r="C163" t="s">
        <v>238</v>
      </c>
      <c r="D163">
        <v>4</v>
      </c>
      <c r="E163">
        <v>0</v>
      </c>
      <c r="F163" t="s">
        <v>241</v>
      </c>
      <c r="G163" t="s">
        <v>27</v>
      </c>
      <c r="H163">
        <v>0</v>
      </c>
      <c r="I163" t="s">
        <v>362</v>
      </c>
    </row>
    <row r="164" spans="1:9" x14ac:dyDescent="0.25">
      <c r="A164">
        <v>70342</v>
      </c>
      <c r="B164" t="s">
        <v>170</v>
      </c>
      <c r="C164" t="s">
        <v>238</v>
      </c>
      <c r="D164">
        <v>4</v>
      </c>
      <c r="E164">
        <v>0</v>
      </c>
      <c r="F164" t="s">
        <v>241</v>
      </c>
      <c r="G164" t="s">
        <v>27</v>
      </c>
      <c r="H164">
        <v>0</v>
      </c>
      <c r="I164" t="s">
        <v>363</v>
      </c>
    </row>
    <row r="165" spans="1:9" x14ac:dyDescent="0.25">
      <c r="A165">
        <v>70342</v>
      </c>
      <c r="B165" t="s">
        <v>170</v>
      </c>
      <c r="C165" t="s">
        <v>238</v>
      </c>
      <c r="D165">
        <v>4</v>
      </c>
      <c r="E165">
        <v>0</v>
      </c>
      <c r="F165" t="s">
        <v>239</v>
      </c>
      <c r="G165" t="s">
        <v>16</v>
      </c>
      <c r="H165">
        <v>0</v>
      </c>
      <c r="I165" t="s">
        <v>267</v>
      </c>
    </row>
    <row r="166" spans="1:9" x14ac:dyDescent="0.25">
      <c r="A166">
        <v>70342</v>
      </c>
      <c r="B166" t="s">
        <v>170</v>
      </c>
      <c r="C166" t="s">
        <v>238</v>
      </c>
      <c r="D166">
        <v>4</v>
      </c>
      <c r="E166">
        <v>0</v>
      </c>
      <c r="F166" t="s">
        <v>239</v>
      </c>
      <c r="G166" t="s">
        <v>152</v>
      </c>
      <c r="H166">
        <v>39109</v>
      </c>
      <c r="I166" t="s">
        <v>258</v>
      </c>
    </row>
    <row r="167" spans="1:9" x14ac:dyDescent="0.25">
      <c r="A167">
        <v>70342</v>
      </c>
      <c r="B167" t="s">
        <v>170</v>
      </c>
      <c r="C167" t="s">
        <v>238</v>
      </c>
      <c r="D167">
        <v>4</v>
      </c>
      <c r="E167">
        <v>0</v>
      </c>
      <c r="F167" t="s">
        <v>239</v>
      </c>
      <c r="G167" t="s">
        <v>154</v>
      </c>
      <c r="H167">
        <v>0</v>
      </c>
      <c r="I167" t="s">
        <v>330</v>
      </c>
    </row>
    <row r="168" spans="1:9" x14ac:dyDescent="0.25">
      <c r="A168">
        <v>70342</v>
      </c>
      <c r="B168" t="s">
        <v>170</v>
      </c>
      <c r="C168" t="s">
        <v>238</v>
      </c>
      <c r="D168">
        <v>4</v>
      </c>
      <c r="E168">
        <v>0</v>
      </c>
      <c r="F168" t="s">
        <v>239</v>
      </c>
      <c r="G168" t="s">
        <v>16</v>
      </c>
      <c r="H168">
        <v>14113</v>
      </c>
      <c r="I168" t="s">
        <v>259</v>
      </c>
    </row>
    <row r="169" spans="1:9" x14ac:dyDescent="0.25">
      <c r="A169">
        <v>70342</v>
      </c>
      <c r="B169" t="s">
        <v>170</v>
      </c>
      <c r="C169" t="s">
        <v>238</v>
      </c>
      <c r="D169">
        <v>4</v>
      </c>
      <c r="E169">
        <v>0</v>
      </c>
      <c r="F169" t="s">
        <v>239</v>
      </c>
      <c r="G169" t="s">
        <v>19</v>
      </c>
      <c r="H169">
        <v>29867</v>
      </c>
      <c r="I169" t="s">
        <v>260</v>
      </c>
    </row>
    <row r="170" spans="1:9" x14ac:dyDescent="0.25">
      <c r="A170">
        <v>70342</v>
      </c>
      <c r="B170" t="s">
        <v>170</v>
      </c>
      <c r="C170" t="s">
        <v>238</v>
      </c>
      <c r="D170">
        <v>4</v>
      </c>
      <c r="E170">
        <v>0</v>
      </c>
      <c r="F170" t="s">
        <v>239</v>
      </c>
      <c r="G170" t="s">
        <v>19</v>
      </c>
      <c r="H170">
        <v>0</v>
      </c>
      <c r="I170" t="s">
        <v>270</v>
      </c>
    </row>
    <row r="171" spans="1:9" x14ac:dyDescent="0.25">
      <c r="A171">
        <v>70342</v>
      </c>
      <c r="B171" t="s">
        <v>170</v>
      </c>
      <c r="C171" t="s">
        <v>238</v>
      </c>
      <c r="D171">
        <v>4</v>
      </c>
      <c r="E171">
        <v>0</v>
      </c>
      <c r="F171" t="s">
        <v>241</v>
      </c>
      <c r="G171" t="s">
        <v>139</v>
      </c>
      <c r="H171">
        <v>0</v>
      </c>
      <c r="I171" t="s">
        <v>331</v>
      </c>
    </row>
    <row r="172" spans="1:9" x14ac:dyDescent="0.25">
      <c r="A172">
        <v>70342</v>
      </c>
      <c r="B172" t="s">
        <v>170</v>
      </c>
      <c r="C172" t="s">
        <v>238</v>
      </c>
      <c r="D172">
        <v>4</v>
      </c>
      <c r="E172">
        <v>0</v>
      </c>
      <c r="F172" t="s">
        <v>261</v>
      </c>
      <c r="G172" t="s">
        <v>261</v>
      </c>
      <c r="H172">
        <v>-880123</v>
      </c>
      <c r="I172" t="s">
        <v>262</v>
      </c>
    </row>
    <row r="173" spans="1:9" x14ac:dyDescent="0.25">
      <c r="A173">
        <v>70342</v>
      </c>
      <c r="B173" t="s">
        <v>170</v>
      </c>
      <c r="C173" t="s">
        <v>238</v>
      </c>
      <c r="D173">
        <v>4</v>
      </c>
      <c r="E173">
        <v>0</v>
      </c>
      <c r="F173" t="s">
        <v>239</v>
      </c>
      <c r="G173" t="s">
        <v>19</v>
      </c>
      <c r="H173">
        <v>342294</v>
      </c>
      <c r="I173" t="s">
        <v>263</v>
      </c>
    </row>
    <row r="174" spans="1:9" x14ac:dyDescent="0.25">
      <c r="A174">
        <v>70342</v>
      </c>
      <c r="B174" t="s">
        <v>170</v>
      </c>
      <c r="C174" t="s">
        <v>238</v>
      </c>
      <c r="D174">
        <v>4</v>
      </c>
      <c r="E174">
        <v>0</v>
      </c>
      <c r="F174" t="s">
        <v>239</v>
      </c>
      <c r="G174" t="s">
        <v>16</v>
      </c>
      <c r="H174">
        <v>1290</v>
      </c>
      <c r="I174" t="s">
        <v>240</v>
      </c>
    </row>
    <row r="175" spans="1:9" x14ac:dyDescent="0.25">
      <c r="A175">
        <v>70342</v>
      </c>
      <c r="B175" t="s">
        <v>170</v>
      </c>
      <c r="C175" t="s">
        <v>238</v>
      </c>
      <c r="D175">
        <v>4</v>
      </c>
      <c r="E175">
        <v>0</v>
      </c>
      <c r="F175" t="s">
        <v>239</v>
      </c>
      <c r="G175" t="s">
        <v>19</v>
      </c>
      <c r="H175">
        <v>41527</v>
      </c>
      <c r="I175" t="s">
        <v>264</v>
      </c>
    </row>
    <row r="176" spans="1:9" x14ac:dyDescent="0.25">
      <c r="A176">
        <v>70342</v>
      </c>
      <c r="B176" t="s">
        <v>170</v>
      </c>
      <c r="C176" t="s">
        <v>238</v>
      </c>
      <c r="D176">
        <v>4</v>
      </c>
      <c r="E176">
        <v>0</v>
      </c>
      <c r="F176" t="s">
        <v>241</v>
      </c>
      <c r="G176" t="s">
        <v>158</v>
      </c>
      <c r="H176">
        <v>38574</v>
      </c>
      <c r="I176" t="s">
        <v>265</v>
      </c>
    </row>
    <row r="177" spans="1:9" x14ac:dyDescent="0.25">
      <c r="A177">
        <v>70342</v>
      </c>
      <c r="B177" t="s">
        <v>170</v>
      </c>
      <c r="C177" t="s">
        <v>238</v>
      </c>
      <c r="D177">
        <v>4</v>
      </c>
      <c r="E177">
        <v>0</v>
      </c>
      <c r="F177" t="s">
        <v>239</v>
      </c>
      <c r="G177" t="s">
        <v>19</v>
      </c>
      <c r="H177">
        <v>0</v>
      </c>
      <c r="I177" t="s">
        <v>271</v>
      </c>
    </row>
    <row r="178" spans="1:9" x14ac:dyDescent="0.25">
      <c r="A178">
        <v>70342</v>
      </c>
      <c r="B178" t="s">
        <v>170</v>
      </c>
      <c r="C178" t="s">
        <v>238</v>
      </c>
      <c r="D178">
        <v>4</v>
      </c>
      <c r="E178">
        <v>0</v>
      </c>
      <c r="F178" t="s">
        <v>239</v>
      </c>
      <c r="G178" t="s">
        <v>19</v>
      </c>
      <c r="H178">
        <v>0</v>
      </c>
      <c r="I178" t="s">
        <v>266</v>
      </c>
    </row>
    <row r="179" spans="1:9" x14ac:dyDescent="0.25">
      <c r="A179">
        <v>70342</v>
      </c>
      <c r="B179" t="s">
        <v>170</v>
      </c>
      <c r="C179" t="s">
        <v>238</v>
      </c>
      <c r="D179">
        <v>4</v>
      </c>
      <c r="E179">
        <v>0</v>
      </c>
      <c r="F179" t="s">
        <v>241</v>
      </c>
      <c r="G179" t="s">
        <v>143</v>
      </c>
      <c r="H179">
        <v>0</v>
      </c>
      <c r="I179" t="s">
        <v>332</v>
      </c>
    </row>
    <row r="180" spans="1:9" x14ac:dyDescent="0.25">
      <c r="A180">
        <v>70342</v>
      </c>
      <c r="B180" t="s">
        <v>170</v>
      </c>
      <c r="C180" t="s">
        <v>238</v>
      </c>
      <c r="D180">
        <v>4</v>
      </c>
      <c r="E180">
        <v>0</v>
      </c>
      <c r="F180" t="s">
        <v>241</v>
      </c>
      <c r="G180" t="s">
        <v>138</v>
      </c>
      <c r="H180">
        <v>0</v>
      </c>
      <c r="I180" t="s">
        <v>333</v>
      </c>
    </row>
    <row r="181" spans="1:9" x14ac:dyDescent="0.25">
      <c r="A181">
        <v>70342</v>
      </c>
      <c r="B181" t="s">
        <v>170</v>
      </c>
      <c r="C181" t="s">
        <v>238</v>
      </c>
      <c r="D181">
        <v>4</v>
      </c>
      <c r="E181">
        <v>0</v>
      </c>
      <c r="F181" t="s">
        <v>241</v>
      </c>
      <c r="G181" t="s">
        <v>138</v>
      </c>
      <c r="H181">
        <v>0</v>
      </c>
      <c r="I181" t="s">
        <v>334</v>
      </c>
    </row>
    <row r="182" spans="1:9" x14ac:dyDescent="0.25">
      <c r="A182">
        <v>70342</v>
      </c>
      <c r="B182" t="s">
        <v>170</v>
      </c>
      <c r="C182" t="s">
        <v>238</v>
      </c>
      <c r="D182">
        <v>4</v>
      </c>
      <c r="E182">
        <v>0</v>
      </c>
      <c r="F182" t="s">
        <v>241</v>
      </c>
      <c r="G182" t="s">
        <v>138</v>
      </c>
      <c r="H182">
        <v>-33468</v>
      </c>
      <c r="I182" t="s">
        <v>268</v>
      </c>
    </row>
    <row r="183" spans="1:9" x14ac:dyDescent="0.25">
      <c r="A183">
        <v>70342</v>
      </c>
      <c r="B183" t="s">
        <v>170</v>
      </c>
      <c r="C183" t="s">
        <v>238</v>
      </c>
      <c r="D183">
        <v>4</v>
      </c>
      <c r="E183">
        <v>0</v>
      </c>
      <c r="F183" t="s">
        <v>241</v>
      </c>
      <c r="G183" t="s">
        <v>139</v>
      </c>
      <c r="H183">
        <v>0</v>
      </c>
      <c r="I183" t="s">
        <v>336</v>
      </c>
    </row>
    <row r="184" spans="1:9" x14ac:dyDescent="0.25">
      <c r="A184">
        <v>70342</v>
      </c>
      <c r="B184" t="s">
        <v>170</v>
      </c>
      <c r="C184" t="s">
        <v>238</v>
      </c>
      <c r="D184">
        <v>4</v>
      </c>
      <c r="E184">
        <v>0</v>
      </c>
      <c r="F184" t="s">
        <v>241</v>
      </c>
      <c r="G184" t="s">
        <v>139</v>
      </c>
      <c r="H184">
        <v>0</v>
      </c>
      <c r="I184" t="s">
        <v>337</v>
      </c>
    </row>
    <row r="185" spans="1:9" x14ac:dyDescent="0.25">
      <c r="A185">
        <v>70342</v>
      </c>
      <c r="B185" t="s">
        <v>170</v>
      </c>
      <c r="C185" t="s">
        <v>238</v>
      </c>
      <c r="D185">
        <v>4</v>
      </c>
      <c r="E185">
        <v>0</v>
      </c>
      <c r="F185" t="s">
        <v>241</v>
      </c>
      <c r="G185" t="s">
        <v>139</v>
      </c>
      <c r="H185">
        <v>0</v>
      </c>
      <c r="I185" t="s">
        <v>335</v>
      </c>
    </row>
    <row r="186" spans="1:9" x14ac:dyDescent="0.25">
      <c r="A186">
        <v>70342</v>
      </c>
      <c r="B186" t="s">
        <v>170</v>
      </c>
      <c r="C186" t="s">
        <v>238</v>
      </c>
      <c r="D186">
        <v>4</v>
      </c>
      <c r="E186">
        <v>0</v>
      </c>
      <c r="F186" t="s">
        <v>241</v>
      </c>
      <c r="G186" t="s">
        <v>24</v>
      </c>
      <c r="H186">
        <v>0</v>
      </c>
      <c r="I186" t="s">
        <v>338</v>
      </c>
    </row>
    <row r="187" spans="1:9" x14ac:dyDescent="0.25">
      <c r="A187">
        <v>70342</v>
      </c>
      <c r="B187" t="s">
        <v>170</v>
      </c>
      <c r="C187" t="s">
        <v>238</v>
      </c>
      <c r="D187">
        <v>4</v>
      </c>
      <c r="E187">
        <v>0</v>
      </c>
      <c r="F187" t="s">
        <v>241</v>
      </c>
      <c r="G187" t="s">
        <v>24</v>
      </c>
      <c r="H187">
        <v>0</v>
      </c>
      <c r="I187" t="s">
        <v>339</v>
      </c>
    </row>
    <row r="188" spans="1:9" x14ac:dyDescent="0.25">
      <c r="A188">
        <v>70342</v>
      </c>
      <c r="B188" t="s">
        <v>170</v>
      </c>
      <c r="C188" t="s">
        <v>238</v>
      </c>
      <c r="D188">
        <v>4</v>
      </c>
      <c r="E188">
        <v>0</v>
      </c>
      <c r="F188" t="s">
        <v>241</v>
      </c>
      <c r="G188" t="s">
        <v>24</v>
      </c>
      <c r="H188">
        <v>0</v>
      </c>
      <c r="I188" t="s">
        <v>340</v>
      </c>
    </row>
    <row r="189" spans="1:9" x14ac:dyDescent="0.25">
      <c r="A189">
        <v>70342</v>
      </c>
      <c r="B189" t="s">
        <v>170</v>
      </c>
      <c r="C189" t="s">
        <v>238</v>
      </c>
      <c r="D189">
        <v>4</v>
      </c>
      <c r="E189">
        <v>0</v>
      </c>
      <c r="F189" t="s">
        <v>241</v>
      </c>
      <c r="G189" t="s">
        <v>137</v>
      </c>
      <c r="H189">
        <v>0</v>
      </c>
      <c r="I189" t="s">
        <v>273</v>
      </c>
    </row>
    <row r="190" spans="1:9" x14ac:dyDescent="0.25">
      <c r="A190">
        <v>70342</v>
      </c>
      <c r="B190" t="s">
        <v>170</v>
      </c>
      <c r="C190" t="s">
        <v>238</v>
      </c>
      <c r="D190">
        <v>4</v>
      </c>
      <c r="E190">
        <v>0</v>
      </c>
      <c r="F190" t="s">
        <v>241</v>
      </c>
      <c r="G190" t="s">
        <v>137</v>
      </c>
      <c r="H190">
        <v>0</v>
      </c>
      <c r="I190" t="s">
        <v>341</v>
      </c>
    </row>
    <row r="191" spans="1:9" x14ac:dyDescent="0.25">
      <c r="A191">
        <v>70342</v>
      </c>
      <c r="B191" t="s">
        <v>170</v>
      </c>
      <c r="C191" t="s">
        <v>238</v>
      </c>
      <c r="D191">
        <v>4</v>
      </c>
      <c r="E191">
        <v>0</v>
      </c>
      <c r="F191" t="s">
        <v>241</v>
      </c>
      <c r="G191" t="s">
        <v>137</v>
      </c>
      <c r="H191">
        <v>0</v>
      </c>
      <c r="I191" t="s">
        <v>342</v>
      </c>
    </row>
    <row r="192" spans="1:9" x14ac:dyDescent="0.25">
      <c r="A192">
        <v>70342</v>
      </c>
      <c r="B192" t="s">
        <v>170</v>
      </c>
      <c r="C192" t="s">
        <v>238</v>
      </c>
      <c r="D192">
        <v>4</v>
      </c>
      <c r="E192">
        <v>0</v>
      </c>
      <c r="F192" t="s">
        <v>241</v>
      </c>
      <c r="G192" t="s">
        <v>137</v>
      </c>
      <c r="H192">
        <v>0</v>
      </c>
      <c r="I192" t="s">
        <v>343</v>
      </c>
    </row>
    <row r="193" spans="1:9" x14ac:dyDescent="0.25">
      <c r="A193">
        <v>70342</v>
      </c>
      <c r="B193" t="s">
        <v>170</v>
      </c>
      <c r="C193" t="s">
        <v>238</v>
      </c>
      <c r="D193">
        <v>4</v>
      </c>
      <c r="E193">
        <v>0</v>
      </c>
      <c r="F193" t="s">
        <v>241</v>
      </c>
      <c r="G193" t="s">
        <v>143</v>
      </c>
      <c r="H193">
        <v>0</v>
      </c>
      <c r="I193" t="s">
        <v>344</v>
      </c>
    </row>
    <row r="194" spans="1:9" x14ac:dyDescent="0.25">
      <c r="A194">
        <v>70342</v>
      </c>
      <c r="B194" t="s">
        <v>170</v>
      </c>
      <c r="C194" t="s">
        <v>238</v>
      </c>
      <c r="D194">
        <v>4</v>
      </c>
      <c r="E194">
        <v>0</v>
      </c>
      <c r="F194" t="s">
        <v>241</v>
      </c>
      <c r="G194" t="s">
        <v>143</v>
      </c>
      <c r="H194">
        <v>0</v>
      </c>
      <c r="I194" t="s">
        <v>345</v>
      </c>
    </row>
    <row r="195" spans="1:9" x14ac:dyDescent="0.25">
      <c r="A195">
        <v>70342</v>
      </c>
      <c r="B195" t="s">
        <v>170</v>
      </c>
      <c r="C195" t="s">
        <v>238</v>
      </c>
      <c r="D195">
        <v>4</v>
      </c>
      <c r="E195">
        <v>0</v>
      </c>
      <c r="F195" t="s">
        <v>241</v>
      </c>
      <c r="G195" t="s">
        <v>143</v>
      </c>
      <c r="H195">
        <v>0</v>
      </c>
      <c r="I195" t="s">
        <v>346</v>
      </c>
    </row>
    <row r="196" spans="1:9" x14ac:dyDescent="0.25">
      <c r="A196">
        <v>70342</v>
      </c>
      <c r="B196" t="s">
        <v>170</v>
      </c>
      <c r="C196" t="s">
        <v>238</v>
      </c>
      <c r="D196">
        <v>4</v>
      </c>
      <c r="E196">
        <v>0</v>
      </c>
      <c r="F196" t="s">
        <v>241</v>
      </c>
      <c r="G196" t="s">
        <v>138</v>
      </c>
      <c r="H196">
        <v>0</v>
      </c>
      <c r="I196" t="s">
        <v>347</v>
      </c>
    </row>
    <row r="197" spans="1:9" x14ac:dyDescent="0.25">
      <c r="A197">
        <v>70343</v>
      </c>
      <c r="B197" t="s">
        <v>172</v>
      </c>
      <c r="C197" t="s">
        <v>238</v>
      </c>
      <c r="D197">
        <v>4</v>
      </c>
      <c r="E197">
        <v>0</v>
      </c>
      <c r="F197" t="s">
        <v>239</v>
      </c>
      <c r="G197" t="s">
        <v>153</v>
      </c>
      <c r="H197">
        <v>0</v>
      </c>
      <c r="I197" t="s">
        <v>351</v>
      </c>
    </row>
    <row r="198" spans="1:9" x14ac:dyDescent="0.25">
      <c r="A198">
        <v>70343</v>
      </c>
      <c r="B198" t="s">
        <v>172</v>
      </c>
      <c r="C198" t="s">
        <v>238</v>
      </c>
      <c r="D198">
        <v>4</v>
      </c>
      <c r="E198">
        <v>0</v>
      </c>
      <c r="F198" t="s">
        <v>239</v>
      </c>
      <c r="G198" t="s">
        <v>152</v>
      </c>
      <c r="H198">
        <v>0</v>
      </c>
      <c r="I198" t="s">
        <v>352</v>
      </c>
    </row>
    <row r="199" spans="1:9" x14ac:dyDescent="0.25">
      <c r="A199">
        <v>70343</v>
      </c>
      <c r="B199" t="s">
        <v>172</v>
      </c>
      <c r="C199" t="s">
        <v>238</v>
      </c>
      <c r="D199">
        <v>4</v>
      </c>
      <c r="E199">
        <v>0</v>
      </c>
      <c r="F199" t="s">
        <v>239</v>
      </c>
      <c r="G199" t="s">
        <v>154</v>
      </c>
      <c r="H199">
        <v>0</v>
      </c>
      <c r="I199" t="s">
        <v>349</v>
      </c>
    </row>
    <row r="200" spans="1:9" x14ac:dyDescent="0.25">
      <c r="A200">
        <v>70343</v>
      </c>
      <c r="B200" t="s">
        <v>172</v>
      </c>
      <c r="C200" t="s">
        <v>238</v>
      </c>
      <c r="D200">
        <v>4</v>
      </c>
      <c r="E200">
        <v>0</v>
      </c>
      <c r="F200" t="s">
        <v>241</v>
      </c>
      <c r="G200" t="s">
        <v>26</v>
      </c>
      <c r="H200">
        <v>0</v>
      </c>
      <c r="I200" t="s">
        <v>350</v>
      </c>
    </row>
    <row r="201" spans="1:9" x14ac:dyDescent="0.25">
      <c r="A201">
        <v>70343</v>
      </c>
      <c r="B201" t="s">
        <v>172</v>
      </c>
      <c r="C201" t="s">
        <v>238</v>
      </c>
      <c r="D201">
        <v>4</v>
      </c>
      <c r="E201">
        <v>0</v>
      </c>
      <c r="F201" t="s">
        <v>241</v>
      </c>
      <c r="G201" t="s">
        <v>23</v>
      </c>
      <c r="H201">
        <v>0</v>
      </c>
      <c r="I201" t="s">
        <v>269</v>
      </c>
    </row>
    <row r="202" spans="1:9" x14ac:dyDescent="0.25">
      <c r="A202">
        <v>70343</v>
      </c>
      <c r="B202" t="s">
        <v>172</v>
      </c>
      <c r="C202" t="s">
        <v>238</v>
      </c>
      <c r="D202">
        <v>4</v>
      </c>
      <c r="E202">
        <v>0</v>
      </c>
      <c r="F202" t="s">
        <v>241</v>
      </c>
      <c r="G202" t="s">
        <v>26</v>
      </c>
      <c r="H202">
        <v>0</v>
      </c>
      <c r="I202" t="s">
        <v>353</v>
      </c>
    </row>
    <row r="203" spans="1:9" x14ac:dyDescent="0.25">
      <c r="A203">
        <v>70343</v>
      </c>
      <c r="B203" t="s">
        <v>172</v>
      </c>
      <c r="C203" t="s">
        <v>238</v>
      </c>
      <c r="D203">
        <v>4</v>
      </c>
      <c r="E203">
        <v>0</v>
      </c>
      <c r="F203" t="s">
        <v>241</v>
      </c>
      <c r="G203" t="s">
        <v>157</v>
      </c>
      <c r="H203">
        <v>0</v>
      </c>
      <c r="I203" t="s">
        <v>348</v>
      </c>
    </row>
    <row r="204" spans="1:9" x14ac:dyDescent="0.25">
      <c r="A204">
        <v>70343</v>
      </c>
      <c r="B204" t="s">
        <v>172</v>
      </c>
      <c r="C204" t="s">
        <v>238</v>
      </c>
      <c r="D204">
        <v>4</v>
      </c>
      <c r="E204">
        <v>0</v>
      </c>
      <c r="F204" t="s">
        <v>261</v>
      </c>
      <c r="G204" t="s">
        <v>261</v>
      </c>
      <c r="H204">
        <v>0</v>
      </c>
      <c r="I204" t="s">
        <v>272</v>
      </c>
    </row>
    <row r="205" spans="1:9" x14ac:dyDescent="0.25">
      <c r="A205">
        <v>70343</v>
      </c>
      <c r="B205" t="s">
        <v>172</v>
      </c>
      <c r="C205" t="s">
        <v>238</v>
      </c>
      <c r="D205">
        <v>4</v>
      </c>
      <c r="E205">
        <v>0</v>
      </c>
      <c r="F205" t="s">
        <v>261</v>
      </c>
      <c r="G205" t="s">
        <v>261</v>
      </c>
      <c r="H205">
        <v>0</v>
      </c>
      <c r="I205" t="s">
        <v>354</v>
      </c>
    </row>
    <row r="206" spans="1:9" x14ac:dyDescent="0.25">
      <c r="A206">
        <v>70343</v>
      </c>
      <c r="B206" t="s">
        <v>172</v>
      </c>
      <c r="C206" t="s">
        <v>238</v>
      </c>
      <c r="D206">
        <v>4</v>
      </c>
      <c r="E206">
        <v>0</v>
      </c>
      <c r="F206" t="s">
        <v>247</v>
      </c>
      <c r="G206" t="s">
        <v>12</v>
      </c>
      <c r="H206">
        <v>-2213723</v>
      </c>
      <c r="I206" t="s">
        <v>248</v>
      </c>
    </row>
    <row r="207" spans="1:9" x14ac:dyDescent="0.25">
      <c r="A207">
        <v>70343</v>
      </c>
      <c r="B207" t="s">
        <v>172</v>
      </c>
      <c r="C207" t="s">
        <v>238</v>
      </c>
      <c r="D207">
        <v>4</v>
      </c>
      <c r="E207">
        <v>0</v>
      </c>
      <c r="F207" t="s">
        <v>247</v>
      </c>
      <c r="G207" t="s">
        <v>13</v>
      </c>
      <c r="H207">
        <v>4189975</v>
      </c>
      <c r="I207" t="s">
        <v>249</v>
      </c>
    </row>
    <row r="208" spans="1:9" x14ac:dyDescent="0.25">
      <c r="A208">
        <v>70343</v>
      </c>
      <c r="B208" t="s">
        <v>172</v>
      </c>
      <c r="C208" t="s">
        <v>238</v>
      </c>
      <c r="D208">
        <v>4</v>
      </c>
      <c r="E208">
        <v>0</v>
      </c>
      <c r="F208" t="s">
        <v>241</v>
      </c>
      <c r="G208" t="s">
        <v>25</v>
      </c>
      <c r="H208">
        <v>5133</v>
      </c>
      <c r="I208" t="s">
        <v>250</v>
      </c>
    </row>
    <row r="209" spans="1:9" x14ac:dyDescent="0.25">
      <c r="A209">
        <v>70343</v>
      </c>
      <c r="B209" t="s">
        <v>172</v>
      </c>
      <c r="C209" t="s">
        <v>238</v>
      </c>
      <c r="D209">
        <v>4</v>
      </c>
      <c r="E209">
        <v>0</v>
      </c>
      <c r="F209" t="s">
        <v>241</v>
      </c>
      <c r="G209" t="s">
        <v>26</v>
      </c>
      <c r="H209">
        <v>0</v>
      </c>
      <c r="I209" t="s">
        <v>251</v>
      </c>
    </row>
    <row r="210" spans="1:9" x14ac:dyDescent="0.25">
      <c r="A210">
        <v>70343</v>
      </c>
      <c r="B210" t="s">
        <v>172</v>
      </c>
      <c r="C210" t="s">
        <v>238</v>
      </c>
      <c r="D210">
        <v>4</v>
      </c>
      <c r="E210">
        <v>0</v>
      </c>
      <c r="F210" t="s">
        <v>239</v>
      </c>
      <c r="G210" t="s">
        <v>18</v>
      </c>
      <c r="H210">
        <v>123004</v>
      </c>
      <c r="I210" t="s">
        <v>252</v>
      </c>
    </row>
    <row r="211" spans="1:9" x14ac:dyDescent="0.25">
      <c r="A211">
        <v>70343</v>
      </c>
      <c r="B211" t="s">
        <v>172</v>
      </c>
      <c r="C211" t="s">
        <v>238</v>
      </c>
      <c r="D211">
        <v>4</v>
      </c>
      <c r="E211">
        <v>0</v>
      </c>
      <c r="F211" t="s">
        <v>241</v>
      </c>
      <c r="G211" t="s">
        <v>26</v>
      </c>
      <c r="H211">
        <v>0</v>
      </c>
      <c r="I211" t="s">
        <v>253</v>
      </c>
    </row>
    <row r="212" spans="1:9" x14ac:dyDescent="0.25">
      <c r="A212">
        <v>70343</v>
      </c>
      <c r="B212" t="s">
        <v>172</v>
      </c>
      <c r="C212" t="s">
        <v>238</v>
      </c>
      <c r="D212">
        <v>4</v>
      </c>
      <c r="E212">
        <v>0</v>
      </c>
      <c r="F212" t="s">
        <v>247</v>
      </c>
      <c r="G212" t="s">
        <v>15</v>
      </c>
      <c r="H212">
        <v>253722</v>
      </c>
      <c r="I212" t="s">
        <v>254</v>
      </c>
    </row>
    <row r="213" spans="1:9" x14ac:dyDescent="0.25">
      <c r="A213">
        <v>70343</v>
      </c>
      <c r="B213" t="s">
        <v>172</v>
      </c>
      <c r="C213" t="s">
        <v>238</v>
      </c>
      <c r="D213">
        <v>4</v>
      </c>
      <c r="E213">
        <v>0</v>
      </c>
      <c r="F213" t="s">
        <v>247</v>
      </c>
      <c r="G213" t="s">
        <v>14</v>
      </c>
      <c r="H213">
        <v>0</v>
      </c>
      <c r="I213" t="s">
        <v>355</v>
      </c>
    </row>
    <row r="214" spans="1:9" x14ac:dyDescent="0.25">
      <c r="A214">
        <v>70343</v>
      </c>
      <c r="B214" t="s">
        <v>172</v>
      </c>
      <c r="C214" t="s">
        <v>238</v>
      </c>
      <c r="D214">
        <v>4</v>
      </c>
      <c r="E214">
        <v>0</v>
      </c>
      <c r="F214" t="s">
        <v>241</v>
      </c>
      <c r="G214" t="s">
        <v>23</v>
      </c>
      <c r="H214">
        <v>45884</v>
      </c>
      <c r="I214" t="s">
        <v>242</v>
      </c>
    </row>
    <row r="215" spans="1:9" x14ac:dyDescent="0.25">
      <c r="A215">
        <v>70343</v>
      </c>
      <c r="B215" t="s">
        <v>172</v>
      </c>
      <c r="C215" t="s">
        <v>238</v>
      </c>
      <c r="D215">
        <v>4</v>
      </c>
      <c r="E215">
        <v>0</v>
      </c>
      <c r="F215" t="s">
        <v>241</v>
      </c>
      <c r="G215" t="s">
        <v>24</v>
      </c>
      <c r="H215">
        <v>147898</v>
      </c>
      <c r="I215" t="s">
        <v>243</v>
      </c>
    </row>
    <row r="216" spans="1:9" x14ac:dyDescent="0.25">
      <c r="A216">
        <v>70343</v>
      </c>
      <c r="B216" t="s">
        <v>172</v>
      </c>
      <c r="C216" t="s">
        <v>238</v>
      </c>
      <c r="D216">
        <v>4</v>
      </c>
      <c r="E216">
        <v>0</v>
      </c>
      <c r="F216" t="s">
        <v>241</v>
      </c>
      <c r="G216" t="s">
        <v>21</v>
      </c>
      <c r="H216">
        <v>0</v>
      </c>
      <c r="I216" t="s">
        <v>356</v>
      </c>
    </row>
    <row r="217" spans="1:9" x14ac:dyDescent="0.25">
      <c r="A217">
        <v>70343</v>
      </c>
      <c r="B217" t="s">
        <v>172</v>
      </c>
      <c r="C217" t="s">
        <v>238</v>
      </c>
      <c r="D217">
        <v>4</v>
      </c>
      <c r="E217">
        <v>0</v>
      </c>
      <c r="F217" t="s">
        <v>239</v>
      </c>
      <c r="G217" t="s">
        <v>20</v>
      </c>
      <c r="H217">
        <v>-64</v>
      </c>
      <c r="I217" t="s">
        <v>244</v>
      </c>
    </row>
    <row r="218" spans="1:9" x14ac:dyDescent="0.25">
      <c r="A218">
        <v>70343</v>
      </c>
      <c r="B218" t="s">
        <v>172</v>
      </c>
      <c r="C218" t="s">
        <v>238</v>
      </c>
      <c r="D218">
        <v>4</v>
      </c>
      <c r="E218">
        <v>0</v>
      </c>
      <c r="F218" t="s">
        <v>241</v>
      </c>
      <c r="G218" t="s">
        <v>22</v>
      </c>
      <c r="H218">
        <v>110</v>
      </c>
      <c r="I218" t="s">
        <v>245</v>
      </c>
    </row>
    <row r="219" spans="1:9" x14ac:dyDescent="0.25">
      <c r="A219">
        <v>70343</v>
      </c>
      <c r="B219" t="s">
        <v>172</v>
      </c>
      <c r="C219" t="s">
        <v>238</v>
      </c>
      <c r="D219">
        <v>4</v>
      </c>
      <c r="E219">
        <v>0</v>
      </c>
      <c r="F219" t="s">
        <v>241</v>
      </c>
      <c r="G219" t="s">
        <v>26</v>
      </c>
      <c r="H219">
        <v>1103</v>
      </c>
      <c r="I219" t="s">
        <v>246</v>
      </c>
    </row>
    <row r="220" spans="1:9" x14ac:dyDescent="0.25">
      <c r="A220">
        <v>70343</v>
      </c>
      <c r="B220" t="s">
        <v>172</v>
      </c>
      <c r="C220" t="s">
        <v>238</v>
      </c>
      <c r="D220">
        <v>4</v>
      </c>
      <c r="E220">
        <v>0</v>
      </c>
      <c r="F220" t="s">
        <v>239</v>
      </c>
      <c r="G220" t="s">
        <v>17</v>
      </c>
      <c r="H220">
        <v>0</v>
      </c>
      <c r="I220" t="s">
        <v>357</v>
      </c>
    </row>
    <row r="221" spans="1:9" x14ac:dyDescent="0.25">
      <c r="A221">
        <v>70343</v>
      </c>
      <c r="B221" t="s">
        <v>172</v>
      </c>
      <c r="C221" t="s">
        <v>238</v>
      </c>
      <c r="D221">
        <v>4</v>
      </c>
      <c r="E221">
        <v>0</v>
      </c>
      <c r="F221" t="s">
        <v>241</v>
      </c>
      <c r="G221" t="s">
        <v>24</v>
      </c>
      <c r="H221">
        <v>0</v>
      </c>
      <c r="I221" t="s">
        <v>358</v>
      </c>
    </row>
    <row r="222" spans="1:9" x14ac:dyDescent="0.25">
      <c r="A222">
        <v>70343</v>
      </c>
      <c r="B222" t="s">
        <v>172</v>
      </c>
      <c r="C222" t="s">
        <v>238</v>
      </c>
      <c r="D222">
        <v>4</v>
      </c>
      <c r="E222">
        <v>0</v>
      </c>
      <c r="F222" t="s">
        <v>241</v>
      </c>
      <c r="G222" t="s">
        <v>27</v>
      </c>
      <c r="H222">
        <v>0</v>
      </c>
      <c r="I222" t="s">
        <v>359</v>
      </c>
    </row>
    <row r="223" spans="1:9" x14ac:dyDescent="0.25">
      <c r="A223">
        <v>70343</v>
      </c>
      <c r="B223" t="s">
        <v>172</v>
      </c>
      <c r="C223" t="s">
        <v>238</v>
      </c>
      <c r="D223">
        <v>4</v>
      </c>
      <c r="E223">
        <v>0</v>
      </c>
      <c r="F223" t="s">
        <v>239</v>
      </c>
      <c r="G223" t="s">
        <v>19</v>
      </c>
      <c r="H223">
        <v>0</v>
      </c>
      <c r="I223" t="s">
        <v>360</v>
      </c>
    </row>
    <row r="224" spans="1:9" x14ac:dyDescent="0.25">
      <c r="A224">
        <v>70343</v>
      </c>
      <c r="B224" t="s">
        <v>172</v>
      </c>
      <c r="C224" t="s">
        <v>238</v>
      </c>
      <c r="D224">
        <v>4</v>
      </c>
      <c r="E224">
        <v>0</v>
      </c>
      <c r="F224" t="s">
        <v>239</v>
      </c>
      <c r="G224" t="s">
        <v>20</v>
      </c>
      <c r="H224">
        <v>42664</v>
      </c>
      <c r="I224" t="s">
        <v>255</v>
      </c>
    </row>
    <row r="225" spans="1:9" x14ac:dyDescent="0.25">
      <c r="A225">
        <v>70343</v>
      </c>
      <c r="B225" t="s">
        <v>172</v>
      </c>
      <c r="C225" t="s">
        <v>238</v>
      </c>
      <c r="D225">
        <v>4</v>
      </c>
      <c r="E225">
        <v>0</v>
      </c>
      <c r="F225" t="s">
        <v>247</v>
      </c>
      <c r="G225" t="s">
        <v>148</v>
      </c>
      <c r="H225">
        <v>413494</v>
      </c>
      <c r="I225" t="s">
        <v>256</v>
      </c>
    </row>
    <row r="226" spans="1:9" x14ac:dyDescent="0.25">
      <c r="A226">
        <v>70343</v>
      </c>
      <c r="B226" t="s">
        <v>172</v>
      </c>
      <c r="C226" t="s">
        <v>238</v>
      </c>
      <c r="D226">
        <v>4</v>
      </c>
      <c r="E226">
        <v>0</v>
      </c>
      <c r="F226" t="s">
        <v>241</v>
      </c>
      <c r="G226" t="s">
        <v>27</v>
      </c>
      <c r="H226">
        <v>2618500</v>
      </c>
      <c r="I226" t="s">
        <v>257</v>
      </c>
    </row>
    <row r="227" spans="1:9" x14ac:dyDescent="0.25">
      <c r="A227">
        <v>70343</v>
      </c>
      <c r="B227" t="s">
        <v>172</v>
      </c>
      <c r="C227" t="s">
        <v>238</v>
      </c>
      <c r="D227">
        <v>4</v>
      </c>
      <c r="E227">
        <v>0</v>
      </c>
      <c r="F227" t="s">
        <v>241</v>
      </c>
      <c r="G227" t="s">
        <v>27</v>
      </c>
      <c r="H227">
        <v>0</v>
      </c>
      <c r="I227" t="s">
        <v>361</v>
      </c>
    </row>
    <row r="228" spans="1:9" x14ac:dyDescent="0.25">
      <c r="A228">
        <v>70343</v>
      </c>
      <c r="B228" t="s">
        <v>172</v>
      </c>
      <c r="C228" t="s">
        <v>238</v>
      </c>
      <c r="D228">
        <v>4</v>
      </c>
      <c r="E228">
        <v>0</v>
      </c>
      <c r="F228" t="s">
        <v>241</v>
      </c>
      <c r="G228" t="s">
        <v>27</v>
      </c>
      <c r="H228">
        <v>0</v>
      </c>
      <c r="I228" t="s">
        <v>362</v>
      </c>
    </row>
    <row r="229" spans="1:9" x14ac:dyDescent="0.25">
      <c r="A229">
        <v>70343</v>
      </c>
      <c r="B229" t="s">
        <v>172</v>
      </c>
      <c r="C229" t="s">
        <v>238</v>
      </c>
      <c r="D229">
        <v>4</v>
      </c>
      <c r="E229">
        <v>0</v>
      </c>
      <c r="F229" t="s">
        <v>241</v>
      </c>
      <c r="G229" t="s">
        <v>27</v>
      </c>
      <c r="H229">
        <v>0</v>
      </c>
      <c r="I229" t="s">
        <v>363</v>
      </c>
    </row>
    <row r="230" spans="1:9" x14ac:dyDescent="0.25">
      <c r="A230">
        <v>70343</v>
      </c>
      <c r="B230" t="s">
        <v>172</v>
      </c>
      <c r="C230" t="s">
        <v>238</v>
      </c>
      <c r="D230">
        <v>4</v>
      </c>
      <c r="E230">
        <v>0</v>
      </c>
      <c r="F230" t="s">
        <v>239</v>
      </c>
      <c r="G230" t="s">
        <v>16</v>
      </c>
      <c r="H230">
        <v>0</v>
      </c>
      <c r="I230" t="s">
        <v>267</v>
      </c>
    </row>
    <row r="231" spans="1:9" x14ac:dyDescent="0.25">
      <c r="A231">
        <v>70343</v>
      </c>
      <c r="B231" t="s">
        <v>172</v>
      </c>
      <c r="C231" t="s">
        <v>238</v>
      </c>
      <c r="D231">
        <v>4</v>
      </c>
      <c r="E231">
        <v>0</v>
      </c>
      <c r="F231" t="s">
        <v>239</v>
      </c>
      <c r="G231" t="s">
        <v>152</v>
      </c>
      <c r="H231">
        <v>29521</v>
      </c>
      <c r="I231" t="s">
        <v>258</v>
      </c>
    </row>
    <row r="232" spans="1:9" x14ac:dyDescent="0.25">
      <c r="A232">
        <v>70343</v>
      </c>
      <c r="B232" t="s">
        <v>172</v>
      </c>
      <c r="C232" t="s">
        <v>238</v>
      </c>
      <c r="D232">
        <v>4</v>
      </c>
      <c r="E232">
        <v>0</v>
      </c>
      <c r="F232" t="s">
        <v>239</v>
      </c>
      <c r="G232" t="s">
        <v>154</v>
      </c>
      <c r="H232">
        <v>0</v>
      </c>
      <c r="I232" t="s">
        <v>330</v>
      </c>
    </row>
    <row r="233" spans="1:9" x14ac:dyDescent="0.25">
      <c r="A233">
        <v>70343</v>
      </c>
      <c r="B233" t="s">
        <v>172</v>
      </c>
      <c r="C233" t="s">
        <v>238</v>
      </c>
      <c r="D233">
        <v>4</v>
      </c>
      <c r="E233">
        <v>0</v>
      </c>
      <c r="F233" t="s">
        <v>239</v>
      </c>
      <c r="G233" t="s">
        <v>16</v>
      </c>
      <c r="H233">
        <v>0</v>
      </c>
      <c r="I233" t="s">
        <v>259</v>
      </c>
    </row>
    <row r="234" spans="1:9" x14ac:dyDescent="0.25">
      <c r="A234">
        <v>70343</v>
      </c>
      <c r="B234" t="s">
        <v>172</v>
      </c>
      <c r="C234" t="s">
        <v>238</v>
      </c>
      <c r="D234">
        <v>4</v>
      </c>
      <c r="E234">
        <v>0</v>
      </c>
      <c r="F234" t="s">
        <v>239</v>
      </c>
      <c r="G234" t="s">
        <v>19</v>
      </c>
      <c r="H234">
        <v>28402</v>
      </c>
      <c r="I234" t="s">
        <v>260</v>
      </c>
    </row>
    <row r="235" spans="1:9" x14ac:dyDescent="0.25">
      <c r="A235">
        <v>70343</v>
      </c>
      <c r="B235" t="s">
        <v>172</v>
      </c>
      <c r="C235" t="s">
        <v>238</v>
      </c>
      <c r="D235">
        <v>4</v>
      </c>
      <c r="E235">
        <v>0</v>
      </c>
      <c r="F235" t="s">
        <v>239</v>
      </c>
      <c r="G235" t="s">
        <v>19</v>
      </c>
      <c r="H235">
        <v>0</v>
      </c>
      <c r="I235" t="s">
        <v>270</v>
      </c>
    </row>
    <row r="236" spans="1:9" x14ac:dyDescent="0.25">
      <c r="A236">
        <v>70343</v>
      </c>
      <c r="B236" t="s">
        <v>172</v>
      </c>
      <c r="C236" t="s">
        <v>238</v>
      </c>
      <c r="D236">
        <v>4</v>
      </c>
      <c r="E236">
        <v>0</v>
      </c>
      <c r="F236" t="s">
        <v>241</v>
      </c>
      <c r="G236" t="s">
        <v>139</v>
      </c>
      <c r="H236">
        <v>0</v>
      </c>
      <c r="I236" t="s">
        <v>331</v>
      </c>
    </row>
    <row r="237" spans="1:9" x14ac:dyDescent="0.25">
      <c r="A237">
        <v>70343</v>
      </c>
      <c r="B237" t="s">
        <v>172</v>
      </c>
      <c r="C237" t="s">
        <v>238</v>
      </c>
      <c r="D237">
        <v>4</v>
      </c>
      <c r="E237">
        <v>0</v>
      </c>
      <c r="F237" t="s">
        <v>261</v>
      </c>
      <c r="G237" t="s">
        <v>261</v>
      </c>
      <c r="H237">
        <v>306957</v>
      </c>
      <c r="I237" t="s">
        <v>262</v>
      </c>
    </row>
    <row r="238" spans="1:9" x14ac:dyDescent="0.25">
      <c r="A238">
        <v>70343</v>
      </c>
      <c r="B238" t="s">
        <v>172</v>
      </c>
      <c r="C238" t="s">
        <v>238</v>
      </c>
      <c r="D238">
        <v>4</v>
      </c>
      <c r="E238">
        <v>0</v>
      </c>
      <c r="F238" t="s">
        <v>239</v>
      </c>
      <c r="G238" t="s">
        <v>19</v>
      </c>
      <c r="H238">
        <v>227524</v>
      </c>
      <c r="I238" t="s">
        <v>263</v>
      </c>
    </row>
    <row r="239" spans="1:9" x14ac:dyDescent="0.25">
      <c r="A239">
        <v>70343</v>
      </c>
      <c r="B239" t="s">
        <v>172</v>
      </c>
      <c r="C239" t="s">
        <v>238</v>
      </c>
      <c r="D239">
        <v>4</v>
      </c>
      <c r="E239">
        <v>0</v>
      </c>
      <c r="F239" t="s">
        <v>239</v>
      </c>
      <c r="G239" t="s">
        <v>16</v>
      </c>
      <c r="H239">
        <v>0</v>
      </c>
      <c r="I239" t="s">
        <v>240</v>
      </c>
    </row>
    <row r="240" spans="1:9" x14ac:dyDescent="0.25">
      <c r="A240">
        <v>70343</v>
      </c>
      <c r="B240" t="s">
        <v>172</v>
      </c>
      <c r="C240" t="s">
        <v>238</v>
      </c>
      <c r="D240">
        <v>4</v>
      </c>
      <c r="E240">
        <v>0</v>
      </c>
      <c r="F240" t="s">
        <v>239</v>
      </c>
      <c r="G240" t="s">
        <v>19</v>
      </c>
      <c r="H240">
        <v>33102</v>
      </c>
      <c r="I240" t="s">
        <v>264</v>
      </c>
    </row>
    <row r="241" spans="1:9" x14ac:dyDescent="0.25">
      <c r="A241">
        <v>70343</v>
      </c>
      <c r="B241" t="s">
        <v>172</v>
      </c>
      <c r="C241" t="s">
        <v>238</v>
      </c>
      <c r="D241">
        <v>4</v>
      </c>
      <c r="E241">
        <v>0</v>
      </c>
      <c r="F241" t="s">
        <v>241</v>
      </c>
      <c r="G241" t="s">
        <v>158</v>
      </c>
      <c r="H241">
        <v>29586</v>
      </c>
      <c r="I241" t="s">
        <v>265</v>
      </c>
    </row>
    <row r="242" spans="1:9" x14ac:dyDescent="0.25">
      <c r="A242">
        <v>70343</v>
      </c>
      <c r="B242" t="s">
        <v>172</v>
      </c>
      <c r="C242" t="s">
        <v>238</v>
      </c>
      <c r="D242">
        <v>4</v>
      </c>
      <c r="E242">
        <v>0</v>
      </c>
      <c r="F242" t="s">
        <v>239</v>
      </c>
      <c r="G242" t="s">
        <v>19</v>
      </c>
      <c r="H242">
        <v>0</v>
      </c>
      <c r="I242" t="s">
        <v>271</v>
      </c>
    </row>
    <row r="243" spans="1:9" x14ac:dyDescent="0.25">
      <c r="A243">
        <v>70343</v>
      </c>
      <c r="B243" t="s">
        <v>172</v>
      </c>
      <c r="C243" t="s">
        <v>238</v>
      </c>
      <c r="D243">
        <v>4</v>
      </c>
      <c r="E243">
        <v>0</v>
      </c>
      <c r="F243" t="s">
        <v>239</v>
      </c>
      <c r="G243" t="s">
        <v>19</v>
      </c>
      <c r="H243">
        <v>0</v>
      </c>
      <c r="I243" t="s">
        <v>266</v>
      </c>
    </row>
    <row r="244" spans="1:9" x14ac:dyDescent="0.25">
      <c r="A244">
        <v>70343</v>
      </c>
      <c r="B244" t="s">
        <v>172</v>
      </c>
      <c r="C244" t="s">
        <v>238</v>
      </c>
      <c r="D244">
        <v>4</v>
      </c>
      <c r="E244">
        <v>0</v>
      </c>
      <c r="F244" t="s">
        <v>241</v>
      </c>
      <c r="G244" t="s">
        <v>143</v>
      </c>
      <c r="H244">
        <v>0</v>
      </c>
      <c r="I244" t="s">
        <v>332</v>
      </c>
    </row>
    <row r="245" spans="1:9" x14ac:dyDescent="0.25">
      <c r="A245">
        <v>70343</v>
      </c>
      <c r="B245" t="s">
        <v>172</v>
      </c>
      <c r="C245" t="s">
        <v>238</v>
      </c>
      <c r="D245">
        <v>4</v>
      </c>
      <c r="E245">
        <v>0</v>
      </c>
      <c r="F245" t="s">
        <v>241</v>
      </c>
      <c r="G245" t="s">
        <v>138</v>
      </c>
      <c r="H245">
        <v>0</v>
      </c>
      <c r="I245" t="s">
        <v>333</v>
      </c>
    </row>
    <row r="246" spans="1:9" x14ac:dyDescent="0.25">
      <c r="A246">
        <v>70343</v>
      </c>
      <c r="B246" t="s">
        <v>172</v>
      </c>
      <c r="C246" t="s">
        <v>238</v>
      </c>
      <c r="D246">
        <v>4</v>
      </c>
      <c r="E246">
        <v>0</v>
      </c>
      <c r="F246" t="s">
        <v>241</v>
      </c>
      <c r="G246" t="s">
        <v>138</v>
      </c>
      <c r="H246">
        <v>0</v>
      </c>
      <c r="I246" t="s">
        <v>334</v>
      </c>
    </row>
    <row r="247" spans="1:9" x14ac:dyDescent="0.25">
      <c r="A247">
        <v>70343</v>
      </c>
      <c r="B247" t="s">
        <v>172</v>
      </c>
      <c r="C247" t="s">
        <v>238</v>
      </c>
      <c r="D247">
        <v>4</v>
      </c>
      <c r="E247">
        <v>0</v>
      </c>
      <c r="F247" t="s">
        <v>241</v>
      </c>
      <c r="G247" t="s">
        <v>138</v>
      </c>
      <c r="H247">
        <v>-33537</v>
      </c>
      <c r="I247" t="s">
        <v>268</v>
      </c>
    </row>
    <row r="248" spans="1:9" x14ac:dyDescent="0.25">
      <c r="A248">
        <v>70343</v>
      </c>
      <c r="B248" t="s">
        <v>172</v>
      </c>
      <c r="C248" t="s">
        <v>238</v>
      </c>
      <c r="D248">
        <v>4</v>
      </c>
      <c r="E248">
        <v>0</v>
      </c>
      <c r="F248" t="s">
        <v>241</v>
      </c>
      <c r="G248" t="s">
        <v>139</v>
      </c>
      <c r="H248">
        <v>0</v>
      </c>
      <c r="I248" t="s">
        <v>336</v>
      </c>
    </row>
    <row r="249" spans="1:9" x14ac:dyDescent="0.25">
      <c r="A249">
        <v>70343</v>
      </c>
      <c r="B249" t="s">
        <v>172</v>
      </c>
      <c r="C249" t="s">
        <v>238</v>
      </c>
      <c r="D249">
        <v>4</v>
      </c>
      <c r="E249">
        <v>0</v>
      </c>
      <c r="F249" t="s">
        <v>241</v>
      </c>
      <c r="G249" t="s">
        <v>139</v>
      </c>
      <c r="H249">
        <v>0</v>
      </c>
      <c r="I249" t="s">
        <v>337</v>
      </c>
    </row>
    <row r="250" spans="1:9" x14ac:dyDescent="0.25">
      <c r="A250">
        <v>70343</v>
      </c>
      <c r="B250" t="s">
        <v>172</v>
      </c>
      <c r="C250" t="s">
        <v>238</v>
      </c>
      <c r="D250">
        <v>4</v>
      </c>
      <c r="E250">
        <v>0</v>
      </c>
      <c r="F250" t="s">
        <v>241</v>
      </c>
      <c r="G250" t="s">
        <v>139</v>
      </c>
      <c r="H250">
        <v>0</v>
      </c>
      <c r="I250" t="s">
        <v>335</v>
      </c>
    </row>
    <row r="251" spans="1:9" x14ac:dyDescent="0.25">
      <c r="A251">
        <v>70343</v>
      </c>
      <c r="B251" t="s">
        <v>172</v>
      </c>
      <c r="C251" t="s">
        <v>238</v>
      </c>
      <c r="D251">
        <v>4</v>
      </c>
      <c r="E251">
        <v>0</v>
      </c>
      <c r="F251" t="s">
        <v>241</v>
      </c>
      <c r="G251" t="s">
        <v>24</v>
      </c>
      <c r="H251">
        <v>0</v>
      </c>
      <c r="I251" t="s">
        <v>338</v>
      </c>
    </row>
    <row r="252" spans="1:9" x14ac:dyDescent="0.25">
      <c r="A252">
        <v>70343</v>
      </c>
      <c r="B252" t="s">
        <v>172</v>
      </c>
      <c r="C252" t="s">
        <v>238</v>
      </c>
      <c r="D252">
        <v>4</v>
      </c>
      <c r="E252">
        <v>0</v>
      </c>
      <c r="F252" t="s">
        <v>241</v>
      </c>
      <c r="G252" t="s">
        <v>24</v>
      </c>
      <c r="H252">
        <v>0</v>
      </c>
      <c r="I252" t="s">
        <v>339</v>
      </c>
    </row>
    <row r="253" spans="1:9" x14ac:dyDescent="0.25">
      <c r="A253">
        <v>70343</v>
      </c>
      <c r="B253" t="s">
        <v>172</v>
      </c>
      <c r="C253" t="s">
        <v>238</v>
      </c>
      <c r="D253">
        <v>4</v>
      </c>
      <c r="E253">
        <v>0</v>
      </c>
      <c r="F253" t="s">
        <v>241</v>
      </c>
      <c r="G253" t="s">
        <v>24</v>
      </c>
      <c r="H253">
        <v>0</v>
      </c>
      <c r="I253" t="s">
        <v>340</v>
      </c>
    </row>
    <row r="254" spans="1:9" x14ac:dyDescent="0.25">
      <c r="A254">
        <v>70343</v>
      </c>
      <c r="B254" t="s">
        <v>172</v>
      </c>
      <c r="C254" t="s">
        <v>238</v>
      </c>
      <c r="D254">
        <v>4</v>
      </c>
      <c r="E254">
        <v>0</v>
      </c>
      <c r="F254" t="s">
        <v>241</v>
      </c>
      <c r="G254" t="s">
        <v>137</v>
      </c>
      <c r="H254">
        <v>0</v>
      </c>
      <c r="I254" t="s">
        <v>273</v>
      </c>
    </row>
    <row r="255" spans="1:9" x14ac:dyDescent="0.25">
      <c r="A255">
        <v>70343</v>
      </c>
      <c r="B255" t="s">
        <v>172</v>
      </c>
      <c r="C255" t="s">
        <v>238</v>
      </c>
      <c r="D255">
        <v>4</v>
      </c>
      <c r="E255">
        <v>0</v>
      </c>
      <c r="F255" t="s">
        <v>241</v>
      </c>
      <c r="G255" t="s">
        <v>137</v>
      </c>
      <c r="H255">
        <v>0</v>
      </c>
      <c r="I255" t="s">
        <v>341</v>
      </c>
    </row>
    <row r="256" spans="1:9" x14ac:dyDescent="0.25">
      <c r="A256">
        <v>70343</v>
      </c>
      <c r="B256" t="s">
        <v>172</v>
      </c>
      <c r="C256" t="s">
        <v>238</v>
      </c>
      <c r="D256">
        <v>4</v>
      </c>
      <c r="E256">
        <v>0</v>
      </c>
      <c r="F256" t="s">
        <v>241</v>
      </c>
      <c r="G256" t="s">
        <v>137</v>
      </c>
      <c r="H256">
        <v>0</v>
      </c>
      <c r="I256" t="s">
        <v>342</v>
      </c>
    </row>
    <row r="257" spans="1:9" x14ac:dyDescent="0.25">
      <c r="A257">
        <v>70343</v>
      </c>
      <c r="B257" t="s">
        <v>172</v>
      </c>
      <c r="C257" t="s">
        <v>238</v>
      </c>
      <c r="D257">
        <v>4</v>
      </c>
      <c r="E257">
        <v>0</v>
      </c>
      <c r="F257" t="s">
        <v>241</v>
      </c>
      <c r="G257" t="s">
        <v>137</v>
      </c>
      <c r="H257">
        <v>0</v>
      </c>
      <c r="I257" t="s">
        <v>343</v>
      </c>
    </row>
    <row r="258" spans="1:9" x14ac:dyDescent="0.25">
      <c r="A258">
        <v>70343</v>
      </c>
      <c r="B258" t="s">
        <v>172</v>
      </c>
      <c r="C258" t="s">
        <v>238</v>
      </c>
      <c r="D258">
        <v>4</v>
      </c>
      <c r="E258">
        <v>0</v>
      </c>
      <c r="F258" t="s">
        <v>241</v>
      </c>
      <c r="G258" t="s">
        <v>143</v>
      </c>
      <c r="H258">
        <v>0</v>
      </c>
      <c r="I258" t="s">
        <v>344</v>
      </c>
    </row>
    <row r="259" spans="1:9" x14ac:dyDescent="0.25">
      <c r="A259">
        <v>70343</v>
      </c>
      <c r="B259" t="s">
        <v>172</v>
      </c>
      <c r="C259" t="s">
        <v>238</v>
      </c>
      <c r="D259">
        <v>4</v>
      </c>
      <c r="E259">
        <v>0</v>
      </c>
      <c r="F259" t="s">
        <v>241</v>
      </c>
      <c r="G259" t="s">
        <v>143</v>
      </c>
      <c r="H259">
        <v>0</v>
      </c>
      <c r="I259" t="s">
        <v>345</v>
      </c>
    </row>
    <row r="260" spans="1:9" x14ac:dyDescent="0.25">
      <c r="A260">
        <v>70343</v>
      </c>
      <c r="B260" t="s">
        <v>172</v>
      </c>
      <c r="C260" t="s">
        <v>238</v>
      </c>
      <c r="D260">
        <v>4</v>
      </c>
      <c r="E260">
        <v>0</v>
      </c>
      <c r="F260" t="s">
        <v>241</v>
      </c>
      <c r="G260" t="s">
        <v>143</v>
      </c>
      <c r="H260">
        <v>0</v>
      </c>
      <c r="I260" t="s">
        <v>346</v>
      </c>
    </row>
    <row r="261" spans="1:9" x14ac:dyDescent="0.25">
      <c r="A261">
        <v>70343</v>
      </c>
      <c r="B261" t="s">
        <v>172</v>
      </c>
      <c r="C261" t="s">
        <v>238</v>
      </c>
      <c r="D261">
        <v>4</v>
      </c>
      <c r="E261">
        <v>0</v>
      </c>
      <c r="F261" t="s">
        <v>241</v>
      </c>
      <c r="G261" t="s">
        <v>138</v>
      </c>
      <c r="H261">
        <v>0</v>
      </c>
      <c r="I261" t="s">
        <v>347</v>
      </c>
    </row>
    <row r="262" spans="1:9" x14ac:dyDescent="0.25">
      <c r="A262">
        <v>70344</v>
      </c>
      <c r="B262" t="s">
        <v>174</v>
      </c>
      <c r="C262" t="s">
        <v>238</v>
      </c>
      <c r="D262">
        <v>4</v>
      </c>
      <c r="E262">
        <v>0</v>
      </c>
      <c r="F262" t="s">
        <v>239</v>
      </c>
      <c r="G262" t="s">
        <v>153</v>
      </c>
      <c r="H262">
        <v>0</v>
      </c>
      <c r="I262" t="s">
        <v>351</v>
      </c>
    </row>
    <row r="263" spans="1:9" x14ac:dyDescent="0.25">
      <c r="A263">
        <v>70344</v>
      </c>
      <c r="B263" t="s">
        <v>174</v>
      </c>
      <c r="C263" t="s">
        <v>238</v>
      </c>
      <c r="D263">
        <v>4</v>
      </c>
      <c r="E263">
        <v>0</v>
      </c>
      <c r="F263" t="s">
        <v>239</v>
      </c>
      <c r="G263" t="s">
        <v>152</v>
      </c>
      <c r="H263">
        <v>0</v>
      </c>
      <c r="I263" t="s">
        <v>352</v>
      </c>
    </row>
    <row r="264" spans="1:9" x14ac:dyDescent="0.25">
      <c r="A264">
        <v>70344</v>
      </c>
      <c r="B264" t="s">
        <v>174</v>
      </c>
      <c r="C264" t="s">
        <v>238</v>
      </c>
      <c r="D264">
        <v>4</v>
      </c>
      <c r="E264">
        <v>0</v>
      </c>
      <c r="F264" t="s">
        <v>239</v>
      </c>
      <c r="G264" t="s">
        <v>154</v>
      </c>
      <c r="H264">
        <v>0</v>
      </c>
      <c r="I264" t="s">
        <v>349</v>
      </c>
    </row>
    <row r="265" spans="1:9" x14ac:dyDescent="0.25">
      <c r="A265">
        <v>70344</v>
      </c>
      <c r="B265" t="s">
        <v>174</v>
      </c>
      <c r="C265" t="s">
        <v>238</v>
      </c>
      <c r="D265">
        <v>4</v>
      </c>
      <c r="E265">
        <v>0</v>
      </c>
      <c r="F265" t="s">
        <v>241</v>
      </c>
      <c r="G265" t="s">
        <v>26</v>
      </c>
      <c r="H265">
        <v>0</v>
      </c>
      <c r="I265" t="s">
        <v>350</v>
      </c>
    </row>
    <row r="266" spans="1:9" x14ac:dyDescent="0.25">
      <c r="A266">
        <v>70344</v>
      </c>
      <c r="B266" t="s">
        <v>174</v>
      </c>
      <c r="C266" t="s">
        <v>238</v>
      </c>
      <c r="D266">
        <v>4</v>
      </c>
      <c r="E266">
        <v>0</v>
      </c>
      <c r="F266" t="s">
        <v>241</v>
      </c>
      <c r="G266" t="s">
        <v>23</v>
      </c>
      <c r="H266">
        <v>0</v>
      </c>
      <c r="I266" t="s">
        <v>269</v>
      </c>
    </row>
    <row r="267" spans="1:9" x14ac:dyDescent="0.25">
      <c r="A267">
        <v>70344</v>
      </c>
      <c r="B267" t="s">
        <v>174</v>
      </c>
      <c r="C267" t="s">
        <v>238</v>
      </c>
      <c r="D267">
        <v>4</v>
      </c>
      <c r="E267">
        <v>0</v>
      </c>
      <c r="F267" t="s">
        <v>241</v>
      </c>
      <c r="G267" t="s">
        <v>26</v>
      </c>
      <c r="H267">
        <v>0</v>
      </c>
      <c r="I267" t="s">
        <v>353</v>
      </c>
    </row>
    <row r="268" spans="1:9" x14ac:dyDescent="0.25">
      <c r="A268">
        <v>70344</v>
      </c>
      <c r="B268" t="s">
        <v>174</v>
      </c>
      <c r="C268" t="s">
        <v>238</v>
      </c>
      <c r="D268">
        <v>4</v>
      </c>
      <c r="E268">
        <v>0</v>
      </c>
      <c r="F268" t="s">
        <v>241</v>
      </c>
      <c r="G268" t="s">
        <v>157</v>
      </c>
      <c r="H268">
        <v>0</v>
      </c>
      <c r="I268" t="s">
        <v>348</v>
      </c>
    </row>
    <row r="269" spans="1:9" x14ac:dyDescent="0.25">
      <c r="A269">
        <v>70344</v>
      </c>
      <c r="B269" t="s">
        <v>174</v>
      </c>
      <c r="C269" t="s">
        <v>238</v>
      </c>
      <c r="D269">
        <v>4</v>
      </c>
      <c r="E269">
        <v>0</v>
      </c>
      <c r="F269" t="s">
        <v>261</v>
      </c>
      <c r="G269" t="s">
        <v>261</v>
      </c>
      <c r="H269">
        <v>0</v>
      </c>
      <c r="I269" t="s">
        <v>272</v>
      </c>
    </row>
    <row r="270" spans="1:9" x14ac:dyDescent="0.25">
      <c r="A270">
        <v>70344</v>
      </c>
      <c r="B270" t="s">
        <v>174</v>
      </c>
      <c r="C270" t="s">
        <v>238</v>
      </c>
      <c r="D270">
        <v>4</v>
      </c>
      <c r="E270">
        <v>0</v>
      </c>
      <c r="F270" t="s">
        <v>261</v>
      </c>
      <c r="G270" t="s">
        <v>261</v>
      </c>
      <c r="H270">
        <v>0</v>
      </c>
      <c r="I270" t="s">
        <v>354</v>
      </c>
    </row>
    <row r="271" spans="1:9" x14ac:dyDescent="0.25">
      <c r="A271">
        <v>70344</v>
      </c>
      <c r="B271" t="s">
        <v>174</v>
      </c>
      <c r="C271" t="s">
        <v>238</v>
      </c>
      <c r="D271">
        <v>4</v>
      </c>
      <c r="E271">
        <v>0</v>
      </c>
      <c r="F271" t="s">
        <v>247</v>
      </c>
      <c r="G271" t="s">
        <v>12</v>
      </c>
      <c r="H271">
        <v>-2875834</v>
      </c>
      <c r="I271" t="s">
        <v>248</v>
      </c>
    </row>
    <row r="272" spans="1:9" x14ac:dyDescent="0.25">
      <c r="A272">
        <v>70344</v>
      </c>
      <c r="B272" t="s">
        <v>174</v>
      </c>
      <c r="C272" t="s">
        <v>238</v>
      </c>
      <c r="D272">
        <v>4</v>
      </c>
      <c r="E272">
        <v>0</v>
      </c>
      <c r="F272" t="s">
        <v>247</v>
      </c>
      <c r="G272" t="s">
        <v>13</v>
      </c>
      <c r="H272">
        <v>5148497</v>
      </c>
      <c r="I272" t="s">
        <v>249</v>
      </c>
    </row>
    <row r="273" spans="1:9" x14ac:dyDescent="0.25">
      <c r="A273">
        <v>70344</v>
      </c>
      <c r="B273" t="s">
        <v>174</v>
      </c>
      <c r="C273" t="s">
        <v>238</v>
      </c>
      <c r="D273">
        <v>4</v>
      </c>
      <c r="E273">
        <v>0</v>
      </c>
      <c r="F273" t="s">
        <v>241</v>
      </c>
      <c r="G273" t="s">
        <v>25</v>
      </c>
      <c r="H273">
        <v>6300</v>
      </c>
      <c r="I273" t="s">
        <v>250</v>
      </c>
    </row>
    <row r="274" spans="1:9" x14ac:dyDescent="0.25">
      <c r="A274">
        <v>70344</v>
      </c>
      <c r="B274" t="s">
        <v>174</v>
      </c>
      <c r="C274" t="s">
        <v>238</v>
      </c>
      <c r="D274">
        <v>4</v>
      </c>
      <c r="E274">
        <v>0</v>
      </c>
      <c r="F274" t="s">
        <v>241</v>
      </c>
      <c r="G274" t="s">
        <v>26</v>
      </c>
      <c r="H274">
        <v>0</v>
      </c>
      <c r="I274" t="s">
        <v>251</v>
      </c>
    </row>
    <row r="275" spans="1:9" x14ac:dyDescent="0.25">
      <c r="A275">
        <v>70344</v>
      </c>
      <c r="B275" t="s">
        <v>174</v>
      </c>
      <c r="C275" t="s">
        <v>238</v>
      </c>
      <c r="D275">
        <v>4</v>
      </c>
      <c r="E275">
        <v>0</v>
      </c>
      <c r="F275" t="s">
        <v>239</v>
      </c>
      <c r="G275" t="s">
        <v>18</v>
      </c>
      <c r="H275">
        <v>254823</v>
      </c>
      <c r="I275" t="s">
        <v>252</v>
      </c>
    </row>
    <row r="276" spans="1:9" x14ac:dyDescent="0.25">
      <c r="A276">
        <v>70344</v>
      </c>
      <c r="B276" t="s">
        <v>174</v>
      </c>
      <c r="C276" t="s">
        <v>238</v>
      </c>
      <c r="D276">
        <v>4</v>
      </c>
      <c r="E276">
        <v>0</v>
      </c>
      <c r="F276" t="s">
        <v>241</v>
      </c>
      <c r="G276" t="s">
        <v>26</v>
      </c>
      <c r="H276">
        <v>0</v>
      </c>
      <c r="I276" t="s">
        <v>253</v>
      </c>
    </row>
    <row r="277" spans="1:9" x14ac:dyDescent="0.25">
      <c r="A277">
        <v>70344</v>
      </c>
      <c r="B277" t="s">
        <v>174</v>
      </c>
      <c r="C277" t="s">
        <v>238</v>
      </c>
      <c r="D277">
        <v>4</v>
      </c>
      <c r="E277">
        <v>0</v>
      </c>
      <c r="F277" t="s">
        <v>247</v>
      </c>
      <c r="G277" t="s">
        <v>15</v>
      </c>
      <c r="H277">
        <v>311231</v>
      </c>
      <c r="I277" t="s">
        <v>254</v>
      </c>
    </row>
    <row r="278" spans="1:9" x14ac:dyDescent="0.25">
      <c r="A278">
        <v>70344</v>
      </c>
      <c r="B278" t="s">
        <v>174</v>
      </c>
      <c r="C278" t="s">
        <v>238</v>
      </c>
      <c r="D278">
        <v>4</v>
      </c>
      <c r="E278">
        <v>0</v>
      </c>
      <c r="F278" t="s">
        <v>247</v>
      </c>
      <c r="G278" t="s">
        <v>14</v>
      </c>
      <c r="H278">
        <v>0</v>
      </c>
      <c r="I278" t="s">
        <v>355</v>
      </c>
    </row>
    <row r="279" spans="1:9" x14ac:dyDescent="0.25">
      <c r="A279">
        <v>70344</v>
      </c>
      <c r="B279" t="s">
        <v>174</v>
      </c>
      <c r="C279" t="s">
        <v>238</v>
      </c>
      <c r="D279">
        <v>4</v>
      </c>
      <c r="E279">
        <v>0</v>
      </c>
      <c r="F279" t="s">
        <v>241</v>
      </c>
      <c r="G279" t="s">
        <v>23</v>
      </c>
      <c r="H279">
        <v>66559</v>
      </c>
      <c r="I279" t="s">
        <v>242</v>
      </c>
    </row>
    <row r="280" spans="1:9" x14ac:dyDescent="0.25">
      <c r="A280">
        <v>70344</v>
      </c>
      <c r="B280" t="s">
        <v>174</v>
      </c>
      <c r="C280" t="s">
        <v>238</v>
      </c>
      <c r="D280">
        <v>4</v>
      </c>
      <c r="E280">
        <v>0</v>
      </c>
      <c r="F280" t="s">
        <v>241</v>
      </c>
      <c r="G280" t="s">
        <v>24</v>
      </c>
      <c r="H280">
        <v>134479</v>
      </c>
      <c r="I280" t="s">
        <v>243</v>
      </c>
    </row>
    <row r="281" spans="1:9" x14ac:dyDescent="0.25">
      <c r="A281">
        <v>70344</v>
      </c>
      <c r="B281" t="s">
        <v>174</v>
      </c>
      <c r="C281" t="s">
        <v>238</v>
      </c>
      <c r="D281">
        <v>4</v>
      </c>
      <c r="E281">
        <v>0</v>
      </c>
      <c r="F281" t="s">
        <v>241</v>
      </c>
      <c r="G281" t="s">
        <v>21</v>
      </c>
      <c r="H281">
        <v>0</v>
      </c>
      <c r="I281" t="s">
        <v>356</v>
      </c>
    </row>
    <row r="282" spans="1:9" x14ac:dyDescent="0.25">
      <c r="A282">
        <v>70344</v>
      </c>
      <c r="B282" t="s">
        <v>174</v>
      </c>
      <c r="C282" t="s">
        <v>238</v>
      </c>
      <c r="D282">
        <v>4</v>
      </c>
      <c r="E282">
        <v>0</v>
      </c>
      <c r="F282" t="s">
        <v>239</v>
      </c>
      <c r="G282" t="s">
        <v>20</v>
      </c>
      <c r="H282">
        <v>-958</v>
      </c>
      <c r="I282" t="s">
        <v>244</v>
      </c>
    </row>
    <row r="283" spans="1:9" x14ac:dyDescent="0.25">
      <c r="A283">
        <v>70344</v>
      </c>
      <c r="B283" t="s">
        <v>174</v>
      </c>
      <c r="C283" t="s">
        <v>238</v>
      </c>
      <c r="D283">
        <v>4</v>
      </c>
      <c r="E283">
        <v>0</v>
      </c>
      <c r="F283" t="s">
        <v>241</v>
      </c>
      <c r="G283" t="s">
        <v>22</v>
      </c>
      <c r="H283">
        <v>516</v>
      </c>
      <c r="I283" t="s">
        <v>245</v>
      </c>
    </row>
    <row r="284" spans="1:9" x14ac:dyDescent="0.25">
      <c r="A284">
        <v>70344</v>
      </c>
      <c r="B284" t="s">
        <v>174</v>
      </c>
      <c r="C284" t="s">
        <v>238</v>
      </c>
      <c r="D284">
        <v>4</v>
      </c>
      <c r="E284">
        <v>0</v>
      </c>
      <c r="F284" t="s">
        <v>241</v>
      </c>
      <c r="G284" t="s">
        <v>26</v>
      </c>
      <c r="H284">
        <v>1072</v>
      </c>
      <c r="I284" t="s">
        <v>246</v>
      </c>
    </row>
    <row r="285" spans="1:9" x14ac:dyDescent="0.25">
      <c r="A285">
        <v>70344</v>
      </c>
      <c r="B285" t="s">
        <v>174</v>
      </c>
      <c r="C285" t="s">
        <v>238</v>
      </c>
      <c r="D285">
        <v>4</v>
      </c>
      <c r="E285">
        <v>0</v>
      </c>
      <c r="F285" t="s">
        <v>239</v>
      </c>
      <c r="G285" t="s">
        <v>17</v>
      </c>
      <c r="H285">
        <v>0</v>
      </c>
      <c r="I285" t="s">
        <v>357</v>
      </c>
    </row>
    <row r="286" spans="1:9" x14ac:dyDescent="0.25">
      <c r="A286">
        <v>70344</v>
      </c>
      <c r="B286" t="s">
        <v>174</v>
      </c>
      <c r="C286" t="s">
        <v>238</v>
      </c>
      <c r="D286">
        <v>4</v>
      </c>
      <c r="E286">
        <v>0</v>
      </c>
      <c r="F286" t="s">
        <v>241</v>
      </c>
      <c r="G286" t="s">
        <v>24</v>
      </c>
      <c r="H286">
        <v>0</v>
      </c>
      <c r="I286" t="s">
        <v>358</v>
      </c>
    </row>
    <row r="287" spans="1:9" x14ac:dyDescent="0.25">
      <c r="A287">
        <v>70344</v>
      </c>
      <c r="B287" t="s">
        <v>174</v>
      </c>
      <c r="C287" t="s">
        <v>238</v>
      </c>
      <c r="D287">
        <v>4</v>
      </c>
      <c r="E287">
        <v>0</v>
      </c>
      <c r="F287" t="s">
        <v>241</v>
      </c>
      <c r="G287" t="s">
        <v>27</v>
      </c>
      <c r="H287">
        <v>0</v>
      </c>
      <c r="I287" t="s">
        <v>359</v>
      </c>
    </row>
    <row r="288" spans="1:9" x14ac:dyDescent="0.25">
      <c r="A288">
        <v>70344</v>
      </c>
      <c r="B288" t="s">
        <v>174</v>
      </c>
      <c r="C288" t="s">
        <v>238</v>
      </c>
      <c r="D288">
        <v>4</v>
      </c>
      <c r="E288">
        <v>0</v>
      </c>
      <c r="F288" t="s">
        <v>239</v>
      </c>
      <c r="G288" t="s">
        <v>19</v>
      </c>
      <c r="H288">
        <v>0</v>
      </c>
      <c r="I288" t="s">
        <v>360</v>
      </c>
    </row>
    <row r="289" spans="1:9" x14ac:dyDescent="0.25">
      <c r="A289">
        <v>70344</v>
      </c>
      <c r="B289" t="s">
        <v>174</v>
      </c>
      <c r="C289" t="s">
        <v>238</v>
      </c>
      <c r="D289">
        <v>4</v>
      </c>
      <c r="E289">
        <v>0</v>
      </c>
      <c r="F289" t="s">
        <v>239</v>
      </c>
      <c r="G289" t="s">
        <v>20</v>
      </c>
      <c r="H289">
        <v>57499</v>
      </c>
      <c r="I289" t="s">
        <v>255</v>
      </c>
    </row>
    <row r="290" spans="1:9" x14ac:dyDescent="0.25">
      <c r="A290">
        <v>70344</v>
      </c>
      <c r="B290" t="s">
        <v>174</v>
      </c>
      <c r="C290" t="s">
        <v>238</v>
      </c>
      <c r="D290">
        <v>4</v>
      </c>
      <c r="E290">
        <v>0</v>
      </c>
      <c r="F290" t="s">
        <v>247</v>
      </c>
      <c r="G290" t="s">
        <v>148</v>
      </c>
      <c r="H290">
        <v>769214</v>
      </c>
      <c r="I290" t="s">
        <v>256</v>
      </c>
    </row>
    <row r="291" spans="1:9" x14ac:dyDescent="0.25">
      <c r="A291">
        <v>70344</v>
      </c>
      <c r="B291" t="s">
        <v>174</v>
      </c>
      <c r="C291" t="s">
        <v>238</v>
      </c>
      <c r="D291">
        <v>4</v>
      </c>
      <c r="E291">
        <v>0</v>
      </c>
      <c r="F291" t="s">
        <v>241</v>
      </c>
      <c r="G291" t="s">
        <v>27</v>
      </c>
      <c r="H291">
        <v>4619754</v>
      </c>
      <c r="I291" t="s">
        <v>257</v>
      </c>
    </row>
    <row r="292" spans="1:9" x14ac:dyDescent="0.25">
      <c r="A292">
        <v>70344</v>
      </c>
      <c r="B292" t="s">
        <v>174</v>
      </c>
      <c r="C292" t="s">
        <v>238</v>
      </c>
      <c r="D292">
        <v>4</v>
      </c>
      <c r="E292">
        <v>0</v>
      </c>
      <c r="F292" t="s">
        <v>241</v>
      </c>
      <c r="G292" t="s">
        <v>27</v>
      </c>
      <c r="H292">
        <v>10707</v>
      </c>
      <c r="I292" t="s">
        <v>361</v>
      </c>
    </row>
    <row r="293" spans="1:9" x14ac:dyDescent="0.25">
      <c r="A293">
        <v>70344</v>
      </c>
      <c r="B293" t="s">
        <v>174</v>
      </c>
      <c r="C293" t="s">
        <v>238</v>
      </c>
      <c r="D293">
        <v>4</v>
      </c>
      <c r="E293">
        <v>0</v>
      </c>
      <c r="F293" t="s">
        <v>241</v>
      </c>
      <c r="G293" t="s">
        <v>27</v>
      </c>
      <c r="H293">
        <v>0</v>
      </c>
      <c r="I293" t="s">
        <v>362</v>
      </c>
    </row>
    <row r="294" spans="1:9" x14ac:dyDescent="0.25">
      <c r="A294">
        <v>70344</v>
      </c>
      <c r="B294" t="s">
        <v>174</v>
      </c>
      <c r="C294" t="s">
        <v>238</v>
      </c>
      <c r="D294">
        <v>4</v>
      </c>
      <c r="E294">
        <v>0</v>
      </c>
      <c r="F294" t="s">
        <v>241</v>
      </c>
      <c r="G294" t="s">
        <v>27</v>
      </c>
      <c r="H294">
        <v>0</v>
      </c>
      <c r="I294" t="s">
        <v>363</v>
      </c>
    </row>
    <row r="295" spans="1:9" x14ac:dyDescent="0.25">
      <c r="A295">
        <v>70344</v>
      </c>
      <c r="B295" t="s">
        <v>174</v>
      </c>
      <c r="C295" t="s">
        <v>238</v>
      </c>
      <c r="D295">
        <v>4</v>
      </c>
      <c r="E295">
        <v>0</v>
      </c>
      <c r="F295" t="s">
        <v>239</v>
      </c>
      <c r="G295" t="s">
        <v>16</v>
      </c>
      <c r="H295">
        <v>4969</v>
      </c>
      <c r="I295" t="s">
        <v>267</v>
      </c>
    </row>
    <row r="296" spans="1:9" x14ac:dyDescent="0.25">
      <c r="A296">
        <v>70344</v>
      </c>
      <c r="B296" t="s">
        <v>174</v>
      </c>
      <c r="C296" t="s">
        <v>238</v>
      </c>
      <c r="D296">
        <v>4</v>
      </c>
      <c r="E296">
        <v>0</v>
      </c>
      <c r="F296" t="s">
        <v>239</v>
      </c>
      <c r="G296" t="s">
        <v>152</v>
      </c>
      <c r="H296">
        <v>41269</v>
      </c>
      <c r="I296" t="s">
        <v>258</v>
      </c>
    </row>
    <row r="297" spans="1:9" x14ac:dyDescent="0.25">
      <c r="A297">
        <v>70344</v>
      </c>
      <c r="B297" t="s">
        <v>174</v>
      </c>
      <c r="C297" t="s">
        <v>238</v>
      </c>
      <c r="D297">
        <v>4</v>
      </c>
      <c r="E297">
        <v>0</v>
      </c>
      <c r="F297" t="s">
        <v>239</v>
      </c>
      <c r="G297" t="s">
        <v>154</v>
      </c>
      <c r="H297">
        <v>0</v>
      </c>
      <c r="I297" t="s">
        <v>330</v>
      </c>
    </row>
    <row r="298" spans="1:9" x14ac:dyDescent="0.25">
      <c r="A298">
        <v>70344</v>
      </c>
      <c r="B298" t="s">
        <v>174</v>
      </c>
      <c r="C298" t="s">
        <v>238</v>
      </c>
      <c r="D298">
        <v>4</v>
      </c>
      <c r="E298">
        <v>0</v>
      </c>
      <c r="F298" t="s">
        <v>239</v>
      </c>
      <c r="G298" t="s">
        <v>16</v>
      </c>
      <c r="H298">
        <v>0</v>
      </c>
      <c r="I298" t="s">
        <v>259</v>
      </c>
    </row>
    <row r="299" spans="1:9" x14ac:dyDescent="0.25">
      <c r="A299">
        <v>70344</v>
      </c>
      <c r="B299" t="s">
        <v>174</v>
      </c>
      <c r="C299" t="s">
        <v>238</v>
      </c>
      <c r="D299">
        <v>4</v>
      </c>
      <c r="E299">
        <v>0</v>
      </c>
      <c r="F299" t="s">
        <v>239</v>
      </c>
      <c r="G299" t="s">
        <v>19</v>
      </c>
      <c r="H299">
        <v>36494</v>
      </c>
      <c r="I299" t="s">
        <v>260</v>
      </c>
    </row>
    <row r="300" spans="1:9" x14ac:dyDescent="0.25">
      <c r="A300">
        <v>70344</v>
      </c>
      <c r="B300" t="s">
        <v>174</v>
      </c>
      <c r="C300" t="s">
        <v>238</v>
      </c>
      <c r="D300">
        <v>4</v>
      </c>
      <c r="E300">
        <v>0</v>
      </c>
      <c r="F300" t="s">
        <v>239</v>
      </c>
      <c r="G300" t="s">
        <v>19</v>
      </c>
      <c r="H300">
        <v>0</v>
      </c>
      <c r="I300" t="s">
        <v>270</v>
      </c>
    </row>
    <row r="301" spans="1:9" x14ac:dyDescent="0.25">
      <c r="A301">
        <v>70344</v>
      </c>
      <c r="B301" t="s">
        <v>174</v>
      </c>
      <c r="C301" t="s">
        <v>238</v>
      </c>
      <c r="D301">
        <v>4</v>
      </c>
      <c r="E301">
        <v>0</v>
      </c>
      <c r="F301" t="s">
        <v>241</v>
      </c>
      <c r="G301" t="s">
        <v>139</v>
      </c>
      <c r="H301">
        <v>0</v>
      </c>
      <c r="I301" t="s">
        <v>331</v>
      </c>
    </row>
    <row r="302" spans="1:9" x14ac:dyDescent="0.25">
      <c r="A302">
        <v>70344</v>
      </c>
      <c r="B302" t="s">
        <v>174</v>
      </c>
      <c r="C302" t="s">
        <v>238</v>
      </c>
      <c r="D302">
        <v>4</v>
      </c>
      <c r="E302">
        <v>0</v>
      </c>
      <c r="F302" t="s">
        <v>261</v>
      </c>
      <c r="G302" t="s">
        <v>261</v>
      </c>
      <c r="H302">
        <v>-760803</v>
      </c>
      <c r="I302" t="s">
        <v>262</v>
      </c>
    </row>
    <row r="303" spans="1:9" x14ac:dyDescent="0.25">
      <c r="A303">
        <v>70344</v>
      </c>
      <c r="B303" t="s">
        <v>174</v>
      </c>
      <c r="C303" t="s">
        <v>238</v>
      </c>
      <c r="D303">
        <v>4</v>
      </c>
      <c r="E303">
        <v>0</v>
      </c>
      <c r="F303" t="s">
        <v>239</v>
      </c>
      <c r="G303" t="s">
        <v>19</v>
      </c>
      <c r="H303">
        <v>345113</v>
      </c>
      <c r="I303" t="s">
        <v>263</v>
      </c>
    </row>
    <row r="304" spans="1:9" x14ac:dyDescent="0.25">
      <c r="A304">
        <v>70344</v>
      </c>
      <c r="B304" t="s">
        <v>174</v>
      </c>
      <c r="C304" t="s">
        <v>238</v>
      </c>
      <c r="D304">
        <v>4</v>
      </c>
      <c r="E304">
        <v>0</v>
      </c>
      <c r="F304" t="s">
        <v>239</v>
      </c>
      <c r="G304" t="s">
        <v>16</v>
      </c>
      <c r="H304">
        <v>892</v>
      </c>
      <c r="I304" t="s">
        <v>240</v>
      </c>
    </row>
    <row r="305" spans="1:9" x14ac:dyDescent="0.25">
      <c r="A305">
        <v>70344</v>
      </c>
      <c r="B305" t="s">
        <v>174</v>
      </c>
      <c r="C305" t="s">
        <v>238</v>
      </c>
      <c r="D305">
        <v>4</v>
      </c>
      <c r="E305">
        <v>0</v>
      </c>
      <c r="F305" t="s">
        <v>239</v>
      </c>
      <c r="G305" t="s">
        <v>19</v>
      </c>
      <c r="H305">
        <v>38085</v>
      </c>
      <c r="I305" t="s">
        <v>264</v>
      </c>
    </row>
    <row r="306" spans="1:9" x14ac:dyDescent="0.25">
      <c r="A306">
        <v>70344</v>
      </c>
      <c r="B306" t="s">
        <v>174</v>
      </c>
      <c r="C306" t="s">
        <v>238</v>
      </c>
      <c r="D306">
        <v>4</v>
      </c>
      <c r="E306">
        <v>0</v>
      </c>
      <c r="F306" t="s">
        <v>241</v>
      </c>
      <c r="G306" t="s">
        <v>158</v>
      </c>
      <c r="H306">
        <v>33998</v>
      </c>
      <c r="I306" t="s">
        <v>265</v>
      </c>
    </row>
    <row r="307" spans="1:9" x14ac:dyDescent="0.25">
      <c r="A307">
        <v>70344</v>
      </c>
      <c r="B307" t="s">
        <v>174</v>
      </c>
      <c r="C307" t="s">
        <v>238</v>
      </c>
      <c r="D307">
        <v>4</v>
      </c>
      <c r="E307">
        <v>0</v>
      </c>
      <c r="F307" t="s">
        <v>239</v>
      </c>
      <c r="G307" t="s">
        <v>19</v>
      </c>
      <c r="H307">
        <v>0</v>
      </c>
      <c r="I307" t="s">
        <v>271</v>
      </c>
    </row>
    <row r="308" spans="1:9" x14ac:dyDescent="0.25">
      <c r="A308">
        <v>70344</v>
      </c>
      <c r="B308" t="s">
        <v>174</v>
      </c>
      <c r="C308" t="s">
        <v>238</v>
      </c>
      <c r="D308">
        <v>4</v>
      </c>
      <c r="E308">
        <v>0</v>
      </c>
      <c r="F308" t="s">
        <v>239</v>
      </c>
      <c r="G308" t="s">
        <v>19</v>
      </c>
      <c r="H308">
        <v>0</v>
      </c>
      <c r="I308" t="s">
        <v>266</v>
      </c>
    </row>
    <row r="309" spans="1:9" x14ac:dyDescent="0.25">
      <c r="A309">
        <v>70344</v>
      </c>
      <c r="B309" t="s">
        <v>174</v>
      </c>
      <c r="C309" t="s">
        <v>238</v>
      </c>
      <c r="D309">
        <v>4</v>
      </c>
      <c r="E309">
        <v>0</v>
      </c>
      <c r="F309" t="s">
        <v>241</v>
      </c>
      <c r="G309" t="s">
        <v>143</v>
      </c>
      <c r="H309">
        <v>0</v>
      </c>
      <c r="I309" t="s">
        <v>332</v>
      </c>
    </row>
    <row r="310" spans="1:9" x14ac:dyDescent="0.25">
      <c r="A310">
        <v>70344</v>
      </c>
      <c r="B310" t="s">
        <v>174</v>
      </c>
      <c r="C310" t="s">
        <v>238</v>
      </c>
      <c r="D310">
        <v>4</v>
      </c>
      <c r="E310">
        <v>0</v>
      </c>
      <c r="F310" t="s">
        <v>241</v>
      </c>
      <c r="G310" t="s">
        <v>138</v>
      </c>
      <c r="H310">
        <v>0</v>
      </c>
      <c r="I310" t="s">
        <v>333</v>
      </c>
    </row>
    <row r="311" spans="1:9" x14ac:dyDescent="0.25">
      <c r="A311">
        <v>70344</v>
      </c>
      <c r="B311" t="s">
        <v>174</v>
      </c>
      <c r="C311" t="s">
        <v>238</v>
      </c>
      <c r="D311">
        <v>4</v>
      </c>
      <c r="E311">
        <v>0</v>
      </c>
      <c r="F311" t="s">
        <v>241</v>
      </c>
      <c r="G311" t="s">
        <v>138</v>
      </c>
      <c r="H311">
        <v>0</v>
      </c>
      <c r="I311" t="s">
        <v>334</v>
      </c>
    </row>
    <row r="312" spans="1:9" x14ac:dyDescent="0.25">
      <c r="A312">
        <v>70344</v>
      </c>
      <c r="B312" t="s">
        <v>174</v>
      </c>
      <c r="C312" t="s">
        <v>238</v>
      </c>
      <c r="D312">
        <v>4</v>
      </c>
      <c r="E312">
        <v>0</v>
      </c>
      <c r="F312" t="s">
        <v>241</v>
      </c>
      <c r="G312" t="s">
        <v>138</v>
      </c>
      <c r="H312">
        <v>-41483</v>
      </c>
      <c r="I312" t="s">
        <v>268</v>
      </c>
    </row>
    <row r="313" spans="1:9" x14ac:dyDescent="0.25">
      <c r="A313">
        <v>70344</v>
      </c>
      <c r="B313" t="s">
        <v>174</v>
      </c>
      <c r="C313" t="s">
        <v>238</v>
      </c>
      <c r="D313">
        <v>4</v>
      </c>
      <c r="E313">
        <v>0</v>
      </c>
      <c r="F313" t="s">
        <v>241</v>
      </c>
      <c r="G313" t="s">
        <v>139</v>
      </c>
      <c r="H313">
        <v>0</v>
      </c>
      <c r="I313" t="s">
        <v>336</v>
      </c>
    </row>
    <row r="314" spans="1:9" x14ac:dyDescent="0.25">
      <c r="A314">
        <v>70344</v>
      </c>
      <c r="B314" t="s">
        <v>174</v>
      </c>
      <c r="C314" t="s">
        <v>238</v>
      </c>
      <c r="D314">
        <v>4</v>
      </c>
      <c r="E314">
        <v>0</v>
      </c>
      <c r="F314" t="s">
        <v>241</v>
      </c>
      <c r="G314" t="s">
        <v>139</v>
      </c>
      <c r="H314">
        <v>0</v>
      </c>
      <c r="I314" t="s">
        <v>337</v>
      </c>
    </row>
    <row r="315" spans="1:9" x14ac:dyDescent="0.25">
      <c r="A315">
        <v>70344</v>
      </c>
      <c r="B315" t="s">
        <v>174</v>
      </c>
      <c r="C315" t="s">
        <v>238</v>
      </c>
      <c r="D315">
        <v>4</v>
      </c>
      <c r="E315">
        <v>0</v>
      </c>
      <c r="F315" t="s">
        <v>241</v>
      </c>
      <c r="G315" t="s">
        <v>139</v>
      </c>
      <c r="H315">
        <v>0</v>
      </c>
      <c r="I315" t="s">
        <v>335</v>
      </c>
    </row>
    <row r="316" spans="1:9" x14ac:dyDescent="0.25">
      <c r="A316">
        <v>70344</v>
      </c>
      <c r="B316" t="s">
        <v>174</v>
      </c>
      <c r="C316" t="s">
        <v>238</v>
      </c>
      <c r="D316">
        <v>4</v>
      </c>
      <c r="E316">
        <v>0</v>
      </c>
      <c r="F316" t="s">
        <v>241</v>
      </c>
      <c r="G316" t="s">
        <v>24</v>
      </c>
      <c r="H316">
        <v>0</v>
      </c>
      <c r="I316" t="s">
        <v>338</v>
      </c>
    </row>
    <row r="317" spans="1:9" x14ac:dyDescent="0.25">
      <c r="A317">
        <v>70344</v>
      </c>
      <c r="B317" t="s">
        <v>174</v>
      </c>
      <c r="C317" t="s">
        <v>238</v>
      </c>
      <c r="D317">
        <v>4</v>
      </c>
      <c r="E317">
        <v>0</v>
      </c>
      <c r="F317" t="s">
        <v>241</v>
      </c>
      <c r="G317" t="s">
        <v>24</v>
      </c>
      <c r="H317">
        <v>0</v>
      </c>
      <c r="I317" t="s">
        <v>339</v>
      </c>
    </row>
    <row r="318" spans="1:9" x14ac:dyDescent="0.25">
      <c r="A318">
        <v>70344</v>
      </c>
      <c r="B318" t="s">
        <v>174</v>
      </c>
      <c r="C318" t="s">
        <v>238</v>
      </c>
      <c r="D318">
        <v>4</v>
      </c>
      <c r="E318">
        <v>0</v>
      </c>
      <c r="F318" t="s">
        <v>241</v>
      </c>
      <c r="G318" t="s">
        <v>24</v>
      </c>
      <c r="H318">
        <v>0</v>
      </c>
      <c r="I318" t="s">
        <v>340</v>
      </c>
    </row>
    <row r="319" spans="1:9" x14ac:dyDescent="0.25">
      <c r="A319">
        <v>70344</v>
      </c>
      <c r="B319" t="s">
        <v>174</v>
      </c>
      <c r="C319" t="s">
        <v>238</v>
      </c>
      <c r="D319">
        <v>4</v>
      </c>
      <c r="E319">
        <v>0</v>
      </c>
      <c r="F319" t="s">
        <v>241</v>
      </c>
      <c r="G319" t="s">
        <v>137</v>
      </c>
      <c r="H319">
        <v>0</v>
      </c>
      <c r="I319" t="s">
        <v>273</v>
      </c>
    </row>
    <row r="320" spans="1:9" x14ac:dyDescent="0.25">
      <c r="A320">
        <v>70344</v>
      </c>
      <c r="B320" t="s">
        <v>174</v>
      </c>
      <c r="C320" t="s">
        <v>238</v>
      </c>
      <c r="D320">
        <v>4</v>
      </c>
      <c r="E320">
        <v>0</v>
      </c>
      <c r="F320" t="s">
        <v>241</v>
      </c>
      <c r="G320" t="s">
        <v>137</v>
      </c>
      <c r="H320">
        <v>0</v>
      </c>
      <c r="I320" t="s">
        <v>341</v>
      </c>
    </row>
    <row r="321" spans="1:9" x14ac:dyDescent="0.25">
      <c r="A321">
        <v>70344</v>
      </c>
      <c r="B321" t="s">
        <v>174</v>
      </c>
      <c r="C321" t="s">
        <v>238</v>
      </c>
      <c r="D321">
        <v>4</v>
      </c>
      <c r="E321">
        <v>0</v>
      </c>
      <c r="F321" t="s">
        <v>241</v>
      </c>
      <c r="G321" t="s">
        <v>137</v>
      </c>
      <c r="H321">
        <v>0</v>
      </c>
      <c r="I321" t="s">
        <v>342</v>
      </c>
    </row>
    <row r="322" spans="1:9" x14ac:dyDescent="0.25">
      <c r="A322">
        <v>70344</v>
      </c>
      <c r="B322" t="s">
        <v>174</v>
      </c>
      <c r="C322" t="s">
        <v>238</v>
      </c>
      <c r="D322">
        <v>4</v>
      </c>
      <c r="E322">
        <v>0</v>
      </c>
      <c r="F322" t="s">
        <v>241</v>
      </c>
      <c r="G322" t="s">
        <v>137</v>
      </c>
      <c r="H322">
        <v>0</v>
      </c>
      <c r="I322" t="s">
        <v>343</v>
      </c>
    </row>
    <row r="323" spans="1:9" x14ac:dyDescent="0.25">
      <c r="A323">
        <v>70344</v>
      </c>
      <c r="B323" t="s">
        <v>174</v>
      </c>
      <c r="C323" t="s">
        <v>238</v>
      </c>
      <c r="D323">
        <v>4</v>
      </c>
      <c r="E323">
        <v>0</v>
      </c>
      <c r="F323" t="s">
        <v>241</v>
      </c>
      <c r="G323" t="s">
        <v>143</v>
      </c>
      <c r="H323">
        <v>0</v>
      </c>
      <c r="I323" t="s">
        <v>344</v>
      </c>
    </row>
    <row r="324" spans="1:9" x14ac:dyDescent="0.25">
      <c r="A324">
        <v>70344</v>
      </c>
      <c r="B324" t="s">
        <v>174</v>
      </c>
      <c r="C324" t="s">
        <v>238</v>
      </c>
      <c r="D324">
        <v>4</v>
      </c>
      <c r="E324">
        <v>0</v>
      </c>
      <c r="F324" t="s">
        <v>241</v>
      </c>
      <c r="G324" t="s">
        <v>143</v>
      </c>
      <c r="H324">
        <v>0</v>
      </c>
      <c r="I324" t="s">
        <v>345</v>
      </c>
    </row>
    <row r="325" spans="1:9" x14ac:dyDescent="0.25">
      <c r="A325">
        <v>70344</v>
      </c>
      <c r="B325" t="s">
        <v>174</v>
      </c>
      <c r="C325" t="s">
        <v>238</v>
      </c>
      <c r="D325">
        <v>4</v>
      </c>
      <c r="E325">
        <v>0</v>
      </c>
      <c r="F325" t="s">
        <v>241</v>
      </c>
      <c r="G325" t="s">
        <v>143</v>
      </c>
      <c r="H325">
        <v>0</v>
      </c>
      <c r="I325" t="s">
        <v>346</v>
      </c>
    </row>
    <row r="326" spans="1:9" x14ac:dyDescent="0.25">
      <c r="A326">
        <v>70344</v>
      </c>
      <c r="B326" t="s">
        <v>174</v>
      </c>
      <c r="C326" t="s">
        <v>238</v>
      </c>
      <c r="D326">
        <v>4</v>
      </c>
      <c r="E326">
        <v>0</v>
      </c>
      <c r="F326" t="s">
        <v>241</v>
      </c>
      <c r="G326" t="s">
        <v>138</v>
      </c>
      <c r="H326">
        <v>0</v>
      </c>
      <c r="I326" t="s">
        <v>347</v>
      </c>
    </row>
    <row r="327" spans="1:9" x14ac:dyDescent="0.25">
      <c r="A327">
        <v>70345</v>
      </c>
      <c r="B327" t="s">
        <v>176</v>
      </c>
      <c r="C327" t="s">
        <v>238</v>
      </c>
      <c r="D327">
        <v>4</v>
      </c>
      <c r="E327">
        <v>0</v>
      </c>
      <c r="F327" t="s">
        <v>239</v>
      </c>
      <c r="G327" t="s">
        <v>153</v>
      </c>
      <c r="H327">
        <v>0</v>
      </c>
      <c r="I327" t="s">
        <v>351</v>
      </c>
    </row>
    <row r="328" spans="1:9" x14ac:dyDescent="0.25">
      <c r="A328">
        <v>70345</v>
      </c>
      <c r="B328" t="s">
        <v>176</v>
      </c>
      <c r="C328" t="s">
        <v>238</v>
      </c>
      <c r="D328">
        <v>4</v>
      </c>
      <c r="E328">
        <v>0</v>
      </c>
      <c r="F328" t="s">
        <v>239</v>
      </c>
      <c r="G328" t="s">
        <v>152</v>
      </c>
      <c r="H328">
        <v>0</v>
      </c>
      <c r="I328" t="s">
        <v>352</v>
      </c>
    </row>
    <row r="329" spans="1:9" x14ac:dyDescent="0.25">
      <c r="A329">
        <v>70345</v>
      </c>
      <c r="B329" t="s">
        <v>176</v>
      </c>
      <c r="C329" t="s">
        <v>238</v>
      </c>
      <c r="D329">
        <v>4</v>
      </c>
      <c r="E329">
        <v>0</v>
      </c>
      <c r="F329" t="s">
        <v>239</v>
      </c>
      <c r="G329" t="s">
        <v>154</v>
      </c>
      <c r="H329">
        <v>0</v>
      </c>
      <c r="I329" t="s">
        <v>349</v>
      </c>
    </row>
    <row r="330" spans="1:9" x14ac:dyDescent="0.25">
      <c r="A330">
        <v>70345</v>
      </c>
      <c r="B330" t="s">
        <v>176</v>
      </c>
      <c r="C330" t="s">
        <v>238</v>
      </c>
      <c r="D330">
        <v>4</v>
      </c>
      <c r="E330">
        <v>0</v>
      </c>
      <c r="F330" t="s">
        <v>241</v>
      </c>
      <c r="G330" t="s">
        <v>26</v>
      </c>
      <c r="H330">
        <v>0</v>
      </c>
      <c r="I330" t="s">
        <v>350</v>
      </c>
    </row>
    <row r="331" spans="1:9" x14ac:dyDescent="0.25">
      <c r="A331">
        <v>70345</v>
      </c>
      <c r="B331" t="s">
        <v>176</v>
      </c>
      <c r="C331" t="s">
        <v>238</v>
      </c>
      <c r="D331">
        <v>4</v>
      </c>
      <c r="E331">
        <v>0</v>
      </c>
      <c r="F331" t="s">
        <v>241</v>
      </c>
      <c r="G331" t="s">
        <v>23</v>
      </c>
      <c r="H331">
        <v>0</v>
      </c>
      <c r="I331" t="s">
        <v>269</v>
      </c>
    </row>
    <row r="332" spans="1:9" x14ac:dyDescent="0.25">
      <c r="A332">
        <v>70345</v>
      </c>
      <c r="B332" t="s">
        <v>176</v>
      </c>
      <c r="C332" t="s">
        <v>238</v>
      </c>
      <c r="D332">
        <v>4</v>
      </c>
      <c r="E332">
        <v>0</v>
      </c>
      <c r="F332" t="s">
        <v>241</v>
      </c>
      <c r="G332" t="s">
        <v>26</v>
      </c>
      <c r="H332">
        <v>0</v>
      </c>
      <c r="I332" t="s">
        <v>353</v>
      </c>
    </row>
    <row r="333" spans="1:9" x14ac:dyDescent="0.25">
      <c r="A333">
        <v>70345</v>
      </c>
      <c r="B333" t="s">
        <v>176</v>
      </c>
      <c r="C333" t="s">
        <v>238</v>
      </c>
      <c r="D333">
        <v>4</v>
      </c>
      <c r="E333">
        <v>0</v>
      </c>
      <c r="F333" t="s">
        <v>241</v>
      </c>
      <c r="G333" t="s">
        <v>157</v>
      </c>
      <c r="H333">
        <v>0</v>
      </c>
      <c r="I333" t="s">
        <v>348</v>
      </c>
    </row>
    <row r="334" spans="1:9" x14ac:dyDescent="0.25">
      <c r="A334">
        <v>70345</v>
      </c>
      <c r="B334" t="s">
        <v>176</v>
      </c>
      <c r="C334" t="s">
        <v>238</v>
      </c>
      <c r="D334">
        <v>4</v>
      </c>
      <c r="E334">
        <v>0</v>
      </c>
      <c r="F334" t="s">
        <v>261</v>
      </c>
      <c r="G334" t="s">
        <v>261</v>
      </c>
      <c r="H334">
        <v>0</v>
      </c>
      <c r="I334" t="s">
        <v>272</v>
      </c>
    </row>
    <row r="335" spans="1:9" x14ac:dyDescent="0.25">
      <c r="A335">
        <v>70345</v>
      </c>
      <c r="B335" t="s">
        <v>176</v>
      </c>
      <c r="C335" t="s">
        <v>238</v>
      </c>
      <c r="D335">
        <v>4</v>
      </c>
      <c r="E335">
        <v>0</v>
      </c>
      <c r="F335" t="s">
        <v>261</v>
      </c>
      <c r="G335" t="s">
        <v>261</v>
      </c>
      <c r="H335">
        <v>0</v>
      </c>
      <c r="I335" t="s">
        <v>354</v>
      </c>
    </row>
    <row r="336" spans="1:9" x14ac:dyDescent="0.25">
      <c r="A336">
        <v>70345</v>
      </c>
      <c r="B336" t="s">
        <v>176</v>
      </c>
      <c r="C336" t="s">
        <v>238</v>
      </c>
      <c r="D336">
        <v>4</v>
      </c>
      <c r="E336">
        <v>0</v>
      </c>
      <c r="F336" t="s">
        <v>247</v>
      </c>
      <c r="G336" t="s">
        <v>12</v>
      </c>
      <c r="H336">
        <v>-3723150</v>
      </c>
      <c r="I336" t="s">
        <v>248</v>
      </c>
    </row>
    <row r="337" spans="1:9" x14ac:dyDescent="0.25">
      <c r="A337">
        <v>70345</v>
      </c>
      <c r="B337" t="s">
        <v>176</v>
      </c>
      <c r="C337" t="s">
        <v>238</v>
      </c>
      <c r="D337">
        <v>4</v>
      </c>
      <c r="E337">
        <v>0</v>
      </c>
      <c r="F337" t="s">
        <v>247</v>
      </c>
      <c r="G337" t="s">
        <v>13</v>
      </c>
      <c r="H337">
        <v>8865618</v>
      </c>
      <c r="I337" t="s">
        <v>249</v>
      </c>
    </row>
    <row r="338" spans="1:9" x14ac:dyDescent="0.25">
      <c r="A338">
        <v>70345</v>
      </c>
      <c r="B338" t="s">
        <v>176</v>
      </c>
      <c r="C338" t="s">
        <v>238</v>
      </c>
      <c r="D338">
        <v>4</v>
      </c>
      <c r="E338">
        <v>0</v>
      </c>
      <c r="F338" t="s">
        <v>241</v>
      </c>
      <c r="G338" t="s">
        <v>25</v>
      </c>
      <c r="H338">
        <v>9294</v>
      </c>
      <c r="I338" t="s">
        <v>250</v>
      </c>
    </row>
    <row r="339" spans="1:9" x14ac:dyDescent="0.25">
      <c r="A339">
        <v>70345</v>
      </c>
      <c r="B339" t="s">
        <v>176</v>
      </c>
      <c r="C339" t="s">
        <v>238</v>
      </c>
      <c r="D339">
        <v>4</v>
      </c>
      <c r="E339">
        <v>0</v>
      </c>
      <c r="F339" t="s">
        <v>241</v>
      </c>
      <c r="G339" t="s">
        <v>26</v>
      </c>
      <c r="H339">
        <v>268587</v>
      </c>
      <c r="I339" t="s">
        <v>251</v>
      </c>
    </row>
    <row r="340" spans="1:9" x14ac:dyDescent="0.25">
      <c r="A340">
        <v>70345</v>
      </c>
      <c r="B340" t="s">
        <v>176</v>
      </c>
      <c r="C340" t="s">
        <v>238</v>
      </c>
      <c r="D340">
        <v>4</v>
      </c>
      <c r="E340">
        <v>0</v>
      </c>
      <c r="F340" t="s">
        <v>239</v>
      </c>
      <c r="G340" t="s">
        <v>18</v>
      </c>
      <c r="H340">
        <v>125245</v>
      </c>
      <c r="I340" t="s">
        <v>252</v>
      </c>
    </row>
    <row r="341" spans="1:9" x14ac:dyDescent="0.25">
      <c r="A341">
        <v>70345</v>
      </c>
      <c r="B341" t="s">
        <v>176</v>
      </c>
      <c r="C341" t="s">
        <v>238</v>
      </c>
      <c r="D341">
        <v>4</v>
      </c>
      <c r="E341">
        <v>0</v>
      </c>
      <c r="F341" t="s">
        <v>241</v>
      </c>
      <c r="G341" t="s">
        <v>26</v>
      </c>
      <c r="H341">
        <v>3133</v>
      </c>
      <c r="I341" t="s">
        <v>253</v>
      </c>
    </row>
    <row r="342" spans="1:9" x14ac:dyDescent="0.25">
      <c r="A342">
        <v>70345</v>
      </c>
      <c r="B342" t="s">
        <v>176</v>
      </c>
      <c r="C342" t="s">
        <v>238</v>
      </c>
      <c r="D342">
        <v>4</v>
      </c>
      <c r="E342">
        <v>0</v>
      </c>
      <c r="F342" t="s">
        <v>247</v>
      </c>
      <c r="G342" t="s">
        <v>15</v>
      </c>
      <c r="H342">
        <v>474786</v>
      </c>
      <c r="I342" t="s">
        <v>254</v>
      </c>
    </row>
    <row r="343" spans="1:9" x14ac:dyDescent="0.25">
      <c r="A343">
        <v>70345</v>
      </c>
      <c r="B343" t="s">
        <v>176</v>
      </c>
      <c r="C343" t="s">
        <v>238</v>
      </c>
      <c r="D343">
        <v>4</v>
      </c>
      <c r="E343">
        <v>0</v>
      </c>
      <c r="F343" t="s">
        <v>247</v>
      </c>
      <c r="G343" t="s">
        <v>14</v>
      </c>
      <c r="H343">
        <v>0</v>
      </c>
      <c r="I343" t="s">
        <v>355</v>
      </c>
    </row>
    <row r="344" spans="1:9" x14ac:dyDescent="0.25">
      <c r="A344">
        <v>70345</v>
      </c>
      <c r="B344" t="s">
        <v>176</v>
      </c>
      <c r="C344" t="s">
        <v>238</v>
      </c>
      <c r="D344">
        <v>4</v>
      </c>
      <c r="E344">
        <v>0</v>
      </c>
      <c r="F344" t="s">
        <v>241</v>
      </c>
      <c r="G344" t="s">
        <v>23</v>
      </c>
      <c r="H344">
        <v>88019</v>
      </c>
      <c r="I344" t="s">
        <v>242</v>
      </c>
    </row>
    <row r="345" spans="1:9" x14ac:dyDescent="0.25">
      <c r="A345">
        <v>70345</v>
      </c>
      <c r="B345" t="s">
        <v>176</v>
      </c>
      <c r="C345" t="s">
        <v>238</v>
      </c>
      <c r="D345">
        <v>4</v>
      </c>
      <c r="E345">
        <v>0</v>
      </c>
      <c r="F345" t="s">
        <v>241</v>
      </c>
      <c r="G345" t="s">
        <v>24</v>
      </c>
      <c r="H345">
        <v>435194</v>
      </c>
      <c r="I345" t="s">
        <v>243</v>
      </c>
    </row>
    <row r="346" spans="1:9" x14ac:dyDescent="0.25">
      <c r="A346">
        <v>70345</v>
      </c>
      <c r="B346" t="s">
        <v>176</v>
      </c>
      <c r="C346" t="s">
        <v>238</v>
      </c>
      <c r="D346">
        <v>4</v>
      </c>
      <c r="E346">
        <v>0</v>
      </c>
      <c r="F346" t="s">
        <v>241</v>
      </c>
      <c r="G346" t="s">
        <v>21</v>
      </c>
      <c r="H346">
        <v>0</v>
      </c>
      <c r="I346" t="s">
        <v>356</v>
      </c>
    </row>
    <row r="347" spans="1:9" x14ac:dyDescent="0.25">
      <c r="A347">
        <v>70345</v>
      </c>
      <c r="B347" t="s">
        <v>176</v>
      </c>
      <c r="C347" t="s">
        <v>238</v>
      </c>
      <c r="D347">
        <v>4</v>
      </c>
      <c r="E347">
        <v>0</v>
      </c>
      <c r="F347" t="s">
        <v>239</v>
      </c>
      <c r="G347" t="s">
        <v>20</v>
      </c>
      <c r="H347">
        <v>0</v>
      </c>
      <c r="I347" t="s">
        <v>244</v>
      </c>
    </row>
    <row r="348" spans="1:9" x14ac:dyDescent="0.25">
      <c r="A348">
        <v>70345</v>
      </c>
      <c r="B348" t="s">
        <v>176</v>
      </c>
      <c r="C348" t="s">
        <v>238</v>
      </c>
      <c r="D348">
        <v>4</v>
      </c>
      <c r="E348">
        <v>0</v>
      </c>
      <c r="F348" t="s">
        <v>241</v>
      </c>
      <c r="G348" t="s">
        <v>22</v>
      </c>
      <c r="H348">
        <v>1495</v>
      </c>
      <c r="I348" t="s">
        <v>245</v>
      </c>
    </row>
    <row r="349" spans="1:9" x14ac:dyDescent="0.25">
      <c r="A349">
        <v>70345</v>
      </c>
      <c r="B349" t="s">
        <v>176</v>
      </c>
      <c r="C349" t="s">
        <v>238</v>
      </c>
      <c r="D349">
        <v>4</v>
      </c>
      <c r="E349">
        <v>0</v>
      </c>
      <c r="F349" t="s">
        <v>241</v>
      </c>
      <c r="G349" t="s">
        <v>26</v>
      </c>
      <c r="H349">
        <v>1837</v>
      </c>
      <c r="I349" t="s">
        <v>246</v>
      </c>
    </row>
    <row r="350" spans="1:9" x14ac:dyDescent="0.25">
      <c r="A350">
        <v>70345</v>
      </c>
      <c r="B350" t="s">
        <v>176</v>
      </c>
      <c r="C350" t="s">
        <v>238</v>
      </c>
      <c r="D350">
        <v>4</v>
      </c>
      <c r="E350">
        <v>0</v>
      </c>
      <c r="F350" t="s">
        <v>239</v>
      </c>
      <c r="G350" t="s">
        <v>17</v>
      </c>
      <c r="H350">
        <v>0</v>
      </c>
      <c r="I350" t="s">
        <v>357</v>
      </c>
    </row>
    <row r="351" spans="1:9" x14ac:dyDescent="0.25">
      <c r="A351">
        <v>70345</v>
      </c>
      <c r="B351" t="s">
        <v>176</v>
      </c>
      <c r="C351" t="s">
        <v>238</v>
      </c>
      <c r="D351">
        <v>4</v>
      </c>
      <c r="E351">
        <v>0</v>
      </c>
      <c r="F351" t="s">
        <v>241</v>
      </c>
      <c r="G351" t="s">
        <v>24</v>
      </c>
      <c r="H351">
        <v>0</v>
      </c>
      <c r="I351" t="s">
        <v>358</v>
      </c>
    </row>
    <row r="352" spans="1:9" x14ac:dyDescent="0.25">
      <c r="A352">
        <v>70345</v>
      </c>
      <c r="B352" t="s">
        <v>176</v>
      </c>
      <c r="C352" t="s">
        <v>238</v>
      </c>
      <c r="D352">
        <v>4</v>
      </c>
      <c r="E352">
        <v>0</v>
      </c>
      <c r="F352" t="s">
        <v>241</v>
      </c>
      <c r="G352" t="s">
        <v>27</v>
      </c>
      <c r="H352">
        <v>0</v>
      </c>
      <c r="I352" t="s">
        <v>359</v>
      </c>
    </row>
    <row r="353" spans="1:9" x14ac:dyDescent="0.25">
      <c r="A353">
        <v>70345</v>
      </c>
      <c r="B353" t="s">
        <v>176</v>
      </c>
      <c r="C353" t="s">
        <v>238</v>
      </c>
      <c r="D353">
        <v>4</v>
      </c>
      <c r="E353">
        <v>0</v>
      </c>
      <c r="F353" t="s">
        <v>239</v>
      </c>
      <c r="G353" t="s">
        <v>19</v>
      </c>
      <c r="H353">
        <v>0</v>
      </c>
      <c r="I353" t="s">
        <v>360</v>
      </c>
    </row>
    <row r="354" spans="1:9" x14ac:dyDescent="0.25">
      <c r="A354">
        <v>70345</v>
      </c>
      <c r="B354" t="s">
        <v>176</v>
      </c>
      <c r="C354" t="s">
        <v>238</v>
      </c>
      <c r="D354">
        <v>4</v>
      </c>
      <c r="E354">
        <v>0</v>
      </c>
      <c r="F354" t="s">
        <v>239</v>
      </c>
      <c r="G354" t="s">
        <v>20</v>
      </c>
      <c r="H354">
        <v>0</v>
      </c>
      <c r="I354" t="s">
        <v>255</v>
      </c>
    </row>
    <row r="355" spans="1:9" x14ac:dyDescent="0.25">
      <c r="A355">
        <v>70345</v>
      </c>
      <c r="B355" t="s">
        <v>176</v>
      </c>
      <c r="C355" t="s">
        <v>238</v>
      </c>
      <c r="D355">
        <v>4</v>
      </c>
      <c r="E355">
        <v>0</v>
      </c>
      <c r="F355" t="s">
        <v>247</v>
      </c>
      <c r="G355" t="s">
        <v>148</v>
      </c>
      <c r="H355">
        <v>965229</v>
      </c>
      <c r="I355" t="s">
        <v>256</v>
      </c>
    </row>
    <row r="356" spans="1:9" x14ac:dyDescent="0.25">
      <c r="A356">
        <v>70345</v>
      </c>
      <c r="B356" t="s">
        <v>176</v>
      </c>
      <c r="C356" t="s">
        <v>238</v>
      </c>
      <c r="D356">
        <v>4</v>
      </c>
      <c r="E356">
        <v>0</v>
      </c>
      <c r="F356" t="s">
        <v>241</v>
      </c>
      <c r="G356" t="s">
        <v>27</v>
      </c>
      <c r="H356">
        <v>3261756</v>
      </c>
      <c r="I356" t="s">
        <v>257</v>
      </c>
    </row>
    <row r="357" spans="1:9" x14ac:dyDescent="0.25">
      <c r="A357">
        <v>70345</v>
      </c>
      <c r="B357" t="s">
        <v>176</v>
      </c>
      <c r="C357" t="s">
        <v>238</v>
      </c>
      <c r="D357">
        <v>4</v>
      </c>
      <c r="E357">
        <v>0</v>
      </c>
      <c r="F357" t="s">
        <v>241</v>
      </c>
      <c r="G357" t="s">
        <v>27</v>
      </c>
      <c r="H357">
        <v>0</v>
      </c>
      <c r="I357" t="s">
        <v>361</v>
      </c>
    </row>
    <row r="358" spans="1:9" x14ac:dyDescent="0.25">
      <c r="A358">
        <v>70345</v>
      </c>
      <c r="B358" t="s">
        <v>176</v>
      </c>
      <c r="C358" t="s">
        <v>238</v>
      </c>
      <c r="D358">
        <v>4</v>
      </c>
      <c r="E358">
        <v>0</v>
      </c>
      <c r="F358" t="s">
        <v>241</v>
      </c>
      <c r="G358" t="s">
        <v>27</v>
      </c>
      <c r="H358">
        <v>0</v>
      </c>
      <c r="I358" t="s">
        <v>362</v>
      </c>
    </row>
    <row r="359" spans="1:9" x14ac:dyDescent="0.25">
      <c r="A359">
        <v>70345</v>
      </c>
      <c r="B359" t="s">
        <v>176</v>
      </c>
      <c r="C359" t="s">
        <v>238</v>
      </c>
      <c r="D359">
        <v>4</v>
      </c>
      <c r="E359">
        <v>0</v>
      </c>
      <c r="F359" t="s">
        <v>241</v>
      </c>
      <c r="G359" t="s">
        <v>27</v>
      </c>
      <c r="H359">
        <v>0</v>
      </c>
      <c r="I359" t="s">
        <v>363</v>
      </c>
    </row>
    <row r="360" spans="1:9" x14ac:dyDescent="0.25">
      <c r="A360">
        <v>70345</v>
      </c>
      <c r="B360" t="s">
        <v>176</v>
      </c>
      <c r="C360" t="s">
        <v>238</v>
      </c>
      <c r="D360">
        <v>4</v>
      </c>
      <c r="E360">
        <v>0</v>
      </c>
      <c r="F360" t="s">
        <v>239</v>
      </c>
      <c r="G360" t="s">
        <v>16</v>
      </c>
      <c r="H360">
        <v>3647</v>
      </c>
      <c r="I360" t="s">
        <v>267</v>
      </c>
    </row>
    <row r="361" spans="1:9" x14ac:dyDescent="0.25">
      <c r="A361">
        <v>70345</v>
      </c>
      <c r="B361" t="s">
        <v>176</v>
      </c>
      <c r="C361" t="s">
        <v>238</v>
      </c>
      <c r="D361">
        <v>4</v>
      </c>
      <c r="E361">
        <v>0</v>
      </c>
      <c r="F361" t="s">
        <v>239</v>
      </c>
      <c r="G361" t="s">
        <v>152</v>
      </c>
      <c r="H361">
        <v>59958</v>
      </c>
      <c r="I361" t="s">
        <v>258</v>
      </c>
    </row>
    <row r="362" spans="1:9" x14ac:dyDescent="0.25">
      <c r="A362">
        <v>70345</v>
      </c>
      <c r="B362" t="s">
        <v>176</v>
      </c>
      <c r="C362" t="s">
        <v>238</v>
      </c>
      <c r="D362">
        <v>4</v>
      </c>
      <c r="E362">
        <v>0</v>
      </c>
      <c r="F362" t="s">
        <v>239</v>
      </c>
      <c r="G362" t="s">
        <v>154</v>
      </c>
      <c r="H362">
        <v>0</v>
      </c>
      <c r="I362" t="s">
        <v>330</v>
      </c>
    </row>
    <row r="363" spans="1:9" x14ac:dyDescent="0.25">
      <c r="A363">
        <v>70345</v>
      </c>
      <c r="B363" t="s">
        <v>176</v>
      </c>
      <c r="C363" t="s">
        <v>238</v>
      </c>
      <c r="D363">
        <v>4</v>
      </c>
      <c r="E363">
        <v>0</v>
      </c>
      <c r="F363" t="s">
        <v>239</v>
      </c>
      <c r="G363" t="s">
        <v>16</v>
      </c>
      <c r="H363">
        <v>4971</v>
      </c>
      <c r="I363" t="s">
        <v>259</v>
      </c>
    </row>
    <row r="364" spans="1:9" x14ac:dyDescent="0.25">
      <c r="A364">
        <v>70345</v>
      </c>
      <c r="B364" t="s">
        <v>176</v>
      </c>
      <c r="C364" t="s">
        <v>238</v>
      </c>
      <c r="D364">
        <v>4</v>
      </c>
      <c r="E364">
        <v>0</v>
      </c>
      <c r="F364" t="s">
        <v>239</v>
      </c>
      <c r="G364" t="s">
        <v>19</v>
      </c>
      <c r="H364">
        <v>59060</v>
      </c>
      <c r="I364" t="s">
        <v>260</v>
      </c>
    </row>
    <row r="365" spans="1:9" x14ac:dyDescent="0.25">
      <c r="A365">
        <v>70345</v>
      </c>
      <c r="B365" t="s">
        <v>176</v>
      </c>
      <c r="C365" t="s">
        <v>238</v>
      </c>
      <c r="D365">
        <v>4</v>
      </c>
      <c r="E365">
        <v>0</v>
      </c>
      <c r="F365" t="s">
        <v>239</v>
      </c>
      <c r="G365" t="s">
        <v>19</v>
      </c>
      <c r="H365">
        <v>0</v>
      </c>
      <c r="I365" t="s">
        <v>270</v>
      </c>
    </row>
    <row r="366" spans="1:9" x14ac:dyDescent="0.25">
      <c r="A366">
        <v>70345</v>
      </c>
      <c r="B366" t="s">
        <v>176</v>
      </c>
      <c r="C366" t="s">
        <v>238</v>
      </c>
      <c r="D366">
        <v>4</v>
      </c>
      <c r="E366">
        <v>0</v>
      </c>
      <c r="F366" t="s">
        <v>241</v>
      </c>
      <c r="G366" t="s">
        <v>139</v>
      </c>
      <c r="H366">
        <v>0</v>
      </c>
      <c r="I366" t="s">
        <v>331</v>
      </c>
    </row>
    <row r="367" spans="1:9" x14ac:dyDescent="0.25">
      <c r="A367">
        <v>70345</v>
      </c>
      <c r="B367" t="s">
        <v>176</v>
      </c>
      <c r="C367" t="s">
        <v>238</v>
      </c>
      <c r="D367">
        <v>4</v>
      </c>
      <c r="E367">
        <v>0</v>
      </c>
      <c r="F367" t="s">
        <v>261</v>
      </c>
      <c r="G367" t="s">
        <v>261</v>
      </c>
      <c r="H367">
        <v>3522796</v>
      </c>
      <c r="I367" t="s">
        <v>262</v>
      </c>
    </row>
    <row r="368" spans="1:9" x14ac:dyDescent="0.25">
      <c r="A368">
        <v>70345</v>
      </c>
      <c r="B368" t="s">
        <v>176</v>
      </c>
      <c r="C368" t="s">
        <v>238</v>
      </c>
      <c r="D368">
        <v>4</v>
      </c>
      <c r="E368">
        <v>0</v>
      </c>
      <c r="F368" t="s">
        <v>239</v>
      </c>
      <c r="G368" t="s">
        <v>19</v>
      </c>
      <c r="H368">
        <v>467176</v>
      </c>
      <c r="I368" t="s">
        <v>263</v>
      </c>
    </row>
    <row r="369" spans="1:9" x14ac:dyDescent="0.25">
      <c r="A369">
        <v>70345</v>
      </c>
      <c r="B369" t="s">
        <v>176</v>
      </c>
      <c r="C369" t="s">
        <v>238</v>
      </c>
      <c r="D369">
        <v>4</v>
      </c>
      <c r="E369">
        <v>0</v>
      </c>
      <c r="F369" t="s">
        <v>239</v>
      </c>
      <c r="G369" t="s">
        <v>16</v>
      </c>
      <c r="H369">
        <v>5071</v>
      </c>
      <c r="I369" t="s">
        <v>240</v>
      </c>
    </row>
    <row r="370" spans="1:9" x14ac:dyDescent="0.25">
      <c r="A370">
        <v>70345</v>
      </c>
      <c r="B370" t="s">
        <v>176</v>
      </c>
      <c r="C370" t="s">
        <v>238</v>
      </c>
      <c r="D370">
        <v>4</v>
      </c>
      <c r="E370">
        <v>0</v>
      </c>
      <c r="F370" t="s">
        <v>239</v>
      </c>
      <c r="G370" t="s">
        <v>19</v>
      </c>
      <c r="H370">
        <v>51102</v>
      </c>
      <c r="I370" t="s">
        <v>264</v>
      </c>
    </row>
    <row r="371" spans="1:9" x14ac:dyDescent="0.25">
      <c r="A371">
        <v>70345</v>
      </c>
      <c r="B371" t="s">
        <v>176</v>
      </c>
      <c r="C371" t="s">
        <v>238</v>
      </c>
      <c r="D371">
        <v>4</v>
      </c>
      <c r="E371">
        <v>0</v>
      </c>
      <c r="F371" t="s">
        <v>241</v>
      </c>
      <c r="G371" t="s">
        <v>158</v>
      </c>
      <c r="H371">
        <v>50284</v>
      </c>
      <c r="I371" t="s">
        <v>265</v>
      </c>
    </row>
    <row r="372" spans="1:9" x14ac:dyDescent="0.25">
      <c r="A372">
        <v>70345</v>
      </c>
      <c r="B372" t="s">
        <v>176</v>
      </c>
      <c r="C372" t="s">
        <v>238</v>
      </c>
      <c r="D372">
        <v>4</v>
      </c>
      <c r="E372">
        <v>0</v>
      </c>
      <c r="F372" t="s">
        <v>239</v>
      </c>
      <c r="G372" t="s">
        <v>19</v>
      </c>
      <c r="H372">
        <v>0</v>
      </c>
      <c r="I372" t="s">
        <v>271</v>
      </c>
    </row>
    <row r="373" spans="1:9" x14ac:dyDescent="0.25">
      <c r="A373">
        <v>70345</v>
      </c>
      <c r="B373" t="s">
        <v>176</v>
      </c>
      <c r="C373" t="s">
        <v>238</v>
      </c>
      <c r="D373">
        <v>4</v>
      </c>
      <c r="E373">
        <v>0</v>
      </c>
      <c r="F373" t="s">
        <v>239</v>
      </c>
      <c r="G373" t="s">
        <v>19</v>
      </c>
      <c r="H373">
        <v>0</v>
      </c>
      <c r="I373" t="s">
        <v>266</v>
      </c>
    </row>
    <row r="374" spans="1:9" x14ac:dyDescent="0.25">
      <c r="A374">
        <v>70345</v>
      </c>
      <c r="B374" t="s">
        <v>176</v>
      </c>
      <c r="C374" t="s">
        <v>238</v>
      </c>
      <c r="D374">
        <v>4</v>
      </c>
      <c r="E374">
        <v>0</v>
      </c>
      <c r="F374" t="s">
        <v>241</v>
      </c>
      <c r="G374" t="s">
        <v>143</v>
      </c>
      <c r="H374">
        <v>0</v>
      </c>
      <c r="I374" t="s">
        <v>332</v>
      </c>
    </row>
    <row r="375" spans="1:9" x14ac:dyDescent="0.25">
      <c r="A375">
        <v>70345</v>
      </c>
      <c r="B375" t="s">
        <v>176</v>
      </c>
      <c r="C375" t="s">
        <v>238</v>
      </c>
      <c r="D375">
        <v>4</v>
      </c>
      <c r="E375">
        <v>0</v>
      </c>
      <c r="F375" t="s">
        <v>241</v>
      </c>
      <c r="G375" t="s">
        <v>138</v>
      </c>
      <c r="H375">
        <v>0</v>
      </c>
      <c r="I375" t="s">
        <v>333</v>
      </c>
    </row>
    <row r="376" spans="1:9" x14ac:dyDescent="0.25">
      <c r="A376">
        <v>70345</v>
      </c>
      <c r="B376" t="s">
        <v>176</v>
      </c>
      <c r="C376" t="s">
        <v>238</v>
      </c>
      <c r="D376">
        <v>4</v>
      </c>
      <c r="E376">
        <v>0</v>
      </c>
      <c r="F376" t="s">
        <v>241</v>
      </c>
      <c r="G376" t="s">
        <v>138</v>
      </c>
      <c r="H376">
        <v>0</v>
      </c>
      <c r="I376" t="s">
        <v>334</v>
      </c>
    </row>
    <row r="377" spans="1:9" x14ac:dyDescent="0.25">
      <c r="A377">
        <v>70345</v>
      </c>
      <c r="B377" t="s">
        <v>176</v>
      </c>
      <c r="C377" t="s">
        <v>238</v>
      </c>
      <c r="D377">
        <v>4</v>
      </c>
      <c r="E377">
        <v>0</v>
      </c>
      <c r="F377" t="s">
        <v>241</v>
      </c>
      <c r="G377" t="s">
        <v>138</v>
      </c>
      <c r="H377">
        <v>-75665</v>
      </c>
      <c r="I377" t="s">
        <v>268</v>
      </c>
    </row>
    <row r="378" spans="1:9" x14ac:dyDescent="0.25">
      <c r="A378">
        <v>70345</v>
      </c>
      <c r="B378" t="s">
        <v>176</v>
      </c>
      <c r="C378" t="s">
        <v>238</v>
      </c>
      <c r="D378">
        <v>4</v>
      </c>
      <c r="E378">
        <v>0</v>
      </c>
      <c r="F378" t="s">
        <v>241</v>
      </c>
      <c r="G378" t="s">
        <v>139</v>
      </c>
      <c r="H378">
        <v>0</v>
      </c>
      <c r="I378" t="s">
        <v>336</v>
      </c>
    </row>
    <row r="379" spans="1:9" x14ac:dyDescent="0.25">
      <c r="A379">
        <v>70345</v>
      </c>
      <c r="B379" t="s">
        <v>176</v>
      </c>
      <c r="C379" t="s">
        <v>238</v>
      </c>
      <c r="D379">
        <v>4</v>
      </c>
      <c r="E379">
        <v>0</v>
      </c>
      <c r="F379" t="s">
        <v>241</v>
      </c>
      <c r="G379" t="s">
        <v>139</v>
      </c>
      <c r="H379">
        <v>0</v>
      </c>
      <c r="I379" t="s">
        <v>337</v>
      </c>
    </row>
    <row r="380" spans="1:9" x14ac:dyDescent="0.25">
      <c r="A380">
        <v>70345</v>
      </c>
      <c r="B380" t="s">
        <v>176</v>
      </c>
      <c r="C380" t="s">
        <v>238</v>
      </c>
      <c r="D380">
        <v>4</v>
      </c>
      <c r="E380">
        <v>0</v>
      </c>
      <c r="F380" t="s">
        <v>241</v>
      </c>
      <c r="G380" t="s">
        <v>139</v>
      </c>
      <c r="H380">
        <v>0</v>
      </c>
      <c r="I380" t="s">
        <v>335</v>
      </c>
    </row>
    <row r="381" spans="1:9" x14ac:dyDescent="0.25">
      <c r="A381">
        <v>70345</v>
      </c>
      <c r="B381" t="s">
        <v>176</v>
      </c>
      <c r="C381" t="s">
        <v>238</v>
      </c>
      <c r="D381">
        <v>4</v>
      </c>
      <c r="E381">
        <v>0</v>
      </c>
      <c r="F381" t="s">
        <v>241</v>
      </c>
      <c r="G381" t="s">
        <v>24</v>
      </c>
      <c r="H381">
        <v>0</v>
      </c>
      <c r="I381" t="s">
        <v>338</v>
      </c>
    </row>
    <row r="382" spans="1:9" x14ac:dyDescent="0.25">
      <c r="A382">
        <v>70345</v>
      </c>
      <c r="B382" t="s">
        <v>176</v>
      </c>
      <c r="C382" t="s">
        <v>238</v>
      </c>
      <c r="D382">
        <v>4</v>
      </c>
      <c r="E382">
        <v>0</v>
      </c>
      <c r="F382" t="s">
        <v>241</v>
      </c>
      <c r="G382" t="s">
        <v>24</v>
      </c>
      <c r="H382">
        <v>0</v>
      </c>
      <c r="I382" t="s">
        <v>339</v>
      </c>
    </row>
    <row r="383" spans="1:9" x14ac:dyDescent="0.25">
      <c r="A383">
        <v>70345</v>
      </c>
      <c r="B383" t="s">
        <v>176</v>
      </c>
      <c r="C383" t="s">
        <v>238</v>
      </c>
      <c r="D383">
        <v>4</v>
      </c>
      <c r="E383">
        <v>0</v>
      </c>
      <c r="F383" t="s">
        <v>241</v>
      </c>
      <c r="G383" t="s">
        <v>24</v>
      </c>
      <c r="H383">
        <v>0</v>
      </c>
      <c r="I383" t="s">
        <v>340</v>
      </c>
    </row>
    <row r="384" spans="1:9" x14ac:dyDescent="0.25">
      <c r="A384">
        <v>70345</v>
      </c>
      <c r="B384" t="s">
        <v>176</v>
      </c>
      <c r="C384" t="s">
        <v>238</v>
      </c>
      <c r="D384">
        <v>4</v>
      </c>
      <c r="E384">
        <v>0</v>
      </c>
      <c r="F384" t="s">
        <v>241</v>
      </c>
      <c r="G384" t="s">
        <v>137</v>
      </c>
      <c r="H384">
        <v>0</v>
      </c>
      <c r="I384" t="s">
        <v>273</v>
      </c>
    </row>
    <row r="385" spans="1:9" x14ac:dyDescent="0.25">
      <c r="A385">
        <v>70345</v>
      </c>
      <c r="B385" t="s">
        <v>176</v>
      </c>
      <c r="C385" t="s">
        <v>238</v>
      </c>
      <c r="D385">
        <v>4</v>
      </c>
      <c r="E385">
        <v>0</v>
      </c>
      <c r="F385" t="s">
        <v>241</v>
      </c>
      <c r="G385" t="s">
        <v>137</v>
      </c>
      <c r="H385">
        <v>0</v>
      </c>
      <c r="I385" t="s">
        <v>341</v>
      </c>
    </row>
    <row r="386" spans="1:9" x14ac:dyDescent="0.25">
      <c r="A386">
        <v>70345</v>
      </c>
      <c r="B386" t="s">
        <v>176</v>
      </c>
      <c r="C386" t="s">
        <v>238</v>
      </c>
      <c r="D386">
        <v>4</v>
      </c>
      <c r="E386">
        <v>0</v>
      </c>
      <c r="F386" t="s">
        <v>241</v>
      </c>
      <c r="G386" t="s">
        <v>137</v>
      </c>
      <c r="H386">
        <v>0</v>
      </c>
      <c r="I386" t="s">
        <v>342</v>
      </c>
    </row>
    <row r="387" spans="1:9" x14ac:dyDescent="0.25">
      <c r="A387">
        <v>70345</v>
      </c>
      <c r="B387" t="s">
        <v>176</v>
      </c>
      <c r="C387" t="s">
        <v>238</v>
      </c>
      <c r="D387">
        <v>4</v>
      </c>
      <c r="E387">
        <v>0</v>
      </c>
      <c r="F387" t="s">
        <v>241</v>
      </c>
      <c r="G387" t="s">
        <v>137</v>
      </c>
      <c r="H387">
        <v>0</v>
      </c>
      <c r="I387" t="s">
        <v>343</v>
      </c>
    </row>
    <row r="388" spans="1:9" x14ac:dyDescent="0.25">
      <c r="A388">
        <v>70345</v>
      </c>
      <c r="B388" t="s">
        <v>176</v>
      </c>
      <c r="C388" t="s">
        <v>238</v>
      </c>
      <c r="D388">
        <v>4</v>
      </c>
      <c r="E388">
        <v>0</v>
      </c>
      <c r="F388" t="s">
        <v>241</v>
      </c>
      <c r="G388" t="s">
        <v>143</v>
      </c>
      <c r="H388">
        <v>0</v>
      </c>
      <c r="I388" t="s">
        <v>344</v>
      </c>
    </row>
    <row r="389" spans="1:9" x14ac:dyDescent="0.25">
      <c r="A389">
        <v>70345</v>
      </c>
      <c r="B389" t="s">
        <v>176</v>
      </c>
      <c r="C389" t="s">
        <v>238</v>
      </c>
      <c r="D389">
        <v>4</v>
      </c>
      <c r="E389">
        <v>0</v>
      </c>
      <c r="F389" t="s">
        <v>241</v>
      </c>
      <c r="G389" t="s">
        <v>143</v>
      </c>
      <c r="H389">
        <v>0</v>
      </c>
      <c r="I389" t="s">
        <v>345</v>
      </c>
    </row>
    <row r="390" spans="1:9" x14ac:dyDescent="0.25">
      <c r="A390">
        <v>70345</v>
      </c>
      <c r="B390" t="s">
        <v>176</v>
      </c>
      <c r="C390" t="s">
        <v>238</v>
      </c>
      <c r="D390">
        <v>4</v>
      </c>
      <c r="E390">
        <v>0</v>
      </c>
      <c r="F390" t="s">
        <v>241</v>
      </c>
      <c r="G390" t="s">
        <v>143</v>
      </c>
      <c r="H390">
        <v>0</v>
      </c>
      <c r="I390" t="s">
        <v>346</v>
      </c>
    </row>
    <row r="391" spans="1:9" x14ac:dyDescent="0.25">
      <c r="A391">
        <v>70345</v>
      </c>
      <c r="B391" t="s">
        <v>176</v>
      </c>
      <c r="C391" t="s">
        <v>238</v>
      </c>
      <c r="D391">
        <v>4</v>
      </c>
      <c r="E391">
        <v>0</v>
      </c>
      <c r="F391" t="s">
        <v>241</v>
      </c>
      <c r="G391" t="s">
        <v>138</v>
      </c>
      <c r="H391">
        <v>0</v>
      </c>
      <c r="I391" t="s">
        <v>347</v>
      </c>
    </row>
    <row r="392" spans="1:9" x14ac:dyDescent="0.25">
      <c r="A392">
        <v>70346</v>
      </c>
      <c r="B392" t="s">
        <v>178</v>
      </c>
      <c r="C392" t="s">
        <v>238</v>
      </c>
      <c r="D392">
        <v>4</v>
      </c>
      <c r="E392">
        <v>0</v>
      </c>
      <c r="F392" t="s">
        <v>239</v>
      </c>
      <c r="G392" t="s">
        <v>153</v>
      </c>
      <c r="H392">
        <v>0</v>
      </c>
      <c r="I392" t="s">
        <v>351</v>
      </c>
    </row>
    <row r="393" spans="1:9" x14ac:dyDescent="0.25">
      <c r="A393">
        <v>70346</v>
      </c>
      <c r="B393" t="s">
        <v>178</v>
      </c>
      <c r="C393" t="s">
        <v>238</v>
      </c>
      <c r="D393">
        <v>4</v>
      </c>
      <c r="E393">
        <v>0</v>
      </c>
      <c r="F393" t="s">
        <v>239</v>
      </c>
      <c r="G393" t="s">
        <v>152</v>
      </c>
      <c r="H393">
        <v>0</v>
      </c>
      <c r="I393" t="s">
        <v>352</v>
      </c>
    </row>
    <row r="394" spans="1:9" x14ac:dyDescent="0.25">
      <c r="A394">
        <v>70346</v>
      </c>
      <c r="B394" t="s">
        <v>178</v>
      </c>
      <c r="C394" t="s">
        <v>238</v>
      </c>
      <c r="D394">
        <v>4</v>
      </c>
      <c r="E394">
        <v>0</v>
      </c>
      <c r="F394" t="s">
        <v>239</v>
      </c>
      <c r="G394" t="s">
        <v>154</v>
      </c>
      <c r="H394">
        <v>0</v>
      </c>
      <c r="I394" t="s">
        <v>349</v>
      </c>
    </row>
    <row r="395" spans="1:9" x14ac:dyDescent="0.25">
      <c r="A395">
        <v>70346</v>
      </c>
      <c r="B395" t="s">
        <v>178</v>
      </c>
      <c r="C395" t="s">
        <v>238</v>
      </c>
      <c r="D395">
        <v>4</v>
      </c>
      <c r="E395">
        <v>0</v>
      </c>
      <c r="F395" t="s">
        <v>241</v>
      </c>
      <c r="G395" t="s">
        <v>26</v>
      </c>
      <c r="H395">
        <v>0</v>
      </c>
      <c r="I395" t="s">
        <v>350</v>
      </c>
    </row>
    <row r="396" spans="1:9" x14ac:dyDescent="0.25">
      <c r="A396">
        <v>70346</v>
      </c>
      <c r="B396" t="s">
        <v>178</v>
      </c>
      <c r="C396" t="s">
        <v>238</v>
      </c>
      <c r="D396">
        <v>4</v>
      </c>
      <c r="E396">
        <v>0</v>
      </c>
      <c r="F396" t="s">
        <v>241</v>
      </c>
      <c r="G396" t="s">
        <v>23</v>
      </c>
      <c r="H396">
        <v>0</v>
      </c>
      <c r="I396" t="s">
        <v>269</v>
      </c>
    </row>
    <row r="397" spans="1:9" x14ac:dyDescent="0.25">
      <c r="A397">
        <v>70346</v>
      </c>
      <c r="B397" t="s">
        <v>178</v>
      </c>
      <c r="C397" t="s">
        <v>238</v>
      </c>
      <c r="D397">
        <v>4</v>
      </c>
      <c r="E397">
        <v>0</v>
      </c>
      <c r="F397" t="s">
        <v>241</v>
      </c>
      <c r="G397" t="s">
        <v>26</v>
      </c>
      <c r="H397">
        <v>0</v>
      </c>
      <c r="I397" t="s">
        <v>353</v>
      </c>
    </row>
    <row r="398" spans="1:9" x14ac:dyDescent="0.25">
      <c r="A398">
        <v>70346</v>
      </c>
      <c r="B398" t="s">
        <v>178</v>
      </c>
      <c r="C398" t="s">
        <v>238</v>
      </c>
      <c r="D398">
        <v>4</v>
      </c>
      <c r="E398">
        <v>0</v>
      </c>
      <c r="F398" t="s">
        <v>241</v>
      </c>
      <c r="G398" t="s">
        <v>157</v>
      </c>
      <c r="H398">
        <v>0</v>
      </c>
      <c r="I398" t="s">
        <v>348</v>
      </c>
    </row>
    <row r="399" spans="1:9" x14ac:dyDescent="0.25">
      <c r="A399">
        <v>70346</v>
      </c>
      <c r="B399" t="s">
        <v>178</v>
      </c>
      <c r="C399" t="s">
        <v>238</v>
      </c>
      <c r="D399">
        <v>4</v>
      </c>
      <c r="E399">
        <v>0</v>
      </c>
      <c r="F399" t="s">
        <v>261</v>
      </c>
      <c r="G399" t="s">
        <v>261</v>
      </c>
      <c r="H399">
        <v>0</v>
      </c>
      <c r="I399" t="s">
        <v>272</v>
      </c>
    </row>
    <row r="400" spans="1:9" x14ac:dyDescent="0.25">
      <c r="A400">
        <v>70346</v>
      </c>
      <c r="B400" t="s">
        <v>178</v>
      </c>
      <c r="C400" t="s">
        <v>238</v>
      </c>
      <c r="D400">
        <v>4</v>
      </c>
      <c r="E400">
        <v>0</v>
      </c>
      <c r="F400" t="s">
        <v>261</v>
      </c>
      <c r="G400" t="s">
        <v>261</v>
      </c>
      <c r="H400">
        <v>0</v>
      </c>
      <c r="I400" t="s">
        <v>354</v>
      </c>
    </row>
    <row r="401" spans="1:9" x14ac:dyDescent="0.25">
      <c r="A401">
        <v>70346</v>
      </c>
      <c r="B401" t="s">
        <v>178</v>
      </c>
      <c r="C401" t="s">
        <v>238</v>
      </c>
      <c r="D401">
        <v>4</v>
      </c>
      <c r="E401">
        <v>0</v>
      </c>
      <c r="F401" t="s">
        <v>247</v>
      </c>
      <c r="G401" t="s">
        <v>12</v>
      </c>
      <c r="H401">
        <v>-4444704</v>
      </c>
      <c r="I401" t="s">
        <v>248</v>
      </c>
    </row>
    <row r="402" spans="1:9" x14ac:dyDescent="0.25">
      <c r="A402">
        <v>70346</v>
      </c>
      <c r="B402" t="s">
        <v>178</v>
      </c>
      <c r="C402" t="s">
        <v>238</v>
      </c>
      <c r="D402">
        <v>4</v>
      </c>
      <c r="E402">
        <v>0</v>
      </c>
      <c r="F402" t="s">
        <v>247</v>
      </c>
      <c r="G402" t="s">
        <v>13</v>
      </c>
      <c r="H402">
        <v>9705285</v>
      </c>
      <c r="I402" t="s">
        <v>249</v>
      </c>
    </row>
    <row r="403" spans="1:9" x14ac:dyDescent="0.25">
      <c r="A403">
        <v>70346</v>
      </c>
      <c r="B403" t="s">
        <v>178</v>
      </c>
      <c r="C403" t="s">
        <v>238</v>
      </c>
      <c r="D403">
        <v>4</v>
      </c>
      <c r="E403">
        <v>0</v>
      </c>
      <c r="F403" t="s">
        <v>241</v>
      </c>
      <c r="G403" t="s">
        <v>25</v>
      </c>
      <c r="H403">
        <v>7893</v>
      </c>
      <c r="I403" t="s">
        <v>250</v>
      </c>
    </row>
    <row r="404" spans="1:9" x14ac:dyDescent="0.25">
      <c r="A404">
        <v>70346</v>
      </c>
      <c r="B404" t="s">
        <v>178</v>
      </c>
      <c r="C404" t="s">
        <v>238</v>
      </c>
      <c r="D404">
        <v>4</v>
      </c>
      <c r="E404">
        <v>0</v>
      </c>
      <c r="F404" t="s">
        <v>241</v>
      </c>
      <c r="G404" t="s">
        <v>26</v>
      </c>
      <c r="H404">
        <v>0</v>
      </c>
      <c r="I404" t="s">
        <v>251</v>
      </c>
    </row>
    <row r="405" spans="1:9" x14ac:dyDescent="0.25">
      <c r="A405">
        <v>70346</v>
      </c>
      <c r="B405" t="s">
        <v>178</v>
      </c>
      <c r="C405" t="s">
        <v>238</v>
      </c>
      <c r="D405">
        <v>4</v>
      </c>
      <c r="E405">
        <v>0</v>
      </c>
      <c r="F405" t="s">
        <v>239</v>
      </c>
      <c r="G405" t="s">
        <v>18</v>
      </c>
      <c r="H405">
        <v>277725</v>
      </c>
      <c r="I405" t="s">
        <v>252</v>
      </c>
    </row>
    <row r="406" spans="1:9" x14ac:dyDescent="0.25">
      <c r="A406">
        <v>70346</v>
      </c>
      <c r="B406" t="s">
        <v>178</v>
      </c>
      <c r="C406" t="s">
        <v>238</v>
      </c>
      <c r="D406">
        <v>4</v>
      </c>
      <c r="E406">
        <v>0</v>
      </c>
      <c r="F406" t="s">
        <v>241</v>
      </c>
      <c r="G406" t="s">
        <v>26</v>
      </c>
      <c r="H406">
        <v>0</v>
      </c>
      <c r="I406" t="s">
        <v>253</v>
      </c>
    </row>
    <row r="407" spans="1:9" x14ac:dyDescent="0.25">
      <c r="A407">
        <v>70346</v>
      </c>
      <c r="B407" t="s">
        <v>178</v>
      </c>
      <c r="C407" t="s">
        <v>238</v>
      </c>
      <c r="D407">
        <v>4</v>
      </c>
      <c r="E407">
        <v>0</v>
      </c>
      <c r="F407" t="s">
        <v>247</v>
      </c>
      <c r="G407" t="s">
        <v>15</v>
      </c>
      <c r="H407">
        <v>467506</v>
      </c>
      <c r="I407" t="s">
        <v>254</v>
      </c>
    </row>
    <row r="408" spans="1:9" x14ac:dyDescent="0.25">
      <c r="A408">
        <v>70346</v>
      </c>
      <c r="B408" t="s">
        <v>178</v>
      </c>
      <c r="C408" t="s">
        <v>238</v>
      </c>
      <c r="D408">
        <v>4</v>
      </c>
      <c r="E408">
        <v>0</v>
      </c>
      <c r="F408" t="s">
        <v>247</v>
      </c>
      <c r="G408" t="s">
        <v>14</v>
      </c>
      <c r="H408">
        <v>0</v>
      </c>
      <c r="I408" t="s">
        <v>355</v>
      </c>
    </row>
    <row r="409" spans="1:9" x14ac:dyDescent="0.25">
      <c r="A409">
        <v>70346</v>
      </c>
      <c r="B409" t="s">
        <v>178</v>
      </c>
      <c r="C409" t="s">
        <v>238</v>
      </c>
      <c r="D409">
        <v>4</v>
      </c>
      <c r="E409">
        <v>0</v>
      </c>
      <c r="F409" t="s">
        <v>241</v>
      </c>
      <c r="G409" t="s">
        <v>23</v>
      </c>
      <c r="H409">
        <v>77814</v>
      </c>
      <c r="I409" t="s">
        <v>242</v>
      </c>
    </row>
    <row r="410" spans="1:9" x14ac:dyDescent="0.25">
      <c r="A410">
        <v>70346</v>
      </c>
      <c r="B410" t="s">
        <v>178</v>
      </c>
      <c r="C410" t="s">
        <v>238</v>
      </c>
      <c r="D410">
        <v>4</v>
      </c>
      <c r="E410">
        <v>0</v>
      </c>
      <c r="F410" t="s">
        <v>241</v>
      </c>
      <c r="G410" t="s">
        <v>24</v>
      </c>
      <c r="H410">
        <v>9664</v>
      </c>
      <c r="I410" t="s">
        <v>243</v>
      </c>
    </row>
    <row r="411" spans="1:9" x14ac:dyDescent="0.25">
      <c r="A411">
        <v>70346</v>
      </c>
      <c r="B411" t="s">
        <v>178</v>
      </c>
      <c r="C411" t="s">
        <v>238</v>
      </c>
      <c r="D411">
        <v>4</v>
      </c>
      <c r="E411">
        <v>0</v>
      </c>
      <c r="F411" t="s">
        <v>241</v>
      </c>
      <c r="G411" t="s">
        <v>21</v>
      </c>
      <c r="H411">
        <v>0</v>
      </c>
      <c r="I411" t="s">
        <v>356</v>
      </c>
    </row>
    <row r="412" spans="1:9" x14ac:dyDescent="0.25">
      <c r="A412">
        <v>70346</v>
      </c>
      <c r="B412" t="s">
        <v>178</v>
      </c>
      <c r="C412" t="s">
        <v>238</v>
      </c>
      <c r="D412">
        <v>4</v>
      </c>
      <c r="E412">
        <v>0</v>
      </c>
      <c r="F412" t="s">
        <v>239</v>
      </c>
      <c r="G412" t="s">
        <v>20</v>
      </c>
      <c r="H412">
        <v>-459</v>
      </c>
      <c r="I412" t="s">
        <v>244</v>
      </c>
    </row>
    <row r="413" spans="1:9" x14ac:dyDescent="0.25">
      <c r="A413">
        <v>70346</v>
      </c>
      <c r="B413" t="s">
        <v>178</v>
      </c>
      <c r="C413" t="s">
        <v>238</v>
      </c>
      <c r="D413">
        <v>4</v>
      </c>
      <c r="E413">
        <v>0</v>
      </c>
      <c r="F413" t="s">
        <v>241</v>
      </c>
      <c r="G413" t="s">
        <v>22</v>
      </c>
      <c r="H413">
        <v>0</v>
      </c>
      <c r="I413" t="s">
        <v>245</v>
      </c>
    </row>
    <row r="414" spans="1:9" x14ac:dyDescent="0.25">
      <c r="A414">
        <v>70346</v>
      </c>
      <c r="B414" t="s">
        <v>178</v>
      </c>
      <c r="C414" t="s">
        <v>238</v>
      </c>
      <c r="D414">
        <v>4</v>
      </c>
      <c r="E414">
        <v>0</v>
      </c>
      <c r="F414" t="s">
        <v>241</v>
      </c>
      <c r="G414" t="s">
        <v>26</v>
      </c>
      <c r="H414">
        <v>6066</v>
      </c>
      <c r="I414" t="s">
        <v>246</v>
      </c>
    </row>
    <row r="415" spans="1:9" x14ac:dyDescent="0.25">
      <c r="A415">
        <v>70346</v>
      </c>
      <c r="B415" t="s">
        <v>178</v>
      </c>
      <c r="C415" t="s">
        <v>238</v>
      </c>
      <c r="D415">
        <v>4</v>
      </c>
      <c r="E415">
        <v>0</v>
      </c>
      <c r="F415" t="s">
        <v>239</v>
      </c>
      <c r="G415" t="s">
        <v>17</v>
      </c>
      <c r="H415">
        <v>0</v>
      </c>
      <c r="I415" t="s">
        <v>357</v>
      </c>
    </row>
    <row r="416" spans="1:9" x14ac:dyDescent="0.25">
      <c r="A416">
        <v>70346</v>
      </c>
      <c r="B416" t="s">
        <v>178</v>
      </c>
      <c r="C416" t="s">
        <v>238</v>
      </c>
      <c r="D416">
        <v>4</v>
      </c>
      <c r="E416">
        <v>0</v>
      </c>
      <c r="F416" t="s">
        <v>241</v>
      </c>
      <c r="G416" t="s">
        <v>24</v>
      </c>
      <c r="H416">
        <v>0</v>
      </c>
      <c r="I416" t="s">
        <v>358</v>
      </c>
    </row>
    <row r="417" spans="1:9" x14ac:dyDescent="0.25">
      <c r="A417">
        <v>70346</v>
      </c>
      <c r="B417" t="s">
        <v>178</v>
      </c>
      <c r="C417" t="s">
        <v>238</v>
      </c>
      <c r="D417">
        <v>4</v>
      </c>
      <c r="E417">
        <v>0</v>
      </c>
      <c r="F417" t="s">
        <v>241</v>
      </c>
      <c r="G417" t="s">
        <v>27</v>
      </c>
      <c r="H417">
        <v>0</v>
      </c>
      <c r="I417" t="s">
        <v>359</v>
      </c>
    </row>
    <row r="418" spans="1:9" x14ac:dyDescent="0.25">
      <c r="A418">
        <v>70346</v>
      </c>
      <c r="B418" t="s">
        <v>178</v>
      </c>
      <c r="C418" t="s">
        <v>238</v>
      </c>
      <c r="D418">
        <v>4</v>
      </c>
      <c r="E418">
        <v>0</v>
      </c>
      <c r="F418" t="s">
        <v>239</v>
      </c>
      <c r="G418" t="s">
        <v>19</v>
      </c>
      <c r="H418">
        <v>0</v>
      </c>
      <c r="I418" t="s">
        <v>360</v>
      </c>
    </row>
    <row r="419" spans="1:9" x14ac:dyDescent="0.25">
      <c r="A419">
        <v>70346</v>
      </c>
      <c r="B419" t="s">
        <v>178</v>
      </c>
      <c r="C419" t="s">
        <v>238</v>
      </c>
      <c r="D419">
        <v>4</v>
      </c>
      <c r="E419">
        <v>0</v>
      </c>
      <c r="F419" t="s">
        <v>239</v>
      </c>
      <c r="G419" t="s">
        <v>20</v>
      </c>
      <c r="H419">
        <v>82264</v>
      </c>
      <c r="I419" t="s">
        <v>255</v>
      </c>
    </row>
    <row r="420" spans="1:9" x14ac:dyDescent="0.25">
      <c r="A420">
        <v>70346</v>
      </c>
      <c r="B420" t="s">
        <v>178</v>
      </c>
      <c r="C420" t="s">
        <v>238</v>
      </c>
      <c r="D420">
        <v>4</v>
      </c>
      <c r="E420">
        <v>0</v>
      </c>
      <c r="F420" t="s">
        <v>247</v>
      </c>
      <c r="G420" t="s">
        <v>148</v>
      </c>
      <c r="H420">
        <v>714855</v>
      </c>
      <c r="I420" t="s">
        <v>256</v>
      </c>
    </row>
    <row r="421" spans="1:9" x14ac:dyDescent="0.25">
      <c r="A421">
        <v>70346</v>
      </c>
      <c r="B421" t="s">
        <v>178</v>
      </c>
      <c r="C421" t="s">
        <v>238</v>
      </c>
      <c r="D421">
        <v>4</v>
      </c>
      <c r="E421">
        <v>0</v>
      </c>
      <c r="F421" t="s">
        <v>241</v>
      </c>
      <c r="G421" t="s">
        <v>27</v>
      </c>
      <c r="H421">
        <v>3174117</v>
      </c>
      <c r="I421" t="s">
        <v>257</v>
      </c>
    </row>
    <row r="422" spans="1:9" x14ac:dyDescent="0.25">
      <c r="A422">
        <v>70346</v>
      </c>
      <c r="B422" t="s">
        <v>178</v>
      </c>
      <c r="C422" t="s">
        <v>238</v>
      </c>
      <c r="D422">
        <v>4</v>
      </c>
      <c r="E422">
        <v>0</v>
      </c>
      <c r="F422" t="s">
        <v>241</v>
      </c>
      <c r="G422" t="s">
        <v>27</v>
      </c>
      <c r="H422">
        <v>0</v>
      </c>
      <c r="I422" t="s">
        <v>361</v>
      </c>
    </row>
    <row r="423" spans="1:9" x14ac:dyDescent="0.25">
      <c r="A423">
        <v>70346</v>
      </c>
      <c r="B423" t="s">
        <v>178</v>
      </c>
      <c r="C423" t="s">
        <v>238</v>
      </c>
      <c r="D423">
        <v>4</v>
      </c>
      <c r="E423">
        <v>0</v>
      </c>
      <c r="F423" t="s">
        <v>241</v>
      </c>
      <c r="G423" t="s">
        <v>27</v>
      </c>
      <c r="H423">
        <v>0</v>
      </c>
      <c r="I423" t="s">
        <v>362</v>
      </c>
    </row>
    <row r="424" spans="1:9" x14ac:dyDescent="0.25">
      <c r="A424">
        <v>70346</v>
      </c>
      <c r="B424" t="s">
        <v>178</v>
      </c>
      <c r="C424" t="s">
        <v>238</v>
      </c>
      <c r="D424">
        <v>4</v>
      </c>
      <c r="E424">
        <v>0</v>
      </c>
      <c r="F424" t="s">
        <v>241</v>
      </c>
      <c r="G424" t="s">
        <v>27</v>
      </c>
      <c r="H424">
        <v>0</v>
      </c>
      <c r="I424" t="s">
        <v>363</v>
      </c>
    </row>
    <row r="425" spans="1:9" x14ac:dyDescent="0.25">
      <c r="A425">
        <v>70346</v>
      </c>
      <c r="B425" t="s">
        <v>178</v>
      </c>
      <c r="C425" t="s">
        <v>238</v>
      </c>
      <c r="D425">
        <v>4</v>
      </c>
      <c r="E425">
        <v>0</v>
      </c>
      <c r="F425" t="s">
        <v>239</v>
      </c>
      <c r="G425" t="s">
        <v>16</v>
      </c>
      <c r="H425">
        <v>0</v>
      </c>
      <c r="I425" t="s">
        <v>267</v>
      </c>
    </row>
    <row r="426" spans="1:9" x14ac:dyDescent="0.25">
      <c r="A426">
        <v>70346</v>
      </c>
      <c r="B426" t="s">
        <v>178</v>
      </c>
      <c r="C426" t="s">
        <v>238</v>
      </c>
      <c r="D426">
        <v>4</v>
      </c>
      <c r="E426">
        <v>0</v>
      </c>
      <c r="F426" t="s">
        <v>239</v>
      </c>
      <c r="G426" t="s">
        <v>152</v>
      </c>
      <c r="H426">
        <v>51077</v>
      </c>
      <c r="I426" t="s">
        <v>258</v>
      </c>
    </row>
    <row r="427" spans="1:9" x14ac:dyDescent="0.25">
      <c r="A427">
        <v>70346</v>
      </c>
      <c r="B427" t="s">
        <v>178</v>
      </c>
      <c r="C427" t="s">
        <v>238</v>
      </c>
      <c r="D427">
        <v>4</v>
      </c>
      <c r="E427">
        <v>0</v>
      </c>
      <c r="F427" t="s">
        <v>239</v>
      </c>
      <c r="G427" t="s">
        <v>154</v>
      </c>
      <c r="H427">
        <v>0</v>
      </c>
      <c r="I427" t="s">
        <v>330</v>
      </c>
    </row>
    <row r="428" spans="1:9" x14ac:dyDescent="0.25">
      <c r="A428">
        <v>70346</v>
      </c>
      <c r="B428" t="s">
        <v>178</v>
      </c>
      <c r="C428" t="s">
        <v>238</v>
      </c>
      <c r="D428">
        <v>4</v>
      </c>
      <c r="E428">
        <v>0</v>
      </c>
      <c r="F428" t="s">
        <v>239</v>
      </c>
      <c r="G428" t="s">
        <v>16</v>
      </c>
      <c r="H428">
        <v>0</v>
      </c>
      <c r="I428" t="s">
        <v>259</v>
      </c>
    </row>
    <row r="429" spans="1:9" x14ac:dyDescent="0.25">
      <c r="A429">
        <v>70346</v>
      </c>
      <c r="B429" t="s">
        <v>178</v>
      </c>
      <c r="C429" t="s">
        <v>238</v>
      </c>
      <c r="D429">
        <v>4</v>
      </c>
      <c r="E429">
        <v>0</v>
      </c>
      <c r="F429" t="s">
        <v>239</v>
      </c>
      <c r="G429" t="s">
        <v>19</v>
      </c>
      <c r="H429">
        <v>43627</v>
      </c>
      <c r="I429" t="s">
        <v>260</v>
      </c>
    </row>
    <row r="430" spans="1:9" x14ac:dyDescent="0.25">
      <c r="A430">
        <v>70346</v>
      </c>
      <c r="B430" t="s">
        <v>178</v>
      </c>
      <c r="C430" t="s">
        <v>238</v>
      </c>
      <c r="D430">
        <v>4</v>
      </c>
      <c r="E430">
        <v>0</v>
      </c>
      <c r="F430" t="s">
        <v>239</v>
      </c>
      <c r="G430" t="s">
        <v>19</v>
      </c>
      <c r="H430">
        <v>0</v>
      </c>
      <c r="I430" t="s">
        <v>270</v>
      </c>
    </row>
    <row r="431" spans="1:9" x14ac:dyDescent="0.25">
      <c r="A431">
        <v>70346</v>
      </c>
      <c r="B431" t="s">
        <v>178</v>
      </c>
      <c r="C431" t="s">
        <v>238</v>
      </c>
      <c r="D431">
        <v>4</v>
      </c>
      <c r="E431">
        <v>0</v>
      </c>
      <c r="F431" t="s">
        <v>241</v>
      </c>
      <c r="G431" t="s">
        <v>139</v>
      </c>
      <c r="H431">
        <v>0</v>
      </c>
      <c r="I431" t="s">
        <v>331</v>
      </c>
    </row>
    <row r="432" spans="1:9" x14ac:dyDescent="0.25">
      <c r="A432">
        <v>70346</v>
      </c>
      <c r="B432" t="s">
        <v>178</v>
      </c>
      <c r="C432" t="s">
        <v>238</v>
      </c>
      <c r="D432">
        <v>4</v>
      </c>
      <c r="E432">
        <v>0</v>
      </c>
      <c r="F432" t="s">
        <v>261</v>
      </c>
      <c r="G432" t="s">
        <v>261</v>
      </c>
      <c r="H432">
        <v>4311148</v>
      </c>
      <c r="I432" t="s">
        <v>262</v>
      </c>
    </row>
    <row r="433" spans="1:9" x14ac:dyDescent="0.25">
      <c r="A433">
        <v>70346</v>
      </c>
      <c r="B433" t="s">
        <v>178</v>
      </c>
      <c r="C433" t="s">
        <v>238</v>
      </c>
      <c r="D433">
        <v>4</v>
      </c>
      <c r="E433">
        <v>0</v>
      </c>
      <c r="F433" t="s">
        <v>239</v>
      </c>
      <c r="G433" t="s">
        <v>19</v>
      </c>
      <c r="H433">
        <v>367847</v>
      </c>
      <c r="I433" t="s">
        <v>263</v>
      </c>
    </row>
    <row r="434" spans="1:9" x14ac:dyDescent="0.25">
      <c r="A434">
        <v>70346</v>
      </c>
      <c r="B434" t="s">
        <v>178</v>
      </c>
      <c r="C434" t="s">
        <v>238</v>
      </c>
      <c r="D434">
        <v>4</v>
      </c>
      <c r="E434">
        <v>0</v>
      </c>
      <c r="F434" t="s">
        <v>239</v>
      </c>
      <c r="G434" t="s">
        <v>16</v>
      </c>
      <c r="H434">
        <v>0</v>
      </c>
      <c r="I434" t="s">
        <v>240</v>
      </c>
    </row>
    <row r="435" spans="1:9" x14ac:dyDescent="0.25">
      <c r="A435">
        <v>70346</v>
      </c>
      <c r="B435" t="s">
        <v>178</v>
      </c>
      <c r="C435" t="s">
        <v>238</v>
      </c>
      <c r="D435">
        <v>4</v>
      </c>
      <c r="E435">
        <v>0</v>
      </c>
      <c r="F435" t="s">
        <v>239</v>
      </c>
      <c r="G435" t="s">
        <v>19</v>
      </c>
      <c r="H435">
        <v>48033</v>
      </c>
      <c r="I435" t="s">
        <v>264</v>
      </c>
    </row>
    <row r="436" spans="1:9" x14ac:dyDescent="0.25">
      <c r="A436">
        <v>70346</v>
      </c>
      <c r="B436" t="s">
        <v>178</v>
      </c>
      <c r="C436" t="s">
        <v>238</v>
      </c>
      <c r="D436">
        <v>4</v>
      </c>
      <c r="E436">
        <v>0</v>
      </c>
      <c r="F436" t="s">
        <v>241</v>
      </c>
      <c r="G436" t="s">
        <v>158</v>
      </c>
      <c r="H436">
        <v>46158</v>
      </c>
      <c r="I436" t="s">
        <v>265</v>
      </c>
    </row>
    <row r="437" spans="1:9" x14ac:dyDescent="0.25">
      <c r="A437">
        <v>70346</v>
      </c>
      <c r="B437" t="s">
        <v>178</v>
      </c>
      <c r="C437" t="s">
        <v>238</v>
      </c>
      <c r="D437">
        <v>4</v>
      </c>
      <c r="E437">
        <v>0</v>
      </c>
      <c r="F437" t="s">
        <v>239</v>
      </c>
      <c r="G437" t="s">
        <v>19</v>
      </c>
      <c r="H437">
        <v>0</v>
      </c>
      <c r="I437" t="s">
        <v>271</v>
      </c>
    </row>
    <row r="438" spans="1:9" x14ac:dyDescent="0.25">
      <c r="A438">
        <v>70346</v>
      </c>
      <c r="B438" t="s">
        <v>178</v>
      </c>
      <c r="C438" t="s">
        <v>238</v>
      </c>
      <c r="D438">
        <v>4</v>
      </c>
      <c r="E438">
        <v>0</v>
      </c>
      <c r="F438" t="s">
        <v>239</v>
      </c>
      <c r="G438" t="s">
        <v>19</v>
      </c>
      <c r="H438">
        <v>50232</v>
      </c>
      <c r="I438" t="s">
        <v>266</v>
      </c>
    </row>
    <row r="439" spans="1:9" x14ac:dyDescent="0.25">
      <c r="A439">
        <v>70346</v>
      </c>
      <c r="B439" t="s">
        <v>178</v>
      </c>
      <c r="C439" t="s">
        <v>238</v>
      </c>
      <c r="D439">
        <v>4</v>
      </c>
      <c r="E439">
        <v>0</v>
      </c>
      <c r="F439" t="s">
        <v>241</v>
      </c>
      <c r="G439" t="s">
        <v>143</v>
      </c>
      <c r="H439">
        <v>0</v>
      </c>
      <c r="I439" t="s">
        <v>332</v>
      </c>
    </row>
    <row r="440" spans="1:9" x14ac:dyDescent="0.25">
      <c r="A440">
        <v>70346</v>
      </c>
      <c r="B440" t="s">
        <v>178</v>
      </c>
      <c r="C440" t="s">
        <v>238</v>
      </c>
      <c r="D440">
        <v>4</v>
      </c>
      <c r="E440">
        <v>0</v>
      </c>
      <c r="F440" t="s">
        <v>241</v>
      </c>
      <c r="G440" t="s">
        <v>138</v>
      </c>
      <c r="H440">
        <v>0</v>
      </c>
      <c r="I440" t="s">
        <v>333</v>
      </c>
    </row>
    <row r="441" spans="1:9" x14ac:dyDescent="0.25">
      <c r="A441">
        <v>70346</v>
      </c>
      <c r="B441" t="s">
        <v>178</v>
      </c>
      <c r="C441" t="s">
        <v>238</v>
      </c>
      <c r="D441">
        <v>4</v>
      </c>
      <c r="E441">
        <v>0</v>
      </c>
      <c r="F441" t="s">
        <v>241</v>
      </c>
      <c r="G441" t="s">
        <v>138</v>
      </c>
      <c r="H441">
        <v>0</v>
      </c>
      <c r="I441" t="s">
        <v>334</v>
      </c>
    </row>
    <row r="442" spans="1:9" x14ac:dyDescent="0.25">
      <c r="A442">
        <v>70346</v>
      </c>
      <c r="B442" t="s">
        <v>178</v>
      </c>
      <c r="C442" t="s">
        <v>238</v>
      </c>
      <c r="D442">
        <v>4</v>
      </c>
      <c r="E442">
        <v>0</v>
      </c>
      <c r="F442" t="s">
        <v>241</v>
      </c>
      <c r="G442" t="s">
        <v>138</v>
      </c>
      <c r="H442">
        <v>-64422</v>
      </c>
      <c r="I442" t="s">
        <v>268</v>
      </c>
    </row>
    <row r="443" spans="1:9" x14ac:dyDescent="0.25">
      <c r="A443">
        <v>70346</v>
      </c>
      <c r="B443" t="s">
        <v>178</v>
      </c>
      <c r="C443" t="s">
        <v>238</v>
      </c>
      <c r="D443">
        <v>4</v>
      </c>
      <c r="E443">
        <v>0</v>
      </c>
      <c r="F443" t="s">
        <v>241</v>
      </c>
      <c r="G443" t="s">
        <v>139</v>
      </c>
      <c r="H443">
        <v>0</v>
      </c>
      <c r="I443" t="s">
        <v>336</v>
      </c>
    </row>
    <row r="444" spans="1:9" x14ac:dyDescent="0.25">
      <c r="A444">
        <v>70346</v>
      </c>
      <c r="B444" t="s">
        <v>178</v>
      </c>
      <c r="C444" t="s">
        <v>238</v>
      </c>
      <c r="D444">
        <v>4</v>
      </c>
      <c r="E444">
        <v>0</v>
      </c>
      <c r="F444" t="s">
        <v>241</v>
      </c>
      <c r="G444" t="s">
        <v>139</v>
      </c>
      <c r="H444">
        <v>0</v>
      </c>
      <c r="I444" t="s">
        <v>337</v>
      </c>
    </row>
    <row r="445" spans="1:9" x14ac:dyDescent="0.25">
      <c r="A445">
        <v>70346</v>
      </c>
      <c r="B445" t="s">
        <v>178</v>
      </c>
      <c r="C445" t="s">
        <v>238</v>
      </c>
      <c r="D445">
        <v>4</v>
      </c>
      <c r="E445">
        <v>0</v>
      </c>
      <c r="F445" t="s">
        <v>241</v>
      </c>
      <c r="G445" t="s">
        <v>139</v>
      </c>
      <c r="H445">
        <v>0</v>
      </c>
      <c r="I445" t="s">
        <v>335</v>
      </c>
    </row>
    <row r="446" spans="1:9" x14ac:dyDescent="0.25">
      <c r="A446">
        <v>70346</v>
      </c>
      <c r="B446" t="s">
        <v>178</v>
      </c>
      <c r="C446" t="s">
        <v>238</v>
      </c>
      <c r="D446">
        <v>4</v>
      </c>
      <c r="E446">
        <v>0</v>
      </c>
      <c r="F446" t="s">
        <v>241</v>
      </c>
      <c r="G446" t="s">
        <v>24</v>
      </c>
      <c r="H446">
        <v>0</v>
      </c>
      <c r="I446" t="s">
        <v>338</v>
      </c>
    </row>
    <row r="447" spans="1:9" x14ac:dyDescent="0.25">
      <c r="A447">
        <v>70346</v>
      </c>
      <c r="B447" t="s">
        <v>178</v>
      </c>
      <c r="C447" t="s">
        <v>238</v>
      </c>
      <c r="D447">
        <v>4</v>
      </c>
      <c r="E447">
        <v>0</v>
      </c>
      <c r="F447" t="s">
        <v>241</v>
      </c>
      <c r="G447" t="s">
        <v>24</v>
      </c>
      <c r="H447">
        <v>0</v>
      </c>
      <c r="I447" t="s">
        <v>339</v>
      </c>
    </row>
    <row r="448" spans="1:9" x14ac:dyDescent="0.25">
      <c r="A448">
        <v>70346</v>
      </c>
      <c r="B448" t="s">
        <v>178</v>
      </c>
      <c r="C448" t="s">
        <v>238</v>
      </c>
      <c r="D448">
        <v>4</v>
      </c>
      <c r="E448">
        <v>0</v>
      </c>
      <c r="F448" t="s">
        <v>241</v>
      </c>
      <c r="G448" t="s">
        <v>24</v>
      </c>
      <c r="H448">
        <v>0</v>
      </c>
      <c r="I448" t="s">
        <v>340</v>
      </c>
    </row>
    <row r="449" spans="1:9" x14ac:dyDescent="0.25">
      <c r="A449">
        <v>70346</v>
      </c>
      <c r="B449" t="s">
        <v>178</v>
      </c>
      <c r="C449" t="s">
        <v>238</v>
      </c>
      <c r="D449">
        <v>4</v>
      </c>
      <c r="E449">
        <v>0</v>
      </c>
      <c r="F449" t="s">
        <v>241</v>
      </c>
      <c r="G449" t="s">
        <v>137</v>
      </c>
      <c r="H449">
        <v>0</v>
      </c>
      <c r="I449" t="s">
        <v>273</v>
      </c>
    </row>
    <row r="450" spans="1:9" x14ac:dyDescent="0.25">
      <c r="A450">
        <v>70346</v>
      </c>
      <c r="B450" t="s">
        <v>178</v>
      </c>
      <c r="C450" t="s">
        <v>238</v>
      </c>
      <c r="D450">
        <v>4</v>
      </c>
      <c r="E450">
        <v>0</v>
      </c>
      <c r="F450" t="s">
        <v>241</v>
      </c>
      <c r="G450" t="s">
        <v>137</v>
      </c>
      <c r="H450">
        <v>0</v>
      </c>
      <c r="I450" t="s">
        <v>341</v>
      </c>
    </row>
    <row r="451" spans="1:9" x14ac:dyDescent="0.25">
      <c r="A451">
        <v>70346</v>
      </c>
      <c r="B451" t="s">
        <v>178</v>
      </c>
      <c r="C451" t="s">
        <v>238</v>
      </c>
      <c r="D451">
        <v>4</v>
      </c>
      <c r="E451">
        <v>0</v>
      </c>
      <c r="F451" t="s">
        <v>241</v>
      </c>
      <c r="G451" t="s">
        <v>137</v>
      </c>
      <c r="H451">
        <v>0</v>
      </c>
      <c r="I451" t="s">
        <v>342</v>
      </c>
    </row>
    <row r="452" spans="1:9" x14ac:dyDescent="0.25">
      <c r="A452">
        <v>70346</v>
      </c>
      <c r="B452" t="s">
        <v>178</v>
      </c>
      <c r="C452" t="s">
        <v>238</v>
      </c>
      <c r="D452">
        <v>4</v>
      </c>
      <c r="E452">
        <v>0</v>
      </c>
      <c r="F452" t="s">
        <v>241</v>
      </c>
      <c r="G452" t="s">
        <v>137</v>
      </c>
      <c r="H452">
        <v>0</v>
      </c>
      <c r="I452" t="s">
        <v>343</v>
      </c>
    </row>
    <row r="453" spans="1:9" x14ac:dyDescent="0.25">
      <c r="A453">
        <v>70346</v>
      </c>
      <c r="B453" t="s">
        <v>178</v>
      </c>
      <c r="C453" t="s">
        <v>238</v>
      </c>
      <c r="D453">
        <v>4</v>
      </c>
      <c r="E453">
        <v>0</v>
      </c>
      <c r="F453" t="s">
        <v>241</v>
      </c>
      <c r="G453" t="s">
        <v>143</v>
      </c>
      <c r="H453">
        <v>0</v>
      </c>
      <c r="I453" t="s">
        <v>344</v>
      </c>
    </row>
    <row r="454" spans="1:9" x14ac:dyDescent="0.25">
      <c r="A454">
        <v>70346</v>
      </c>
      <c r="B454" t="s">
        <v>178</v>
      </c>
      <c r="C454" t="s">
        <v>238</v>
      </c>
      <c r="D454">
        <v>4</v>
      </c>
      <c r="E454">
        <v>0</v>
      </c>
      <c r="F454" t="s">
        <v>241</v>
      </c>
      <c r="G454" t="s">
        <v>143</v>
      </c>
      <c r="H454">
        <v>0</v>
      </c>
      <c r="I454" t="s">
        <v>345</v>
      </c>
    </row>
    <row r="455" spans="1:9" x14ac:dyDescent="0.25">
      <c r="A455">
        <v>70346</v>
      </c>
      <c r="B455" t="s">
        <v>178</v>
      </c>
      <c r="C455" t="s">
        <v>238</v>
      </c>
      <c r="D455">
        <v>4</v>
      </c>
      <c r="E455">
        <v>0</v>
      </c>
      <c r="F455" t="s">
        <v>241</v>
      </c>
      <c r="G455" t="s">
        <v>143</v>
      </c>
      <c r="H455">
        <v>0</v>
      </c>
      <c r="I455" t="s">
        <v>346</v>
      </c>
    </row>
    <row r="456" spans="1:9" x14ac:dyDescent="0.25">
      <c r="A456">
        <v>70346</v>
      </c>
      <c r="B456" t="s">
        <v>178</v>
      </c>
      <c r="C456" t="s">
        <v>238</v>
      </c>
      <c r="D456">
        <v>4</v>
      </c>
      <c r="E456">
        <v>0</v>
      </c>
      <c r="F456" t="s">
        <v>241</v>
      </c>
      <c r="G456" t="s">
        <v>138</v>
      </c>
      <c r="H456">
        <v>0</v>
      </c>
      <c r="I456" t="s">
        <v>347</v>
      </c>
    </row>
    <row r="457" spans="1:9" x14ac:dyDescent="0.25">
      <c r="A457">
        <v>70347</v>
      </c>
      <c r="B457" t="s">
        <v>180</v>
      </c>
      <c r="C457" t="s">
        <v>238</v>
      </c>
      <c r="D457">
        <v>4</v>
      </c>
      <c r="E457">
        <v>0</v>
      </c>
      <c r="F457" t="s">
        <v>239</v>
      </c>
      <c r="G457" t="s">
        <v>153</v>
      </c>
      <c r="H457">
        <v>0</v>
      </c>
      <c r="I457" t="s">
        <v>351</v>
      </c>
    </row>
    <row r="458" spans="1:9" x14ac:dyDescent="0.25">
      <c r="A458">
        <v>70347</v>
      </c>
      <c r="B458" t="s">
        <v>180</v>
      </c>
      <c r="C458" t="s">
        <v>238</v>
      </c>
      <c r="D458">
        <v>4</v>
      </c>
      <c r="E458">
        <v>0</v>
      </c>
      <c r="F458" t="s">
        <v>239</v>
      </c>
      <c r="G458" t="s">
        <v>152</v>
      </c>
      <c r="H458">
        <v>0</v>
      </c>
      <c r="I458" t="s">
        <v>352</v>
      </c>
    </row>
    <row r="459" spans="1:9" x14ac:dyDescent="0.25">
      <c r="A459">
        <v>70347</v>
      </c>
      <c r="B459" t="s">
        <v>180</v>
      </c>
      <c r="C459" t="s">
        <v>238</v>
      </c>
      <c r="D459">
        <v>4</v>
      </c>
      <c r="E459">
        <v>0</v>
      </c>
      <c r="F459" t="s">
        <v>239</v>
      </c>
      <c r="G459" t="s">
        <v>154</v>
      </c>
      <c r="H459">
        <v>0</v>
      </c>
      <c r="I459" t="s">
        <v>349</v>
      </c>
    </row>
    <row r="460" spans="1:9" x14ac:dyDescent="0.25">
      <c r="A460">
        <v>70347</v>
      </c>
      <c r="B460" t="s">
        <v>180</v>
      </c>
      <c r="C460" t="s">
        <v>238</v>
      </c>
      <c r="D460">
        <v>4</v>
      </c>
      <c r="E460">
        <v>0</v>
      </c>
      <c r="F460" t="s">
        <v>241</v>
      </c>
      <c r="G460" t="s">
        <v>26</v>
      </c>
      <c r="H460">
        <v>0</v>
      </c>
      <c r="I460" t="s">
        <v>350</v>
      </c>
    </row>
    <row r="461" spans="1:9" x14ac:dyDescent="0.25">
      <c r="A461">
        <v>70347</v>
      </c>
      <c r="B461" t="s">
        <v>180</v>
      </c>
      <c r="C461" t="s">
        <v>238</v>
      </c>
      <c r="D461">
        <v>4</v>
      </c>
      <c r="E461">
        <v>0</v>
      </c>
      <c r="F461" t="s">
        <v>241</v>
      </c>
      <c r="G461" t="s">
        <v>23</v>
      </c>
      <c r="H461">
        <v>0</v>
      </c>
      <c r="I461" t="s">
        <v>269</v>
      </c>
    </row>
    <row r="462" spans="1:9" x14ac:dyDescent="0.25">
      <c r="A462">
        <v>70347</v>
      </c>
      <c r="B462" t="s">
        <v>180</v>
      </c>
      <c r="C462" t="s">
        <v>238</v>
      </c>
      <c r="D462">
        <v>4</v>
      </c>
      <c r="E462">
        <v>0</v>
      </c>
      <c r="F462" t="s">
        <v>241</v>
      </c>
      <c r="G462" t="s">
        <v>26</v>
      </c>
      <c r="H462">
        <v>0</v>
      </c>
      <c r="I462" t="s">
        <v>353</v>
      </c>
    </row>
    <row r="463" spans="1:9" x14ac:dyDescent="0.25">
      <c r="A463">
        <v>70347</v>
      </c>
      <c r="B463" t="s">
        <v>180</v>
      </c>
      <c r="C463" t="s">
        <v>238</v>
      </c>
      <c r="D463">
        <v>4</v>
      </c>
      <c r="E463">
        <v>0</v>
      </c>
      <c r="F463" t="s">
        <v>241</v>
      </c>
      <c r="G463" t="s">
        <v>157</v>
      </c>
      <c r="H463">
        <v>0</v>
      </c>
      <c r="I463" t="s">
        <v>348</v>
      </c>
    </row>
    <row r="464" spans="1:9" x14ac:dyDescent="0.25">
      <c r="A464">
        <v>70347</v>
      </c>
      <c r="B464" t="s">
        <v>180</v>
      </c>
      <c r="C464" t="s">
        <v>238</v>
      </c>
      <c r="D464">
        <v>4</v>
      </c>
      <c r="E464">
        <v>0</v>
      </c>
      <c r="F464" t="s">
        <v>261</v>
      </c>
      <c r="G464" t="s">
        <v>261</v>
      </c>
      <c r="H464">
        <v>0</v>
      </c>
      <c r="I464" t="s">
        <v>272</v>
      </c>
    </row>
    <row r="465" spans="1:9" x14ac:dyDescent="0.25">
      <c r="A465">
        <v>70347</v>
      </c>
      <c r="B465" t="s">
        <v>180</v>
      </c>
      <c r="C465" t="s">
        <v>238</v>
      </c>
      <c r="D465">
        <v>4</v>
      </c>
      <c r="E465">
        <v>0</v>
      </c>
      <c r="F465" t="s">
        <v>261</v>
      </c>
      <c r="G465" t="s">
        <v>261</v>
      </c>
      <c r="H465">
        <v>0</v>
      </c>
      <c r="I465" t="s">
        <v>354</v>
      </c>
    </row>
    <row r="466" spans="1:9" x14ac:dyDescent="0.25">
      <c r="A466">
        <v>70347</v>
      </c>
      <c r="B466" t="s">
        <v>180</v>
      </c>
      <c r="C466" t="s">
        <v>238</v>
      </c>
      <c r="D466">
        <v>4</v>
      </c>
      <c r="E466">
        <v>0</v>
      </c>
      <c r="F466" t="s">
        <v>247</v>
      </c>
      <c r="G466" t="s">
        <v>12</v>
      </c>
      <c r="H466">
        <v>-2652816</v>
      </c>
      <c r="I466" t="s">
        <v>248</v>
      </c>
    </row>
    <row r="467" spans="1:9" x14ac:dyDescent="0.25">
      <c r="A467">
        <v>70347</v>
      </c>
      <c r="B467" t="s">
        <v>180</v>
      </c>
      <c r="C467" t="s">
        <v>238</v>
      </c>
      <c r="D467">
        <v>4</v>
      </c>
      <c r="E467">
        <v>0</v>
      </c>
      <c r="F467" t="s">
        <v>247</v>
      </c>
      <c r="G467" t="s">
        <v>13</v>
      </c>
      <c r="H467">
        <v>8421994</v>
      </c>
      <c r="I467" t="s">
        <v>249</v>
      </c>
    </row>
    <row r="468" spans="1:9" x14ac:dyDescent="0.25">
      <c r="A468">
        <v>70347</v>
      </c>
      <c r="B468" t="s">
        <v>180</v>
      </c>
      <c r="C468" t="s">
        <v>238</v>
      </c>
      <c r="D468">
        <v>4</v>
      </c>
      <c r="E468">
        <v>0</v>
      </c>
      <c r="F468" t="s">
        <v>241</v>
      </c>
      <c r="G468" t="s">
        <v>25</v>
      </c>
      <c r="H468">
        <v>9197</v>
      </c>
      <c r="I468" t="s">
        <v>250</v>
      </c>
    </row>
    <row r="469" spans="1:9" x14ac:dyDescent="0.25">
      <c r="A469">
        <v>70347</v>
      </c>
      <c r="B469" t="s">
        <v>180</v>
      </c>
      <c r="C469" t="s">
        <v>238</v>
      </c>
      <c r="D469">
        <v>4</v>
      </c>
      <c r="E469">
        <v>0</v>
      </c>
      <c r="F469" t="s">
        <v>241</v>
      </c>
      <c r="G469" t="s">
        <v>26</v>
      </c>
      <c r="H469">
        <v>0</v>
      </c>
      <c r="I469" t="s">
        <v>251</v>
      </c>
    </row>
    <row r="470" spans="1:9" x14ac:dyDescent="0.25">
      <c r="A470">
        <v>70347</v>
      </c>
      <c r="B470" t="s">
        <v>180</v>
      </c>
      <c r="C470" t="s">
        <v>238</v>
      </c>
      <c r="D470">
        <v>4</v>
      </c>
      <c r="E470">
        <v>0</v>
      </c>
      <c r="F470" t="s">
        <v>239</v>
      </c>
      <c r="G470" t="s">
        <v>18</v>
      </c>
      <c r="H470">
        <v>102210</v>
      </c>
      <c r="I470" t="s">
        <v>252</v>
      </c>
    </row>
    <row r="471" spans="1:9" x14ac:dyDescent="0.25">
      <c r="A471">
        <v>70347</v>
      </c>
      <c r="B471" t="s">
        <v>180</v>
      </c>
      <c r="C471" t="s">
        <v>238</v>
      </c>
      <c r="D471">
        <v>4</v>
      </c>
      <c r="E471">
        <v>0</v>
      </c>
      <c r="F471" t="s">
        <v>241</v>
      </c>
      <c r="G471" t="s">
        <v>26</v>
      </c>
      <c r="H471">
        <v>20933</v>
      </c>
      <c r="I471" t="s">
        <v>253</v>
      </c>
    </row>
    <row r="472" spans="1:9" x14ac:dyDescent="0.25">
      <c r="A472">
        <v>70347</v>
      </c>
      <c r="B472" t="s">
        <v>180</v>
      </c>
      <c r="C472" t="s">
        <v>238</v>
      </c>
      <c r="D472">
        <v>4</v>
      </c>
      <c r="E472">
        <v>0</v>
      </c>
      <c r="F472" t="s">
        <v>247</v>
      </c>
      <c r="G472" t="s">
        <v>15</v>
      </c>
      <c r="H472">
        <v>207875</v>
      </c>
      <c r="I472" t="s">
        <v>254</v>
      </c>
    </row>
    <row r="473" spans="1:9" x14ac:dyDescent="0.25">
      <c r="A473">
        <v>70347</v>
      </c>
      <c r="B473" t="s">
        <v>180</v>
      </c>
      <c r="C473" t="s">
        <v>238</v>
      </c>
      <c r="D473">
        <v>4</v>
      </c>
      <c r="E473">
        <v>0</v>
      </c>
      <c r="F473" t="s">
        <v>247</v>
      </c>
      <c r="G473" t="s">
        <v>14</v>
      </c>
      <c r="H473">
        <v>0</v>
      </c>
      <c r="I473" t="s">
        <v>355</v>
      </c>
    </row>
    <row r="474" spans="1:9" x14ac:dyDescent="0.25">
      <c r="A474">
        <v>70347</v>
      </c>
      <c r="B474" t="s">
        <v>180</v>
      </c>
      <c r="C474" t="s">
        <v>238</v>
      </c>
      <c r="D474">
        <v>4</v>
      </c>
      <c r="E474">
        <v>0</v>
      </c>
      <c r="F474" t="s">
        <v>241</v>
      </c>
      <c r="G474" t="s">
        <v>23</v>
      </c>
      <c r="H474">
        <v>59053</v>
      </c>
      <c r="I474" t="s">
        <v>242</v>
      </c>
    </row>
    <row r="475" spans="1:9" x14ac:dyDescent="0.25">
      <c r="A475">
        <v>70347</v>
      </c>
      <c r="B475" t="s">
        <v>180</v>
      </c>
      <c r="C475" t="s">
        <v>238</v>
      </c>
      <c r="D475">
        <v>4</v>
      </c>
      <c r="E475">
        <v>0</v>
      </c>
      <c r="F475" t="s">
        <v>241</v>
      </c>
      <c r="G475" t="s">
        <v>24</v>
      </c>
      <c r="H475">
        <v>596491</v>
      </c>
      <c r="I475" t="s">
        <v>243</v>
      </c>
    </row>
    <row r="476" spans="1:9" x14ac:dyDescent="0.25">
      <c r="A476">
        <v>70347</v>
      </c>
      <c r="B476" t="s">
        <v>180</v>
      </c>
      <c r="C476" t="s">
        <v>238</v>
      </c>
      <c r="D476">
        <v>4</v>
      </c>
      <c r="E476">
        <v>0</v>
      </c>
      <c r="F476" t="s">
        <v>241</v>
      </c>
      <c r="G476" t="s">
        <v>21</v>
      </c>
      <c r="H476">
        <v>0</v>
      </c>
      <c r="I476" t="s">
        <v>356</v>
      </c>
    </row>
    <row r="477" spans="1:9" x14ac:dyDescent="0.25">
      <c r="A477">
        <v>70347</v>
      </c>
      <c r="B477" t="s">
        <v>180</v>
      </c>
      <c r="C477" t="s">
        <v>238</v>
      </c>
      <c r="D477">
        <v>4</v>
      </c>
      <c r="E477">
        <v>0</v>
      </c>
      <c r="F477" t="s">
        <v>239</v>
      </c>
      <c r="G477" t="s">
        <v>20</v>
      </c>
      <c r="H477">
        <v>-40034</v>
      </c>
      <c r="I477" t="s">
        <v>244</v>
      </c>
    </row>
    <row r="478" spans="1:9" x14ac:dyDescent="0.25">
      <c r="A478">
        <v>70347</v>
      </c>
      <c r="B478" t="s">
        <v>180</v>
      </c>
      <c r="C478" t="s">
        <v>238</v>
      </c>
      <c r="D478">
        <v>4</v>
      </c>
      <c r="E478">
        <v>0</v>
      </c>
      <c r="F478" t="s">
        <v>241</v>
      </c>
      <c r="G478" t="s">
        <v>22</v>
      </c>
      <c r="H478">
        <v>1669</v>
      </c>
      <c r="I478" t="s">
        <v>245</v>
      </c>
    </row>
    <row r="479" spans="1:9" x14ac:dyDescent="0.25">
      <c r="A479">
        <v>70347</v>
      </c>
      <c r="B479" t="s">
        <v>180</v>
      </c>
      <c r="C479" t="s">
        <v>238</v>
      </c>
      <c r="D479">
        <v>4</v>
      </c>
      <c r="E479">
        <v>0</v>
      </c>
      <c r="F479" t="s">
        <v>241</v>
      </c>
      <c r="G479" t="s">
        <v>26</v>
      </c>
      <c r="H479">
        <v>1082</v>
      </c>
      <c r="I479" t="s">
        <v>246</v>
      </c>
    </row>
    <row r="480" spans="1:9" x14ac:dyDescent="0.25">
      <c r="A480">
        <v>70347</v>
      </c>
      <c r="B480" t="s">
        <v>180</v>
      </c>
      <c r="C480" t="s">
        <v>238</v>
      </c>
      <c r="D480">
        <v>4</v>
      </c>
      <c r="E480">
        <v>0</v>
      </c>
      <c r="F480" t="s">
        <v>239</v>
      </c>
      <c r="G480" t="s">
        <v>17</v>
      </c>
      <c r="H480">
        <v>0</v>
      </c>
      <c r="I480" t="s">
        <v>357</v>
      </c>
    </row>
    <row r="481" spans="1:9" x14ac:dyDescent="0.25">
      <c r="A481">
        <v>70347</v>
      </c>
      <c r="B481" t="s">
        <v>180</v>
      </c>
      <c r="C481" t="s">
        <v>238</v>
      </c>
      <c r="D481">
        <v>4</v>
      </c>
      <c r="E481">
        <v>0</v>
      </c>
      <c r="F481" t="s">
        <v>241</v>
      </c>
      <c r="G481" t="s">
        <v>24</v>
      </c>
      <c r="H481">
        <v>0</v>
      </c>
      <c r="I481" t="s">
        <v>358</v>
      </c>
    </row>
    <row r="482" spans="1:9" x14ac:dyDescent="0.25">
      <c r="A482">
        <v>70347</v>
      </c>
      <c r="B482" t="s">
        <v>180</v>
      </c>
      <c r="C482" t="s">
        <v>238</v>
      </c>
      <c r="D482">
        <v>4</v>
      </c>
      <c r="E482">
        <v>0</v>
      </c>
      <c r="F482" t="s">
        <v>241</v>
      </c>
      <c r="G482" t="s">
        <v>27</v>
      </c>
      <c r="H482">
        <v>0</v>
      </c>
      <c r="I482" t="s">
        <v>359</v>
      </c>
    </row>
    <row r="483" spans="1:9" x14ac:dyDescent="0.25">
      <c r="A483">
        <v>70347</v>
      </c>
      <c r="B483" t="s">
        <v>180</v>
      </c>
      <c r="C483" t="s">
        <v>238</v>
      </c>
      <c r="D483">
        <v>4</v>
      </c>
      <c r="E483">
        <v>0</v>
      </c>
      <c r="F483" t="s">
        <v>239</v>
      </c>
      <c r="G483" t="s">
        <v>19</v>
      </c>
      <c r="H483">
        <v>0</v>
      </c>
      <c r="I483" t="s">
        <v>360</v>
      </c>
    </row>
    <row r="484" spans="1:9" x14ac:dyDescent="0.25">
      <c r="A484">
        <v>70347</v>
      </c>
      <c r="B484" t="s">
        <v>180</v>
      </c>
      <c r="C484" t="s">
        <v>238</v>
      </c>
      <c r="D484">
        <v>4</v>
      </c>
      <c r="E484">
        <v>0</v>
      </c>
      <c r="F484" t="s">
        <v>239</v>
      </c>
      <c r="G484" t="s">
        <v>20</v>
      </c>
      <c r="H484">
        <v>167990</v>
      </c>
      <c r="I484" t="s">
        <v>255</v>
      </c>
    </row>
    <row r="485" spans="1:9" x14ac:dyDescent="0.25">
      <c r="A485">
        <v>70347</v>
      </c>
      <c r="B485" t="s">
        <v>180</v>
      </c>
      <c r="C485" t="s">
        <v>238</v>
      </c>
      <c r="D485">
        <v>4</v>
      </c>
      <c r="E485">
        <v>0</v>
      </c>
      <c r="F485" t="s">
        <v>247</v>
      </c>
      <c r="G485" t="s">
        <v>148</v>
      </c>
      <c r="H485">
        <v>1220137</v>
      </c>
      <c r="I485" t="s">
        <v>256</v>
      </c>
    </row>
    <row r="486" spans="1:9" x14ac:dyDescent="0.25">
      <c r="A486">
        <v>70347</v>
      </c>
      <c r="B486" t="s">
        <v>180</v>
      </c>
      <c r="C486" t="s">
        <v>238</v>
      </c>
      <c r="D486">
        <v>4</v>
      </c>
      <c r="E486">
        <v>0</v>
      </c>
      <c r="F486" t="s">
        <v>241</v>
      </c>
      <c r="G486" t="s">
        <v>27</v>
      </c>
      <c r="H486">
        <v>3761746</v>
      </c>
      <c r="I486" t="s">
        <v>257</v>
      </c>
    </row>
    <row r="487" spans="1:9" x14ac:dyDescent="0.25">
      <c r="A487">
        <v>70347</v>
      </c>
      <c r="B487" t="s">
        <v>180</v>
      </c>
      <c r="C487" t="s">
        <v>238</v>
      </c>
      <c r="D487">
        <v>4</v>
      </c>
      <c r="E487">
        <v>0</v>
      </c>
      <c r="F487" t="s">
        <v>241</v>
      </c>
      <c r="G487" t="s">
        <v>27</v>
      </c>
      <c r="H487">
        <v>0</v>
      </c>
      <c r="I487" t="s">
        <v>361</v>
      </c>
    </row>
    <row r="488" spans="1:9" x14ac:dyDescent="0.25">
      <c r="A488">
        <v>70347</v>
      </c>
      <c r="B488" t="s">
        <v>180</v>
      </c>
      <c r="C488" t="s">
        <v>238</v>
      </c>
      <c r="D488">
        <v>4</v>
      </c>
      <c r="E488">
        <v>0</v>
      </c>
      <c r="F488" t="s">
        <v>241</v>
      </c>
      <c r="G488" t="s">
        <v>27</v>
      </c>
      <c r="H488">
        <v>0</v>
      </c>
      <c r="I488" t="s">
        <v>362</v>
      </c>
    </row>
    <row r="489" spans="1:9" x14ac:dyDescent="0.25">
      <c r="A489">
        <v>70347</v>
      </c>
      <c r="B489" t="s">
        <v>180</v>
      </c>
      <c r="C489" t="s">
        <v>238</v>
      </c>
      <c r="D489">
        <v>4</v>
      </c>
      <c r="E489">
        <v>0</v>
      </c>
      <c r="F489" t="s">
        <v>241</v>
      </c>
      <c r="G489" t="s">
        <v>27</v>
      </c>
      <c r="H489">
        <v>0</v>
      </c>
      <c r="I489" t="s">
        <v>363</v>
      </c>
    </row>
    <row r="490" spans="1:9" x14ac:dyDescent="0.25">
      <c r="A490">
        <v>70347</v>
      </c>
      <c r="B490" t="s">
        <v>180</v>
      </c>
      <c r="C490" t="s">
        <v>238</v>
      </c>
      <c r="D490">
        <v>4</v>
      </c>
      <c r="E490">
        <v>0</v>
      </c>
      <c r="F490" t="s">
        <v>239</v>
      </c>
      <c r="G490" t="s">
        <v>16</v>
      </c>
      <c r="H490">
        <v>6732</v>
      </c>
      <c r="I490" t="s">
        <v>267</v>
      </c>
    </row>
    <row r="491" spans="1:9" x14ac:dyDescent="0.25">
      <c r="A491">
        <v>70347</v>
      </c>
      <c r="B491" t="s">
        <v>180</v>
      </c>
      <c r="C491" t="s">
        <v>238</v>
      </c>
      <c r="D491">
        <v>4</v>
      </c>
      <c r="E491">
        <v>0</v>
      </c>
      <c r="F491" t="s">
        <v>239</v>
      </c>
      <c r="G491" t="s">
        <v>152</v>
      </c>
      <c r="H491">
        <v>52617</v>
      </c>
      <c r="I491" t="s">
        <v>258</v>
      </c>
    </row>
    <row r="492" spans="1:9" x14ac:dyDescent="0.25">
      <c r="A492">
        <v>70347</v>
      </c>
      <c r="B492" t="s">
        <v>180</v>
      </c>
      <c r="C492" t="s">
        <v>238</v>
      </c>
      <c r="D492">
        <v>4</v>
      </c>
      <c r="E492">
        <v>0</v>
      </c>
      <c r="F492" t="s">
        <v>239</v>
      </c>
      <c r="G492" t="s">
        <v>154</v>
      </c>
      <c r="H492">
        <v>0</v>
      </c>
      <c r="I492" t="s">
        <v>330</v>
      </c>
    </row>
    <row r="493" spans="1:9" x14ac:dyDescent="0.25">
      <c r="A493">
        <v>70347</v>
      </c>
      <c r="B493" t="s">
        <v>180</v>
      </c>
      <c r="C493" t="s">
        <v>238</v>
      </c>
      <c r="D493">
        <v>4</v>
      </c>
      <c r="E493">
        <v>0</v>
      </c>
      <c r="F493" t="s">
        <v>239</v>
      </c>
      <c r="G493" t="s">
        <v>16</v>
      </c>
      <c r="H493">
        <v>3470</v>
      </c>
      <c r="I493" t="s">
        <v>259</v>
      </c>
    </row>
    <row r="494" spans="1:9" x14ac:dyDescent="0.25">
      <c r="A494">
        <v>70347</v>
      </c>
      <c r="B494" t="s">
        <v>180</v>
      </c>
      <c r="C494" t="s">
        <v>238</v>
      </c>
      <c r="D494">
        <v>4</v>
      </c>
      <c r="E494">
        <v>0</v>
      </c>
      <c r="F494" t="s">
        <v>239</v>
      </c>
      <c r="G494" t="s">
        <v>19</v>
      </c>
      <c r="H494">
        <v>54487</v>
      </c>
      <c r="I494" t="s">
        <v>260</v>
      </c>
    </row>
    <row r="495" spans="1:9" x14ac:dyDescent="0.25">
      <c r="A495">
        <v>70347</v>
      </c>
      <c r="B495" t="s">
        <v>180</v>
      </c>
      <c r="C495" t="s">
        <v>238</v>
      </c>
      <c r="D495">
        <v>4</v>
      </c>
      <c r="E495">
        <v>0</v>
      </c>
      <c r="F495" t="s">
        <v>239</v>
      </c>
      <c r="G495" t="s">
        <v>19</v>
      </c>
      <c r="H495">
        <v>0</v>
      </c>
      <c r="I495" t="s">
        <v>270</v>
      </c>
    </row>
    <row r="496" spans="1:9" x14ac:dyDescent="0.25">
      <c r="A496">
        <v>70347</v>
      </c>
      <c r="B496" t="s">
        <v>180</v>
      </c>
      <c r="C496" t="s">
        <v>238</v>
      </c>
      <c r="D496">
        <v>4</v>
      </c>
      <c r="E496">
        <v>0</v>
      </c>
      <c r="F496" t="s">
        <v>241</v>
      </c>
      <c r="G496" t="s">
        <v>139</v>
      </c>
      <c r="H496">
        <v>0</v>
      </c>
      <c r="I496" t="s">
        <v>331</v>
      </c>
    </row>
    <row r="497" spans="1:9" x14ac:dyDescent="0.25">
      <c r="A497">
        <v>70347</v>
      </c>
      <c r="B497" t="s">
        <v>180</v>
      </c>
      <c r="C497" t="s">
        <v>238</v>
      </c>
      <c r="D497">
        <v>4</v>
      </c>
      <c r="E497">
        <v>0</v>
      </c>
      <c r="F497" t="s">
        <v>261</v>
      </c>
      <c r="G497" t="s">
        <v>261</v>
      </c>
      <c r="H497">
        <v>3523846</v>
      </c>
      <c r="I497" t="s">
        <v>262</v>
      </c>
    </row>
    <row r="498" spans="1:9" x14ac:dyDescent="0.25">
      <c r="A498">
        <v>70347</v>
      </c>
      <c r="B498" t="s">
        <v>180</v>
      </c>
      <c r="C498" t="s">
        <v>238</v>
      </c>
      <c r="D498">
        <v>4</v>
      </c>
      <c r="E498">
        <v>0</v>
      </c>
      <c r="F498" t="s">
        <v>239</v>
      </c>
      <c r="G498" t="s">
        <v>19</v>
      </c>
      <c r="H498">
        <v>172005</v>
      </c>
      <c r="I498" t="s">
        <v>263</v>
      </c>
    </row>
    <row r="499" spans="1:9" x14ac:dyDescent="0.25">
      <c r="A499">
        <v>70347</v>
      </c>
      <c r="B499" t="s">
        <v>180</v>
      </c>
      <c r="C499" t="s">
        <v>238</v>
      </c>
      <c r="D499">
        <v>4</v>
      </c>
      <c r="E499">
        <v>0</v>
      </c>
      <c r="F499" t="s">
        <v>239</v>
      </c>
      <c r="G499" t="s">
        <v>16</v>
      </c>
      <c r="H499">
        <v>6249</v>
      </c>
      <c r="I499" t="s">
        <v>240</v>
      </c>
    </row>
    <row r="500" spans="1:9" x14ac:dyDescent="0.25">
      <c r="A500">
        <v>70347</v>
      </c>
      <c r="B500" t="s">
        <v>180</v>
      </c>
      <c r="C500" t="s">
        <v>238</v>
      </c>
      <c r="D500">
        <v>4</v>
      </c>
      <c r="E500">
        <v>0</v>
      </c>
      <c r="F500" t="s">
        <v>239</v>
      </c>
      <c r="G500" t="s">
        <v>19</v>
      </c>
      <c r="H500">
        <v>35718</v>
      </c>
      <c r="I500" t="s">
        <v>264</v>
      </c>
    </row>
    <row r="501" spans="1:9" x14ac:dyDescent="0.25">
      <c r="A501">
        <v>70347</v>
      </c>
      <c r="B501" t="s">
        <v>180</v>
      </c>
      <c r="C501" t="s">
        <v>238</v>
      </c>
      <c r="D501">
        <v>4</v>
      </c>
      <c r="E501">
        <v>0</v>
      </c>
      <c r="F501" t="s">
        <v>241</v>
      </c>
      <c r="G501" t="s">
        <v>158</v>
      </c>
      <c r="H501">
        <v>32738</v>
      </c>
      <c r="I501" t="s">
        <v>265</v>
      </c>
    </row>
    <row r="502" spans="1:9" x14ac:dyDescent="0.25">
      <c r="A502">
        <v>70347</v>
      </c>
      <c r="B502" t="s">
        <v>180</v>
      </c>
      <c r="C502" t="s">
        <v>238</v>
      </c>
      <c r="D502">
        <v>4</v>
      </c>
      <c r="E502">
        <v>0</v>
      </c>
      <c r="F502" t="s">
        <v>239</v>
      </c>
      <c r="G502" t="s">
        <v>19</v>
      </c>
      <c r="H502">
        <v>0</v>
      </c>
      <c r="I502" t="s">
        <v>271</v>
      </c>
    </row>
    <row r="503" spans="1:9" x14ac:dyDescent="0.25">
      <c r="A503">
        <v>70347</v>
      </c>
      <c r="B503" t="s">
        <v>180</v>
      </c>
      <c r="C503" t="s">
        <v>238</v>
      </c>
      <c r="D503">
        <v>4</v>
      </c>
      <c r="E503">
        <v>0</v>
      </c>
      <c r="F503" t="s">
        <v>239</v>
      </c>
      <c r="G503" t="s">
        <v>19</v>
      </c>
      <c r="H503">
        <v>87514</v>
      </c>
      <c r="I503" t="s">
        <v>266</v>
      </c>
    </row>
    <row r="504" spans="1:9" x14ac:dyDescent="0.25">
      <c r="A504">
        <v>70347</v>
      </c>
      <c r="B504" t="s">
        <v>180</v>
      </c>
      <c r="C504" t="s">
        <v>238</v>
      </c>
      <c r="D504">
        <v>4</v>
      </c>
      <c r="E504">
        <v>0</v>
      </c>
      <c r="F504" t="s">
        <v>241</v>
      </c>
      <c r="G504" t="s">
        <v>143</v>
      </c>
      <c r="H504">
        <v>0</v>
      </c>
      <c r="I504" t="s">
        <v>332</v>
      </c>
    </row>
    <row r="505" spans="1:9" x14ac:dyDescent="0.25">
      <c r="A505">
        <v>70347</v>
      </c>
      <c r="B505" t="s">
        <v>180</v>
      </c>
      <c r="C505" t="s">
        <v>238</v>
      </c>
      <c r="D505">
        <v>4</v>
      </c>
      <c r="E505">
        <v>0</v>
      </c>
      <c r="F505" t="s">
        <v>241</v>
      </c>
      <c r="G505" t="s">
        <v>138</v>
      </c>
      <c r="H505">
        <v>0</v>
      </c>
      <c r="I505" t="s">
        <v>333</v>
      </c>
    </row>
    <row r="506" spans="1:9" x14ac:dyDescent="0.25">
      <c r="A506">
        <v>70347</v>
      </c>
      <c r="B506" t="s">
        <v>180</v>
      </c>
      <c r="C506" t="s">
        <v>238</v>
      </c>
      <c r="D506">
        <v>4</v>
      </c>
      <c r="E506">
        <v>0</v>
      </c>
      <c r="F506" t="s">
        <v>241</v>
      </c>
      <c r="G506" t="s">
        <v>138</v>
      </c>
      <c r="H506">
        <v>0</v>
      </c>
      <c r="I506" t="s">
        <v>334</v>
      </c>
    </row>
    <row r="507" spans="1:9" x14ac:dyDescent="0.25">
      <c r="A507">
        <v>70347</v>
      </c>
      <c r="B507" t="s">
        <v>180</v>
      </c>
      <c r="C507" t="s">
        <v>238</v>
      </c>
      <c r="D507">
        <v>4</v>
      </c>
      <c r="E507">
        <v>0</v>
      </c>
      <c r="F507" t="s">
        <v>241</v>
      </c>
      <c r="G507" t="s">
        <v>138</v>
      </c>
      <c r="H507">
        <v>56123</v>
      </c>
      <c r="I507" t="s">
        <v>268</v>
      </c>
    </row>
    <row r="508" spans="1:9" x14ac:dyDescent="0.25">
      <c r="A508">
        <v>70347</v>
      </c>
      <c r="B508" t="s">
        <v>180</v>
      </c>
      <c r="C508" t="s">
        <v>238</v>
      </c>
      <c r="D508">
        <v>4</v>
      </c>
      <c r="E508">
        <v>0</v>
      </c>
      <c r="F508" t="s">
        <v>241</v>
      </c>
      <c r="G508" t="s">
        <v>139</v>
      </c>
      <c r="H508">
        <v>0</v>
      </c>
      <c r="I508" t="s">
        <v>336</v>
      </c>
    </row>
    <row r="509" spans="1:9" x14ac:dyDescent="0.25">
      <c r="A509">
        <v>70347</v>
      </c>
      <c r="B509" t="s">
        <v>180</v>
      </c>
      <c r="C509" t="s">
        <v>238</v>
      </c>
      <c r="D509">
        <v>4</v>
      </c>
      <c r="E509">
        <v>0</v>
      </c>
      <c r="F509" t="s">
        <v>241</v>
      </c>
      <c r="G509" t="s">
        <v>139</v>
      </c>
      <c r="H509">
        <v>0</v>
      </c>
      <c r="I509" t="s">
        <v>337</v>
      </c>
    </row>
    <row r="510" spans="1:9" x14ac:dyDescent="0.25">
      <c r="A510">
        <v>70347</v>
      </c>
      <c r="B510" t="s">
        <v>180</v>
      </c>
      <c r="C510" t="s">
        <v>238</v>
      </c>
      <c r="D510">
        <v>4</v>
      </c>
      <c r="E510">
        <v>0</v>
      </c>
      <c r="F510" t="s">
        <v>241</v>
      </c>
      <c r="G510" t="s">
        <v>139</v>
      </c>
      <c r="H510">
        <v>0</v>
      </c>
      <c r="I510" t="s">
        <v>335</v>
      </c>
    </row>
    <row r="511" spans="1:9" x14ac:dyDescent="0.25">
      <c r="A511">
        <v>70347</v>
      </c>
      <c r="B511" t="s">
        <v>180</v>
      </c>
      <c r="C511" t="s">
        <v>238</v>
      </c>
      <c r="D511">
        <v>4</v>
      </c>
      <c r="E511">
        <v>0</v>
      </c>
      <c r="F511" t="s">
        <v>241</v>
      </c>
      <c r="G511" t="s">
        <v>24</v>
      </c>
      <c r="H511">
        <v>0</v>
      </c>
      <c r="I511" t="s">
        <v>338</v>
      </c>
    </row>
    <row r="512" spans="1:9" x14ac:dyDescent="0.25">
      <c r="A512">
        <v>70347</v>
      </c>
      <c r="B512" t="s">
        <v>180</v>
      </c>
      <c r="C512" t="s">
        <v>238</v>
      </c>
      <c r="D512">
        <v>4</v>
      </c>
      <c r="E512">
        <v>0</v>
      </c>
      <c r="F512" t="s">
        <v>241</v>
      </c>
      <c r="G512" t="s">
        <v>24</v>
      </c>
      <c r="H512">
        <v>0</v>
      </c>
      <c r="I512" t="s">
        <v>339</v>
      </c>
    </row>
    <row r="513" spans="1:9" x14ac:dyDescent="0.25">
      <c r="A513">
        <v>70347</v>
      </c>
      <c r="B513" t="s">
        <v>180</v>
      </c>
      <c r="C513" t="s">
        <v>238</v>
      </c>
      <c r="D513">
        <v>4</v>
      </c>
      <c r="E513">
        <v>0</v>
      </c>
      <c r="F513" t="s">
        <v>241</v>
      </c>
      <c r="G513" t="s">
        <v>24</v>
      </c>
      <c r="H513">
        <v>0</v>
      </c>
      <c r="I513" t="s">
        <v>340</v>
      </c>
    </row>
    <row r="514" spans="1:9" x14ac:dyDescent="0.25">
      <c r="A514">
        <v>70347</v>
      </c>
      <c r="B514" t="s">
        <v>180</v>
      </c>
      <c r="C514" t="s">
        <v>238</v>
      </c>
      <c r="D514">
        <v>4</v>
      </c>
      <c r="E514">
        <v>0</v>
      </c>
      <c r="F514" t="s">
        <v>241</v>
      </c>
      <c r="G514" t="s">
        <v>137</v>
      </c>
      <c r="H514">
        <v>0</v>
      </c>
      <c r="I514" t="s">
        <v>273</v>
      </c>
    </row>
    <row r="515" spans="1:9" x14ac:dyDescent="0.25">
      <c r="A515">
        <v>70347</v>
      </c>
      <c r="B515" t="s">
        <v>180</v>
      </c>
      <c r="C515" t="s">
        <v>238</v>
      </c>
      <c r="D515">
        <v>4</v>
      </c>
      <c r="E515">
        <v>0</v>
      </c>
      <c r="F515" t="s">
        <v>241</v>
      </c>
      <c r="G515" t="s">
        <v>137</v>
      </c>
      <c r="H515">
        <v>0</v>
      </c>
      <c r="I515" t="s">
        <v>341</v>
      </c>
    </row>
    <row r="516" spans="1:9" x14ac:dyDescent="0.25">
      <c r="A516">
        <v>70347</v>
      </c>
      <c r="B516" t="s">
        <v>180</v>
      </c>
      <c r="C516" t="s">
        <v>238</v>
      </c>
      <c r="D516">
        <v>4</v>
      </c>
      <c r="E516">
        <v>0</v>
      </c>
      <c r="F516" t="s">
        <v>241</v>
      </c>
      <c r="G516" t="s">
        <v>137</v>
      </c>
      <c r="H516">
        <v>0</v>
      </c>
      <c r="I516" t="s">
        <v>342</v>
      </c>
    </row>
    <row r="517" spans="1:9" x14ac:dyDescent="0.25">
      <c r="A517">
        <v>70347</v>
      </c>
      <c r="B517" t="s">
        <v>180</v>
      </c>
      <c r="C517" t="s">
        <v>238</v>
      </c>
      <c r="D517">
        <v>4</v>
      </c>
      <c r="E517">
        <v>0</v>
      </c>
      <c r="F517" t="s">
        <v>241</v>
      </c>
      <c r="G517" t="s">
        <v>137</v>
      </c>
      <c r="H517">
        <v>0</v>
      </c>
      <c r="I517" t="s">
        <v>343</v>
      </c>
    </row>
    <row r="518" spans="1:9" x14ac:dyDescent="0.25">
      <c r="A518">
        <v>70347</v>
      </c>
      <c r="B518" t="s">
        <v>180</v>
      </c>
      <c r="C518" t="s">
        <v>238</v>
      </c>
      <c r="D518">
        <v>4</v>
      </c>
      <c r="E518">
        <v>0</v>
      </c>
      <c r="F518" t="s">
        <v>241</v>
      </c>
      <c r="G518" t="s">
        <v>143</v>
      </c>
      <c r="H518">
        <v>0</v>
      </c>
      <c r="I518" t="s">
        <v>344</v>
      </c>
    </row>
    <row r="519" spans="1:9" x14ac:dyDescent="0.25">
      <c r="A519">
        <v>70347</v>
      </c>
      <c r="B519" t="s">
        <v>180</v>
      </c>
      <c r="C519" t="s">
        <v>238</v>
      </c>
      <c r="D519">
        <v>4</v>
      </c>
      <c r="E519">
        <v>0</v>
      </c>
      <c r="F519" t="s">
        <v>241</v>
      </c>
      <c r="G519" t="s">
        <v>143</v>
      </c>
      <c r="H519">
        <v>0</v>
      </c>
      <c r="I519" t="s">
        <v>345</v>
      </c>
    </row>
    <row r="520" spans="1:9" x14ac:dyDescent="0.25">
      <c r="A520">
        <v>70347</v>
      </c>
      <c r="B520" t="s">
        <v>180</v>
      </c>
      <c r="C520" t="s">
        <v>238</v>
      </c>
      <c r="D520">
        <v>4</v>
      </c>
      <c r="E520">
        <v>0</v>
      </c>
      <c r="F520" t="s">
        <v>241</v>
      </c>
      <c r="G520" t="s">
        <v>143</v>
      </c>
      <c r="H520">
        <v>0</v>
      </c>
      <c r="I520" t="s">
        <v>346</v>
      </c>
    </row>
    <row r="521" spans="1:9" x14ac:dyDescent="0.25">
      <c r="A521">
        <v>70347</v>
      </c>
      <c r="B521" t="s">
        <v>180</v>
      </c>
      <c r="C521" t="s">
        <v>238</v>
      </c>
      <c r="D521">
        <v>4</v>
      </c>
      <c r="E521">
        <v>0</v>
      </c>
      <c r="F521" t="s">
        <v>241</v>
      </c>
      <c r="G521" t="s">
        <v>138</v>
      </c>
      <c r="H521">
        <v>0</v>
      </c>
      <c r="I521" t="s">
        <v>347</v>
      </c>
    </row>
    <row r="522" spans="1:9" x14ac:dyDescent="0.25">
      <c r="A522">
        <v>70348</v>
      </c>
      <c r="B522" t="s">
        <v>182</v>
      </c>
      <c r="C522" t="s">
        <v>238</v>
      </c>
      <c r="D522">
        <v>4</v>
      </c>
      <c r="E522">
        <v>0</v>
      </c>
      <c r="F522" t="s">
        <v>239</v>
      </c>
      <c r="G522" t="s">
        <v>153</v>
      </c>
      <c r="H522">
        <v>0</v>
      </c>
      <c r="I522" t="s">
        <v>351</v>
      </c>
    </row>
    <row r="523" spans="1:9" x14ac:dyDescent="0.25">
      <c r="A523">
        <v>70348</v>
      </c>
      <c r="B523" t="s">
        <v>182</v>
      </c>
      <c r="C523" t="s">
        <v>238</v>
      </c>
      <c r="D523">
        <v>4</v>
      </c>
      <c r="E523">
        <v>0</v>
      </c>
      <c r="F523" t="s">
        <v>239</v>
      </c>
      <c r="G523" t="s">
        <v>152</v>
      </c>
      <c r="H523">
        <v>0</v>
      </c>
      <c r="I523" t="s">
        <v>352</v>
      </c>
    </row>
    <row r="524" spans="1:9" x14ac:dyDescent="0.25">
      <c r="A524">
        <v>70348</v>
      </c>
      <c r="B524" t="s">
        <v>182</v>
      </c>
      <c r="C524" t="s">
        <v>238</v>
      </c>
      <c r="D524">
        <v>4</v>
      </c>
      <c r="E524">
        <v>0</v>
      </c>
      <c r="F524" t="s">
        <v>239</v>
      </c>
      <c r="G524" t="s">
        <v>154</v>
      </c>
      <c r="H524">
        <v>0</v>
      </c>
      <c r="I524" t="s">
        <v>349</v>
      </c>
    </row>
    <row r="525" spans="1:9" x14ac:dyDescent="0.25">
      <c r="A525">
        <v>70348</v>
      </c>
      <c r="B525" t="s">
        <v>182</v>
      </c>
      <c r="C525" t="s">
        <v>238</v>
      </c>
      <c r="D525">
        <v>4</v>
      </c>
      <c r="E525">
        <v>0</v>
      </c>
      <c r="F525" t="s">
        <v>241</v>
      </c>
      <c r="G525" t="s">
        <v>26</v>
      </c>
      <c r="H525">
        <v>0</v>
      </c>
      <c r="I525" t="s">
        <v>350</v>
      </c>
    </row>
    <row r="526" spans="1:9" x14ac:dyDescent="0.25">
      <c r="A526">
        <v>70348</v>
      </c>
      <c r="B526" t="s">
        <v>182</v>
      </c>
      <c r="C526" t="s">
        <v>238</v>
      </c>
      <c r="D526">
        <v>4</v>
      </c>
      <c r="E526">
        <v>0</v>
      </c>
      <c r="F526" t="s">
        <v>241</v>
      </c>
      <c r="G526" t="s">
        <v>23</v>
      </c>
      <c r="H526">
        <v>0</v>
      </c>
      <c r="I526" t="s">
        <v>269</v>
      </c>
    </row>
    <row r="527" spans="1:9" x14ac:dyDescent="0.25">
      <c r="A527">
        <v>70348</v>
      </c>
      <c r="B527" t="s">
        <v>182</v>
      </c>
      <c r="C527" t="s">
        <v>238</v>
      </c>
      <c r="D527">
        <v>4</v>
      </c>
      <c r="E527">
        <v>0</v>
      </c>
      <c r="F527" t="s">
        <v>241</v>
      </c>
      <c r="G527" t="s">
        <v>26</v>
      </c>
      <c r="H527">
        <v>0</v>
      </c>
      <c r="I527" t="s">
        <v>353</v>
      </c>
    </row>
    <row r="528" spans="1:9" x14ac:dyDescent="0.25">
      <c r="A528">
        <v>70348</v>
      </c>
      <c r="B528" t="s">
        <v>182</v>
      </c>
      <c r="C528" t="s">
        <v>238</v>
      </c>
      <c r="D528">
        <v>4</v>
      </c>
      <c r="E528">
        <v>0</v>
      </c>
      <c r="F528" t="s">
        <v>241</v>
      </c>
      <c r="G528" t="s">
        <v>157</v>
      </c>
      <c r="H528">
        <v>0</v>
      </c>
      <c r="I528" t="s">
        <v>348</v>
      </c>
    </row>
    <row r="529" spans="1:9" x14ac:dyDescent="0.25">
      <c r="A529">
        <v>70348</v>
      </c>
      <c r="B529" t="s">
        <v>182</v>
      </c>
      <c r="C529" t="s">
        <v>238</v>
      </c>
      <c r="D529">
        <v>4</v>
      </c>
      <c r="E529">
        <v>0</v>
      </c>
      <c r="F529" t="s">
        <v>261</v>
      </c>
      <c r="G529" t="s">
        <v>261</v>
      </c>
      <c r="H529">
        <v>0</v>
      </c>
      <c r="I529" t="s">
        <v>272</v>
      </c>
    </row>
    <row r="530" spans="1:9" x14ac:dyDescent="0.25">
      <c r="A530">
        <v>70348</v>
      </c>
      <c r="B530" t="s">
        <v>182</v>
      </c>
      <c r="C530" t="s">
        <v>238</v>
      </c>
      <c r="D530">
        <v>4</v>
      </c>
      <c r="E530">
        <v>0</v>
      </c>
      <c r="F530" t="s">
        <v>261</v>
      </c>
      <c r="G530" t="s">
        <v>261</v>
      </c>
      <c r="H530">
        <v>0</v>
      </c>
      <c r="I530" t="s">
        <v>354</v>
      </c>
    </row>
    <row r="531" spans="1:9" x14ac:dyDescent="0.25">
      <c r="A531">
        <v>70348</v>
      </c>
      <c r="B531" t="s">
        <v>182</v>
      </c>
      <c r="C531" t="s">
        <v>238</v>
      </c>
      <c r="D531">
        <v>4</v>
      </c>
      <c r="E531">
        <v>0</v>
      </c>
      <c r="F531" t="s">
        <v>247</v>
      </c>
      <c r="G531" t="s">
        <v>12</v>
      </c>
      <c r="H531">
        <v>-4143914</v>
      </c>
      <c r="I531" t="s">
        <v>248</v>
      </c>
    </row>
    <row r="532" spans="1:9" x14ac:dyDescent="0.25">
      <c r="A532">
        <v>70348</v>
      </c>
      <c r="B532" t="s">
        <v>182</v>
      </c>
      <c r="C532" t="s">
        <v>238</v>
      </c>
      <c r="D532">
        <v>4</v>
      </c>
      <c r="E532">
        <v>0</v>
      </c>
      <c r="F532" t="s">
        <v>247</v>
      </c>
      <c r="G532" t="s">
        <v>13</v>
      </c>
      <c r="H532">
        <v>9314310</v>
      </c>
      <c r="I532" t="s">
        <v>249</v>
      </c>
    </row>
    <row r="533" spans="1:9" x14ac:dyDescent="0.25">
      <c r="A533">
        <v>70348</v>
      </c>
      <c r="B533" t="s">
        <v>182</v>
      </c>
      <c r="C533" t="s">
        <v>238</v>
      </c>
      <c r="D533">
        <v>4</v>
      </c>
      <c r="E533">
        <v>0</v>
      </c>
      <c r="F533" t="s">
        <v>241</v>
      </c>
      <c r="G533" t="s">
        <v>25</v>
      </c>
      <c r="H533">
        <v>2154</v>
      </c>
      <c r="I533" t="s">
        <v>250</v>
      </c>
    </row>
    <row r="534" spans="1:9" x14ac:dyDescent="0.25">
      <c r="A534">
        <v>70348</v>
      </c>
      <c r="B534" t="s">
        <v>182</v>
      </c>
      <c r="C534" t="s">
        <v>238</v>
      </c>
      <c r="D534">
        <v>4</v>
      </c>
      <c r="E534">
        <v>0</v>
      </c>
      <c r="F534" t="s">
        <v>241</v>
      </c>
      <c r="G534" t="s">
        <v>26</v>
      </c>
      <c r="H534">
        <v>0</v>
      </c>
      <c r="I534" t="s">
        <v>251</v>
      </c>
    </row>
    <row r="535" spans="1:9" x14ac:dyDescent="0.25">
      <c r="A535">
        <v>70348</v>
      </c>
      <c r="B535" t="s">
        <v>182</v>
      </c>
      <c r="C535" t="s">
        <v>238</v>
      </c>
      <c r="D535">
        <v>4</v>
      </c>
      <c r="E535">
        <v>0</v>
      </c>
      <c r="F535" t="s">
        <v>239</v>
      </c>
      <c r="G535" t="s">
        <v>18</v>
      </c>
      <c r="H535">
        <v>253673</v>
      </c>
      <c r="I535" t="s">
        <v>252</v>
      </c>
    </row>
    <row r="536" spans="1:9" x14ac:dyDescent="0.25">
      <c r="A536">
        <v>70348</v>
      </c>
      <c r="B536" t="s">
        <v>182</v>
      </c>
      <c r="C536" t="s">
        <v>238</v>
      </c>
      <c r="D536">
        <v>4</v>
      </c>
      <c r="E536">
        <v>0</v>
      </c>
      <c r="F536" t="s">
        <v>241</v>
      </c>
      <c r="G536" t="s">
        <v>26</v>
      </c>
      <c r="H536">
        <v>0</v>
      </c>
      <c r="I536" t="s">
        <v>253</v>
      </c>
    </row>
    <row r="537" spans="1:9" x14ac:dyDescent="0.25">
      <c r="A537">
        <v>70348</v>
      </c>
      <c r="B537" t="s">
        <v>182</v>
      </c>
      <c r="C537" t="s">
        <v>238</v>
      </c>
      <c r="D537">
        <v>4</v>
      </c>
      <c r="E537">
        <v>0</v>
      </c>
      <c r="F537" t="s">
        <v>247</v>
      </c>
      <c r="G537" t="s">
        <v>15</v>
      </c>
      <c r="H537">
        <v>367155</v>
      </c>
      <c r="I537" t="s">
        <v>254</v>
      </c>
    </row>
    <row r="538" spans="1:9" x14ac:dyDescent="0.25">
      <c r="A538">
        <v>70348</v>
      </c>
      <c r="B538" t="s">
        <v>182</v>
      </c>
      <c r="C538" t="s">
        <v>238</v>
      </c>
      <c r="D538">
        <v>4</v>
      </c>
      <c r="E538">
        <v>0</v>
      </c>
      <c r="F538" t="s">
        <v>247</v>
      </c>
      <c r="G538" t="s">
        <v>14</v>
      </c>
      <c r="H538">
        <v>0</v>
      </c>
      <c r="I538" t="s">
        <v>355</v>
      </c>
    </row>
    <row r="539" spans="1:9" x14ac:dyDescent="0.25">
      <c r="A539">
        <v>70348</v>
      </c>
      <c r="B539" t="s">
        <v>182</v>
      </c>
      <c r="C539" t="s">
        <v>238</v>
      </c>
      <c r="D539">
        <v>4</v>
      </c>
      <c r="E539">
        <v>0</v>
      </c>
      <c r="F539" t="s">
        <v>241</v>
      </c>
      <c r="G539" t="s">
        <v>23</v>
      </c>
      <c r="H539">
        <v>77525</v>
      </c>
      <c r="I539" t="s">
        <v>242</v>
      </c>
    </row>
    <row r="540" spans="1:9" x14ac:dyDescent="0.25">
      <c r="A540">
        <v>70348</v>
      </c>
      <c r="B540" t="s">
        <v>182</v>
      </c>
      <c r="C540" t="s">
        <v>238</v>
      </c>
      <c r="D540">
        <v>4</v>
      </c>
      <c r="E540">
        <v>0</v>
      </c>
      <c r="F540" t="s">
        <v>241</v>
      </c>
      <c r="G540" t="s">
        <v>24</v>
      </c>
      <c r="H540">
        <v>17936</v>
      </c>
      <c r="I540" t="s">
        <v>243</v>
      </c>
    </row>
    <row r="541" spans="1:9" x14ac:dyDescent="0.25">
      <c r="A541">
        <v>70348</v>
      </c>
      <c r="B541" t="s">
        <v>182</v>
      </c>
      <c r="C541" t="s">
        <v>238</v>
      </c>
      <c r="D541">
        <v>4</v>
      </c>
      <c r="E541">
        <v>0</v>
      </c>
      <c r="F541" t="s">
        <v>241</v>
      </c>
      <c r="G541" t="s">
        <v>21</v>
      </c>
      <c r="H541">
        <v>0</v>
      </c>
      <c r="I541" t="s">
        <v>356</v>
      </c>
    </row>
    <row r="542" spans="1:9" x14ac:dyDescent="0.25">
      <c r="A542">
        <v>70348</v>
      </c>
      <c r="B542" t="s">
        <v>182</v>
      </c>
      <c r="C542" t="s">
        <v>238</v>
      </c>
      <c r="D542">
        <v>4</v>
      </c>
      <c r="E542">
        <v>0</v>
      </c>
      <c r="F542" t="s">
        <v>239</v>
      </c>
      <c r="G542" t="s">
        <v>20</v>
      </c>
      <c r="H542">
        <v>-1497</v>
      </c>
      <c r="I542" t="s">
        <v>244</v>
      </c>
    </row>
    <row r="543" spans="1:9" x14ac:dyDescent="0.25">
      <c r="A543">
        <v>70348</v>
      </c>
      <c r="B543" t="s">
        <v>182</v>
      </c>
      <c r="C543" t="s">
        <v>238</v>
      </c>
      <c r="D543">
        <v>4</v>
      </c>
      <c r="E543">
        <v>0</v>
      </c>
      <c r="F543" t="s">
        <v>241</v>
      </c>
      <c r="G543" t="s">
        <v>22</v>
      </c>
      <c r="H543">
        <v>0</v>
      </c>
      <c r="I543" t="s">
        <v>245</v>
      </c>
    </row>
    <row r="544" spans="1:9" x14ac:dyDescent="0.25">
      <c r="A544">
        <v>70348</v>
      </c>
      <c r="B544" t="s">
        <v>182</v>
      </c>
      <c r="C544" t="s">
        <v>238</v>
      </c>
      <c r="D544">
        <v>4</v>
      </c>
      <c r="E544">
        <v>0</v>
      </c>
      <c r="F544" t="s">
        <v>241</v>
      </c>
      <c r="G544" t="s">
        <v>26</v>
      </c>
      <c r="H544">
        <v>2888</v>
      </c>
      <c r="I544" t="s">
        <v>246</v>
      </c>
    </row>
    <row r="545" spans="1:9" x14ac:dyDescent="0.25">
      <c r="A545">
        <v>70348</v>
      </c>
      <c r="B545" t="s">
        <v>182</v>
      </c>
      <c r="C545" t="s">
        <v>238</v>
      </c>
      <c r="D545">
        <v>4</v>
      </c>
      <c r="E545">
        <v>0</v>
      </c>
      <c r="F545" t="s">
        <v>239</v>
      </c>
      <c r="G545" t="s">
        <v>17</v>
      </c>
      <c r="H545">
        <v>0</v>
      </c>
      <c r="I545" t="s">
        <v>357</v>
      </c>
    </row>
    <row r="546" spans="1:9" x14ac:dyDescent="0.25">
      <c r="A546">
        <v>70348</v>
      </c>
      <c r="B546" t="s">
        <v>182</v>
      </c>
      <c r="C546" t="s">
        <v>238</v>
      </c>
      <c r="D546">
        <v>4</v>
      </c>
      <c r="E546">
        <v>0</v>
      </c>
      <c r="F546" t="s">
        <v>241</v>
      </c>
      <c r="G546" t="s">
        <v>24</v>
      </c>
      <c r="H546">
        <v>0</v>
      </c>
      <c r="I546" t="s">
        <v>358</v>
      </c>
    </row>
    <row r="547" spans="1:9" x14ac:dyDescent="0.25">
      <c r="A547">
        <v>70348</v>
      </c>
      <c r="B547" t="s">
        <v>182</v>
      </c>
      <c r="C547" t="s">
        <v>238</v>
      </c>
      <c r="D547">
        <v>4</v>
      </c>
      <c r="E547">
        <v>0</v>
      </c>
      <c r="F547" t="s">
        <v>241</v>
      </c>
      <c r="G547" t="s">
        <v>27</v>
      </c>
      <c r="H547">
        <v>0</v>
      </c>
      <c r="I547" t="s">
        <v>359</v>
      </c>
    </row>
    <row r="548" spans="1:9" x14ac:dyDescent="0.25">
      <c r="A548">
        <v>70348</v>
      </c>
      <c r="B548" t="s">
        <v>182</v>
      </c>
      <c r="C548" t="s">
        <v>238</v>
      </c>
      <c r="D548">
        <v>4</v>
      </c>
      <c r="E548">
        <v>0</v>
      </c>
      <c r="F548" t="s">
        <v>239</v>
      </c>
      <c r="G548" t="s">
        <v>19</v>
      </c>
      <c r="H548">
        <v>0</v>
      </c>
      <c r="I548" t="s">
        <v>360</v>
      </c>
    </row>
    <row r="549" spans="1:9" x14ac:dyDescent="0.25">
      <c r="A549">
        <v>70348</v>
      </c>
      <c r="B549" t="s">
        <v>182</v>
      </c>
      <c r="C549" t="s">
        <v>238</v>
      </c>
      <c r="D549">
        <v>4</v>
      </c>
      <c r="E549">
        <v>0</v>
      </c>
      <c r="F549" t="s">
        <v>239</v>
      </c>
      <c r="G549" t="s">
        <v>20</v>
      </c>
      <c r="H549">
        <v>31525</v>
      </c>
      <c r="I549" t="s">
        <v>255</v>
      </c>
    </row>
    <row r="550" spans="1:9" x14ac:dyDescent="0.25">
      <c r="A550">
        <v>70348</v>
      </c>
      <c r="B550" t="s">
        <v>182</v>
      </c>
      <c r="C550" t="s">
        <v>238</v>
      </c>
      <c r="D550">
        <v>4</v>
      </c>
      <c r="E550">
        <v>0</v>
      </c>
      <c r="F550" t="s">
        <v>247</v>
      </c>
      <c r="G550" t="s">
        <v>148</v>
      </c>
      <c r="H550">
        <v>1324724</v>
      </c>
      <c r="I550" t="s">
        <v>256</v>
      </c>
    </row>
    <row r="551" spans="1:9" x14ac:dyDescent="0.25">
      <c r="A551">
        <v>70348</v>
      </c>
      <c r="B551" t="s">
        <v>182</v>
      </c>
      <c r="C551" t="s">
        <v>238</v>
      </c>
      <c r="D551">
        <v>4</v>
      </c>
      <c r="E551">
        <v>0</v>
      </c>
      <c r="F551" t="s">
        <v>241</v>
      </c>
      <c r="G551" t="s">
        <v>27</v>
      </c>
      <c r="H551">
        <v>5633308</v>
      </c>
      <c r="I551" t="s">
        <v>257</v>
      </c>
    </row>
    <row r="552" spans="1:9" x14ac:dyDescent="0.25">
      <c r="A552">
        <v>70348</v>
      </c>
      <c r="B552" t="s">
        <v>182</v>
      </c>
      <c r="C552" t="s">
        <v>238</v>
      </c>
      <c r="D552">
        <v>4</v>
      </c>
      <c r="E552">
        <v>0</v>
      </c>
      <c r="F552" t="s">
        <v>241</v>
      </c>
      <c r="G552" t="s">
        <v>27</v>
      </c>
      <c r="H552">
        <v>0</v>
      </c>
      <c r="I552" t="s">
        <v>361</v>
      </c>
    </row>
    <row r="553" spans="1:9" x14ac:dyDescent="0.25">
      <c r="A553">
        <v>70348</v>
      </c>
      <c r="B553" t="s">
        <v>182</v>
      </c>
      <c r="C553" t="s">
        <v>238</v>
      </c>
      <c r="D553">
        <v>4</v>
      </c>
      <c r="E553">
        <v>0</v>
      </c>
      <c r="F553" t="s">
        <v>241</v>
      </c>
      <c r="G553" t="s">
        <v>27</v>
      </c>
      <c r="H553">
        <v>0</v>
      </c>
      <c r="I553" t="s">
        <v>362</v>
      </c>
    </row>
    <row r="554" spans="1:9" x14ac:dyDescent="0.25">
      <c r="A554">
        <v>70348</v>
      </c>
      <c r="B554" t="s">
        <v>182</v>
      </c>
      <c r="C554" t="s">
        <v>238</v>
      </c>
      <c r="D554">
        <v>4</v>
      </c>
      <c r="E554">
        <v>0</v>
      </c>
      <c r="F554" t="s">
        <v>241</v>
      </c>
      <c r="G554" t="s">
        <v>27</v>
      </c>
      <c r="H554">
        <v>0</v>
      </c>
      <c r="I554" t="s">
        <v>363</v>
      </c>
    </row>
    <row r="555" spans="1:9" x14ac:dyDescent="0.25">
      <c r="A555">
        <v>70348</v>
      </c>
      <c r="B555" t="s">
        <v>182</v>
      </c>
      <c r="C555" t="s">
        <v>238</v>
      </c>
      <c r="D555">
        <v>4</v>
      </c>
      <c r="E555">
        <v>0</v>
      </c>
      <c r="F555" t="s">
        <v>239</v>
      </c>
      <c r="G555" t="s">
        <v>16</v>
      </c>
      <c r="H555">
        <v>0</v>
      </c>
      <c r="I555" t="s">
        <v>267</v>
      </c>
    </row>
    <row r="556" spans="1:9" x14ac:dyDescent="0.25">
      <c r="A556">
        <v>70348</v>
      </c>
      <c r="B556" t="s">
        <v>182</v>
      </c>
      <c r="C556" t="s">
        <v>238</v>
      </c>
      <c r="D556">
        <v>4</v>
      </c>
      <c r="E556">
        <v>0</v>
      </c>
      <c r="F556" t="s">
        <v>239</v>
      </c>
      <c r="G556" t="s">
        <v>152</v>
      </c>
      <c r="H556">
        <v>56660</v>
      </c>
      <c r="I556" t="s">
        <v>258</v>
      </c>
    </row>
    <row r="557" spans="1:9" x14ac:dyDescent="0.25">
      <c r="A557">
        <v>70348</v>
      </c>
      <c r="B557" t="s">
        <v>182</v>
      </c>
      <c r="C557" t="s">
        <v>238</v>
      </c>
      <c r="D557">
        <v>4</v>
      </c>
      <c r="E557">
        <v>0</v>
      </c>
      <c r="F557" t="s">
        <v>239</v>
      </c>
      <c r="G557" t="s">
        <v>154</v>
      </c>
      <c r="H557">
        <v>92345</v>
      </c>
      <c r="I557" t="s">
        <v>330</v>
      </c>
    </row>
    <row r="558" spans="1:9" x14ac:dyDescent="0.25">
      <c r="A558">
        <v>70348</v>
      </c>
      <c r="B558" t="s">
        <v>182</v>
      </c>
      <c r="C558" t="s">
        <v>238</v>
      </c>
      <c r="D558">
        <v>4</v>
      </c>
      <c r="E558">
        <v>0</v>
      </c>
      <c r="F558" t="s">
        <v>239</v>
      </c>
      <c r="G558" t="s">
        <v>16</v>
      </c>
      <c r="H558">
        <v>0</v>
      </c>
      <c r="I558" t="s">
        <v>259</v>
      </c>
    </row>
    <row r="559" spans="1:9" x14ac:dyDescent="0.25">
      <c r="A559">
        <v>70348</v>
      </c>
      <c r="B559" t="s">
        <v>182</v>
      </c>
      <c r="C559" t="s">
        <v>238</v>
      </c>
      <c r="D559">
        <v>4</v>
      </c>
      <c r="E559">
        <v>0</v>
      </c>
      <c r="F559" t="s">
        <v>239</v>
      </c>
      <c r="G559" t="s">
        <v>19</v>
      </c>
      <c r="H559">
        <v>61506</v>
      </c>
      <c r="I559" t="s">
        <v>260</v>
      </c>
    </row>
    <row r="560" spans="1:9" x14ac:dyDescent="0.25">
      <c r="A560">
        <v>70348</v>
      </c>
      <c r="B560" t="s">
        <v>182</v>
      </c>
      <c r="C560" t="s">
        <v>238</v>
      </c>
      <c r="D560">
        <v>4</v>
      </c>
      <c r="E560">
        <v>0</v>
      </c>
      <c r="F560" t="s">
        <v>239</v>
      </c>
      <c r="G560" t="s">
        <v>19</v>
      </c>
      <c r="H560">
        <v>0</v>
      </c>
      <c r="I560" t="s">
        <v>270</v>
      </c>
    </row>
    <row r="561" spans="1:9" x14ac:dyDescent="0.25">
      <c r="A561">
        <v>70348</v>
      </c>
      <c r="B561" t="s">
        <v>182</v>
      </c>
      <c r="C561" t="s">
        <v>238</v>
      </c>
      <c r="D561">
        <v>4</v>
      </c>
      <c r="E561">
        <v>0</v>
      </c>
      <c r="F561" t="s">
        <v>241</v>
      </c>
      <c r="G561" t="s">
        <v>139</v>
      </c>
      <c r="H561">
        <v>0</v>
      </c>
      <c r="I561" t="s">
        <v>331</v>
      </c>
    </row>
    <row r="562" spans="1:9" x14ac:dyDescent="0.25">
      <c r="A562">
        <v>70348</v>
      </c>
      <c r="B562" t="s">
        <v>182</v>
      </c>
      <c r="C562" t="s">
        <v>238</v>
      </c>
      <c r="D562">
        <v>4</v>
      </c>
      <c r="E562">
        <v>0</v>
      </c>
      <c r="F562" t="s">
        <v>261</v>
      </c>
      <c r="G562" t="s">
        <v>261</v>
      </c>
      <c r="H562">
        <v>2301579</v>
      </c>
      <c r="I562" t="s">
        <v>262</v>
      </c>
    </row>
    <row r="563" spans="1:9" x14ac:dyDescent="0.25">
      <c r="A563">
        <v>70348</v>
      </c>
      <c r="B563" t="s">
        <v>182</v>
      </c>
      <c r="C563" t="s">
        <v>238</v>
      </c>
      <c r="D563">
        <v>4</v>
      </c>
      <c r="E563">
        <v>0</v>
      </c>
      <c r="F563" t="s">
        <v>239</v>
      </c>
      <c r="G563" t="s">
        <v>19</v>
      </c>
      <c r="H563">
        <v>377613</v>
      </c>
      <c r="I563" t="s">
        <v>263</v>
      </c>
    </row>
    <row r="564" spans="1:9" x14ac:dyDescent="0.25">
      <c r="A564">
        <v>70348</v>
      </c>
      <c r="B564" t="s">
        <v>182</v>
      </c>
      <c r="C564" t="s">
        <v>238</v>
      </c>
      <c r="D564">
        <v>4</v>
      </c>
      <c r="E564">
        <v>0</v>
      </c>
      <c r="F564" t="s">
        <v>239</v>
      </c>
      <c r="G564" t="s">
        <v>16</v>
      </c>
      <c r="H564">
        <v>2605</v>
      </c>
      <c r="I564" t="s">
        <v>240</v>
      </c>
    </row>
    <row r="565" spans="1:9" x14ac:dyDescent="0.25">
      <c r="A565">
        <v>70348</v>
      </c>
      <c r="B565" t="s">
        <v>182</v>
      </c>
      <c r="C565" t="s">
        <v>238</v>
      </c>
      <c r="D565">
        <v>4</v>
      </c>
      <c r="E565">
        <v>0</v>
      </c>
      <c r="F565" t="s">
        <v>239</v>
      </c>
      <c r="G565" t="s">
        <v>19</v>
      </c>
      <c r="H565">
        <v>55426</v>
      </c>
      <c r="I565" t="s">
        <v>264</v>
      </c>
    </row>
    <row r="566" spans="1:9" x14ac:dyDescent="0.25">
      <c r="A566">
        <v>70348</v>
      </c>
      <c r="B566" t="s">
        <v>182</v>
      </c>
      <c r="C566" t="s">
        <v>238</v>
      </c>
      <c r="D566">
        <v>4</v>
      </c>
      <c r="E566">
        <v>0</v>
      </c>
      <c r="F566" t="s">
        <v>241</v>
      </c>
      <c r="G566" t="s">
        <v>158</v>
      </c>
      <c r="H566">
        <v>52426</v>
      </c>
      <c r="I566" t="s">
        <v>265</v>
      </c>
    </row>
    <row r="567" spans="1:9" x14ac:dyDescent="0.25">
      <c r="A567">
        <v>70348</v>
      </c>
      <c r="B567" t="s">
        <v>182</v>
      </c>
      <c r="C567" t="s">
        <v>238</v>
      </c>
      <c r="D567">
        <v>4</v>
      </c>
      <c r="E567">
        <v>0</v>
      </c>
      <c r="F567" t="s">
        <v>239</v>
      </c>
      <c r="G567" t="s">
        <v>19</v>
      </c>
      <c r="H567">
        <v>0</v>
      </c>
      <c r="I567" t="s">
        <v>271</v>
      </c>
    </row>
    <row r="568" spans="1:9" x14ac:dyDescent="0.25">
      <c r="A568">
        <v>70348</v>
      </c>
      <c r="B568" t="s">
        <v>182</v>
      </c>
      <c r="C568" t="s">
        <v>238</v>
      </c>
      <c r="D568">
        <v>4</v>
      </c>
      <c r="E568">
        <v>0</v>
      </c>
      <c r="F568" t="s">
        <v>239</v>
      </c>
      <c r="G568" t="s">
        <v>19</v>
      </c>
      <c r="H568">
        <v>31309</v>
      </c>
      <c r="I568" t="s">
        <v>266</v>
      </c>
    </row>
    <row r="569" spans="1:9" x14ac:dyDescent="0.25">
      <c r="A569">
        <v>70348</v>
      </c>
      <c r="B569" t="s">
        <v>182</v>
      </c>
      <c r="C569" t="s">
        <v>238</v>
      </c>
      <c r="D569">
        <v>4</v>
      </c>
      <c r="E569">
        <v>0</v>
      </c>
      <c r="F569" t="s">
        <v>241</v>
      </c>
      <c r="G569" t="s">
        <v>143</v>
      </c>
      <c r="H569">
        <v>0</v>
      </c>
      <c r="I569" t="s">
        <v>332</v>
      </c>
    </row>
    <row r="570" spans="1:9" x14ac:dyDescent="0.25">
      <c r="A570">
        <v>70348</v>
      </c>
      <c r="B570" t="s">
        <v>182</v>
      </c>
      <c r="C570" t="s">
        <v>238</v>
      </c>
      <c r="D570">
        <v>4</v>
      </c>
      <c r="E570">
        <v>0</v>
      </c>
      <c r="F570" t="s">
        <v>241</v>
      </c>
      <c r="G570" t="s">
        <v>138</v>
      </c>
      <c r="H570">
        <v>0</v>
      </c>
      <c r="I570" t="s">
        <v>333</v>
      </c>
    </row>
    <row r="571" spans="1:9" x14ac:dyDescent="0.25">
      <c r="A571">
        <v>70348</v>
      </c>
      <c r="B571" t="s">
        <v>182</v>
      </c>
      <c r="C571" t="s">
        <v>238</v>
      </c>
      <c r="D571">
        <v>4</v>
      </c>
      <c r="E571">
        <v>0</v>
      </c>
      <c r="F571" t="s">
        <v>241</v>
      </c>
      <c r="G571" t="s">
        <v>138</v>
      </c>
      <c r="H571">
        <v>0</v>
      </c>
      <c r="I571" t="s">
        <v>334</v>
      </c>
    </row>
    <row r="572" spans="1:9" x14ac:dyDescent="0.25">
      <c r="A572">
        <v>70348</v>
      </c>
      <c r="B572" t="s">
        <v>182</v>
      </c>
      <c r="C572" t="s">
        <v>238</v>
      </c>
      <c r="D572">
        <v>4</v>
      </c>
      <c r="E572">
        <v>0</v>
      </c>
      <c r="F572" t="s">
        <v>241</v>
      </c>
      <c r="G572" t="s">
        <v>138</v>
      </c>
      <c r="H572">
        <v>-75916</v>
      </c>
      <c r="I572" t="s">
        <v>268</v>
      </c>
    </row>
    <row r="573" spans="1:9" x14ac:dyDescent="0.25">
      <c r="A573">
        <v>70348</v>
      </c>
      <c r="B573" t="s">
        <v>182</v>
      </c>
      <c r="C573" t="s">
        <v>238</v>
      </c>
      <c r="D573">
        <v>4</v>
      </c>
      <c r="E573">
        <v>0</v>
      </c>
      <c r="F573" t="s">
        <v>241</v>
      </c>
      <c r="G573" t="s">
        <v>139</v>
      </c>
      <c r="H573">
        <v>0</v>
      </c>
      <c r="I573" t="s">
        <v>336</v>
      </c>
    </row>
    <row r="574" spans="1:9" x14ac:dyDescent="0.25">
      <c r="A574">
        <v>70348</v>
      </c>
      <c r="B574" t="s">
        <v>182</v>
      </c>
      <c r="C574" t="s">
        <v>238</v>
      </c>
      <c r="D574">
        <v>4</v>
      </c>
      <c r="E574">
        <v>0</v>
      </c>
      <c r="F574" t="s">
        <v>241</v>
      </c>
      <c r="G574" t="s">
        <v>139</v>
      </c>
      <c r="H574">
        <v>0</v>
      </c>
      <c r="I574" t="s">
        <v>337</v>
      </c>
    </row>
    <row r="575" spans="1:9" x14ac:dyDescent="0.25">
      <c r="A575">
        <v>70348</v>
      </c>
      <c r="B575" t="s">
        <v>182</v>
      </c>
      <c r="C575" t="s">
        <v>238</v>
      </c>
      <c r="D575">
        <v>4</v>
      </c>
      <c r="E575">
        <v>0</v>
      </c>
      <c r="F575" t="s">
        <v>241</v>
      </c>
      <c r="G575" t="s">
        <v>139</v>
      </c>
      <c r="H575">
        <v>0</v>
      </c>
      <c r="I575" t="s">
        <v>335</v>
      </c>
    </row>
    <row r="576" spans="1:9" x14ac:dyDescent="0.25">
      <c r="A576">
        <v>70348</v>
      </c>
      <c r="B576" t="s">
        <v>182</v>
      </c>
      <c r="C576" t="s">
        <v>238</v>
      </c>
      <c r="D576">
        <v>4</v>
      </c>
      <c r="E576">
        <v>0</v>
      </c>
      <c r="F576" t="s">
        <v>241</v>
      </c>
      <c r="G576" t="s">
        <v>24</v>
      </c>
      <c r="H576">
        <v>0</v>
      </c>
      <c r="I576" t="s">
        <v>338</v>
      </c>
    </row>
    <row r="577" spans="1:9" x14ac:dyDescent="0.25">
      <c r="A577">
        <v>70348</v>
      </c>
      <c r="B577" t="s">
        <v>182</v>
      </c>
      <c r="C577" t="s">
        <v>238</v>
      </c>
      <c r="D577">
        <v>4</v>
      </c>
      <c r="E577">
        <v>0</v>
      </c>
      <c r="F577" t="s">
        <v>241</v>
      </c>
      <c r="G577" t="s">
        <v>24</v>
      </c>
      <c r="H577">
        <v>0</v>
      </c>
      <c r="I577" t="s">
        <v>339</v>
      </c>
    </row>
    <row r="578" spans="1:9" x14ac:dyDescent="0.25">
      <c r="A578">
        <v>70348</v>
      </c>
      <c r="B578" t="s">
        <v>182</v>
      </c>
      <c r="C578" t="s">
        <v>238</v>
      </c>
      <c r="D578">
        <v>4</v>
      </c>
      <c r="E578">
        <v>0</v>
      </c>
      <c r="F578" t="s">
        <v>241</v>
      </c>
      <c r="G578" t="s">
        <v>24</v>
      </c>
      <c r="H578">
        <v>0</v>
      </c>
      <c r="I578" t="s">
        <v>340</v>
      </c>
    </row>
    <row r="579" spans="1:9" x14ac:dyDescent="0.25">
      <c r="A579">
        <v>70348</v>
      </c>
      <c r="B579" t="s">
        <v>182</v>
      </c>
      <c r="C579" t="s">
        <v>238</v>
      </c>
      <c r="D579">
        <v>4</v>
      </c>
      <c r="E579">
        <v>0</v>
      </c>
      <c r="F579" t="s">
        <v>241</v>
      </c>
      <c r="G579" t="s">
        <v>137</v>
      </c>
      <c r="H579">
        <v>0</v>
      </c>
      <c r="I579" t="s">
        <v>273</v>
      </c>
    </row>
    <row r="580" spans="1:9" x14ac:dyDescent="0.25">
      <c r="A580">
        <v>70348</v>
      </c>
      <c r="B580" t="s">
        <v>182</v>
      </c>
      <c r="C580" t="s">
        <v>238</v>
      </c>
      <c r="D580">
        <v>4</v>
      </c>
      <c r="E580">
        <v>0</v>
      </c>
      <c r="F580" t="s">
        <v>241</v>
      </c>
      <c r="G580" t="s">
        <v>137</v>
      </c>
      <c r="H580">
        <v>0</v>
      </c>
      <c r="I580" t="s">
        <v>341</v>
      </c>
    </row>
    <row r="581" spans="1:9" x14ac:dyDescent="0.25">
      <c r="A581">
        <v>70348</v>
      </c>
      <c r="B581" t="s">
        <v>182</v>
      </c>
      <c r="C581" t="s">
        <v>238</v>
      </c>
      <c r="D581">
        <v>4</v>
      </c>
      <c r="E581">
        <v>0</v>
      </c>
      <c r="F581" t="s">
        <v>241</v>
      </c>
      <c r="G581" t="s">
        <v>137</v>
      </c>
      <c r="H581">
        <v>0</v>
      </c>
      <c r="I581" t="s">
        <v>342</v>
      </c>
    </row>
    <row r="582" spans="1:9" x14ac:dyDescent="0.25">
      <c r="A582">
        <v>70348</v>
      </c>
      <c r="B582" t="s">
        <v>182</v>
      </c>
      <c r="C582" t="s">
        <v>238</v>
      </c>
      <c r="D582">
        <v>4</v>
      </c>
      <c r="E582">
        <v>0</v>
      </c>
      <c r="F582" t="s">
        <v>241</v>
      </c>
      <c r="G582" t="s">
        <v>137</v>
      </c>
      <c r="H582">
        <v>0</v>
      </c>
      <c r="I582" t="s">
        <v>343</v>
      </c>
    </row>
    <row r="583" spans="1:9" x14ac:dyDescent="0.25">
      <c r="A583">
        <v>70348</v>
      </c>
      <c r="B583" t="s">
        <v>182</v>
      </c>
      <c r="C583" t="s">
        <v>238</v>
      </c>
      <c r="D583">
        <v>4</v>
      </c>
      <c r="E583">
        <v>0</v>
      </c>
      <c r="F583" t="s">
        <v>241</v>
      </c>
      <c r="G583" t="s">
        <v>143</v>
      </c>
      <c r="H583">
        <v>0</v>
      </c>
      <c r="I583" t="s">
        <v>344</v>
      </c>
    </row>
    <row r="584" spans="1:9" x14ac:dyDescent="0.25">
      <c r="A584">
        <v>70348</v>
      </c>
      <c r="B584" t="s">
        <v>182</v>
      </c>
      <c r="C584" t="s">
        <v>238</v>
      </c>
      <c r="D584">
        <v>4</v>
      </c>
      <c r="E584">
        <v>0</v>
      </c>
      <c r="F584" t="s">
        <v>241</v>
      </c>
      <c r="G584" t="s">
        <v>143</v>
      </c>
      <c r="H584">
        <v>0</v>
      </c>
      <c r="I584" t="s">
        <v>345</v>
      </c>
    </row>
    <row r="585" spans="1:9" x14ac:dyDescent="0.25">
      <c r="A585">
        <v>70348</v>
      </c>
      <c r="B585" t="s">
        <v>182</v>
      </c>
      <c r="C585" t="s">
        <v>238</v>
      </c>
      <c r="D585">
        <v>4</v>
      </c>
      <c r="E585">
        <v>0</v>
      </c>
      <c r="F585" t="s">
        <v>241</v>
      </c>
      <c r="G585" t="s">
        <v>143</v>
      </c>
      <c r="H585">
        <v>0</v>
      </c>
      <c r="I585" t="s">
        <v>346</v>
      </c>
    </row>
    <row r="586" spans="1:9" x14ac:dyDescent="0.25">
      <c r="A586">
        <v>70348</v>
      </c>
      <c r="B586" t="s">
        <v>182</v>
      </c>
      <c r="C586" t="s">
        <v>238</v>
      </c>
      <c r="D586">
        <v>4</v>
      </c>
      <c r="E586">
        <v>0</v>
      </c>
      <c r="F586" t="s">
        <v>241</v>
      </c>
      <c r="G586" t="s">
        <v>138</v>
      </c>
      <c r="H586">
        <v>0</v>
      </c>
      <c r="I586" t="s">
        <v>347</v>
      </c>
    </row>
    <row r="587" spans="1:9" x14ac:dyDescent="0.25">
      <c r="A587">
        <v>70349</v>
      </c>
      <c r="B587" t="s">
        <v>184</v>
      </c>
      <c r="C587" t="s">
        <v>238</v>
      </c>
      <c r="D587">
        <v>4</v>
      </c>
      <c r="E587">
        <v>0</v>
      </c>
      <c r="F587" t="s">
        <v>239</v>
      </c>
      <c r="G587" t="s">
        <v>153</v>
      </c>
      <c r="H587">
        <v>0</v>
      </c>
      <c r="I587" t="s">
        <v>351</v>
      </c>
    </row>
    <row r="588" spans="1:9" x14ac:dyDescent="0.25">
      <c r="A588">
        <v>70349</v>
      </c>
      <c r="B588" t="s">
        <v>184</v>
      </c>
      <c r="C588" t="s">
        <v>238</v>
      </c>
      <c r="D588">
        <v>4</v>
      </c>
      <c r="E588">
        <v>0</v>
      </c>
      <c r="F588" t="s">
        <v>239</v>
      </c>
      <c r="G588" t="s">
        <v>152</v>
      </c>
      <c r="H588">
        <v>0</v>
      </c>
      <c r="I588" t="s">
        <v>352</v>
      </c>
    </row>
    <row r="589" spans="1:9" x14ac:dyDescent="0.25">
      <c r="A589">
        <v>70349</v>
      </c>
      <c r="B589" t="s">
        <v>184</v>
      </c>
      <c r="C589" t="s">
        <v>238</v>
      </c>
      <c r="D589">
        <v>4</v>
      </c>
      <c r="E589">
        <v>0</v>
      </c>
      <c r="F589" t="s">
        <v>239</v>
      </c>
      <c r="G589" t="s">
        <v>154</v>
      </c>
      <c r="H589">
        <v>0</v>
      </c>
      <c r="I589" t="s">
        <v>349</v>
      </c>
    </row>
    <row r="590" spans="1:9" x14ac:dyDescent="0.25">
      <c r="A590">
        <v>70349</v>
      </c>
      <c r="B590" t="s">
        <v>184</v>
      </c>
      <c r="C590" t="s">
        <v>238</v>
      </c>
      <c r="D590">
        <v>4</v>
      </c>
      <c r="E590">
        <v>0</v>
      </c>
      <c r="F590" t="s">
        <v>241</v>
      </c>
      <c r="G590" t="s">
        <v>26</v>
      </c>
      <c r="H590">
        <v>0</v>
      </c>
      <c r="I590" t="s">
        <v>350</v>
      </c>
    </row>
    <row r="591" spans="1:9" x14ac:dyDescent="0.25">
      <c r="A591">
        <v>70349</v>
      </c>
      <c r="B591" t="s">
        <v>184</v>
      </c>
      <c r="C591" t="s">
        <v>238</v>
      </c>
      <c r="D591">
        <v>4</v>
      </c>
      <c r="E591">
        <v>0</v>
      </c>
      <c r="F591" t="s">
        <v>241</v>
      </c>
      <c r="G591" t="s">
        <v>23</v>
      </c>
      <c r="H591">
        <v>0</v>
      </c>
      <c r="I591" t="s">
        <v>269</v>
      </c>
    </row>
    <row r="592" spans="1:9" x14ac:dyDescent="0.25">
      <c r="A592">
        <v>70349</v>
      </c>
      <c r="B592" t="s">
        <v>184</v>
      </c>
      <c r="C592" t="s">
        <v>238</v>
      </c>
      <c r="D592">
        <v>4</v>
      </c>
      <c r="E592">
        <v>0</v>
      </c>
      <c r="F592" t="s">
        <v>241</v>
      </c>
      <c r="G592" t="s">
        <v>26</v>
      </c>
      <c r="H592">
        <v>0</v>
      </c>
      <c r="I592" t="s">
        <v>353</v>
      </c>
    </row>
    <row r="593" spans="1:9" x14ac:dyDescent="0.25">
      <c r="A593">
        <v>70349</v>
      </c>
      <c r="B593" t="s">
        <v>184</v>
      </c>
      <c r="C593" t="s">
        <v>238</v>
      </c>
      <c r="D593">
        <v>4</v>
      </c>
      <c r="E593">
        <v>0</v>
      </c>
      <c r="F593" t="s">
        <v>241</v>
      </c>
      <c r="G593" t="s">
        <v>157</v>
      </c>
      <c r="H593">
        <v>0</v>
      </c>
      <c r="I593" t="s">
        <v>348</v>
      </c>
    </row>
    <row r="594" spans="1:9" x14ac:dyDescent="0.25">
      <c r="A594">
        <v>70349</v>
      </c>
      <c r="B594" t="s">
        <v>184</v>
      </c>
      <c r="C594" t="s">
        <v>238</v>
      </c>
      <c r="D594">
        <v>4</v>
      </c>
      <c r="E594">
        <v>0</v>
      </c>
      <c r="F594" t="s">
        <v>261</v>
      </c>
      <c r="G594" t="s">
        <v>261</v>
      </c>
      <c r="H594">
        <v>0</v>
      </c>
      <c r="I594" t="s">
        <v>272</v>
      </c>
    </row>
    <row r="595" spans="1:9" x14ac:dyDescent="0.25">
      <c r="A595">
        <v>70349</v>
      </c>
      <c r="B595" t="s">
        <v>184</v>
      </c>
      <c r="C595" t="s">
        <v>238</v>
      </c>
      <c r="D595">
        <v>4</v>
      </c>
      <c r="E595">
        <v>0</v>
      </c>
      <c r="F595" t="s">
        <v>261</v>
      </c>
      <c r="G595" t="s">
        <v>261</v>
      </c>
      <c r="H595">
        <v>0</v>
      </c>
      <c r="I595" t="s">
        <v>354</v>
      </c>
    </row>
    <row r="596" spans="1:9" x14ac:dyDescent="0.25">
      <c r="A596">
        <v>70349</v>
      </c>
      <c r="B596" t="s">
        <v>184</v>
      </c>
      <c r="C596" t="s">
        <v>238</v>
      </c>
      <c r="D596">
        <v>4</v>
      </c>
      <c r="E596">
        <v>0</v>
      </c>
      <c r="F596" t="s">
        <v>247</v>
      </c>
      <c r="G596" t="s">
        <v>12</v>
      </c>
      <c r="H596">
        <v>-3520279</v>
      </c>
      <c r="I596" t="s">
        <v>248</v>
      </c>
    </row>
    <row r="597" spans="1:9" x14ac:dyDescent="0.25">
      <c r="A597">
        <v>70349</v>
      </c>
      <c r="B597" t="s">
        <v>184</v>
      </c>
      <c r="C597" t="s">
        <v>238</v>
      </c>
      <c r="D597">
        <v>4</v>
      </c>
      <c r="E597">
        <v>0</v>
      </c>
      <c r="F597" t="s">
        <v>247</v>
      </c>
      <c r="G597" t="s">
        <v>13</v>
      </c>
      <c r="H597">
        <v>10281479</v>
      </c>
      <c r="I597" t="s">
        <v>249</v>
      </c>
    </row>
    <row r="598" spans="1:9" x14ac:dyDescent="0.25">
      <c r="A598">
        <v>70349</v>
      </c>
      <c r="B598" t="s">
        <v>184</v>
      </c>
      <c r="C598" t="s">
        <v>238</v>
      </c>
      <c r="D598">
        <v>4</v>
      </c>
      <c r="E598">
        <v>0</v>
      </c>
      <c r="F598" t="s">
        <v>241</v>
      </c>
      <c r="G598" t="s">
        <v>25</v>
      </c>
      <c r="H598">
        <v>8411</v>
      </c>
      <c r="I598" t="s">
        <v>250</v>
      </c>
    </row>
    <row r="599" spans="1:9" x14ac:dyDescent="0.25">
      <c r="A599">
        <v>70349</v>
      </c>
      <c r="B599" t="s">
        <v>184</v>
      </c>
      <c r="C599" t="s">
        <v>238</v>
      </c>
      <c r="D599">
        <v>4</v>
      </c>
      <c r="E599">
        <v>0</v>
      </c>
      <c r="F599" t="s">
        <v>241</v>
      </c>
      <c r="G599" t="s">
        <v>26</v>
      </c>
      <c r="H599">
        <v>0</v>
      </c>
      <c r="I599" t="s">
        <v>251</v>
      </c>
    </row>
    <row r="600" spans="1:9" x14ac:dyDescent="0.25">
      <c r="A600">
        <v>70349</v>
      </c>
      <c r="B600" t="s">
        <v>184</v>
      </c>
      <c r="C600" t="s">
        <v>238</v>
      </c>
      <c r="D600">
        <v>4</v>
      </c>
      <c r="E600">
        <v>0</v>
      </c>
      <c r="F600" t="s">
        <v>239</v>
      </c>
      <c r="G600" t="s">
        <v>18</v>
      </c>
      <c r="H600">
        <v>106127</v>
      </c>
      <c r="I600" t="s">
        <v>252</v>
      </c>
    </row>
    <row r="601" spans="1:9" x14ac:dyDescent="0.25">
      <c r="A601">
        <v>70349</v>
      </c>
      <c r="B601" t="s">
        <v>184</v>
      </c>
      <c r="C601" t="s">
        <v>238</v>
      </c>
      <c r="D601">
        <v>4</v>
      </c>
      <c r="E601">
        <v>0</v>
      </c>
      <c r="F601" t="s">
        <v>241</v>
      </c>
      <c r="G601" t="s">
        <v>26</v>
      </c>
      <c r="H601">
        <v>3060</v>
      </c>
      <c r="I601" t="s">
        <v>253</v>
      </c>
    </row>
    <row r="602" spans="1:9" x14ac:dyDescent="0.25">
      <c r="A602">
        <v>70349</v>
      </c>
      <c r="B602" t="s">
        <v>184</v>
      </c>
      <c r="C602" t="s">
        <v>238</v>
      </c>
      <c r="D602">
        <v>4</v>
      </c>
      <c r="E602">
        <v>0</v>
      </c>
      <c r="F602" t="s">
        <v>247</v>
      </c>
      <c r="G602" t="s">
        <v>15</v>
      </c>
      <c r="H602">
        <v>641459</v>
      </c>
      <c r="I602" t="s">
        <v>254</v>
      </c>
    </row>
    <row r="603" spans="1:9" x14ac:dyDescent="0.25">
      <c r="A603">
        <v>70349</v>
      </c>
      <c r="B603" t="s">
        <v>184</v>
      </c>
      <c r="C603" t="s">
        <v>238</v>
      </c>
      <c r="D603">
        <v>4</v>
      </c>
      <c r="E603">
        <v>0</v>
      </c>
      <c r="F603" t="s">
        <v>247</v>
      </c>
      <c r="G603" t="s">
        <v>14</v>
      </c>
      <c r="H603">
        <v>0</v>
      </c>
      <c r="I603" t="s">
        <v>355</v>
      </c>
    </row>
    <row r="604" spans="1:9" x14ac:dyDescent="0.25">
      <c r="A604">
        <v>70349</v>
      </c>
      <c r="B604" t="s">
        <v>184</v>
      </c>
      <c r="C604" t="s">
        <v>238</v>
      </c>
      <c r="D604">
        <v>4</v>
      </c>
      <c r="E604">
        <v>0</v>
      </c>
      <c r="F604" t="s">
        <v>241</v>
      </c>
      <c r="G604" t="s">
        <v>23</v>
      </c>
      <c r="H604">
        <v>96505</v>
      </c>
      <c r="I604" t="s">
        <v>242</v>
      </c>
    </row>
    <row r="605" spans="1:9" x14ac:dyDescent="0.25">
      <c r="A605">
        <v>70349</v>
      </c>
      <c r="B605" t="s">
        <v>184</v>
      </c>
      <c r="C605" t="s">
        <v>238</v>
      </c>
      <c r="D605">
        <v>4</v>
      </c>
      <c r="E605">
        <v>0</v>
      </c>
      <c r="F605" t="s">
        <v>241</v>
      </c>
      <c r="G605" t="s">
        <v>24</v>
      </c>
      <c r="H605">
        <v>61551</v>
      </c>
      <c r="I605" t="s">
        <v>243</v>
      </c>
    </row>
    <row r="606" spans="1:9" x14ac:dyDescent="0.25">
      <c r="A606">
        <v>70349</v>
      </c>
      <c r="B606" t="s">
        <v>184</v>
      </c>
      <c r="C606" t="s">
        <v>238</v>
      </c>
      <c r="D606">
        <v>4</v>
      </c>
      <c r="E606">
        <v>0</v>
      </c>
      <c r="F606" t="s">
        <v>241</v>
      </c>
      <c r="G606" t="s">
        <v>21</v>
      </c>
      <c r="H606">
        <v>0</v>
      </c>
      <c r="I606" t="s">
        <v>356</v>
      </c>
    </row>
    <row r="607" spans="1:9" x14ac:dyDescent="0.25">
      <c r="A607">
        <v>70349</v>
      </c>
      <c r="B607" t="s">
        <v>184</v>
      </c>
      <c r="C607" t="s">
        <v>238</v>
      </c>
      <c r="D607">
        <v>4</v>
      </c>
      <c r="E607">
        <v>0</v>
      </c>
      <c r="F607" t="s">
        <v>239</v>
      </c>
      <c r="G607" t="s">
        <v>20</v>
      </c>
      <c r="H607">
        <v>-32750</v>
      </c>
      <c r="I607" t="s">
        <v>244</v>
      </c>
    </row>
    <row r="608" spans="1:9" x14ac:dyDescent="0.25">
      <c r="A608">
        <v>70349</v>
      </c>
      <c r="B608" t="s">
        <v>184</v>
      </c>
      <c r="C608" t="s">
        <v>238</v>
      </c>
      <c r="D608">
        <v>4</v>
      </c>
      <c r="E608">
        <v>0</v>
      </c>
      <c r="F608" t="s">
        <v>241</v>
      </c>
      <c r="G608" t="s">
        <v>22</v>
      </c>
      <c r="H608">
        <v>0</v>
      </c>
      <c r="I608" t="s">
        <v>245</v>
      </c>
    </row>
    <row r="609" spans="1:9" x14ac:dyDescent="0.25">
      <c r="A609">
        <v>70349</v>
      </c>
      <c r="B609" t="s">
        <v>184</v>
      </c>
      <c r="C609" t="s">
        <v>238</v>
      </c>
      <c r="D609">
        <v>4</v>
      </c>
      <c r="E609">
        <v>0</v>
      </c>
      <c r="F609" t="s">
        <v>241</v>
      </c>
      <c r="G609" t="s">
        <v>26</v>
      </c>
      <c r="H609">
        <v>3003</v>
      </c>
      <c r="I609" t="s">
        <v>246</v>
      </c>
    </row>
    <row r="610" spans="1:9" x14ac:dyDescent="0.25">
      <c r="A610">
        <v>70349</v>
      </c>
      <c r="B610" t="s">
        <v>184</v>
      </c>
      <c r="C610" t="s">
        <v>238</v>
      </c>
      <c r="D610">
        <v>4</v>
      </c>
      <c r="E610">
        <v>0</v>
      </c>
      <c r="F610" t="s">
        <v>239</v>
      </c>
      <c r="G610" t="s">
        <v>17</v>
      </c>
      <c r="H610">
        <v>0</v>
      </c>
      <c r="I610" t="s">
        <v>357</v>
      </c>
    </row>
    <row r="611" spans="1:9" x14ac:dyDescent="0.25">
      <c r="A611">
        <v>70349</v>
      </c>
      <c r="B611" t="s">
        <v>184</v>
      </c>
      <c r="C611" t="s">
        <v>238</v>
      </c>
      <c r="D611">
        <v>4</v>
      </c>
      <c r="E611">
        <v>0</v>
      </c>
      <c r="F611" t="s">
        <v>241</v>
      </c>
      <c r="G611" t="s">
        <v>24</v>
      </c>
      <c r="H611">
        <v>0</v>
      </c>
      <c r="I611" t="s">
        <v>358</v>
      </c>
    </row>
    <row r="612" spans="1:9" x14ac:dyDescent="0.25">
      <c r="A612">
        <v>70349</v>
      </c>
      <c r="B612" t="s">
        <v>184</v>
      </c>
      <c r="C612" t="s">
        <v>238</v>
      </c>
      <c r="D612">
        <v>4</v>
      </c>
      <c r="E612">
        <v>0</v>
      </c>
      <c r="F612" t="s">
        <v>241</v>
      </c>
      <c r="G612" t="s">
        <v>27</v>
      </c>
      <c r="H612">
        <v>0</v>
      </c>
      <c r="I612" t="s">
        <v>359</v>
      </c>
    </row>
    <row r="613" spans="1:9" x14ac:dyDescent="0.25">
      <c r="A613">
        <v>70349</v>
      </c>
      <c r="B613" t="s">
        <v>184</v>
      </c>
      <c r="C613" t="s">
        <v>238</v>
      </c>
      <c r="D613">
        <v>4</v>
      </c>
      <c r="E613">
        <v>0</v>
      </c>
      <c r="F613" t="s">
        <v>239</v>
      </c>
      <c r="G613" t="s">
        <v>19</v>
      </c>
      <c r="H613">
        <v>0</v>
      </c>
      <c r="I613" t="s">
        <v>360</v>
      </c>
    </row>
    <row r="614" spans="1:9" x14ac:dyDescent="0.25">
      <c r="A614">
        <v>70349</v>
      </c>
      <c r="B614" t="s">
        <v>184</v>
      </c>
      <c r="C614" t="s">
        <v>238</v>
      </c>
      <c r="D614">
        <v>4</v>
      </c>
      <c r="E614">
        <v>0</v>
      </c>
      <c r="F614" t="s">
        <v>239</v>
      </c>
      <c r="G614" t="s">
        <v>20</v>
      </c>
      <c r="H614">
        <v>177164</v>
      </c>
      <c r="I614" t="s">
        <v>255</v>
      </c>
    </row>
    <row r="615" spans="1:9" x14ac:dyDescent="0.25">
      <c r="A615">
        <v>70349</v>
      </c>
      <c r="B615" t="s">
        <v>184</v>
      </c>
      <c r="C615" t="s">
        <v>238</v>
      </c>
      <c r="D615">
        <v>4</v>
      </c>
      <c r="E615">
        <v>0</v>
      </c>
      <c r="F615" t="s">
        <v>247</v>
      </c>
      <c r="G615" t="s">
        <v>148</v>
      </c>
      <c r="H615">
        <v>827264</v>
      </c>
      <c r="I615" t="s">
        <v>256</v>
      </c>
    </row>
    <row r="616" spans="1:9" x14ac:dyDescent="0.25">
      <c r="A616">
        <v>70349</v>
      </c>
      <c r="B616" t="s">
        <v>184</v>
      </c>
      <c r="C616" t="s">
        <v>238</v>
      </c>
      <c r="D616">
        <v>4</v>
      </c>
      <c r="E616">
        <v>0</v>
      </c>
      <c r="F616" t="s">
        <v>241</v>
      </c>
      <c r="G616" t="s">
        <v>27</v>
      </c>
      <c r="H616">
        <v>2105858</v>
      </c>
      <c r="I616" t="s">
        <v>257</v>
      </c>
    </row>
    <row r="617" spans="1:9" x14ac:dyDescent="0.25">
      <c r="A617">
        <v>70349</v>
      </c>
      <c r="B617" t="s">
        <v>184</v>
      </c>
      <c r="C617" t="s">
        <v>238</v>
      </c>
      <c r="D617">
        <v>4</v>
      </c>
      <c r="E617">
        <v>0</v>
      </c>
      <c r="F617" t="s">
        <v>241</v>
      </c>
      <c r="G617" t="s">
        <v>27</v>
      </c>
      <c r="H617">
        <v>0</v>
      </c>
      <c r="I617" t="s">
        <v>361</v>
      </c>
    </row>
    <row r="618" spans="1:9" x14ac:dyDescent="0.25">
      <c r="A618">
        <v>70349</v>
      </c>
      <c r="B618" t="s">
        <v>184</v>
      </c>
      <c r="C618" t="s">
        <v>238</v>
      </c>
      <c r="D618">
        <v>4</v>
      </c>
      <c r="E618">
        <v>0</v>
      </c>
      <c r="F618" t="s">
        <v>241</v>
      </c>
      <c r="G618" t="s">
        <v>27</v>
      </c>
      <c r="H618">
        <v>0</v>
      </c>
      <c r="I618" t="s">
        <v>362</v>
      </c>
    </row>
    <row r="619" spans="1:9" x14ac:dyDescent="0.25">
      <c r="A619">
        <v>70349</v>
      </c>
      <c r="B619" t="s">
        <v>184</v>
      </c>
      <c r="C619" t="s">
        <v>238</v>
      </c>
      <c r="D619">
        <v>4</v>
      </c>
      <c r="E619">
        <v>0</v>
      </c>
      <c r="F619" t="s">
        <v>241</v>
      </c>
      <c r="G619" t="s">
        <v>27</v>
      </c>
      <c r="H619">
        <v>0</v>
      </c>
      <c r="I619" t="s">
        <v>363</v>
      </c>
    </row>
    <row r="620" spans="1:9" x14ac:dyDescent="0.25">
      <c r="A620">
        <v>70349</v>
      </c>
      <c r="B620" t="s">
        <v>184</v>
      </c>
      <c r="C620" t="s">
        <v>238</v>
      </c>
      <c r="D620">
        <v>4</v>
      </c>
      <c r="E620">
        <v>0</v>
      </c>
      <c r="F620" t="s">
        <v>239</v>
      </c>
      <c r="G620" t="s">
        <v>16</v>
      </c>
      <c r="H620">
        <v>0</v>
      </c>
      <c r="I620" t="s">
        <v>267</v>
      </c>
    </row>
    <row r="621" spans="1:9" x14ac:dyDescent="0.25">
      <c r="A621">
        <v>70349</v>
      </c>
      <c r="B621" t="s">
        <v>184</v>
      </c>
      <c r="C621" t="s">
        <v>238</v>
      </c>
      <c r="D621">
        <v>4</v>
      </c>
      <c r="E621">
        <v>0</v>
      </c>
      <c r="F621" t="s">
        <v>239</v>
      </c>
      <c r="G621" t="s">
        <v>152</v>
      </c>
      <c r="H621">
        <v>42904</v>
      </c>
      <c r="I621" t="s">
        <v>258</v>
      </c>
    </row>
    <row r="622" spans="1:9" x14ac:dyDescent="0.25">
      <c r="A622">
        <v>70349</v>
      </c>
      <c r="B622" t="s">
        <v>184</v>
      </c>
      <c r="C622" t="s">
        <v>238</v>
      </c>
      <c r="D622">
        <v>4</v>
      </c>
      <c r="E622">
        <v>0</v>
      </c>
      <c r="F622" t="s">
        <v>239</v>
      </c>
      <c r="G622" t="s">
        <v>154</v>
      </c>
      <c r="H622">
        <v>0</v>
      </c>
      <c r="I622" t="s">
        <v>330</v>
      </c>
    </row>
    <row r="623" spans="1:9" x14ac:dyDescent="0.25">
      <c r="A623">
        <v>70349</v>
      </c>
      <c r="B623" t="s">
        <v>184</v>
      </c>
      <c r="C623" t="s">
        <v>238</v>
      </c>
      <c r="D623">
        <v>4</v>
      </c>
      <c r="E623">
        <v>0</v>
      </c>
      <c r="F623" t="s">
        <v>239</v>
      </c>
      <c r="G623" t="s">
        <v>16</v>
      </c>
      <c r="H623">
        <v>3969</v>
      </c>
      <c r="I623" t="s">
        <v>259</v>
      </c>
    </row>
    <row r="624" spans="1:9" x14ac:dyDescent="0.25">
      <c r="A624">
        <v>70349</v>
      </c>
      <c r="B624" t="s">
        <v>184</v>
      </c>
      <c r="C624" t="s">
        <v>238</v>
      </c>
      <c r="D624">
        <v>4</v>
      </c>
      <c r="E624">
        <v>0</v>
      </c>
      <c r="F624" t="s">
        <v>239</v>
      </c>
      <c r="G624" t="s">
        <v>19</v>
      </c>
      <c r="H624">
        <v>41519</v>
      </c>
      <c r="I624" t="s">
        <v>260</v>
      </c>
    </row>
    <row r="625" spans="1:9" x14ac:dyDescent="0.25">
      <c r="A625">
        <v>70349</v>
      </c>
      <c r="B625" t="s">
        <v>184</v>
      </c>
      <c r="C625" t="s">
        <v>238</v>
      </c>
      <c r="D625">
        <v>4</v>
      </c>
      <c r="E625">
        <v>0</v>
      </c>
      <c r="F625" t="s">
        <v>239</v>
      </c>
      <c r="G625" t="s">
        <v>19</v>
      </c>
      <c r="H625">
        <v>0</v>
      </c>
      <c r="I625" t="s">
        <v>270</v>
      </c>
    </row>
    <row r="626" spans="1:9" x14ac:dyDescent="0.25">
      <c r="A626">
        <v>70349</v>
      </c>
      <c r="B626" t="s">
        <v>184</v>
      </c>
      <c r="C626" t="s">
        <v>238</v>
      </c>
      <c r="D626">
        <v>4</v>
      </c>
      <c r="E626">
        <v>0</v>
      </c>
      <c r="F626" t="s">
        <v>241</v>
      </c>
      <c r="G626" t="s">
        <v>139</v>
      </c>
      <c r="H626">
        <v>0</v>
      </c>
      <c r="I626" t="s">
        <v>331</v>
      </c>
    </row>
    <row r="627" spans="1:9" x14ac:dyDescent="0.25">
      <c r="A627">
        <v>70349</v>
      </c>
      <c r="B627" t="s">
        <v>184</v>
      </c>
      <c r="C627" t="s">
        <v>238</v>
      </c>
      <c r="D627">
        <v>4</v>
      </c>
      <c r="E627">
        <v>0</v>
      </c>
      <c r="F627" t="s">
        <v>261</v>
      </c>
      <c r="G627" t="s">
        <v>261</v>
      </c>
      <c r="H627">
        <v>6967524</v>
      </c>
      <c r="I627" t="s">
        <v>262</v>
      </c>
    </row>
    <row r="628" spans="1:9" x14ac:dyDescent="0.25">
      <c r="A628">
        <v>70349</v>
      </c>
      <c r="B628" t="s">
        <v>184</v>
      </c>
      <c r="C628" t="s">
        <v>238</v>
      </c>
      <c r="D628">
        <v>4</v>
      </c>
      <c r="E628">
        <v>0</v>
      </c>
      <c r="F628" t="s">
        <v>239</v>
      </c>
      <c r="G628" t="s">
        <v>19</v>
      </c>
      <c r="H628">
        <v>393007</v>
      </c>
      <c r="I628" t="s">
        <v>263</v>
      </c>
    </row>
    <row r="629" spans="1:9" x14ac:dyDescent="0.25">
      <c r="A629">
        <v>70349</v>
      </c>
      <c r="B629" t="s">
        <v>184</v>
      </c>
      <c r="C629" t="s">
        <v>238</v>
      </c>
      <c r="D629">
        <v>4</v>
      </c>
      <c r="E629">
        <v>0</v>
      </c>
      <c r="F629" t="s">
        <v>239</v>
      </c>
      <c r="G629" t="s">
        <v>16</v>
      </c>
      <c r="H629">
        <v>11611</v>
      </c>
      <c r="I629" t="s">
        <v>240</v>
      </c>
    </row>
    <row r="630" spans="1:9" x14ac:dyDescent="0.25">
      <c r="A630">
        <v>70349</v>
      </c>
      <c r="B630" t="s">
        <v>184</v>
      </c>
      <c r="C630" t="s">
        <v>238</v>
      </c>
      <c r="D630">
        <v>4</v>
      </c>
      <c r="E630">
        <v>0</v>
      </c>
      <c r="F630" t="s">
        <v>239</v>
      </c>
      <c r="G630" t="s">
        <v>19</v>
      </c>
      <c r="H630">
        <v>71215</v>
      </c>
      <c r="I630" t="s">
        <v>264</v>
      </c>
    </row>
    <row r="631" spans="1:9" x14ac:dyDescent="0.25">
      <c r="A631">
        <v>70349</v>
      </c>
      <c r="B631" t="s">
        <v>184</v>
      </c>
      <c r="C631" t="s">
        <v>238</v>
      </c>
      <c r="D631">
        <v>4</v>
      </c>
      <c r="E631">
        <v>0</v>
      </c>
      <c r="F631" t="s">
        <v>241</v>
      </c>
      <c r="G631" t="s">
        <v>158</v>
      </c>
      <c r="H631">
        <v>67912</v>
      </c>
      <c r="I631" t="s">
        <v>265</v>
      </c>
    </row>
    <row r="632" spans="1:9" x14ac:dyDescent="0.25">
      <c r="A632">
        <v>70349</v>
      </c>
      <c r="B632" t="s">
        <v>184</v>
      </c>
      <c r="C632" t="s">
        <v>238</v>
      </c>
      <c r="D632">
        <v>4</v>
      </c>
      <c r="E632">
        <v>0</v>
      </c>
      <c r="F632" t="s">
        <v>239</v>
      </c>
      <c r="G632" t="s">
        <v>19</v>
      </c>
      <c r="H632">
        <v>0</v>
      </c>
      <c r="I632" t="s">
        <v>271</v>
      </c>
    </row>
    <row r="633" spans="1:9" x14ac:dyDescent="0.25">
      <c r="A633">
        <v>70349</v>
      </c>
      <c r="B633" t="s">
        <v>184</v>
      </c>
      <c r="C633" t="s">
        <v>238</v>
      </c>
      <c r="D633">
        <v>4</v>
      </c>
      <c r="E633">
        <v>0</v>
      </c>
      <c r="F633" t="s">
        <v>239</v>
      </c>
      <c r="G633" t="s">
        <v>19</v>
      </c>
      <c r="H633">
        <v>0</v>
      </c>
      <c r="I633" t="s">
        <v>266</v>
      </c>
    </row>
    <row r="634" spans="1:9" x14ac:dyDescent="0.25">
      <c r="A634">
        <v>70349</v>
      </c>
      <c r="B634" t="s">
        <v>184</v>
      </c>
      <c r="C634" t="s">
        <v>238</v>
      </c>
      <c r="D634">
        <v>4</v>
      </c>
      <c r="E634">
        <v>0</v>
      </c>
      <c r="F634" t="s">
        <v>241</v>
      </c>
      <c r="G634" t="s">
        <v>143</v>
      </c>
      <c r="H634">
        <v>0</v>
      </c>
      <c r="I634" t="s">
        <v>332</v>
      </c>
    </row>
    <row r="635" spans="1:9" x14ac:dyDescent="0.25">
      <c r="A635">
        <v>70349</v>
      </c>
      <c r="B635" t="s">
        <v>184</v>
      </c>
      <c r="C635" t="s">
        <v>238</v>
      </c>
      <c r="D635">
        <v>4</v>
      </c>
      <c r="E635">
        <v>0</v>
      </c>
      <c r="F635" t="s">
        <v>241</v>
      </c>
      <c r="G635" t="s">
        <v>138</v>
      </c>
      <c r="H635">
        <v>0</v>
      </c>
      <c r="I635" t="s">
        <v>333</v>
      </c>
    </row>
    <row r="636" spans="1:9" x14ac:dyDescent="0.25">
      <c r="A636">
        <v>70349</v>
      </c>
      <c r="B636" t="s">
        <v>184</v>
      </c>
      <c r="C636" t="s">
        <v>238</v>
      </c>
      <c r="D636">
        <v>4</v>
      </c>
      <c r="E636">
        <v>0</v>
      </c>
      <c r="F636" t="s">
        <v>241</v>
      </c>
      <c r="G636" t="s">
        <v>138</v>
      </c>
      <c r="H636">
        <v>0</v>
      </c>
      <c r="I636" t="s">
        <v>334</v>
      </c>
    </row>
    <row r="637" spans="1:9" x14ac:dyDescent="0.25">
      <c r="A637">
        <v>70349</v>
      </c>
      <c r="B637" t="s">
        <v>184</v>
      </c>
      <c r="C637" t="s">
        <v>238</v>
      </c>
      <c r="D637">
        <v>4</v>
      </c>
      <c r="E637">
        <v>0</v>
      </c>
      <c r="F637" t="s">
        <v>241</v>
      </c>
      <c r="G637" t="s">
        <v>138</v>
      </c>
      <c r="H637">
        <v>83490</v>
      </c>
      <c r="I637" t="s">
        <v>268</v>
      </c>
    </row>
    <row r="638" spans="1:9" x14ac:dyDescent="0.25">
      <c r="A638">
        <v>70349</v>
      </c>
      <c r="B638" t="s">
        <v>184</v>
      </c>
      <c r="C638" t="s">
        <v>238</v>
      </c>
      <c r="D638">
        <v>4</v>
      </c>
      <c r="E638">
        <v>0</v>
      </c>
      <c r="F638" t="s">
        <v>241</v>
      </c>
      <c r="G638" t="s">
        <v>139</v>
      </c>
      <c r="H638">
        <v>0</v>
      </c>
      <c r="I638" t="s">
        <v>336</v>
      </c>
    </row>
    <row r="639" spans="1:9" x14ac:dyDescent="0.25">
      <c r="A639">
        <v>70349</v>
      </c>
      <c r="B639" t="s">
        <v>184</v>
      </c>
      <c r="C639" t="s">
        <v>238</v>
      </c>
      <c r="D639">
        <v>4</v>
      </c>
      <c r="E639">
        <v>0</v>
      </c>
      <c r="F639" t="s">
        <v>241</v>
      </c>
      <c r="G639" t="s">
        <v>139</v>
      </c>
      <c r="H639">
        <v>0</v>
      </c>
      <c r="I639" t="s">
        <v>337</v>
      </c>
    </row>
    <row r="640" spans="1:9" x14ac:dyDescent="0.25">
      <c r="A640">
        <v>70349</v>
      </c>
      <c r="B640" t="s">
        <v>184</v>
      </c>
      <c r="C640" t="s">
        <v>238</v>
      </c>
      <c r="D640">
        <v>4</v>
      </c>
      <c r="E640">
        <v>0</v>
      </c>
      <c r="F640" t="s">
        <v>241</v>
      </c>
      <c r="G640" t="s">
        <v>139</v>
      </c>
      <c r="H640">
        <v>0</v>
      </c>
      <c r="I640" t="s">
        <v>335</v>
      </c>
    </row>
    <row r="641" spans="1:9" x14ac:dyDescent="0.25">
      <c r="A641">
        <v>70349</v>
      </c>
      <c r="B641" t="s">
        <v>184</v>
      </c>
      <c r="C641" t="s">
        <v>238</v>
      </c>
      <c r="D641">
        <v>4</v>
      </c>
      <c r="E641">
        <v>0</v>
      </c>
      <c r="F641" t="s">
        <v>241</v>
      </c>
      <c r="G641" t="s">
        <v>24</v>
      </c>
      <c r="H641">
        <v>0</v>
      </c>
      <c r="I641" t="s">
        <v>338</v>
      </c>
    </row>
    <row r="642" spans="1:9" x14ac:dyDescent="0.25">
      <c r="A642">
        <v>70349</v>
      </c>
      <c r="B642" t="s">
        <v>184</v>
      </c>
      <c r="C642" t="s">
        <v>238</v>
      </c>
      <c r="D642">
        <v>4</v>
      </c>
      <c r="E642">
        <v>0</v>
      </c>
      <c r="F642" t="s">
        <v>241</v>
      </c>
      <c r="G642" t="s">
        <v>24</v>
      </c>
      <c r="H642">
        <v>0</v>
      </c>
      <c r="I642" t="s">
        <v>339</v>
      </c>
    </row>
    <row r="643" spans="1:9" x14ac:dyDescent="0.25">
      <c r="A643">
        <v>70349</v>
      </c>
      <c r="B643" t="s">
        <v>184</v>
      </c>
      <c r="C643" t="s">
        <v>238</v>
      </c>
      <c r="D643">
        <v>4</v>
      </c>
      <c r="E643">
        <v>0</v>
      </c>
      <c r="F643" t="s">
        <v>241</v>
      </c>
      <c r="G643" t="s">
        <v>24</v>
      </c>
      <c r="H643">
        <v>0</v>
      </c>
      <c r="I643" t="s">
        <v>340</v>
      </c>
    </row>
    <row r="644" spans="1:9" x14ac:dyDescent="0.25">
      <c r="A644">
        <v>70349</v>
      </c>
      <c r="B644" t="s">
        <v>184</v>
      </c>
      <c r="C644" t="s">
        <v>238</v>
      </c>
      <c r="D644">
        <v>4</v>
      </c>
      <c r="E644">
        <v>0</v>
      </c>
      <c r="F644" t="s">
        <v>241</v>
      </c>
      <c r="G644" t="s">
        <v>137</v>
      </c>
      <c r="H644">
        <v>0</v>
      </c>
      <c r="I644" t="s">
        <v>273</v>
      </c>
    </row>
    <row r="645" spans="1:9" x14ac:dyDescent="0.25">
      <c r="A645">
        <v>70349</v>
      </c>
      <c r="B645" t="s">
        <v>184</v>
      </c>
      <c r="C645" t="s">
        <v>238</v>
      </c>
      <c r="D645">
        <v>4</v>
      </c>
      <c r="E645">
        <v>0</v>
      </c>
      <c r="F645" t="s">
        <v>241</v>
      </c>
      <c r="G645" t="s">
        <v>137</v>
      </c>
      <c r="H645">
        <v>0</v>
      </c>
      <c r="I645" t="s">
        <v>341</v>
      </c>
    </row>
    <row r="646" spans="1:9" x14ac:dyDescent="0.25">
      <c r="A646">
        <v>70349</v>
      </c>
      <c r="B646" t="s">
        <v>184</v>
      </c>
      <c r="C646" t="s">
        <v>238</v>
      </c>
      <c r="D646">
        <v>4</v>
      </c>
      <c r="E646">
        <v>0</v>
      </c>
      <c r="F646" t="s">
        <v>241</v>
      </c>
      <c r="G646" t="s">
        <v>137</v>
      </c>
      <c r="H646">
        <v>0</v>
      </c>
      <c r="I646" t="s">
        <v>342</v>
      </c>
    </row>
    <row r="647" spans="1:9" x14ac:dyDescent="0.25">
      <c r="A647">
        <v>70349</v>
      </c>
      <c r="B647" t="s">
        <v>184</v>
      </c>
      <c r="C647" t="s">
        <v>238</v>
      </c>
      <c r="D647">
        <v>4</v>
      </c>
      <c r="E647">
        <v>0</v>
      </c>
      <c r="F647" t="s">
        <v>241</v>
      </c>
      <c r="G647" t="s">
        <v>137</v>
      </c>
      <c r="H647">
        <v>0</v>
      </c>
      <c r="I647" t="s">
        <v>343</v>
      </c>
    </row>
    <row r="648" spans="1:9" x14ac:dyDescent="0.25">
      <c r="A648">
        <v>70349</v>
      </c>
      <c r="B648" t="s">
        <v>184</v>
      </c>
      <c r="C648" t="s">
        <v>238</v>
      </c>
      <c r="D648">
        <v>4</v>
      </c>
      <c r="E648">
        <v>0</v>
      </c>
      <c r="F648" t="s">
        <v>241</v>
      </c>
      <c r="G648" t="s">
        <v>143</v>
      </c>
      <c r="H648">
        <v>0</v>
      </c>
      <c r="I648" t="s">
        <v>344</v>
      </c>
    </row>
    <row r="649" spans="1:9" x14ac:dyDescent="0.25">
      <c r="A649">
        <v>70349</v>
      </c>
      <c r="B649" t="s">
        <v>184</v>
      </c>
      <c r="C649" t="s">
        <v>238</v>
      </c>
      <c r="D649">
        <v>4</v>
      </c>
      <c r="E649">
        <v>0</v>
      </c>
      <c r="F649" t="s">
        <v>241</v>
      </c>
      <c r="G649" t="s">
        <v>143</v>
      </c>
      <c r="H649">
        <v>0</v>
      </c>
      <c r="I649" t="s">
        <v>345</v>
      </c>
    </row>
    <row r="650" spans="1:9" x14ac:dyDescent="0.25">
      <c r="A650">
        <v>70349</v>
      </c>
      <c r="B650" t="s">
        <v>184</v>
      </c>
      <c r="C650" t="s">
        <v>238</v>
      </c>
      <c r="D650">
        <v>4</v>
      </c>
      <c r="E650">
        <v>0</v>
      </c>
      <c r="F650" t="s">
        <v>241</v>
      </c>
      <c r="G650" t="s">
        <v>143</v>
      </c>
      <c r="H650">
        <v>0</v>
      </c>
      <c r="I650" t="s">
        <v>346</v>
      </c>
    </row>
    <row r="651" spans="1:9" x14ac:dyDescent="0.25">
      <c r="A651">
        <v>70349</v>
      </c>
      <c r="B651" t="s">
        <v>184</v>
      </c>
      <c r="C651" t="s">
        <v>238</v>
      </c>
      <c r="D651">
        <v>4</v>
      </c>
      <c r="E651">
        <v>0</v>
      </c>
      <c r="F651" t="s">
        <v>241</v>
      </c>
      <c r="G651" t="s">
        <v>138</v>
      </c>
      <c r="H651">
        <v>0</v>
      </c>
      <c r="I651" t="s">
        <v>347</v>
      </c>
    </row>
    <row r="652" spans="1:9" x14ac:dyDescent="0.25">
      <c r="A652">
        <v>70350</v>
      </c>
      <c r="B652" t="s">
        <v>186</v>
      </c>
      <c r="C652" t="s">
        <v>238</v>
      </c>
      <c r="D652">
        <v>4</v>
      </c>
      <c r="E652">
        <v>0</v>
      </c>
      <c r="F652" t="s">
        <v>239</v>
      </c>
      <c r="G652" t="s">
        <v>153</v>
      </c>
      <c r="H652">
        <v>0</v>
      </c>
      <c r="I652" t="s">
        <v>351</v>
      </c>
    </row>
    <row r="653" spans="1:9" x14ac:dyDescent="0.25">
      <c r="A653">
        <v>70350</v>
      </c>
      <c r="B653" t="s">
        <v>186</v>
      </c>
      <c r="C653" t="s">
        <v>238</v>
      </c>
      <c r="D653">
        <v>4</v>
      </c>
      <c r="E653">
        <v>0</v>
      </c>
      <c r="F653" t="s">
        <v>239</v>
      </c>
      <c r="G653" t="s">
        <v>152</v>
      </c>
      <c r="H653">
        <v>0</v>
      </c>
      <c r="I653" t="s">
        <v>352</v>
      </c>
    </row>
    <row r="654" spans="1:9" x14ac:dyDescent="0.25">
      <c r="A654">
        <v>70350</v>
      </c>
      <c r="B654" t="s">
        <v>186</v>
      </c>
      <c r="C654" t="s">
        <v>238</v>
      </c>
      <c r="D654">
        <v>4</v>
      </c>
      <c r="E654">
        <v>0</v>
      </c>
      <c r="F654" t="s">
        <v>239</v>
      </c>
      <c r="G654" t="s">
        <v>154</v>
      </c>
      <c r="H654">
        <v>0</v>
      </c>
      <c r="I654" t="s">
        <v>349</v>
      </c>
    </row>
    <row r="655" spans="1:9" x14ac:dyDescent="0.25">
      <c r="A655">
        <v>70350</v>
      </c>
      <c r="B655" t="s">
        <v>186</v>
      </c>
      <c r="C655" t="s">
        <v>238</v>
      </c>
      <c r="D655">
        <v>4</v>
      </c>
      <c r="E655">
        <v>0</v>
      </c>
      <c r="F655" t="s">
        <v>241</v>
      </c>
      <c r="G655" t="s">
        <v>26</v>
      </c>
      <c r="H655">
        <v>0</v>
      </c>
      <c r="I655" t="s">
        <v>350</v>
      </c>
    </row>
    <row r="656" spans="1:9" x14ac:dyDescent="0.25">
      <c r="A656">
        <v>70350</v>
      </c>
      <c r="B656" t="s">
        <v>186</v>
      </c>
      <c r="C656" t="s">
        <v>238</v>
      </c>
      <c r="D656">
        <v>4</v>
      </c>
      <c r="E656">
        <v>0</v>
      </c>
      <c r="F656" t="s">
        <v>241</v>
      </c>
      <c r="G656" t="s">
        <v>23</v>
      </c>
      <c r="H656">
        <v>0</v>
      </c>
      <c r="I656" t="s">
        <v>269</v>
      </c>
    </row>
    <row r="657" spans="1:9" x14ac:dyDescent="0.25">
      <c r="A657">
        <v>70350</v>
      </c>
      <c r="B657" t="s">
        <v>186</v>
      </c>
      <c r="C657" t="s">
        <v>238</v>
      </c>
      <c r="D657">
        <v>4</v>
      </c>
      <c r="E657">
        <v>0</v>
      </c>
      <c r="F657" t="s">
        <v>241</v>
      </c>
      <c r="G657" t="s">
        <v>26</v>
      </c>
      <c r="H657">
        <v>0</v>
      </c>
      <c r="I657" t="s">
        <v>353</v>
      </c>
    </row>
    <row r="658" spans="1:9" x14ac:dyDescent="0.25">
      <c r="A658">
        <v>70350</v>
      </c>
      <c r="B658" t="s">
        <v>186</v>
      </c>
      <c r="C658" t="s">
        <v>238</v>
      </c>
      <c r="D658">
        <v>4</v>
      </c>
      <c r="E658">
        <v>0</v>
      </c>
      <c r="F658" t="s">
        <v>241</v>
      </c>
      <c r="G658" t="s">
        <v>157</v>
      </c>
      <c r="H658">
        <v>0</v>
      </c>
      <c r="I658" t="s">
        <v>348</v>
      </c>
    </row>
    <row r="659" spans="1:9" x14ac:dyDescent="0.25">
      <c r="A659">
        <v>70350</v>
      </c>
      <c r="B659" t="s">
        <v>186</v>
      </c>
      <c r="C659" t="s">
        <v>238</v>
      </c>
      <c r="D659">
        <v>4</v>
      </c>
      <c r="E659">
        <v>0</v>
      </c>
      <c r="F659" t="s">
        <v>261</v>
      </c>
      <c r="G659" t="s">
        <v>261</v>
      </c>
      <c r="H659">
        <v>0</v>
      </c>
      <c r="I659" t="s">
        <v>272</v>
      </c>
    </row>
    <row r="660" spans="1:9" x14ac:dyDescent="0.25">
      <c r="A660">
        <v>70350</v>
      </c>
      <c r="B660" t="s">
        <v>186</v>
      </c>
      <c r="C660" t="s">
        <v>238</v>
      </c>
      <c r="D660">
        <v>4</v>
      </c>
      <c r="E660">
        <v>0</v>
      </c>
      <c r="F660" t="s">
        <v>261</v>
      </c>
      <c r="G660" t="s">
        <v>261</v>
      </c>
      <c r="H660">
        <v>0</v>
      </c>
      <c r="I660" t="s">
        <v>354</v>
      </c>
    </row>
    <row r="661" spans="1:9" x14ac:dyDescent="0.25">
      <c r="A661">
        <v>70350</v>
      </c>
      <c r="B661" t="s">
        <v>186</v>
      </c>
      <c r="C661" t="s">
        <v>238</v>
      </c>
      <c r="D661">
        <v>4</v>
      </c>
      <c r="E661">
        <v>0</v>
      </c>
      <c r="F661" t="s">
        <v>247</v>
      </c>
      <c r="G661" t="s">
        <v>12</v>
      </c>
      <c r="H661">
        <v>-2560127</v>
      </c>
      <c r="I661" t="s">
        <v>248</v>
      </c>
    </row>
    <row r="662" spans="1:9" x14ac:dyDescent="0.25">
      <c r="A662">
        <v>70350</v>
      </c>
      <c r="B662" t="s">
        <v>186</v>
      </c>
      <c r="C662" t="s">
        <v>238</v>
      </c>
      <c r="D662">
        <v>4</v>
      </c>
      <c r="E662">
        <v>0</v>
      </c>
      <c r="F662" t="s">
        <v>247</v>
      </c>
      <c r="G662" t="s">
        <v>13</v>
      </c>
      <c r="H662">
        <v>4723007</v>
      </c>
      <c r="I662" t="s">
        <v>249</v>
      </c>
    </row>
    <row r="663" spans="1:9" x14ac:dyDescent="0.25">
      <c r="A663">
        <v>70350</v>
      </c>
      <c r="B663" t="s">
        <v>186</v>
      </c>
      <c r="C663" t="s">
        <v>238</v>
      </c>
      <c r="D663">
        <v>4</v>
      </c>
      <c r="E663">
        <v>0</v>
      </c>
      <c r="F663" t="s">
        <v>241</v>
      </c>
      <c r="G663" t="s">
        <v>25</v>
      </c>
      <c r="H663">
        <v>98</v>
      </c>
      <c r="I663" t="s">
        <v>250</v>
      </c>
    </row>
    <row r="664" spans="1:9" x14ac:dyDescent="0.25">
      <c r="A664">
        <v>70350</v>
      </c>
      <c r="B664" t="s">
        <v>186</v>
      </c>
      <c r="C664" t="s">
        <v>238</v>
      </c>
      <c r="D664">
        <v>4</v>
      </c>
      <c r="E664">
        <v>0</v>
      </c>
      <c r="F664" t="s">
        <v>241</v>
      </c>
      <c r="G664" t="s">
        <v>26</v>
      </c>
      <c r="H664">
        <v>0</v>
      </c>
      <c r="I664" t="s">
        <v>251</v>
      </c>
    </row>
    <row r="665" spans="1:9" x14ac:dyDescent="0.25">
      <c r="A665">
        <v>70350</v>
      </c>
      <c r="B665" t="s">
        <v>186</v>
      </c>
      <c r="C665" t="s">
        <v>238</v>
      </c>
      <c r="D665">
        <v>4</v>
      </c>
      <c r="E665">
        <v>0</v>
      </c>
      <c r="F665" t="s">
        <v>239</v>
      </c>
      <c r="G665" t="s">
        <v>18</v>
      </c>
      <c r="H665">
        <v>198875</v>
      </c>
      <c r="I665" t="s">
        <v>252</v>
      </c>
    </row>
    <row r="666" spans="1:9" x14ac:dyDescent="0.25">
      <c r="A666">
        <v>70350</v>
      </c>
      <c r="B666" t="s">
        <v>186</v>
      </c>
      <c r="C666" t="s">
        <v>238</v>
      </c>
      <c r="D666">
        <v>4</v>
      </c>
      <c r="E666">
        <v>0</v>
      </c>
      <c r="F666" t="s">
        <v>241</v>
      </c>
      <c r="G666" t="s">
        <v>26</v>
      </c>
      <c r="H666">
        <v>0</v>
      </c>
      <c r="I666" t="s">
        <v>253</v>
      </c>
    </row>
    <row r="667" spans="1:9" x14ac:dyDescent="0.25">
      <c r="A667">
        <v>70350</v>
      </c>
      <c r="B667" t="s">
        <v>186</v>
      </c>
      <c r="C667" t="s">
        <v>238</v>
      </c>
      <c r="D667">
        <v>4</v>
      </c>
      <c r="E667">
        <v>0</v>
      </c>
      <c r="F667" t="s">
        <v>247</v>
      </c>
      <c r="G667" t="s">
        <v>15</v>
      </c>
      <c r="H667">
        <v>381152</v>
      </c>
      <c r="I667" t="s">
        <v>254</v>
      </c>
    </row>
    <row r="668" spans="1:9" x14ac:dyDescent="0.25">
      <c r="A668">
        <v>70350</v>
      </c>
      <c r="B668" t="s">
        <v>186</v>
      </c>
      <c r="C668" t="s">
        <v>238</v>
      </c>
      <c r="D668">
        <v>4</v>
      </c>
      <c r="E668">
        <v>0</v>
      </c>
      <c r="F668" t="s">
        <v>247</v>
      </c>
      <c r="G668" t="s">
        <v>14</v>
      </c>
      <c r="H668">
        <v>0</v>
      </c>
      <c r="I668" t="s">
        <v>355</v>
      </c>
    </row>
    <row r="669" spans="1:9" x14ac:dyDescent="0.25">
      <c r="A669">
        <v>70350</v>
      </c>
      <c r="B669" t="s">
        <v>186</v>
      </c>
      <c r="C669" t="s">
        <v>238</v>
      </c>
      <c r="D669">
        <v>4</v>
      </c>
      <c r="E669">
        <v>0</v>
      </c>
      <c r="F669" t="s">
        <v>241</v>
      </c>
      <c r="G669" t="s">
        <v>23</v>
      </c>
      <c r="H669">
        <v>76860</v>
      </c>
      <c r="I669" t="s">
        <v>242</v>
      </c>
    </row>
    <row r="670" spans="1:9" x14ac:dyDescent="0.25">
      <c r="A670">
        <v>70350</v>
      </c>
      <c r="B670" t="s">
        <v>186</v>
      </c>
      <c r="C670" t="s">
        <v>238</v>
      </c>
      <c r="D670">
        <v>4</v>
      </c>
      <c r="E670">
        <v>0</v>
      </c>
      <c r="F670" t="s">
        <v>241</v>
      </c>
      <c r="G670" t="s">
        <v>24</v>
      </c>
      <c r="H670">
        <v>227854</v>
      </c>
      <c r="I670" t="s">
        <v>243</v>
      </c>
    </row>
    <row r="671" spans="1:9" x14ac:dyDescent="0.25">
      <c r="A671">
        <v>70350</v>
      </c>
      <c r="B671" t="s">
        <v>186</v>
      </c>
      <c r="C671" t="s">
        <v>238</v>
      </c>
      <c r="D671">
        <v>4</v>
      </c>
      <c r="E671">
        <v>0</v>
      </c>
      <c r="F671" t="s">
        <v>241</v>
      </c>
      <c r="G671" t="s">
        <v>21</v>
      </c>
      <c r="H671">
        <v>0</v>
      </c>
      <c r="I671" t="s">
        <v>356</v>
      </c>
    </row>
    <row r="672" spans="1:9" x14ac:dyDescent="0.25">
      <c r="A672">
        <v>70350</v>
      </c>
      <c r="B672" t="s">
        <v>186</v>
      </c>
      <c r="C672" t="s">
        <v>238</v>
      </c>
      <c r="D672">
        <v>4</v>
      </c>
      <c r="E672">
        <v>0</v>
      </c>
      <c r="F672" t="s">
        <v>239</v>
      </c>
      <c r="G672" t="s">
        <v>20</v>
      </c>
      <c r="H672">
        <v>-3806</v>
      </c>
      <c r="I672" t="s">
        <v>244</v>
      </c>
    </row>
    <row r="673" spans="1:9" x14ac:dyDescent="0.25">
      <c r="A673">
        <v>70350</v>
      </c>
      <c r="B673" t="s">
        <v>186</v>
      </c>
      <c r="C673" t="s">
        <v>238</v>
      </c>
      <c r="D673">
        <v>4</v>
      </c>
      <c r="E673">
        <v>0</v>
      </c>
      <c r="F673" t="s">
        <v>241</v>
      </c>
      <c r="G673" t="s">
        <v>22</v>
      </c>
      <c r="H673">
        <v>0</v>
      </c>
      <c r="I673" t="s">
        <v>245</v>
      </c>
    </row>
    <row r="674" spans="1:9" x14ac:dyDescent="0.25">
      <c r="A674">
        <v>70350</v>
      </c>
      <c r="B674" t="s">
        <v>186</v>
      </c>
      <c r="C674" t="s">
        <v>238</v>
      </c>
      <c r="D674">
        <v>4</v>
      </c>
      <c r="E674">
        <v>0</v>
      </c>
      <c r="F674" t="s">
        <v>241</v>
      </c>
      <c r="G674" t="s">
        <v>26</v>
      </c>
      <c r="H674">
        <v>3132</v>
      </c>
      <c r="I674" t="s">
        <v>246</v>
      </c>
    </row>
    <row r="675" spans="1:9" x14ac:dyDescent="0.25">
      <c r="A675">
        <v>70350</v>
      </c>
      <c r="B675" t="s">
        <v>186</v>
      </c>
      <c r="C675" t="s">
        <v>238</v>
      </c>
      <c r="D675">
        <v>4</v>
      </c>
      <c r="E675">
        <v>0</v>
      </c>
      <c r="F675" t="s">
        <v>239</v>
      </c>
      <c r="G675" t="s">
        <v>17</v>
      </c>
      <c r="H675">
        <v>0</v>
      </c>
      <c r="I675" t="s">
        <v>357</v>
      </c>
    </row>
    <row r="676" spans="1:9" x14ac:dyDescent="0.25">
      <c r="A676">
        <v>70350</v>
      </c>
      <c r="B676" t="s">
        <v>186</v>
      </c>
      <c r="C676" t="s">
        <v>238</v>
      </c>
      <c r="D676">
        <v>4</v>
      </c>
      <c r="E676">
        <v>0</v>
      </c>
      <c r="F676" t="s">
        <v>241</v>
      </c>
      <c r="G676" t="s">
        <v>24</v>
      </c>
      <c r="H676">
        <v>0</v>
      </c>
      <c r="I676" t="s">
        <v>358</v>
      </c>
    </row>
    <row r="677" spans="1:9" x14ac:dyDescent="0.25">
      <c r="A677">
        <v>70350</v>
      </c>
      <c r="B677" t="s">
        <v>186</v>
      </c>
      <c r="C677" t="s">
        <v>238</v>
      </c>
      <c r="D677">
        <v>4</v>
      </c>
      <c r="E677">
        <v>0</v>
      </c>
      <c r="F677" t="s">
        <v>241</v>
      </c>
      <c r="G677" t="s">
        <v>27</v>
      </c>
      <c r="H677">
        <v>0</v>
      </c>
      <c r="I677" t="s">
        <v>359</v>
      </c>
    </row>
    <row r="678" spans="1:9" x14ac:dyDescent="0.25">
      <c r="A678">
        <v>70350</v>
      </c>
      <c r="B678" t="s">
        <v>186</v>
      </c>
      <c r="C678" t="s">
        <v>238</v>
      </c>
      <c r="D678">
        <v>4</v>
      </c>
      <c r="E678">
        <v>0</v>
      </c>
      <c r="F678" t="s">
        <v>239</v>
      </c>
      <c r="G678" t="s">
        <v>19</v>
      </c>
      <c r="H678">
        <v>0</v>
      </c>
      <c r="I678" t="s">
        <v>360</v>
      </c>
    </row>
    <row r="679" spans="1:9" x14ac:dyDescent="0.25">
      <c r="A679">
        <v>70350</v>
      </c>
      <c r="B679" t="s">
        <v>186</v>
      </c>
      <c r="C679" t="s">
        <v>238</v>
      </c>
      <c r="D679">
        <v>4</v>
      </c>
      <c r="E679">
        <v>0</v>
      </c>
      <c r="F679" t="s">
        <v>239</v>
      </c>
      <c r="G679" t="s">
        <v>20</v>
      </c>
      <c r="H679">
        <v>0</v>
      </c>
      <c r="I679" t="s">
        <v>255</v>
      </c>
    </row>
    <row r="680" spans="1:9" x14ac:dyDescent="0.25">
      <c r="A680">
        <v>70350</v>
      </c>
      <c r="B680" t="s">
        <v>186</v>
      </c>
      <c r="C680" t="s">
        <v>238</v>
      </c>
      <c r="D680">
        <v>4</v>
      </c>
      <c r="E680">
        <v>0</v>
      </c>
      <c r="F680" t="s">
        <v>247</v>
      </c>
      <c r="G680" t="s">
        <v>148</v>
      </c>
      <c r="H680">
        <v>208760</v>
      </c>
      <c r="I680" t="s">
        <v>256</v>
      </c>
    </row>
    <row r="681" spans="1:9" x14ac:dyDescent="0.25">
      <c r="A681">
        <v>70350</v>
      </c>
      <c r="B681" t="s">
        <v>186</v>
      </c>
      <c r="C681" t="s">
        <v>238</v>
      </c>
      <c r="D681">
        <v>4</v>
      </c>
      <c r="E681">
        <v>0</v>
      </c>
      <c r="F681" t="s">
        <v>241</v>
      </c>
      <c r="G681" t="s">
        <v>27</v>
      </c>
      <c r="H681">
        <v>5795785</v>
      </c>
      <c r="I681" t="s">
        <v>257</v>
      </c>
    </row>
    <row r="682" spans="1:9" x14ac:dyDescent="0.25">
      <c r="A682">
        <v>70350</v>
      </c>
      <c r="B682" t="s">
        <v>186</v>
      </c>
      <c r="C682" t="s">
        <v>238</v>
      </c>
      <c r="D682">
        <v>4</v>
      </c>
      <c r="E682">
        <v>0</v>
      </c>
      <c r="F682" t="s">
        <v>241</v>
      </c>
      <c r="G682" t="s">
        <v>27</v>
      </c>
      <c r="H682">
        <v>0</v>
      </c>
      <c r="I682" t="s">
        <v>361</v>
      </c>
    </row>
    <row r="683" spans="1:9" x14ac:dyDescent="0.25">
      <c r="A683">
        <v>70350</v>
      </c>
      <c r="B683" t="s">
        <v>186</v>
      </c>
      <c r="C683" t="s">
        <v>238</v>
      </c>
      <c r="D683">
        <v>4</v>
      </c>
      <c r="E683">
        <v>0</v>
      </c>
      <c r="F683" t="s">
        <v>241</v>
      </c>
      <c r="G683" t="s">
        <v>27</v>
      </c>
      <c r="H683">
        <v>0</v>
      </c>
      <c r="I683" t="s">
        <v>362</v>
      </c>
    </row>
    <row r="684" spans="1:9" x14ac:dyDescent="0.25">
      <c r="A684">
        <v>70350</v>
      </c>
      <c r="B684" t="s">
        <v>186</v>
      </c>
      <c r="C684" t="s">
        <v>238</v>
      </c>
      <c r="D684">
        <v>4</v>
      </c>
      <c r="E684">
        <v>0</v>
      </c>
      <c r="F684" t="s">
        <v>241</v>
      </c>
      <c r="G684" t="s">
        <v>27</v>
      </c>
      <c r="H684">
        <v>0</v>
      </c>
      <c r="I684" t="s">
        <v>363</v>
      </c>
    </row>
    <row r="685" spans="1:9" x14ac:dyDescent="0.25">
      <c r="A685">
        <v>70350</v>
      </c>
      <c r="B685" t="s">
        <v>186</v>
      </c>
      <c r="C685" t="s">
        <v>238</v>
      </c>
      <c r="D685">
        <v>4</v>
      </c>
      <c r="E685">
        <v>0</v>
      </c>
      <c r="F685" t="s">
        <v>239</v>
      </c>
      <c r="G685" t="s">
        <v>16</v>
      </c>
      <c r="H685">
        <v>0</v>
      </c>
      <c r="I685" t="s">
        <v>267</v>
      </c>
    </row>
    <row r="686" spans="1:9" x14ac:dyDescent="0.25">
      <c r="A686">
        <v>70350</v>
      </c>
      <c r="B686" t="s">
        <v>186</v>
      </c>
      <c r="C686" t="s">
        <v>238</v>
      </c>
      <c r="D686">
        <v>4</v>
      </c>
      <c r="E686">
        <v>0</v>
      </c>
      <c r="F686" t="s">
        <v>239</v>
      </c>
      <c r="G686" t="s">
        <v>152</v>
      </c>
      <c r="H686">
        <v>23890</v>
      </c>
      <c r="I686" t="s">
        <v>258</v>
      </c>
    </row>
    <row r="687" spans="1:9" x14ac:dyDescent="0.25">
      <c r="A687">
        <v>70350</v>
      </c>
      <c r="B687" t="s">
        <v>186</v>
      </c>
      <c r="C687" t="s">
        <v>238</v>
      </c>
      <c r="D687">
        <v>4</v>
      </c>
      <c r="E687">
        <v>0</v>
      </c>
      <c r="F687" t="s">
        <v>239</v>
      </c>
      <c r="G687" t="s">
        <v>154</v>
      </c>
      <c r="H687">
        <v>114169</v>
      </c>
      <c r="I687" t="s">
        <v>330</v>
      </c>
    </row>
    <row r="688" spans="1:9" x14ac:dyDescent="0.25">
      <c r="A688">
        <v>70350</v>
      </c>
      <c r="B688" t="s">
        <v>186</v>
      </c>
      <c r="C688" t="s">
        <v>238</v>
      </c>
      <c r="D688">
        <v>4</v>
      </c>
      <c r="E688">
        <v>0</v>
      </c>
      <c r="F688" t="s">
        <v>239</v>
      </c>
      <c r="G688" t="s">
        <v>16</v>
      </c>
      <c r="H688">
        <v>0</v>
      </c>
      <c r="I688" t="s">
        <v>259</v>
      </c>
    </row>
    <row r="689" spans="1:9" x14ac:dyDescent="0.25">
      <c r="A689">
        <v>70350</v>
      </c>
      <c r="B689" t="s">
        <v>186</v>
      </c>
      <c r="C689" t="s">
        <v>238</v>
      </c>
      <c r="D689">
        <v>4</v>
      </c>
      <c r="E689">
        <v>0</v>
      </c>
      <c r="F689" t="s">
        <v>239</v>
      </c>
      <c r="G689" t="s">
        <v>19</v>
      </c>
      <c r="H689">
        <v>22732</v>
      </c>
      <c r="I689" t="s">
        <v>260</v>
      </c>
    </row>
    <row r="690" spans="1:9" x14ac:dyDescent="0.25">
      <c r="A690">
        <v>70350</v>
      </c>
      <c r="B690" t="s">
        <v>186</v>
      </c>
      <c r="C690" t="s">
        <v>238</v>
      </c>
      <c r="D690">
        <v>4</v>
      </c>
      <c r="E690">
        <v>0</v>
      </c>
      <c r="F690" t="s">
        <v>239</v>
      </c>
      <c r="G690" t="s">
        <v>19</v>
      </c>
      <c r="H690">
        <v>0</v>
      </c>
      <c r="I690" t="s">
        <v>270</v>
      </c>
    </row>
    <row r="691" spans="1:9" x14ac:dyDescent="0.25">
      <c r="A691">
        <v>70350</v>
      </c>
      <c r="B691" t="s">
        <v>186</v>
      </c>
      <c r="C691" t="s">
        <v>238</v>
      </c>
      <c r="D691">
        <v>4</v>
      </c>
      <c r="E691">
        <v>0</v>
      </c>
      <c r="F691" t="s">
        <v>241</v>
      </c>
      <c r="G691" t="s">
        <v>139</v>
      </c>
      <c r="H691">
        <v>0</v>
      </c>
      <c r="I691" t="s">
        <v>331</v>
      </c>
    </row>
    <row r="692" spans="1:9" x14ac:dyDescent="0.25">
      <c r="A692">
        <v>70350</v>
      </c>
      <c r="B692" t="s">
        <v>186</v>
      </c>
      <c r="C692" t="s">
        <v>238</v>
      </c>
      <c r="D692">
        <v>4</v>
      </c>
      <c r="E692">
        <v>0</v>
      </c>
      <c r="F692" t="s">
        <v>261</v>
      </c>
      <c r="G692" t="s">
        <v>261</v>
      </c>
      <c r="H692">
        <v>-2927041</v>
      </c>
      <c r="I692" t="s">
        <v>262</v>
      </c>
    </row>
    <row r="693" spans="1:9" x14ac:dyDescent="0.25">
      <c r="A693">
        <v>70350</v>
      </c>
      <c r="B693" t="s">
        <v>186</v>
      </c>
      <c r="C693" t="s">
        <v>238</v>
      </c>
      <c r="D693">
        <v>4</v>
      </c>
      <c r="E693">
        <v>0</v>
      </c>
      <c r="F693" t="s">
        <v>239</v>
      </c>
      <c r="G693" t="s">
        <v>19</v>
      </c>
      <c r="H693">
        <v>68144</v>
      </c>
      <c r="I693" t="s">
        <v>263</v>
      </c>
    </row>
    <row r="694" spans="1:9" x14ac:dyDescent="0.25">
      <c r="A694">
        <v>70350</v>
      </c>
      <c r="B694" t="s">
        <v>186</v>
      </c>
      <c r="C694" t="s">
        <v>238</v>
      </c>
      <c r="D694">
        <v>4</v>
      </c>
      <c r="E694">
        <v>0</v>
      </c>
      <c r="F694" t="s">
        <v>239</v>
      </c>
      <c r="G694" t="s">
        <v>16</v>
      </c>
      <c r="H694">
        <v>36</v>
      </c>
      <c r="I694" t="s">
        <v>240</v>
      </c>
    </row>
    <row r="695" spans="1:9" x14ac:dyDescent="0.25">
      <c r="A695">
        <v>70350</v>
      </c>
      <c r="B695" t="s">
        <v>186</v>
      </c>
      <c r="C695" t="s">
        <v>238</v>
      </c>
      <c r="D695">
        <v>4</v>
      </c>
      <c r="E695">
        <v>0</v>
      </c>
      <c r="F695" t="s">
        <v>239</v>
      </c>
      <c r="G695" t="s">
        <v>19</v>
      </c>
      <c r="H695">
        <v>47705</v>
      </c>
      <c r="I695" t="s">
        <v>264</v>
      </c>
    </row>
    <row r="696" spans="1:9" x14ac:dyDescent="0.25">
      <c r="A696">
        <v>70350</v>
      </c>
      <c r="B696" t="s">
        <v>186</v>
      </c>
      <c r="C696" t="s">
        <v>238</v>
      </c>
      <c r="D696">
        <v>4</v>
      </c>
      <c r="E696">
        <v>0</v>
      </c>
      <c r="F696" t="s">
        <v>241</v>
      </c>
      <c r="G696" t="s">
        <v>158</v>
      </c>
      <c r="H696">
        <v>44780</v>
      </c>
      <c r="I696" t="s">
        <v>265</v>
      </c>
    </row>
    <row r="697" spans="1:9" x14ac:dyDescent="0.25">
      <c r="A697">
        <v>70350</v>
      </c>
      <c r="B697" t="s">
        <v>186</v>
      </c>
      <c r="C697" t="s">
        <v>238</v>
      </c>
      <c r="D697">
        <v>4</v>
      </c>
      <c r="E697">
        <v>0</v>
      </c>
      <c r="F697" t="s">
        <v>239</v>
      </c>
      <c r="G697" t="s">
        <v>19</v>
      </c>
      <c r="H697">
        <v>0</v>
      </c>
      <c r="I697" t="s">
        <v>271</v>
      </c>
    </row>
    <row r="698" spans="1:9" x14ac:dyDescent="0.25">
      <c r="A698">
        <v>70350</v>
      </c>
      <c r="B698" t="s">
        <v>186</v>
      </c>
      <c r="C698" t="s">
        <v>238</v>
      </c>
      <c r="D698">
        <v>4</v>
      </c>
      <c r="E698">
        <v>0</v>
      </c>
      <c r="F698" t="s">
        <v>239</v>
      </c>
      <c r="G698" t="s">
        <v>19</v>
      </c>
      <c r="H698">
        <v>0</v>
      </c>
      <c r="I698" t="s">
        <v>266</v>
      </c>
    </row>
    <row r="699" spans="1:9" x14ac:dyDescent="0.25">
      <c r="A699">
        <v>70350</v>
      </c>
      <c r="B699" t="s">
        <v>186</v>
      </c>
      <c r="C699" t="s">
        <v>238</v>
      </c>
      <c r="D699">
        <v>4</v>
      </c>
      <c r="E699">
        <v>0</v>
      </c>
      <c r="F699" t="s">
        <v>241</v>
      </c>
      <c r="G699" t="s">
        <v>143</v>
      </c>
      <c r="H699">
        <v>0</v>
      </c>
      <c r="I699" t="s">
        <v>332</v>
      </c>
    </row>
    <row r="700" spans="1:9" x14ac:dyDescent="0.25">
      <c r="A700">
        <v>70350</v>
      </c>
      <c r="B700" t="s">
        <v>186</v>
      </c>
      <c r="C700" t="s">
        <v>238</v>
      </c>
      <c r="D700">
        <v>4</v>
      </c>
      <c r="E700">
        <v>0</v>
      </c>
      <c r="F700" t="s">
        <v>241</v>
      </c>
      <c r="G700" t="s">
        <v>138</v>
      </c>
      <c r="H700">
        <v>0</v>
      </c>
      <c r="I700" t="s">
        <v>333</v>
      </c>
    </row>
    <row r="701" spans="1:9" x14ac:dyDescent="0.25">
      <c r="A701">
        <v>70350</v>
      </c>
      <c r="B701" t="s">
        <v>186</v>
      </c>
      <c r="C701" t="s">
        <v>238</v>
      </c>
      <c r="D701">
        <v>4</v>
      </c>
      <c r="E701">
        <v>0</v>
      </c>
      <c r="F701" t="s">
        <v>241</v>
      </c>
      <c r="G701" t="s">
        <v>138</v>
      </c>
      <c r="H701">
        <v>0</v>
      </c>
      <c r="I701" t="s">
        <v>334</v>
      </c>
    </row>
    <row r="702" spans="1:9" x14ac:dyDescent="0.25">
      <c r="A702">
        <v>70350</v>
      </c>
      <c r="B702" t="s">
        <v>186</v>
      </c>
      <c r="C702" t="s">
        <v>238</v>
      </c>
      <c r="D702">
        <v>4</v>
      </c>
      <c r="E702">
        <v>0</v>
      </c>
      <c r="F702" t="s">
        <v>241</v>
      </c>
      <c r="G702" t="s">
        <v>138</v>
      </c>
      <c r="H702">
        <v>-23077</v>
      </c>
      <c r="I702" t="s">
        <v>268</v>
      </c>
    </row>
    <row r="703" spans="1:9" x14ac:dyDescent="0.25">
      <c r="A703">
        <v>70350</v>
      </c>
      <c r="B703" t="s">
        <v>186</v>
      </c>
      <c r="C703" t="s">
        <v>238</v>
      </c>
      <c r="D703">
        <v>4</v>
      </c>
      <c r="E703">
        <v>0</v>
      </c>
      <c r="F703" t="s">
        <v>241</v>
      </c>
      <c r="G703" t="s">
        <v>139</v>
      </c>
      <c r="H703">
        <v>0</v>
      </c>
      <c r="I703" t="s">
        <v>336</v>
      </c>
    </row>
    <row r="704" spans="1:9" x14ac:dyDescent="0.25">
      <c r="A704">
        <v>70350</v>
      </c>
      <c r="B704" t="s">
        <v>186</v>
      </c>
      <c r="C704" t="s">
        <v>238</v>
      </c>
      <c r="D704">
        <v>4</v>
      </c>
      <c r="E704">
        <v>0</v>
      </c>
      <c r="F704" t="s">
        <v>241</v>
      </c>
      <c r="G704" t="s">
        <v>139</v>
      </c>
      <c r="H704">
        <v>0</v>
      </c>
      <c r="I704" t="s">
        <v>337</v>
      </c>
    </row>
    <row r="705" spans="1:9" x14ac:dyDescent="0.25">
      <c r="A705">
        <v>70350</v>
      </c>
      <c r="B705" t="s">
        <v>186</v>
      </c>
      <c r="C705" t="s">
        <v>238</v>
      </c>
      <c r="D705">
        <v>4</v>
      </c>
      <c r="E705">
        <v>0</v>
      </c>
      <c r="F705" t="s">
        <v>241</v>
      </c>
      <c r="G705" t="s">
        <v>139</v>
      </c>
      <c r="H705">
        <v>0</v>
      </c>
      <c r="I705" t="s">
        <v>335</v>
      </c>
    </row>
    <row r="706" spans="1:9" x14ac:dyDescent="0.25">
      <c r="A706">
        <v>70350</v>
      </c>
      <c r="B706" t="s">
        <v>186</v>
      </c>
      <c r="C706" t="s">
        <v>238</v>
      </c>
      <c r="D706">
        <v>4</v>
      </c>
      <c r="E706">
        <v>0</v>
      </c>
      <c r="F706" t="s">
        <v>241</v>
      </c>
      <c r="G706" t="s">
        <v>24</v>
      </c>
      <c r="H706">
        <v>0</v>
      </c>
      <c r="I706" t="s">
        <v>338</v>
      </c>
    </row>
    <row r="707" spans="1:9" x14ac:dyDescent="0.25">
      <c r="A707">
        <v>70350</v>
      </c>
      <c r="B707" t="s">
        <v>186</v>
      </c>
      <c r="C707" t="s">
        <v>238</v>
      </c>
      <c r="D707">
        <v>4</v>
      </c>
      <c r="E707">
        <v>0</v>
      </c>
      <c r="F707" t="s">
        <v>241</v>
      </c>
      <c r="G707" t="s">
        <v>24</v>
      </c>
      <c r="H707">
        <v>0</v>
      </c>
      <c r="I707" t="s">
        <v>339</v>
      </c>
    </row>
    <row r="708" spans="1:9" x14ac:dyDescent="0.25">
      <c r="A708">
        <v>70350</v>
      </c>
      <c r="B708" t="s">
        <v>186</v>
      </c>
      <c r="C708" t="s">
        <v>238</v>
      </c>
      <c r="D708">
        <v>4</v>
      </c>
      <c r="E708">
        <v>0</v>
      </c>
      <c r="F708" t="s">
        <v>241</v>
      </c>
      <c r="G708" t="s">
        <v>24</v>
      </c>
      <c r="H708">
        <v>0</v>
      </c>
      <c r="I708" t="s">
        <v>340</v>
      </c>
    </row>
    <row r="709" spans="1:9" x14ac:dyDescent="0.25">
      <c r="A709">
        <v>70350</v>
      </c>
      <c r="B709" t="s">
        <v>186</v>
      </c>
      <c r="C709" t="s">
        <v>238</v>
      </c>
      <c r="D709">
        <v>4</v>
      </c>
      <c r="E709">
        <v>0</v>
      </c>
      <c r="F709" t="s">
        <v>241</v>
      </c>
      <c r="G709" t="s">
        <v>137</v>
      </c>
      <c r="H709">
        <v>0</v>
      </c>
      <c r="I709" t="s">
        <v>273</v>
      </c>
    </row>
    <row r="710" spans="1:9" x14ac:dyDescent="0.25">
      <c r="A710">
        <v>70350</v>
      </c>
      <c r="B710" t="s">
        <v>186</v>
      </c>
      <c r="C710" t="s">
        <v>238</v>
      </c>
      <c r="D710">
        <v>4</v>
      </c>
      <c r="E710">
        <v>0</v>
      </c>
      <c r="F710" t="s">
        <v>241</v>
      </c>
      <c r="G710" t="s">
        <v>137</v>
      </c>
      <c r="H710">
        <v>0</v>
      </c>
      <c r="I710" t="s">
        <v>341</v>
      </c>
    </row>
    <row r="711" spans="1:9" x14ac:dyDescent="0.25">
      <c r="A711">
        <v>70350</v>
      </c>
      <c r="B711" t="s">
        <v>186</v>
      </c>
      <c r="C711" t="s">
        <v>238</v>
      </c>
      <c r="D711">
        <v>4</v>
      </c>
      <c r="E711">
        <v>0</v>
      </c>
      <c r="F711" t="s">
        <v>241</v>
      </c>
      <c r="G711" t="s">
        <v>137</v>
      </c>
      <c r="H711">
        <v>0</v>
      </c>
      <c r="I711" t="s">
        <v>342</v>
      </c>
    </row>
    <row r="712" spans="1:9" x14ac:dyDescent="0.25">
      <c r="A712">
        <v>70350</v>
      </c>
      <c r="B712" t="s">
        <v>186</v>
      </c>
      <c r="C712" t="s">
        <v>238</v>
      </c>
      <c r="D712">
        <v>4</v>
      </c>
      <c r="E712">
        <v>0</v>
      </c>
      <c r="F712" t="s">
        <v>241</v>
      </c>
      <c r="G712" t="s">
        <v>137</v>
      </c>
      <c r="H712">
        <v>0</v>
      </c>
      <c r="I712" t="s">
        <v>343</v>
      </c>
    </row>
    <row r="713" spans="1:9" x14ac:dyDescent="0.25">
      <c r="A713">
        <v>70350</v>
      </c>
      <c r="B713" t="s">
        <v>186</v>
      </c>
      <c r="C713" t="s">
        <v>238</v>
      </c>
      <c r="D713">
        <v>4</v>
      </c>
      <c r="E713">
        <v>0</v>
      </c>
      <c r="F713" t="s">
        <v>241</v>
      </c>
      <c r="G713" t="s">
        <v>143</v>
      </c>
      <c r="H713">
        <v>0</v>
      </c>
      <c r="I713" t="s">
        <v>344</v>
      </c>
    </row>
    <row r="714" spans="1:9" x14ac:dyDescent="0.25">
      <c r="A714">
        <v>70350</v>
      </c>
      <c r="B714" t="s">
        <v>186</v>
      </c>
      <c r="C714" t="s">
        <v>238</v>
      </c>
      <c r="D714">
        <v>4</v>
      </c>
      <c r="E714">
        <v>0</v>
      </c>
      <c r="F714" t="s">
        <v>241</v>
      </c>
      <c r="G714" t="s">
        <v>143</v>
      </c>
      <c r="H714">
        <v>0</v>
      </c>
      <c r="I714" t="s">
        <v>345</v>
      </c>
    </row>
    <row r="715" spans="1:9" x14ac:dyDescent="0.25">
      <c r="A715">
        <v>70350</v>
      </c>
      <c r="B715" t="s">
        <v>186</v>
      </c>
      <c r="C715" t="s">
        <v>238</v>
      </c>
      <c r="D715">
        <v>4</v>
      </c>
      <c r="E715">
        <v>0</v>
      </c>
      <c r="F715" t="s">
        <v>241</v>
      </c>
      <c r="G715" t="s">
        <v>143</v>
      </c>
      <c r="H715">
        <v>0</v>
      </c>
      <c r="I715" t="s">
        <v>346</v>
      </c>
    </row>
    <row r="716" spans="1:9" x14ac:dyDescent="0.25">
      <c r="A716">
        <v>70350</v>
      </c>
      <c r="B716" t="s">
        <v>186</v>
      </c>
      <c r="C716" t="s">
        <v>238</v>
      </c>
      <c r="D716">
        <v>4</v>
      </c>
      <c r="E716">
        <v>0</v>
      </c>
      <c r="F716" t="s">
        <v>241</v>
      </c>
      <c r="G716" t="s">
        <v>138</v>
      </c>
      <c r="H716">
        <v>0</v>
      </c>
      <c r="I716" t="s">
        <v>347</v>
      </c>
    </row>
    <row r="717" spans="1:9" x14ac:dyDescent="0.25">
      <c r="A717">
        <v>70352</v>
      </c>
      <c r="B717" t="s">
        <v>188</v>
      </c>
      <c r="C717" t="s">
        <v>238</v>
      </c>
      <c r="D717">
        <v>4</v>
      </c>
      <c r="E717">
        <v>0</v>
      </c>
      <c r="F717" t="s">
        <v>239</v>
      </c>
      <c r="G717" t="s">
        <v>153</v>
      </c>
      <c r="H717">
        <v>0</v>
      </c>
      <c r="I717" t="s">
        <v>351</v>
      </c>
    </row>
    <row r="718" spans="1:9" x14ac:dyDescent="0.25">
      <c r="A718">
        <v>70352</v>
      </c>
      <c r="B718" t="s">
        <v>188</v>
      </c>
      <c r="C718" t="s">
        <v>238</v>
      </c>
      <c r="D718">
        <v>4</v>
      </c>
      <c r="E718">
        <v>0</v>
      </c>
      <c r="F718" t="s">
        <v>239</v>
      </c>
      <c r="G718" t="s">
        <v>152</v>
      </c>
      <c r="H718">
        <v>0</v>
      </c>
      <c r="I718" t="s">
        <v>352</v>
      </c>
    </row>
    <row r="719" spans="1:9" x14ac:dyDescent="0.25">
      <c r="A719">
        <v>70352</v>
      </c>
      <c r="B719" t="s">
        <v>188</v>
      </c>
      <c r="C719" t="s">
        <v>238</v>
      </c>
      <c r="D719">
        <v>4</v>
      </c>
      <c r="E719">
        <v>0</v>
      </c>
      <c r="F719" t="s">
        <v>239</v>
      </c>
      <c r="G719" t="s">
        <v>154</v>
      </c>
      <c r="H719">
        <v>0</v>
      </c>
      <c r="I719" t="s">
        <v>349</v>
      </c>
    </row>
    <row r="720" spans="1:9" x14ac:dyDescent="0.25">
      <c r="A720">
        <v>70352</v>
      </c>
      <c r="B720" t="s">
        <v>188</v>
      </c>
      <c r="C720" t="s">
        <v>238</v>
      </c>
      <c r="D720">
        <v>4</v>
      </c>
      <c r="E720">
        <v>0</v>
      </c>
      <c r="F720" t="s">
        <v>241</v>
      </c>
      <c r="G720" t="s">
        <v>26</v>
      </c>
      <c r="H720">
        <v>0</v>
      </c>
      <c r="I720" t="s">
        <v>350</v>
      </c>
    </row>
    <row r="721" spans="1:9" x14ac:dyDescent="0.25">
      <c r="A721">
        <v>70352</v>
      </c>
      <c r="B721" t="s">
        <v>188</v>
      </c>
      <c r="C721" t="s">
        <v>238</v>
      </c>
      <c r="D721">
        <v>4</v>
      </c>
      <c r="E721">
        <v>0</v>
      </c>
      <c r="F721" t="s">
        <v>241</v>
      </c>
      <c r="G721" t="s">
        <v>23</v>
      </c>
      <c r="H721">
        <v>0</v>
      </c>
      <c r="I721" t="s">
        <v>269</v>
      </c>
    </row>
    <row r="722" spans="1:9" x14ac:dyDescent="0.25">
      <c r="A722">
        <v>70352</v>
      </c>
      <c r="B722" t="s">
        <v>188</v>
      </c>
      <c r="C722" t="s">
        <v>238</v>
      </c>
      <c r="D722">
        <v>4</v>
      </c>
      <c r="E722">
        <v>0</v>
      </c>
      <c r="F722" t="s">
        <v>241</v>
      </c>
      <c r="G722" t="s">
        <v>26</v>
      </c>
      <c r="H722">
        <v>0</v>
      </c>
      <c r="I722" t="s">
        <v>353</v>
      </c>
    </row>
    <row r="723" spans="1:9" x14ac:dyDescent="0.25">
      <c r="A723">
        <v>70352</v>
      </c>
      <c r="B723" t="s">
        <v>188</v>
      </c>
      <c r="C723" t="s">
        <v>238</v>
      </c>
      <c r="D723">
        <v>4</v>
      </c>
      <c r="E723">
        <v>0</v>
      </c>
      <c r="F723" t="s">
        <v>241</v>
      </c>
      <c r="G723" t="s">
        <v>157</v>
      </c>
      <c r="H723">
        <v>0</v>
      </c>
      <c r="I723" t="s">
        <v>348</v>
      </c>
    </row>
    <row r="724" spans="1:9" x14ac:dyDescent="0.25">
      <c r="A724">
        <v>70352</v>
      </c>
      <c r="B724" t="s">
        <v>188</v>
      </c>
      <c r="C724" t="s">
        <v>238</v>
      </c>
      <c r="D724">
        <v>4</v>
      </c>
      <c r="E724">
        <v>0</v>
      </c>
      <c r="F724" t="s">
        <v>261</v>
      </c>
      <c r="G724" t="s">
        <v>261</v>
      </c>
      <c r="H724">
        <v>0</v>
      </c>
      <c r="I724" t="s">
        <v>272</v>
      </c>
    </row>
    <row r="725" spans="1:9" x14ac:dyDescent="0.25">
      <c r="A725">
        <v>70352</v>
      </c>
      <c r="B725" t="s">
        <v>188</v>
      </c>
      <c r="C725" t="s">
        <v>238</v>
      </c>
      <c r="D725">
        <v>4</v>
      </c>
      <c r="E725">
        <v>0</v>
      </c>
      <c r="F725" t="s">
        <v>261</v>
      </c>
      <c r="G725" t="s">
        <v>261</v>
      </c>
      <c r="H725">
        <v>0</v>
      </c>
      <c r="I725" t="s">
        <v>354</v>
      </c>
    </row>
    <row r="726" spans="1:9" x14ac:dyDescent="0.25">
      <c r="A726">
        <v>70352</v>
      </c>
      <c r="B726" t="s">
        <v>188</v>
      </c>
      <c r="C726" t="s">
        <v>238</v>
      </c>
      <c r="D726">
        <v>4</v>
      </c>
      <c r="E726">
        <v>0</v>
      </c>
      <c r="F726" t="s">
        <v>247</v>
      </c>
      <c r="G726" t="s">
        <v>12</v>
      </c>
      <c r="H726">
        <v>-1724611</v>
      </c>
      <c r="I726" t="s">
        <v>248</v>
      </c>
    </row>
    <row r="727" spans="1:9" x14ac:dyDescent="0.25">
      <c r="A727">
        <v>70352</v>
      </c>
      <c r="B727" t="s">
        <v>188</v>
      </c>
      <c r="C727" t="s">
        <v>238</v>
      </c>
      <c r="D727">
        <v>4</v>
      </c>
      <c r="E727">
        <v>0</v>
      </c>
      <c r="F727" t="s">
        <v>247</v>
      </c>
      <c r="G727" t="s">
        <v>13</v>
      </c>
      <c r="H727">
        <v>7792375</v>
      </c>
      <c r="I727" t="s">
        <v>249</v>
      </c>
    </row>
    <row r="728" spans="1:9" x14ac:dyDescent="0.25">
      <c r="A728">
        <v>70352</v>
      </c>
      <c r="B728" t="s">
        <v>188</v>
      </c>
      <c r="C728" t="s">
        <v>238</v>
      </c>
      <c r="D728">
        <v>4</v>
      </c>
      <c r="E728">
        <v>0</v>
      </c>
      <c r="F728" t="s">
        <v>241</v>
      </c>
      <c r="G728" t="s">
        <v>25</v>
      </c>
      <c r="H728">
        <v>2575610</v>
      </c>
      <c r="I728" t="s">
        <v>250</v>
      </c>
    </row>
    <row r="729" spans="1:9" x14ac:dyDescent="0.25">
      <c r="A729">
        <v>70352</v>
      </c>
      <c r="B729" t="s">
        <v>188</v>
      </c>
      <c r="C729" t="s">
        <v>238</v>
      </c>
      <c r="D729">
        <v>4</v>
      </c>
      <c r="E729">
        <v>0</v>
      </c>
      <c r="F729" t="s">
        <v>241</v>
      </c>
      <c r="G729" t="s">
        <v>26</v>
      </c>
      <c r="H729">
        <v>0</v>
      </c>
      <c r="I729" t="s">
        <v>251</v>
      </c>
    </row>
    <row r="730" spans="1:9" x14ac:dyDescent="0.25">
      <c r="A730">
        <v>70352</v>
      </c>
      <c r="B730" t="s">
        <v>188</v>
      </c>
      <c r="C730" t="s">
        <v>238</v>
      </c>
      <c r="D730">
        <v>4</v>
      </c>
      <c r="E730">
        <v>0</v>
      </c>
      <c r="F730" t="s">
        <v>239</v>
      </c>
      <c r="G730" t="s">
        <v>18</v>
      </c>
      <c r="H730">
        <v>540908</v>
      </c>
      <c r="I730" t="s">
        <v>252</v>
      </c>
    </row>
    <row r="731" spans="1:9" x14ac:dyDescent="0.25">
      <c r="A731">
        <v>70352</v>
      </c>
      <c r="B731" t="s">
        <v>188</v>
      </c>
      <c r="C731" t="s">
        <v>238</v>
      </c>
      <c r="D731">
        <v>4</v>
      </c>
      <c r="E731">
        <v>0</v>
      </c>
      <c r="F731" t="s">
        <v>241</v>
      </c>
      <c r="G731" t="s">
        <v>26</v>
      </c>
      <c r="H731">
        <v>0</v>
      </c>
      <c r="I731" t="s">
        <v>253</v>
      </c>
    </row>
    <row r="732" spans="1:9" x14ac:dyDescent="0.25">
      <c r="A732">
        <v>70352</v>
      </c>
      <c r="B732" t="s">
        <v>188</v>
      </c>
      <c r="C732" t="s">
        <v>238</v>
      </c>
      <c r="D732">
        <v>4</v>
      </c>
      <c r="E732">
        <v>0</v>
      </c>
      <c r="F732" t="s">
        <v>247</v>
      </c>
      <c r="G732" t="s">
        <v>15</v>
      </c>
      <c r="H732">
        <v>351895</v>
      </c>
      <c r="I732" t="s">
        <v>254</v>
      </c>
    </row>
    <row r="733" spans="1:9" x14ac:dyDescent="0.25">
      <c r="A733">
        <v>70352</v>
      </c>
      <c r="B733" t="s">
        <v>188</v>
      </c>
      <c r="C733" t="s">
        <v>238</v>
      </c>
      <c r="D733">
        <v>4</v>
      </c>
      <c r="E733">
        <v>0</v>
      </c>
      <c r="F733" t="s">
        <v>247</v>
      </c>
      <c r="G733" t="s">
        <v>14</v>
      </c>
      <c r="H733">
        <v>0</v>
      </c>
      <c r="I733" t="s">
        <v>355</v>
      </c>
    </row>
    <row r="734" spans="1:9" x14ac:dyDescent="0.25">
      <c r="A734">
        <v>70352</v>
      </c>
      <c r="B734" t="s">
        <v>188</v>
      </c>
      <c r="C734" t="s">
        <v>238</v>
      </c>
      <c r="D734">
        <v>4</v>
      </c>
      <c r="E734">
        <v>0</v>
      </c>
      <c r="F734" t="s">
        <v>241</v>
      </c>
      <c r="G734" t="s">
        <v>23</v>
      </c>
      <c r="H734">
        <v>54496</v>
      </c>
      <c r="I734" t="s">
        <v>242</v>
      </c>
    </row>
    <row r="735" spans="1:9" x14ac:dyDescent="0.25">
      <c r="A735">
        <v>70352</v>
      </c>
      <c r="B735" t="s">
        <v>188</v>
      </c>
      <c r="C735" t="s">
        <v>238</v>
      </c>
      <c r="D735">
        <v>4</v>
      </c>
      <c r="E735">
        <v>0</v>
      </c>
      <c r="F735" t="s">
        <v>241</v>
      </c>
      <c r="G735" t="s">
        <v>24</v>
      </c>
      <c r="H735">
        <v>19163</v>
      </c>
      <c r="I735" t="s">
        <v>243</v>
      </c>
    </row>
    <row r="736" spans="1:9" x14ac:dyDescent="0.25">
      <c r="A736">
        <v>70352</v>
      </c>
      <c r="B736" t="s">
        <v>188</v>
      </c>
      <c r="C736" t="s">
        <v>238</v>
      </c>
      <c r="D736">
        <v>4</v>
      </c>
      <c r="E736">
        <v>0</v>
      </c>
      <c r="F736" t="s">
        <v>241</v>
      </c>
      <c r="G736" t="s">
        <v>21</v>
      </c>
      <c r="H736">
        <v>0</v>
      </c>
      <c r="I736" t="s">
        <v>356</v>
      </c>
    </row>
    <row r="737" spans="1:9" x14ac:dyDescent="0.25">
      <c r="A737">
        <v>70352</v>
      </c>
      <c r="B737" t="s">
        <v>188</v>
      </c>
      <c r="C737" t="s">
        <v>238</v>
      </c>
      <c r="D737">
        <v>4</v>
      </c>
      <c r="E737">
        <v>0</v>
      </c>
      <c r="F737" t="s">
        <v>239</v>
      </c>
      <c r="G737" t="s">
        <v>20</v>
      </c>
      <c r="H737">
        <v>-3701</v>
      </c>
      <c r="I737" t="s">
        <v>244</v>
      </c>
    </row>
    <row r="738" spans="1:9" x14ac:dyDescent="0.25">
      <c r="A738">
        <v>70352</v>
      </c>
      <c r="B738" t="s">
        <v>188</v>
      </c>
      <c r="C738" t="s">
        <v>238</v>
      </c>
      <c r="D738">
        <v>4</v>
      </c>
      <c r="E738">
        <v>0</v>
      </c>
      <c r="F738" t="s">
        <v>241</v>
      </c>
      <c r="G738" t="s">
        <v>22</v>
      </c>
      <c r="H738">
        <v>0</v>
      </c>
      <c r="I738" t="s">
        <v>245</v>
      </c>
    </row>
    <row r="739" spans="1:9" x14ac:dyDescent="0.25">
      <c r="A739">
        <v>70352</v>
      </c>
      <c r="B739" t="s">
        <v>188</v>
      </c>
      <c r="C739" t="s">
        <v>238</v>
      </c>
      <c r="D739">
        <v>4</v>
      </c>
      <c r="E739">
        <v>0</v>
      </c>
      <c r="F739" t="s">
        <v>241</v>
      </c>
      <c r="G739" t="s">
        <v>26</v>
      </c>
      <c r="H739">
        <v>2184</v>
      </c>
      <c r="I739" t="s">
        <v>246</v>
      </c>
    </row>
    <row r="740" spans="1:9" x14ac:dyDescent="0.25">
      <c r="A740">
        <v>70352</v>
      </c>
      <c r="B740" t="s">
        <v>188</v>
      </c>
      <c r="C740" t="s">
        <v>238</v>
      </c>
      <c r="D740">
        <v>4</v>
      </c>
      <c r="E740">
        <v>0</v>
      </c>
      <c r="F740" t="s">
        <v>239</v>
      </c>
      <c r="G740" t="s">
        <v>17</v>
      </c>
      <c r="H740">
        <v>0</v>
      </c>
      <c r="I740" t="s">
        <v>357</v>
      </c>
    </row>
    <row r="741" spans="1:9" x14ac:dyDescent="0.25">
      <c r="A741">
        <v>70352</v>
      </c>
      <c r="B741" t="s">
        <v>188</v>
      </c>
      <c r="C741" t="s">
        <v>238</v>
      </c>
      <c r="D741">
        <v>4</v>
      </c>
      <c r="E741">
        <v>0</v>
      </c>
      <c r="F741" t="s">
        <v>241</v>
      </c>
      <c r="G741" t="s">
        <v>24</v>
      </c>
      <c r="H741">
        <v>0</v>
      </c>
      <c r="I741" t="s">
        <v>358</v>
      </c>
    </row>
    <row r="742" spans="1:9" x14ac:dyDescent="0.25">
      <c r="A742">
        <v>70352</v>
      </c>
      <c r="B742" t="s">
        <v>188</v>
      </c>
      <c r="C742" t="s">
        <v>238</v>
      </c>
      <c r="D742">
        <v>4</v>
      </c>
      <c r="E742">
        <v>0</v>
      </c>
      <c r="F742" t="s">
        <v>241</v>
      </c>
      <c r="G742" t="s">
        <v>27</v>
      </c>
      <c r="H742">
        <v>0</v>
      </c>
      <c r="I742" t="s">
        <v>359</v>
      </c>
    </row>
    <row r="743" spans="1:9" x14ac:dyDescent="0.25">
      <c r="A743">
        <v>70352</v>
      </c>
      <c r="B743" t="s">
        <v>188</v>
      </c>
      <c r="C743" t="s">
        <v>238</v>
      </c>
      <c r="D743">
        <v>4</v>
      </c>
      <c r="E743">
        <v>0</v>
      </c>
      <c r="F743" t="s">
        <v>239</v>
      </c>
      <c r="G743" t="s">
        <v>19</v>
      </c>
      <c r="H743">
        <v>0</v>
      </c>
      <c r="I743" t="s">
        <v>360</v>
      </c>
    </row>
    <row r="744" spans="1:9" x14ac:dyDescent="0.25">
      <c r="A744">
        <v>70352</v>
      </c>
      <c r="B744" t="s">
        <v>188</v>
      </c>
      <c r="C744" t="s">
        <v>238</v>
      </c>
      <c r="D744">
        <v>4</v>
      </c>
      <c r="E744">
        <v>0</v>
      </c>
      <c r="F744" t="s">
        <v>239</v>
      </c>
      <c r="G744" t="s">
        <v>20</v>
      </c>
      <c r="H744">
        <v>122960</v>
      </c>
      <c r="I744" t="s">
        <v>255</v>
      </c>
    </row>
    <row r="745" spans="1:9" x14ac:dyDescent="0.25">
      <c r="A745">
        <v>70352</v>
      </c>
      <c r="B745" t="s">
        <v>188</v>
      </c>
      <c r="C745" t="s">
        <v>238</v>
      </c>
      <c r="D745">
        <v>4</v>
      </c>
      <c r="E745">
        <v>0</v>
      </c>
      <c r="F745" t="s">
        <v>247</v>
      </c>
      <c r="G745" t="s">
        <v>148</v>
      </c>
      <c r="H745">
        <v>1212591</v>
      </c>
      <c r="I745" t="s">
        <v>256</v>
      </c>
    </row>
    <row r="746" spans="1:9" x14ac:dyDescent="0.25">
      <c r="A746">
        <v>70352</v>
      </c>
      <c r="B746" t="s">
        <v>188</v>
      </c>
      <c r="C746" t="s">
        <v>238</v>
      </c>
      <c r="D746">
        <v>4</v>
      </c>
      <c r="E746">
        <v>0</v>
      </c>
      <c r="F746" t="s">
        <v>241</v>
      </c>
      <c r="G746" t="s">
        <v>27</v>
      </c>
      <c r="H746">
        <v>7385145</v>
      </c>
      <c r="I746" t="s">
        <v>257</v>
      </c>
    </row>
    <row r="747" spans="1:9" x14ac:dyDescent="0.25">
      <c r="A747">
        <v>70352</v>
      </c>
      <c r="B747" t="s">
        <v>188</v>
      </c>
      <c r="C747" t="s">
        <v>238</v>
      </c>
      <c r="D747">
        <v>4</v>
      </c>
      <c r="E747">
        <v>0</v>
      </c>
      <c r="F747" t="s">
        <v>241</v>
      </c>
      <c r="G747" t="s">
        <v>27</v>
      </c>
      <c r="H747">
        <v>0</v>
      </c>
      <c r="I747" t="s">
        <v>361</v>
      </c>
    </row>
    <row r="748" spans="1:9" x14ac:dyDescent="0.25">
      <c r="A748">
        <v>70352</v>
      </c>
      <c r="B748" t="s">
        <v>188</v>
      </c>
      <c r="C748" t="s">
        <v>238</v>
      </c>
      <c r="D748">
        <v>4</v>
      </c>
      <c r="E748">
        <v>0</v>
      </c>
      <c r="F748" t="s">
        <v>241</v>
      </c>
      <c r="G748" t="s">
        <v>27</v>
      </c>
      <c r="H748">
        <v>0</v>
      </c>
      <c r="I748" t="s">
        <v>362</v>
      </c>
    </row>
    <row r="749" spans="1:9" x14ac:dyDescent="0.25">
      <c r="A749">
        <v>70352</v>
      </c>
      <c r="B749" t="s">
        <v>188</v>
      </c>
      <c r="C749" t="s">
        <v>238</v>
      </c>
      <c r="D749">
        <v>4</v>
      </c>
      <c r="E749">
        <v>0</v>
      </c>
      <c r="F749" t="s">
        <v>241</v>
      </c>
      <c r="G749" t="s">
        <v>27</v>
      </c>
      <c r="H749">
        <v>0</v>
      </c>
      <c r="I749" t="s">
        <v>363</v>
      </c>
    </row>
    <row r="750" spans="1:9" x14ac:dyDescent="0.25">
      <c r="A750">
        <v>70352</v>
      </c>
      <c r="B750" t="s">
        <v>188</v>
      </c>
      <c r="C750" t="s">
        <v>238</v>
      </c>
      <c r="D750">
        <v>4</v>
      </c>
      <c r="E750">
        <v>0</v>
      </c>
      <c r="F750" t="s">
        <v>239</v>
      </c>
      <c r="G750" t="s">
        <v>16</v>
      </c>
      <c r="H750">
        <v>0</v>
      </c>
      <c r="I750" t="s">
        <v>267</v>
      </c>
    </row>
    <row r="751" spans="1:9" x14ac:dyDescent="0.25">
      <c r="A751">
        <v>70352</v>
      </c>
      <c r="B751" t="s">
        <v>188</v>
      </c>
      <c r="C751" t="s">
        <v>238</v>
      </c>
      <c r="D751">
        <v>4</v>
      </c>
      <c r="E751">
        <v>0</v>
      </c>
      <c r="F751" t="s">
        <v>239</v>
      </c>
      <c r="G751" t="s">
        <v>152</v>
      </c>
      <c r="H751">
        <v>35535</v>
      </c>
      <c r="I751" t="s">
        <v>258</v>
      </c>
    </row>
    <row r="752" spans="1:9" x14ac:dyDescent="0.25">
      <c r="A752">
        <v>70352</v>
      </c>
      <c r="B752" t="s">
        <v>188</v>
      </c>
      <c r="C752" t="s">
        <v>238</v>
      </c>
      <c r="D752">
        <v>4</v>
      </c>
      <c r="E752">
        <v>0</v>
      </c>
      <c r="F752" t="s">
        <v>239</v>
      </c>
      <c r="G752" t="s">
        <v>154</v>
      </c>
      <c r="H752">
        <v>0</v>
      </c>
      <c r="I752" t="s">
        <v>330</v>
      </c>
    </row>
    <row r="753" spans="1:9" x14ac:dyDescent="0.25">
      <c r="A753">
        <v>70352</v>
      </c>
      <c r="B753" t="s">
        <v>188</v>
      </c>
      <c r="C753" t="s">
        <v>238</v>
      </c>
      <c r="D753">
        <v>4</v>
      </c>
      <c r="E753">
        <v>0</v>
      </c>
      <c r="F753" t="s">
        <v>239</v>
      </c>
      <c r="G753" t="s">
        <v>16</v>
      </c>
      <c r="H753">
        <v>4964</v>
      </c>
      <c r="I753" t="s">
        <v>259</v>
      </c>
    </row>
    <row r="754" spans="1:9" x14ac:dyDescent="0.25">
      <c r="A754">
        <v>70352</v>
      </c>
      <c r="B754" t="s">
        <v>188</v>
      </c>
      <c r="C754" t="s">
        <v>238</v>
      </c>
      <c r="D754">
        <v>4</v>
      </c>
      <c r="E754">
        <v>0</v>
      </c>
      <c r="F754" t="s">
        <v>239</v>
      </c>
      <c r="G754" t="s">
        <v>19</v>
      </c>
      <c r="H754">
        <v>24626</v>
      </c>
      <c r="I754" t="s">
        <v>260</v>
      </c>
    </row>
    <row r="755" spans="1:9" x14ac:dyDescent="0.25">
      <c r="A755">
        <v>70352</v>
      </c>
      <c r="B755" t="s">
        <v>188</v>
      </c>
      <c r="C755" t="s">
        <v>238</v>
      </c>
      <c r="D755">
        <v>4</v>
      </c>
      <c r="E755">
        <v>0</v>
      </c>
      <c r="F755" t="s">
        <v>239</v>
      </c>
      <c r="G755" t="s">
        <v>19</v>
      </c>
      <c r="H755">
        <v>0</v>
      </c>
      <c r="I755" t="s">
        <v>270</v>
      </c>
    </row>
    <row r="756" spans="1:9" x14ac:dyDescent="0.25">
      <c r="A756">
        <v>70352</v>
      </c>
      <c r="B756" t="s">
        <v>188</v>
      </c>
      <c r="C756" t="s">
        <v>238</v>
      </c>
      <c r="D756">
        <v>4</v>
      </c>
      <c r="E756">
        <v>0</v>
      </c>
      <c r="F756" t="s">
        <v>241</v>
      </c>
      <c r="G756" t="s">
        <v>139</v>
      </c>
      <c r="H756">
        <v>0</v>
      </c>
      <c r="I756" t="s">
        <v>331</v>
      </c>
    </row>
    <row r="757" spans="1:9" x14ac:dyDescent="0.25">
      <c r="A757">
        <v>70352</v>
      </c>
      <c r="B757" t="s">
        <v>188</v>
      </c>
      <c r="C757" t="s">
        <v>238</v>
      </c>
      <c r="D757">
        <v>4</v>
      </c>
      <c r="E757">
        <v>0</v>
      </c>
      <c r="F757" t="s">
        <v>261</v>
      </c>
      <c r="G757" t="s">
        <v>261</v>
      </c>
      <c r="H757">
        <v>-1795464</v>
      </c>
      <c r="I757" t="s">
        <v>262</v>
      </c>
    </row>
    <row r="758" spans="1:9" x14ac:dyDescent="0.25">
      <c r="A758">
        <v>70352</v>
      </c>
      <c r="B758" t="s">
        <v>188</v>
      </c>
      <c r="C758" t="s">
        <v>238</v>
      </c>
      <c r="D758">
        <v>4</v>
      </c>
      <c r="E758">
        <v>0</v>
      </c>
      <c r="F758" t="s">
        <v>239</v>
      </c>
      <c r="G758" t="s">
        <v>19</v>
      </c>
      <c r="H758">
        <v>68000</v>
      </c>
      <c r="I758" t="s">
        <v>263</v>
      </c>
    </row>
    <row r="759" spans="1:9" x14ac:dyDescent="0.25">
      <c r="A759">
        <v>70352</v>
      </c>
      <c r="B759" t="s">
        <v>188</v>
      </c>
      <c r="C759" t="s">
        <v>238</v>
      </c>
      <c r="D759">
        <v>4</v>
      </c>
      <c r="E759">
        <v>0</v>
      </c>
      <c r="F759" t="s">
        <v>239</v>
      </c>
      <c r="G759" t="s">
        <v>16</v>
      </c>
      <c r="H759">
        <v>3255</v>
      </c>
      <c r="I759" t="s">
        <v>240</v>
      </c>
    </row>
    <row r="760" spans="1:9" x14ac:dyDescent="0.25">
      <c r="A760">
        <v>70352</v>
      </c>
      <c r="B760" t="s">
        <v>188</v>
      </c>
      <c r="C760" t="s">
        <v>238</v>
      </c>
      <c r="D760">
        <v>4</v>
      </c>
      <c r="E760">
        <v>0</v>
      </c>
      <c r="F760" t="s">
        <v>239</v>
      </c>
      <c r="G760" t="s">
        <v>19</v>
      </c>
      <c r="H760">
        <v>40841</v>
      </c>
      <c r="I760" t="s">
        <v>264</v>
      </c>
    </row>
    <row r="761" spans="1:9" x14ac:dyDescent="0.25">
      <c r="A761">
        <v>70352</v>
      </c>
      <c r="B761" t="s">
        <v>188</v>
      </c>
      <c r="C761" t="s">
        <v>238</v>
      </c>
      <c r="D761">
        <v>4</v>
      </c>
      <c r="E761">
        <v>0</v>
      </c>
      <c r="F761" t="s">
        <v>241</v>
      </c>
      <c r="G761" t="s">
        <v>158</v>
      </c>
      <c r="H761">
        <v>36375</v>
      </c>
      <c r="I761" t="s">
        <v>265</v>
      </c>
    </row>
    <row r="762" spans="1:9" x14ac:dyDescent="0.25">
      <c r="A762">
        <v>70352</v>
      </c>
      <c r="B762" t="s">
        <v>188</v>
      </c>
      <c r="C762" t="s">
        <v>238</v>
      </c>
      <c r="D762">
        <v>4</v>
      </c>
      <c r="E762">
        <v>0</v>
      </c>
      <c r="F762" t="s">
        <v>239</v>
      </c>
      <c r="G762" t="s">
        <v>19</v>
      </c>
      <c r="H762">
        <v>0</v>
      </c>
      <c r="I762" t="s">
        <v>271</v>
      </c>
    </row>
    <row r="763" spans="1:9" x14ac:dyDescent="0.25">
      <c r="A763">
        <v>70352</v>
      </c>
      <c r="B763" t="s">
        <v>188</v>
      </c>
      <c r="C763" t="s">
        <v>238</v>
      </c>
      <c r="D763">
        <v>4</v>
      </c>
      <c r="E763">
        <v>0</v>
      </c>
      <c r="F763" t="s">
        <v>239</v>
      </c>
      <c r="G763" t="s">
        <v>19</v>
      </c>
      <c r="H763">
        <v>0</v>
      </c>
      <c r="I763" t="s">
        <v>266</v>
      </c>
    </row>
    <row r="764" spans="1:9" x14ac:dyDescent="0.25">
      <c r="A764">
        <v>70352</v>
      </c>
      <c r="B764" t="s">
        <v>188</v>
      </c>
      <c r="C764" t="s">
        <v>238</v>
      </c>
      <c r="D764">
        <v>4</v>
      </c>
      <c r="E764">
        <v>0</v>
      </c>
      <c r="F764" t="s">
        <v>241</v>
      </c>
      <c r="G764" t="s">
        <v>143</v>
      </c>
      <c r="H764">
        <v>0</v>
      </c>
      <c r="I764" t="s">
        <v>332</v>
      </c>
    </row>
    <row r="765" spans="1:9" x14ac:dyDescent="0.25">
      <c r="A765">
        <v>70352</v>
      </c>
      <c r="B765" t="s">
        <v>188</v>
      </c>
      <c r="C765" t="s">
        <v>238</v>
      </c>
      <c r="D765">
        <v>4</v>
      </c>
      <c r="E765">
        <v>0</v>
      </c>
      <c r="F765" t="s">
        <v>241</v>
      </c>
      <c r="G765" t="s">
        <v>138</v>
      </c>
      <c r="H765">
        <v>0</v>
      </c>
      <c r="I765" t="s">
        <v>333</v>
      </c>
    </row>
    <row r="766" spans="1:9" x14ac:dyDescent="0.25">
      <c r="A766">
        <v>70352</v>
      </c>
      <c r="B766" t="s">
        <v>188</v>
      </c>
      <c r="C766" t="s">
        <v>238</v>
      </c>
      <c r="D766">
        <v>4</v>
      </c>
      <c r="E766">
        <v>0</v>
      </c>
      <c r="F766" t="s">
        <v>241</v>
      </c>
      <c r="G766" t="s">
        <v>138</v>
      </c>
      <c r="H766">
        <v>0</v>
      </c>
      <c r="I766" t="s">
        <v>334</v>
      </c>
    </row>
    <row r="767" spans="1:9" x14ac:dyDescent="0.25">
      <c r="A767">
        <v>70352</v>
      </c>
      <c r="B767" t="s">
        <v>188</v>
      </c>
      <c r="C767" t="s">
        <v>238</v>
      </c>
      <c r="D767">
        <v>4</v>
      </c>
      <c r="E767">
        <v>0</v>
      </c>
      <c r="F767" t="s">
        <v>241</v>
      </c>
      <c r="G767" t="s">
        <v>138</v>
      </c>
      <c r="H767">
        <v>437</v>
      </c>
      <c r="I767" t="s">
        <v>268</v>
      </c>
    </row>
    <row r="768" spans="1:9" x14ac:dyDescent="0.25">
      <c r="A768">
        <v>70352</v>
      </c>
      <c r="B768" t="s">
        <v>188</v>
      </c>
      <c r="C768" t="s">
        <v>238</v>
      </c>
      <c r="D768">
        <v>4</v>
      </c>
      <c r="E768">
        <v>0</v>
      </c>
      <c r="F768" t="s">
        <v>241</v>
      </c>
      <c r="G768" t="s">
        <v>139</v>
      </c>
      <c r="H768">
        <v>0</v>
      </c>
      <c r="I768" t="s">
        <v>336</v>
      </c>
    </row>
    <row r="769" spans="1:9" x14ac:dyDescent="0.25">
      <c r="A769">
        <v>70352</v>
      </c>
      <c r="B769" t="s">
        <v>188</v>
      </c>
      <c r="C769" t="s">
        <v>238</v>
      </c>
      <c r="D769">
        <v>4</v>
      </c>
      <c r="E769">
        <v>0</v>
      </c>
      <c r="F769" t="s">
        <v>241</v>
      </c>
      <c r="G769" t="s">
        <v>139</v>
      </c>
      <c r="H769">
        <v>0</v>
      </c>
      <c r="I769" t="s">
        <v>337</v>
      </c>
    </row>
    <row r="770" spans="1:9" x14ac:dyDescent="0.25">
      <c r="A770">
        <v>70352</v>
      </c>
      <c r="B770" t="s">
        <v>188</v>
      </c>
      <c r="C770" t="s">
        <v>238</v>
      </c>
      <c r="D770">
        <v>4</v>
      </c>
      <c r="E770">
        <v>0</v>
      </c>
      <c r="F770" t="s">
        <v>241</v>
      </c>
      <c r="G770" t="s">
        <v>139</v>
      </c>
      <c r="H770">
        <v>0</v>
      </c>
      <c r="I770" t="s">
        <v>335</v>
      </c>
    </row>
    <row r="771" spans="1:9" x14ac:dyDescent="0.25">
      <c r="A771">
        <v>70352</v>
      </c>
      <c r="B771" t="s">
        <v>188</v>
      </c>
      <c r="C771" t="s">
        <v>238</v>
      </c>
      <c r="D771">
        <v>4</v>
      </c>
      <c r="E771">
        <v>0</v>
      </c>
      <c r="F771" t="s">
        <v>241</v>
      </c>
      <c r="G771" t="s">
        <v>24</v>
      </c>
      <c r="H771">
        <v>0</v>
      </c>
      <c r="I771" t="s">
        <v>338</v>
      </c>
    </row>
    <row r="772" spans="1:9" x14ac:dyDescent="0.25">
      <c r="A772">
        <v>70352</v>
      </c>
      <c r="B772" t="s">
        <v>188</v>
      </c>
      <c r="C772" t="s">
        <v>238</v>
      </c>
      <c r="D772">
        <v>4</v>
      </c>
      <c r="E772">
        <v>0</v>
      </c>
      <c r="F772" t="s">
        <v>241</v>
      </c>
      <c r="G772" t="s">
        <v>24</v>
      </c>
      <c r="H772">
        <v>0</v>
      </c>
      <c r="I772" t="s">
        <v>339</v>
      </c>
    </row>
    <row r="773" spans="1:9" x14ac:dyDescent="0.25">
      <c r="A773">
        <v>70352</v>
      </c>
      <c r="B773" t="s">
        <v>188</v>
      </c>
      <c r="C773" t="s">
        <v>238</v>
      </c>
      <c r="D773">
        <v>4</v>
      </c>
      <c r="E773">
        <v>0</v>
      </c>
      <c r="F773" t="s">
        <v>241</v>
      </c>
      <c r="G773" t="s">
        <v>24</v>
      </c>
      <c r="H773">
        <v>0</v>
      </c>
      <c r="I773" t="s">
        <v>340</v>
      </c>
    </row>
    <row r="774" spans="1:9" x14ac:dyDescent="0.25">
      <c r="A774">
        <v>70352</v>
      </c>
      <c r="B774" t="s">
        <v>188</v>
      </c>
      <c r="C774" t="s">
        <v>238</v>
      </c>
      <c r="D774">
        <v>4</v>
      </c>
      <c r="E774">
        <v>0</v>
      </c>
      <c r="F774" t="s">
        <v>241</v>
      </c>
      <c r="G774" t="s">
        <v>137</v>
      </c>
      <c r="H774">
        <v>0</v>
      </c>
      <c r="I774" t="s">
        <v>273</v>
      </c>
    </row>
    <row r="775" spans="1:9" x14ac:dyDescent="0.25">
      <c r="A775">
        <v>70352</v>
      </c>
      <c r="B775" t="s">
        <v>188</v>
      </c>
      <c r="C775" t="s">
        <v>238</v>
      </c>
      <c r="D775">
        <v>4</v>
      </c>
      <c r="E775">
        <v>0</v>
      </c>
      <c r="F775" t="s">
        <v>241</v>
      </c>
      <c r="G775" t="s">
        <v>137</v>
      </c>
      <c r="H775">
        <v>0</v>
      </c>
      <c r="I775" t="s">
        <v>341</v>
      </c>
    </row>
    <row r="776" spans="1:9" x14ac:dyDescent="0.25">
      <c r="A776">
        <v>70352</v>
      </c>
      <c r="B776" t="s">
        <v>188</v>
      </c>
      <c r="C776" t="s">
        <v>238</v>
      </c>
      <c r="D776">
        <v>4</v>
      </c>
      <c r="E776">
        <v>0</v>
      </c>
      <c r="F776" t="s">
        <v>241</v>
      </c>
      <c r="G776" t="s">
        <v>137</v>
      </c>
      <c r="H776">
        <v>0</v>
      </c>
      <c r="I776" t="s">
        <v>342</v>
      </c>
    </row>
    <row r="777" spans="1:9" x14ac:dyDescent="0.25">
      <c r="A777">
        <v>70352</v>
      </c>
      <c r="B777" t="s">
        <v>188</v>
      </c>
      <c r="C777" t="s">
        <v>238</v>
      </c>
      <c r="D777">
        <v>4</v>
      </c>
      <c r="E777">
        <v>0</v>
      </c>
      <c r="F777" t="s">
        <v>241</v>
      </c>
      <c r="G777" t="s">
        <v>137</v>
      </c>
      <c r="H777">
        <v>0</v>
      </c>
      <c r="I777" t="s">
        <v>343</v>
      </c>
    </row>
    <row r="778" spans="1:9" x14ac:dyDescent="0.25">
      <c r="A778">
        <v>70352</v>
      </c>
      <c r="B778" t="s">
        <v>188</v>
      </c>
      <c r="C778" t="s">
        <v>238</v>
      </c>
      <c r="D778">
        <v>4</v>
      </c>
      <c r="E778">
        <v>0</v>
      </c>
      <c r="F778" t="s">
        <v>241</v>
      </c>
      <c r="G778" t="s">
        <v>143</v>
      </c>
      <c r="H778">
        <v>0</v>
      </c>
      <c r="I778" t="s">
        <v>344</v>
      </c>
    </row>
    <row r="779" spans="1:9" x14ac:dyDescent="0.25">
      <c r="A779">
        <v>70352</v>
      </c>
      <c r="B779" t="s">
        <v>188</v>
      </c>
      <c r="C779" t="s">
        <v>238</v>
      </c>
      <c r="D779">
        <v>4</v>
      </c>
      <c r="E779">
        <v>0</v>
      </c>
      <c r="F779" t="s">
        <v>241</v>
      </c>
      <c r="G779" t="s">
        <v>143</v>
      </c>
      <c r="H779">
        <v>0</v>
      </c>
      <c r="I779" t="s">
        <v>345</v>
      </c>
    </row>
    <row r="780" spans="1:9" x14ac:dyDescent="0.25">
      <c r="A780">
        <v>70352</v>
      </c>
      <c r="B780" t="s">
        <v>188</v>
      </c>
      <c r="C780" t="s">
        <v>238</v>
      </c>
      <c r="D780">
        <v>4</v>
      </c>
      <c r="E780">
        <v>0</v>
      </c>
      <c r="F780" t="s">
        <v>241</v>
      </c>
      <c r="G780" t="s">
        <v>143</v>
      </c>
      <c r="H780">
        <v>0</v>
      </c>
      <c r="I780" t="s">
        <v>346</v>
      </c>
    </row>
    <row r="781" spans="1:9" x14ac:dyDescent="0.25">
      <c r="A781">
        <v>70352</v>
      </c>
      <c r="B781" t="s">
        <v>188</v>
      </c>
      <c r="C781" t="s">
        <v>238</v>
      </c>
      <c r="D781">
        <v>4</v>
      </c>
      <c r="E781">
        <v>0</v>
      </c>
      <c r="F781" t="s">
        <v>241</v>
      </c>
      <c r="G781" t="s">
        <v>138</v>
      </c>
      <c r="H781">
        <v>0</v>
      </c>
      <c r="I781" t="s">
        <v>347</v>
      </c>
    </row>
    <row r="782" spans="1:9" x14ac:dyDescent="0.25">
      <c r="A782">
        <v>70354</v>
      </c>
      <c r="B782" t="s">
        <v>190</v>
      </c>
      <c r="C782" t="s">
        <v>238</v>
      </c>
      <c r="D782">
        <v>4</v>
      </c>
      <c r="E782">
        <v>0</v>
      </c>
      <c r="F782" t="s">
        <v>239</v>
      </c>
      <c r="G782" t="s">
        <v>153</v>
      </c>
      <c r="H782">
        <v>0</v>
      </c>
      <c r="I782" t="s">
        <v>351</v>
      </c>
    </row>
    <row r="783" spans="1:9" x14ac:dyDescent="0.25">
      <c r="A783">
        <v>70354</v>
      </c>
      <c r="B783" t="s">
        <v>190</v>
      </c>
      <c r="C783" t="s">
        <v>238</v>
      </c>
      <c r="D783">
        <v>4</v>
      </c>
      <c r="E783">
        <v>0</v>
      </c>
      <c r="F783" t="s">
        <v>239</v>
      </c>
      <c r="G783" t="s">
        <v>152</v>
      </c>
      <c r="H783">
        <v>0</v>
      </c>
      <c r="I783" t="s">
        <v>352</v>
      </c>
    </row>
    <row r="784" spans="1:9" x14ac:dyDescent="0.25">
      <c r="A784">
        <v>70354</v>
      </c>
      <c r="B784" t="s">
        <v>190</v>
      </c>
      <c r="C784" t="s">
        <v>238</v>
      </c>
      <c r="D784">
        <v>4</v>
      </c>
      <c r="E784">
        <v>0</v>
      </c>
      <c r="F784" t="s">
        <v>239</v>
      </c>
      <c r="G784" t="s">
        <v>154</v>
      </c>
      <c r="H784">
        <v>0</v>
      </c>
      <c r="I784" t="s">
        <v>349</v>
      </c>
    </row>
    <row r="785" spans="1:9" x14ac:dyDescent="0.25">
      <c r="A785">
        <v>70354</v>
      </c>
      <c r="B785" t="s">
        <v>190</v>
      </c>
      <c r="C785" t="s">
        <v>238</v>
      </c>
      <c r="D785">
        <v>4</v>
      </c>
      <c r="E785">
        <v>0</v>
      </c>
      <c r="F785" t="s">
        <v>241</v>
      </c>
      <c r="G785" t="s">
        <v>26</v>
      </c>
      <c r="H785">
        <v>0</v>
      </c>
      <c r="I785" t="s">
        <v>350</v>
      </c>
    </row>
    <row r="786" spans="1:9" x14ac:dyDescent="0.25">
      <c r="A786">
        <v>70354</v>
      </c>
      <c r="B786" t="s">
        <v>190</v>
      </c>
      <c r="C786" t="s">
        <v>238</v>
      </c>
      <c r="D786">
        <v>4</v>
      </c>
      <c r="E786">
        <v>0</v>
      </c>
      <c r="F786" t="s">
        <v>241</v>
      </c>
      <c r="G786" t="s">
        <v>23</v>
      </c>
      <c r="H786">
        <v>0</v>
      </c>
      <c r="I786" t="s">
        <v>269</v>
      </c>
    </row>
    <row r="787" spans="1:9" x14ac:dyDescent="0.25">
      <c r="A787">
        <v>70354</v>
      </c>
      <c r="B787" t="s">
        <v>190</v>
      </c>
      <c r="C787" t="s">
        <v>238</v>
      </c>
      <c r="D787">
        <v>4</v>
      </c>
      <c r="E787">
        <v>0</v>
      </c>
      <c r="F787" t="s">
        <v>241</v>
      </c>
      <c r="G787" t="s">
        <v>26</v>
      </c>
      <c r="H787">
        <v>0</v>
      </c>
      <c r="I787" t="s">
        <v>353</v>
      </c>
    </row>
    <row r="788" spans="1:9" x14ac:dyDescent="0.25">
      <c r="A788">
        <v>70354</v>
      </c>
      <c r="B788" t="s">
        <v>190</v>
      </c>
      <c r="C788" t="s">
        <v>238</v>
      </c>
      <c r="D788">
        <v>4</v>
      </c>
      <c r="E788">
        <v>0</v>
      </c>
      <c r="F788" t="s">
        <v>241</v>
      </c>
      <c r="G788" t="s">
        <v>157</v>
      </c>
      <c r="H788">
        <v>0</v>
      </c>
      <c r="I788" t="s">
        <v>348</v>
      </c>
    </row>
    <row r="789" spans="1:9" x14ac:dyDescent="0.25">
      <c r="A789">
        <v>70354</v>
      </c>
      <c r="B789" t="s">
        <v>190</v>
      </c>
      <c r="C789" t="s">
        <v>238</v>
      </c>
      <c r="D789">
        <v>4</v>
      </c>
      <c r="E789">
        <v>0</v>
      </c>
      <c r="F789" t="s">
        <v>261</v>
      </c>
      <c r="G789" t="s">
        <v>261</v>
      </c>
      <c r="H789">
        <v>0</v>
      </c>
      <c r="I789" t="s">
        <v>272</v>
      </c>
    </row>
    <row r="790" spans="1:9" x14ac:dyDescent="0.25">
      <c r="A790">
        <v>70354</v>
      </c>
      <c r="B790" t="s">
        <v>190</v>
      </c>
      <c r="C790" t="s">
        <v>238</v>
      </c>
      <c r="D790">
        <v>4</v>
      </c>
      <c r="E790">
        <v>0</v>
      </c>
      <c r="F790" t="s">
        <v>261</v>
      </c>
      <c r="G790" t="s">
        <v>261</v>
      </c>
      <c r="H790">
        <v>0</v>
      </c>
      <c r="I790" t="s">
        <v>354</v>
      </c>
    </row>
    <row r="791" spans="1:9" x14ac:dyDescent="0.25">
      <c r="A791">
        <v>70354</v>
      </c>
      <c r="B791" t="s">
        <v>190</v>
      </c>
      <c r="C791" t="s">
        <v>238</v>
      </c>
      <c r="D791">
        <v>4</v>
      </c>
      <c r="E791">
        <v>0</v>
      </c>
      <c r="F791" t="s">
        <v>247</v>
      </c>
      <c r="G791" t="s">
        <v>12</v>
      </c>
      <c r="H791">
        <v>-2065180</v>
      </c>
      <c r="I791" t="s">
        <v>248</v>
      </c>
    </row>
    <row r="792" spans="1:9" x14ac:dyDescent="0.25">
      <c r="A792">
        <v>70354</v>
      </c>
      <c r="B792" t="s">
        <v>190</v>
      </c>
      <c r="C792" t="s">
        <v>238</v>
      </c>
      <c r="D792">
        <v>4</v>
      </c>
      <c r="E792">
        <v>0</v>
      </c>
      <c r="F792" t="s">
        <v>247</v>
      </c>
      <c r="G792" t="s">
        <v>13</v>
      </c>
      <c r="H792">
        <v>10067698</v>
      </c>
      <c r="I792" t="s">
        <v>249</v>
      </c>
    </row>
    <row r="793" spans="1:9" x14ac:dyDescent="0.25">
      <c r="A793">
        <v>70354</v>
      </c>
      <c r="B793" t="s">
        <v>190</v>
      </c>
      <c r="C793" t="s">
        <v>238</v>
      </c>
      <c r="D793">
        <v>4</v>
      </c>
      <c r="E793">
        <v>0</v>
      </c>
      <c r="F793" t="s">
        <v>241</v>
      </c>
      <c r="G793" t="s">
        <v>25</v>
      </c>
      <c r="H793">
        <v>15194</v>
      </c>
      <c r="I793" t="s">
        <v>250</v>
      </c>
    </row>
    <row r="794" spans="1:9" x14ac:dyDescent="0.25">
      <c r="A794">
        <v>70354</v>
      </c>
      <c r="B794" t="s">
        <v>190</v>
      </c>
      <c r="C794" t="s">
        <v>238</v>
      </c>
      <c r="D794">
        <v>4</v>
      </c>
      <c r="E794">
        <v>0</v>
      </c>
      <c r="F794" t="s">
        <v>241</v>
      </c>
      <c r="G794" t="s">
        <v>26</v>
      </c>
      <c r="H794">
        <v>0</v>
      </c>
      <c r="I794" t="s">
        <v>251</v>
      </c>
    </row>
    <row r="795" spans="1:9" x14ac:dyDescent="0.25">
      <c r="A795">
        <v>70354</v>
      </c>
      <c r="B795" t="s">
        <v>190</v>
      </c>
      <c r="C795" t="s">
        <v>238</v>
      </c>
      <c r="D795">
        <v>4</v>
      </c>
      <c r="E795">
        <v>0</v>
      </c>
      <c r="F795" t="s">
        <v>239</v>
      </c>
      <c r="G795" t="s">
        <v>18</v>
      </c>
      <c r="H795">
        <v>454241</v>
      </c>
      <c r="I795" t="s">
        <v>252</v>
      </c>
    </row>
    <row r="796" spans="1:9" x14ac:dyDescent="0.25">
      <c r="A796">
        <v>70354</v>
      </c>
      <c r="B796" t="s">
        <v>190</v>
      </c>
      <c r="C796" t="s">
        <v>238</v>
      </c>
      <c r="D796">
        <v>4</v>
      </c>
      <c r="E796">
        <v>0</v>
      </c>
      <c r="F796" t="s">
        <v>241</v>
      </c>
      <c r="G796" t="s">
        <v>26</v>
      </c>
      <c r="H796">
        <v>136373</v>
      </c>
      <c r="I796" t="s">
        <v>253</v>
      </c>
    </row>
    <row r="797" spans="1:9" x14ac:dyDescent="0.25">
      <c r="A797">
        <v>70354</v>
      </c>
      <c r="B797" t="s">
        <v>190</v>
      </c>
      <c r="C797" t="s">
        <v>238</v>
      </c>
      <c r="D797">
        <v>4</v>
      </c>
      <c r="E797">
        <v>0</v>
      </c>
      <c r="F797" t="s">
        <v>247</v>
      </c>
      <c r="G797" t="s">
        <v>15</v>
      </c>
      <c r="H797">
        <v>385385</v>
      </c>
      <c r="I797" t="s">
        <v>254</v>
      </c>
    </row>
    <row r="798" spans="1:9" x14ac:dyDescent="0.25">
      <c r="A798">
        <v>70354</v>
      </c>
      <c r="B798" t="s">
        <v>190</v>
      </c>
      <c r="C798" t="s">
        <v>238</v>
      </c>
      <c r="D798">
        <v>4</v>
      </c>
      <c r="E798">
        <v>0</v>
      </c>
      <c r="F798" t="s">
        <v>247</v>
      </c>
      <c r="G798" t="s">
        <v>14</v>
      </c>
      <c r="H798">
        <v>0</v>
      </c>
      <c r="I798" t="s">
        <v>355</v>
      </c>
    </row>
    <row r="799" spans="1:9" x14ac:dyDescent="0.25">
      <c r="A799">
        <v>70354</v>
      </c>
      <c r="B799" t="s">
        <v>190</v>
      </c>
      <c r="C799" t="s">
        <v>238</v>
      </c>
      <c r="D799">
        <v>4</v>
      </c>
      <c r="E799">
        <v>0</v>
      </c>
      <c r="F799" t="s">
        <v>241</v>
      </c>
      <c r="G799" t="s">
        <v>23</v>
      </c>
      <c r="H799">
        <v>292716</v>
      </c>
      <c r="I799" t="s">
        <v>242</v>
      </c>
    </row>
    <row r="800" spans="1:9" x14ac:dyDescent="0.25">
      <c r="A800">
        <v>70354</v>
      </c>
      <c r="B800" t="s">
        <v>190</v>
      </c>
      <c r="C800" t="s">
        <v>238</v>
      </c>
      <c r="D800">
        <v>4</v>
      </c>
      <c r="E800">
        <v>0</v>
      </c>
      <c r="F800" t="s">
        <v>241</v>
      </c>
      <c r="G800" t="s">
        <v>24</v>
      </c>
      <c r="H800">
        <v>265243</v>
      </c>
      <c r="I800" t="s">
        <v>243</v>
      </c>
    </row>
    <row r="801" spans="1:9" x14ac:dyDescent="0.25">
      <c r="A801">
        <v>70354</v>
      </c>
      <c r="B801" t="s">
        <v>190</v>
      </c>
      <c r="C801" t="s">
        <v>238</v>
      </c>
      <c r="D801">
        <v>4</v>
      </c>
      <c r="E801">
        <v>0</v>
      </c>
      <c r="F801" t="s">
        <v>241</v>
      </c>
      <c r="G801" t="s">
        <v>21</v>
      </c>
      <c r="H801">
        <v>0</v>
      </c>
      <c r="I801" t="s">
        <v>356</v>
      </c>
    </row>
    <row r="802" spans="1:9" x14ac:dyDescent="0.25">
      <c r="A802">
        <v>70354</v>
      </c>
      <c r="B802" t="s">
        <v>190</v>
      </c>
      <c r="C802" t="s">
        <v>238</v>
      </c>
      <c r="D802">
        <v>4</v>
      </c>
      <c r="E802">
        <v>0</v>
      </c>
      <c r="F802" t="s">
        <v>239</v>
      </c>
      <c r="G802" t="s">
        <v>20</v>
      </c>
      <c r="H802">
        <v>-5365</v>
      </c>
      <c r="I802" t="s">
        <v>244</v>
      </c>
    </row>
    <row r="803" spans="1:9" x14ac:dyDescent="0.25">
      <c r="A803">
        <v>70354</v>
      </c>
      <c r="B803" t="s">
        <v>190</v>
      </c>
      <c r="C803" t="s">
        <v>238</v>
      </c>
      <c r="D803">
        <v>4</v>
      </c>
      <c r="E803">
        <v>0</v>
      </c>
      <c r="F803" t="s">
        <v>241</v>
      </c>
      <c r="G803" t="s">
        <v>22</v>
      </c>
      <c r="H803">
        <v>0</v>
      </c>
      <c r="I803" t="s">
        <v>245</v>
      </c>
    </row>
    <row r="804" spans="1:9" x14ac:dyDescent="0.25">
      <c r="A804">
        <v>70354</v>
      </c>
      <c r="B804" t="s">
        <v>190</v>
      </c>
      <c r="C804" t="s">
        <v>238</v>
      </c>
      <c r="D804">
        <v>4</v>
      </c>
      <c r="E804">
        <v>0</v>
      </c>
      <c r="F804" t="s">
        <v>241</v>
      </c>
      <c r="G804" t="s">
        <v>26</v>
      </c>
      <c r="H804">
        <v>4012</v>
      </c>
      <c r="I804" t="s">
        <v>246</v>
      </c>
    </row>
    <row r="805" spans="1:9" x14ac:dyDescent="0.25">
      <c r="A805">
        <v>70354</v>
      </c>
      <c r="B805" t="s">
        <v>190</v>
      </c>
      <c r="C805" t="s">
        <v>238</v>
      </c>
      <c r="D805">
        <v>4</v>
      </c>
      <c r="E805">
        <v>0</v>
      </c>
      <c r="F805" t="s">
        <v>239</v>
      </c>
      <c r="G805" t="s">
        <v>17</v>
      </c>
      <c r="H805">
        <v>0</v>
      </c>
      <c r="I805" t="s">
        <v>357</v>
      </c>
    </row>
    <row r="806" spans="1:9" x14ac:dyDescent="0.25">
      <c r="A806">
        <v>70354</v>
      </c>
      <c r="B806" t="s">
        <v>190</v>
      </c>
      <c r="C806" t="s">
        <v>238</v>
      </c>
      <c r="D806">
        <v>4</v>
      </c>
      <c r="E806">
        <v>0</v>
      </c>
      <c r="F806" t="s">
        <v>241</v>
      </c>
      <c r="G806" t="s">
        <v>24</v>
      </c>
      <c r="H806">
        <v>0</v>
      </c>
      <c r="I806" t="s">
        <v>358</v>
      </c>
    </row>
    <row r="807" spans="1:9" x14ac:dyDescent="0.25">
      <c r="A807">
        <v>70354</v>
      </c>
      <c r="B807" t="s">
        <v>190</v>
      </c>
      <c r="C807" t="s">
        <v>238</v>
      </c>
      <c r="D807">
        <v>4</v>
      </c>
      <c r="E807">
        <v>0</v>
      </c>
      <c r="F807" t="s">
        <v>241</v>
      </c>
      <c r="G807" t="s">
        <v>27</v>
      </c>
      <c r="H807">
        <v>0</v>
      </c>
      <c r="I807" t="s">
        <v>359</v>
      </c>
    </row>
    <row r="808" spans="1:9" x14ac:dyDescent="0.25">
      <c r="A808">
        <v>70354</v>
      </c>
      <c r="B808" t="s">
        <v>190</v>
      </c>
      <c r="C808" t="s">
        <v>238</v>
      </c>
      <c r="D808">
        <v>4</v>
      </c>
      <c r="E808">
        <v>0</v>
      </c>
      <c r="F808" t="s">
        <v>239</v>
      </c>
      <c r="G808" t="s">
        <v>19</v>
      </c>
      <c r="H808">
        <v>0</v>
      </c>
      <c r="I808" t="s">
        <v>360</v>
      </c>
    </row>
    <row r="809" spans="1:9" x14ac:dyDescent="0.25">
      <c r="A809">
        <v>70354</v>
      </c>
      <c r="B809" t="s">
        <v>190</v>
      </c>
      <c r="C809" t="s">
        <v>238</v>
      </c>
      <c r="D809">
        <v>4</v>
      </c>
      <c r="E809">
        <v>0</v>
      </c>
      <c r="F809" t="s">
        <v>239</v>
      </c>
      <c r="G809" t="s">
        <v>20</v>
      </c>
      <c r="H809">
        <v>115073</v>
      </c>
      <c r="I809" t="s">
        <v>255</v>
      </c>
    </row>
    <row r="810" spans="1:9" x14ac:dyDescent="0.25">
      <c r="A810">
        <v>70354</v>
      </c>
      <c r="B810" t="s">
        <v>190</v>
      </c>
      <c r="C810" t="s">
        <v>238</v>
      </c>
      <c r="D810">
        <v>4</v>
      </c>
      <c r="E810">
        <v>0</v>
      </c>
      <c r="F810" t="s">
        <v>247</v>
      </c>
      <c r="G810" t="s">
        <v>148</v>
      </c>
      <c r="H810">
        <v>0</v>
      </c>
      <c r="I810" t="s">
        <v>256</v>
      </c>
    </row>
    <row r="811" spans="1:9" x14ac:dyDescent="0.25">
      <c r="A811">
        <v>70354</v>
      </c>
      <c r="B811" t="s">
        <v>190</v>
      </c>
      <c r="C811" t="s">
        <v>238</v>
      </c>
      <c r="D811">
        <v>4</v>
      </c>
      <c r="E811">
        <v>0</v>
      </c>
      <c r="F811" t="s">
        <v>241</v>
      </c>
      <c r="G811" t="s">
        <v>27</v>
      </c>
      <c r="H811">
        <v>8503317</v>
      </c>
      <c r="I811" t="s">
        <v>257</v>
      </c>
    </row>
    <row r="812" spans="1:9" x14ac:dyDescent="0.25">
      <c r="A812">
        <v>70354</v>
      </c>
      <c r="B812" t="s">
        <v>190</v>
      </c>
      <c r="C812" t="s">
        <v>238</v>
      </c>
      <c r="D812">
        <v>4</v>
      </c>
      <c r="E812">
        <v>0</v>
      </c>
      <c r="F812" t="s">
        <v>241</v>
      </c>
      <c r="G812" t="s">
        <v>27</v>
      </c>
      <c r="H812">
        <v>0</v>
      </c>
      <c r="I812" t="s">
        <v>361</v>
      </c>
    </row>
    <row r="813" spans="1:9" x14ac:dyDescent="0.25">
      <c r="A813">
        <v>70354</v>
      </c>
      <c r="B813" t="s">
        <v>190</v>
      </c>
      <c r="C813" t="s">
        <v>238</v>
      </c>
      <c r="D813">
        <v>4</v>
      </c>
      <c r="E813">
        <v>0</v>
      </c>
      <c r="F813" t="s">
        <v>241</v>
      </c>
      <c r="G813" t="s">
        <v>27</v>
      </c>
      <c r="H813">
        <v>0</v>
      </c>
      <c r="I813" t="s">
        <v>362</v>
      </c>
    </row>
    <row r="814" spans="1:9" x14ac:dyDescent="0.25">
      <c r="A814">
        <v>70354</v>
      </c>
      <c r="B814" t="s">
        <v>190</v>
      </c>
      <c r="C814" t="s">
        <v>238</v>
      </c>
      <c r="D814">
        <v>4</v>
      </c>
      <c r="E814">
        <v>0</v>
      </c>
      <c r="F814" t="s">
        <v>241</v>
      </c>
      <c r="G814" t="s">
        <v>27</v>
      </c>
      <c r="H814">
        <v>0</v>
      </c>
      <c r="I814" t="s">
        <v>363</v>
      </c>
    </row>
    <row r="815" spans="1:9" x14ac:dyDescent="0.25">
      <c r="A815">
        <v>70354</v>
      </c>
      <c r="B815" t="s">
        <v>190</v>
      </c>
      <c r="C815" t="s">
        <v>238</v>
      </c>
      <c r="D815">
        <v>4</v>
      </c>
      <c r="E815">
        <v>0</v>
      </c>
      <c r="F815" t="s">
        <v>239</v>
      </c>
      <c r="G815" t="s">
        <v>16</v>
      </c>
      <c r="H815">
        <v>23</v>
      </c>
      <c r="I815" t="s">
        <v>267</v>
      </c>
    </row>
    <row r="816" spans="1:9" x14ac:dyDescent="0.25">
      <c r="A816">
        <v>70354</v>
      </c>
      <c r="B816" t="s">
        <v>190</v>
      </c>
      <c r="C816" t="s">
        <v>238</v>
      </c>
      <c r="D816">
        <v>4</v>
      </c>
      <c r="E816">
        <v>0</v>
      </c>
      <c r="F816" t="s">
        <v>239</v>
      </c>
      <c r="G816" t="s">
        <v>152</v>
      </c>
      <c r="H816">
        <v>73387</v>
      </c>
      <c r="I816" t="s">
        <v>258</v>
      </c>
    </row>
    <row r="817" spans="1:9" x14ac:dyDescent="0.25">
      <c r="A817">
        <v>70354</v>
      </c>
      <c r="B817" t="s">
        <v>190</v>
      </c>
      <c r="C817" t="s">
        <v>238</v>
      </c>
      <c r="D817">
        <v>4</v>
      </c>
      <c r="E817">
        <v>0</v>
      </c>
      <c r="F817" t="s">
        <v>239</v>
      </c>
      <c r="G817" t="s">
        <v>154</v>
      </c>
      <c r="H817">
        <v>0</v>
      </c>
      <c r="I817" t="s">
        <v>330</v>
      </c>
    </row>
    <row r="818" spans="1:9" x14ac:dyDescent="0.25">
      <c r="A818">
        <v>70354</v>
      </c>
      <c r="B818" t="s">
        <v>190</v>
      </c>
      <c r="C818" t="s">
        <v>238</v>
      </c>
      <c r="D818">
        <v>4</v>
      </c>
      <c r="E818">
        <v>0</v>
      </c>
      <c r="F818" t="s">
        <v>239</v>
      </c>
      <c r="G818" t="s">
        <v>16</v>
      </c>
      <c r="H818">
        <v>4789</v>
      </c>
      <c r="I818" t="s">
        <v>259</v>
      </c>
    </row>
    <row r="819" spans="1:9" x14ac:dyDescent="0.25">
      <c r="A819">
        <v>70354</v>
      </c>
      <c r="B819" t="s">
        <v>190</v>
      </c>
      <c r="C819" t="s">
        <v>238</v>
      </c>
      <c r="D819">
        <v>4</v>
      </c>
      <c r="E819">
        <v>0</v>
      </c>
      <c r="F819" t="s">
        <v>239</v>
      </c>
      <c r="G819" t="s">
        <v>19</v>
      </c>
      <c r="H819">
        <v>85604</v>
      </c>
      <c r="I819" t="s">
        <v>260</v>
      </c>
    </row>
    <row r="820" spans="1:9" x14ac:dyDescent="0.25">
      <c r="A820">
        <v>70354</v>
      </c>
      <c r="B820" t="s">
        <v>190</v>
      </c>
      <c r="C820" t="s">
        <v>238</v>
      </c>
      <c r="D820">
        <v>4</v>
      </c>
      <c r="E820">
        <v>0</v>
      </c>
      <c r="F820" t="s">
        <v>239</v>
      </c>
      <c r="G820" t="s">
        <v>19</v>
      </c>
      <c r="H820">
        <v>-626028</v>
      </c>
      <c r="I820" t="s">
        <v>270</v>
      </c>
    </row>
    <row r="821" spans="1:9" x14ac:dyDescent="0.25">
      <c r="A821">
        <v>70354</v>
      </c>
      <c r="B821" t="s">
        <v>190</v>
      </c>
      <c r="C821" t="s">
        <v>238</v>
      </c>
      <c r="D821">
        <v>4</v>
      </c>
      <c r="E821">
        <v>0</v>
      </c>
      <c r="F821" t="s">
        <v>241</v>
      </c>
      <c r="G821" t="s">
        <v>139</v>
      </c>
      <c r="H821">
        <v>0</v>
      </c>
      <c r="I821" t="s">
        <v>331</v>
      </c>
    </row>
    <row r="822" spans="1:9" x14ac:dyDescent="0.25">
      <c r="A822">
        <v>70354</v>
      </c>
      <c r="B822" t="s">
        <v>190</v>
      </c>
      <c r="C822" t="s">
        <v>238</v>
      </c>
      <c r="D822">
        <v>4</v>
      </c>
      <c r="E822">
        <v>0</v>
      </c>
      <c r="F822" t="s">
        <v>261</v>
      </c>
      <c r="G822" t="s">
        <v>261</v>
      </c>
      <c r="H822">
        <v>915099</v>
      </c>
      <c r="I822" t="s">
        <v>262</v>
      </c>
    </row>
    <row r="823" spans="1:9" x14ac:dyDescent="0.25">
      <c r="A823">
        <v>70354</v>
      </c>
      <c r="B823" t="s">
        <v>190</v>
      </c>
      <c r="C823" t="s">
        <v>238</v>
      </c>
      <c r="D823">
        <v>4</v>
      </c>
      <c r="E823">
        <v>0</v>
      </c>
      <c r="F823" t="s">
        <v>239</v>
      </c>
      <c r="G823" t="s">
        <v>19</v>
      </c>
      <c r="H823">
        <v>475911</v>
      </c>
      <c r="I823" t="s">
        <v>263</v>
      </c>
    </row>
    <row r="824" spans="1:9" x14ac:dyDescent="0.25">
      <c r="A824">
        <v>70354</v>
      </c>
      <c r="B824" t="s">
        <v>190</v>
      </c>
      <c r="C824" t="s">
        <v>238</v>
      </c>
      <c r="D824">
        <v>4</v>
      </c>
      <c r="E824">
        <v>0</v>
      </c>
      <c r="F824" t="s">
        <v>239</v>
      </c>
      <c r="G824" t="s">
        <v>16</v>
      </c>
      <c r="H824">
        <v>6776</v>
      </c>
      <c r="I824" t="s">
        <v>240</v>
      </c>
    </row>
    <row r="825" spans="1:9" x14ac:dyDescent="0.25">
      <c r="A825">
        <v>70354</v>
      </c>
      <c r="B825" t="s">
        <v>190</v>
      </c>
      <c r="C825" t="s">
        <v>238</v>
      </c>
      <c r="D825">
        <v>4</v>
      </c>
      <c r="E825">
        <v>0</v>
      </c>
      <c r="F825" t="s">
        <v>239</v>
      </c>
      <c r="G825" t="s">
        <v>19</v>
      </c>
      <c r="H825">
        <v>82710</v>
      </c>
      <c r="I825" t="s">
        <v>264</v>
      </c>
    </row>
    <row r="826" spans="1:9" x14ac:dyDescent="0.25">
      <c r="A826">
        <v>70354</v>
      </c>
      <c r="B826" t="s">
        <v>190</v>
      </c>
      <c r="C826" t="s">
        <v>238</v>
      </c>
      <c r="D826">
        <v>4</v>
      </c>
      <c r="E826">
        <v>0</v>
      </c>
      <c r="F826" t="s">
        <v>241</v>
      </c>
      <c r="G826" t="s">
        <v>158</v>
      </c>
      <c r="H826">
        <v>80307</v>
      </c>
      <c r="I826" t="s">
        <v>265</v>
      </c>
    </row>
    <row r="827" spans="1:9" x14ac:dyDescent="0.25">
      <c r="A827">
        <v>70354</v>
      </c>
      <c r="B827" t="s">
        <v>190</v>
      </c>
      <c r="C827" t="s">
        <v>238</v>
      </c>
      <c r="D827">
        <v>4</v>
      </c>
      <c r="E827">
        <v>0</v>
      </c>
      <c r="F827" t="s">
        <v>239</v>
      </c>
      <c r="G827" t="s">
        <v>19</v>
      </c>
      <c r="H827">
        <v>626028</v>
      </c>
      <c r="I827" t="s">
        <v>271</v>
      </c>
    </row>
    <row r="828" spans="1:9" x14ac:dyDescent="0.25">
      <c r="A828">
        <v>70354</v>
      </c>
      <c r="B828" t="s">
        <v>190</v>
      </c>
      <c r="C828" t="s">
        <v>238</v>
      </c>
      <c r="D828">
        <v>4</v>
      </c>
      <c r="E828">
        <v>0</v>
      </c>
      <c r="F828" t="s">
        <v>239</v>
      </c>
      <c r="G828" t="s">
        <v>19</v>
      </c>
      <c r="H828">
        <v>287641</v>
      </c>
      <c r="I828" t="s">
        <v>266</v>
      </c>
    </row>
    <row r="829" spans="1:9" x14ac:dyDescent="0.25">
      <c r="A829">
        <v>70354</v>
      </c>
      <c r="B829" t="s">
        <v>190</v>
      </c>
      <c r="C829" t="s">
        <v>238</v>
      </c>
      <c r="D829">
        <v>4</v>
      </c>
      <c r="E829">
        <v>0</v>
      </c>
      <c r="F829" t="s">
        <v>241</v>
      </c>
      <c r="G829" t="s">
        <v>143</v>
      </c>
      <c r="H829">
        <v>0</v>
      </c>
      <c r="I829" t="s">
        <v>332</v>
      </c>
    </row>
    <row r="830" spans="1:9" x14ac:dyDescent="0.25">
      <c r="A830">
        <v>70354</v>
      </c>
      <c r="B830" t="s">
        <v>190</v>
      </c>
      <c r="C830" t="s">
        <v>238</v>
      </c>
      <c r="D830">
        <v>4</v>
      </c>
      <c r="E830">
        <v>0</v>
      </c>
      <c r="F830" t="s">
        <v>241</v>
      </c>
      <c r="G830" t="s">
        <v>138</v>
      </c>
      <c r="H830">
        <v>0</v>
      </c>
      <c r="I830" t="s">
        <v>333</v>
      </c>
    </row>
    <row r="831" spans="1:9" x14ac:dyDescent="0.25">
      <c r="A831">
        <v>70354</v>
      </c>
      <c r="B831" t="s">
        <v>190</v>
      </c>
      <c r="C831" t="s">
        <v>238</v>
      </c>
      <c r="D831">
        <v>4</v>
      </c>
      <c r="E831">
        <v>0</v>
      </c>
      <c r="F831" t="s">
        <v>241</v>
      </c>
      <c r="G831" t="s">
        <v>138</v>
      </c>
      <c r="H831">
        <v>0</v>
      </c>
      <c r="I831" t="s">
        <v>334</v>
      </c>
    </row>
    <row r="832" spans="1:9" x14ac:dyDescent="0.25">
      <c r="A832">
        <v>70354</v>
      </c>
      <c r="B832" t="s">
        <v>190</v>
      </c>
      <c r="C832" t="s">
        <v>238</v>
      </c>
      <c r="D832">
        <v>4</v>
      </c>
      <c r="E832">
        <v>0</v>
      </c>
      <c r="F832" t="s">
        <v>241</v>
      </c>
      <c r="G832" t="s">
        <v>138</v>
      </c>
      <c r="H832">
        <v>-214380</v>
      </c>
      <c r="I832" t="s">
        <v>268</v>
      </c>
    </row>
    <row r="833" spans="1:9" x14ac:dyDescent="0.25">
      <c r="A833">
        <v>70354</v>
      </c>
      <c r="B833" t="s">
        <v>190</v>
      </c>
      <c r="C833" t="s">
        <v>238</v>
      </c>
      <c r="D833">
        <v>4</v>
      </c>
      <c r="E833">
        <v>0</v>
      </c>
      <c r="F833" t="s">
        <v>241</v>
      </c>
      <c r="G833" t="s">
        <v>139</v>
      </c>
      <c r="H833">
        <v>0</v>
      </c>
      <c r="I833" t="s">
        <v>336</v>
      </c>
    </row>
    <row r="834" spans="1:9" x14ac:dyDescent="0.25">
      <c r="A834">
        <v>70354</v>
      </c>
      <c r="B834" t="s">
        <v>190</v>
      </c>
      <c r="C834" t="s">
        <v>238</v>
      </c>
      <c r="D834">
        <v>4</v>
      </c>
      <c r="E834">
        <v>0</v>
      </c>
      <c r="F834" t="s">
        <v>241</v>
      </c>
      <c r="G834" t="s">
        <v>139</v>
      </c>
      <c r="H834">
        <v>0</v>
      </c>
      <c r="I834" t="s">
        <v>337</v>
      </c>
    </row>
    <row r="835" spans="1:9" x14ac:dyDescent="0.25">
      <c r="A835">
        <v>70354</v>
      </c>
      <c r="B835" t="s">
        <v>190</v>
      </c>
      <c r="C835" t="s">
        <v>238</v>
      </c>
      <c r="D835">
        <v>4</v>
      </c>
      <c r="E835">
        <v>0</v>
      </c>
      <c r="F835" t="s">
        <v>241</v>
      </c>
      <c r="G835" t="s">
        <v>139</v>
      </c>
      <c r="H835">
        <v>0</v>
      </c>
      <c r="I835" t="s">
        <v>335</v>
      </c>
    </row>
    <row r="836" spans="1:9" x14ac:dyDescent="0.25">
      <c r="A836">
        <v>70354</v>
      </c>
      <c r="B836" t="s">
        <v>190</v>
      </c>
      <c r="C836" t="s">
        <v>238</v>
      </c>
      <c r="D836">
        <v>4</v>
      </c>
      <c r="E836">
        <v>0</v>
      </c>
      <c r="F836" t="s">
        <v>241</v>
      </c>
      <c r="G836" t="s">
        <v>24</v>
      </c>
      <c r="H836">
        <v>0</v>
      </c>
      <c r="I836" t="s">
        <v>338</v>
      </c>
    </row>
    <row r="837" spans="1:9" x14ac:dyDescent="0.25">
      <c r="A837">
        <v>70354</v>
      </c>
      <c r="B837" t="s">
        <v>190</v>
      </c>
      <c r="C837" t="s">
        <v>238</v>
      </c>
      <c r="D837">
        <v>4</v>
      </c>
      <c r="E837">
        <v>0</v>
      </c>
      <c r="F837" t="s">
        <v>241</v>
      </c>
      <c r="G837" t="s">
        <v>24</v>
      </c>
      <c r="H837">
        <v>0</v>
      </c>
      <c r="I837" t="s">
        <v>339</v>
      </c>
    </row>
    <row r="838" spans="1:9" x14ac:dyDescent="0.25">
      <c r="A838">
        <v>70354</v>
      </c>
      <c r="B838" t="s">
        <v>190</v>
      </c>
      <c r="C838" t="s">
        <v>238</v>
      </c>
      <c r="D838">
        <v>4</v>
      </c>
      <c r="E838">
        <v>0</v>
      </c>
      <c r="F838" t="s">
        <v>241</v>
      </c>
      <c r="G838" t="s">
        <v>24</v>
      </c>
      <c r="H838">
        <v>0</v>
      </c>
      <c r="I838" t="s">
        <v>340</v>
      </c>
    </row>
    <row r="839" spans="1:9" x14ac:dyDescent="0.25">
      <c r="A839">
        <v>70354</v>
      </c>
      <c r="B839" t="s">
        <v>190</v>
      </c>
      <c r="C839" t="s">
        <v>238</v>
      </c>
      <c r="D839">
        <v>4</v>
      </c>
      <c r="E839">
        <v>0</v>
      </c>
      <c r="F839" t="s">
        <v>241</v>
      </c>
      <c r="G839" t="s">
        <v>137</v>
      </c>
      <c r="H839">
        <v>0</v>
      </c>
      <c r="I839" t="s">
        <v>273</v>
      </c>
    </row>
    <row r="840" spans="1:9" x14ac:dyDescent="0.25">
      <c r="A840">
        <v>70354</v>
      </c>
      <c r="B840" t="s">
        <v>190</v>
      </c>
      <c r="C840" t="s">
        <v>238</v>
      </c>
      <c r="D840">
        <v>4</v>
      </c>
      <c r="E840">
        <v>0</v>
      </c>
      <c r="F840" t="s">
        <v>241</v>
      </c>
      <c r="G840" t="s">
        <v>137</v>
      </c>
      <c r="H840">
        <v>0</v>
      </c>
      <c r="I840" t="s">
        <v>341</v>
      </c>
    </row>
    <row r="841" spans="1:9" x14ac:dyDescent="0.25">
      <c r="A841">
        <v>70354</v>
      </c>
      <c r="B841" t="s">
        <v>190</v>
      </c>
      <c r="C841" t="s">
        <v>238</v>
      </c>
      <c r="D841">
        <v>4</v>
      </c>
      <c r="E841">
        <v>0</v>
      </c>
      <c r="F841" t="s">
        <v>241</v>
      </c>
      <c r="G841" t="s">
        <v>137</v>
      </c>
      <c r="H841">
        <v>0</v>
      </c>
      <c r="I841" t="s">
        <v>342</v>
      </c>
    </row>
    <row r="842" spans="1:9" x14ac:dyDescent="0.25">
      <c r="A842">
        <v>70354</v>
      </c>
      <c r="B842" t="s">
        <v>190</v>
      </c>
      <c r="C842" t="s">
        <v>238</v>
      </c>
      <c r="D842">
        <v>4</v>
      </c>
      <c r="E842">
        <v>0</v>
      </c>
      <c r="F842" t="s">
        <v>241</v>
      </c>
      <c r="G842" t="s">
        <v>137</v>
      </c>
      <c r="H842">
        <v>0</v>
      </c>
      <c r="I842" t="s">
        <v>343</v>
      </c>
    </row>
    <row r="843" spans="1:9" x14ac:dyDescent="0.25">
      <c r="A843">
        <v>70354</v>
      </c>
      <c r="B843" t="s">
        <v>190</v>
      </c>
      <c r="C843" t="s">
        <v>238</v>
      </c>
      <c r="D843">
        <v>4</v>
      </c>
      <c r="E843">
        <v>0</v>
      </c>
      <c r="F843" t="s">
        <v>241</v>
      </c>
      <c r="G843" t="s">
        <v>143</v>
      </c>
      <c r="H843">
        <v>0</v>
      </c>
      <c r="I843" t="s">
        <v>344</v>
      </c>
    </row>
    <row r="844" spans="1:9" x14ac:dyDescent="0.25">
      <c r="A844">
        <v>70354</v>
      </c>
      <c r="B844" t="s">
        <v>190</v>
      </c>
      <c r="C844" t="s">
        <v>238</v>
      </c>
      <c r="D844">
        <v>4</v>
      </c>
      <c r="E844">
        <v>0</v>
      </c>
      <c r="F844" t="s">
        <v>241</v>
      </c>
      <c r="G844" t="s">
        <v>143</v>
      </c>
      <c r="H844">
        <v>0</v>
      </c>
      <c r="I844" t="s">
        <v>345</v>
      </c>
    </row>
    <row r="845" spans="1:9" x14ac:dyDescent="0.25">
      <c r="A845">
        <v>70354</v>
      </c>
      <c r="B845" t="s">
        <v>190</v>
      </c>
      <c r="C845" t="s">
        <v>238</v>
      </c>
      <c r="D845">
        <v>4</v>
      </c>
      <c r="E845">
        <v>0</v>
      </c>
      <c r="F845" t="s">
        <v>241</v>
      </c>
      <c r="G845" t="s">
        <v>143</v>
      </c>
      <c r="H845">
        <v>0</v>
      </c>
      <c r="I845" t="s">
        <v>346</v>
      </c>
    </row>
    <row r="846" spans="1:9" x14ac:dyDescent="0.25">
      <c r="A846">
        <v>70354</v>
      </c>
      <c r="B846" t="s">
        <v>190</v>
      </c>
      <c r="C846" t="s">
        <v>238</v>
      </c>
      <c r="D846">
        <v>4</v>
      </c>
      <c r="E846">
        <v>0</v>
      </c>
      <c r="F846" t="s">
        <v>241</v>
      </c>
      <c r="G846" t="s">
        <v>138</v>
      </c>
      <c r="H846">
        <v>0</v>
      </c>
      <c r="I846" t="s">
        <v>347</v>
      </c>
    </row>
    <row r="847" spans="1:9" x14ac:dyDescent="0.25">
      <c r="A847">
        <v>70357</v>
      </c>
      <c r="B847" t="s">
        <v>192</v>
      </c>
      <c r="C847" t="s">
        <v>238</v>
      </c>
      <c r="D847">
        <v>4</v>
      </c>
      <c r="E847">
        <v>0</v>
      </c>
      <c r="F847" t="s">
        <v>239</v>
      </c>
      <c r="G847" t="s">
        <v>153</v>
      </c>
      <c r="H847">
        <v>0</v>
      </c>
      <c r="I847" t="s">
        <v>351</v>
      </c>
    </row>
    <row r="848" spans="1:9" x14ac:dyDescent="0.25">
      <c r="A848">
        <v>70357</v>
      </c>
      <c r="B848" t="s">
        <v>192</v>
      </c>
      <c r="C848" t="s">
        <v>238</v>
      </c>
      <c r="D848">
        <v>4</v>
      </c>
      <c r="E848">
        <v>0</v>
      </c>
      <c r="F848" t="s">
        <v>239</v>
      </c>
      <c r="G848" t="s">
        <v>152</v>
      </c>
      <c r="H848">
        <v>0</v>
      </c>
      <c r="I848" t="s">
        <v>352</v>
      </c>
    </row>
    <row r="849" spans="1:9" x14ac:dyDescent="0.25">
      <c r="A849">
        <v>70357</v>
      </c>
      <c r="B849" t="s">
        <v>192</v>
      </c>
      <c r="C849" t="s">
        <v>238</v>
      </c>
      <c r="D849">
        <v>4</v>
      </c>
      <c r="E849">
        <v>0</v>
      </c>
      <c r="F849" t="s">
        <v>239</v>
      </c>
      <c r="G849" t="s">
        <v>154</v>
      </c>
      <c r="H849">
        <v>0</v>
      </c>
      <c r="I849" t="s">
        <v>349</v>
      </c>
    </row>
    <row r="850" spans="1:9" x14ac:dyDescent="0.25">
      <c r="A850">
        <v>70357</v>
      </c>
      <c r="B850" t="s">
        <v>192</v>
      </c>
      <c r="C850" t="s">
        <v>238</v>
      </c>
      <c r="D850">
        <v>4</v>
      </c>
      <c r="E850">
        <v>0</v>
      </c>
      <c r="F850" t="s">
        <v>241</v>
      </c>
      <c r="G850" t="s">
        <v>26</v>
      </c>
      <c r="H850">
        <v>0</v>
      </c>
      <c r="I850" t="s">
        <v>350</v>
      </c>
    </row>
    <row r="851" spans="1:9" x14ac:dyDescent="0.25">
      <c r="A851">
        <v>70357</v>
      </c>
      <c r="B851" t="s">
        <v>192</v>
      </c>
      <c r="C851" t="s">
        <v>238</v>
      </c>
      <c r="D851">
        <v>4</v>
      </c>
      <c r="E851">
        <v>0</v>
      </c>
      <c r="F851" t="s">
        <v>241</v>
      </c>
      <c r="G851" t="s">
        <v>23</v>
      </c>
      <c r="H851">
        <v>19023</v>
      </c>
      <c r="I851" t="s">
        <v>269</v>
      </c>
    </row>
    <row r="852" spans="1:9" x14ac:dyDescent="0.25">
      <c r="A852">
        <v>70357</v>
      </c>
      <c r="B852" t="s">
        <v>192</v>
      </c>
      <c r="C852" t="s">
        <v>238</v>
      </c>
      <c r="D852">
        <v>4</v>
      </c>
      <c r="E852">
        <v>0</v>
      </c>
      <c r="F852" t="s">
        <v>241</v>
      </c>
      <c r="G852" t="s">
        <v>26</v>
      </c>
      <c r="H852">
        <v>0</v>
      </c>
      <c r="I852" t="s">
        <v>353</v>
      </c>
    </row>
    <row r="853" spans="1:9" x14ac:dyDescent="0.25">
      <c r="A853">
        <v>70357</v>
      </c>
      <c r="B853" t="s">
        <v>192</v>
      </c>
      <c r="C853" t="s">
        <v>238</v>
      </c>
      <c r="D853">
        <v>4</v>
      </c>
      <c r="E853">
        <v>0</v>
      </c>
      <c r="F853" t="s">
        <v>241</v>
      </c>
      <c r="G853" t="s">
        <v>157</v>
      </c>
      <c r="H853">
        <v>0</v>
      </c>
      <c r="I853" t="s">
        <v>348</v>
      </c>
    </row>
    <row r="854" spans="1:9" x14ac:dyDescent="0.25">
      <c r="A854">
        <v>70357</v>
      </c>
      <c r="B854" t="s">
        <v>192</v>
      </c>
      <c r="C854" t="s">
        <v>238</v>
      </c>
      <c r="D854">
        <v>4</v>
      </c>
      <c r="E854">
        <v>0</v>
      </c>
      <c r="F854" t="s">
        <v>261</v>
      </c>
      <c r="G854" t="s">
        <v>261</v>
      </c>
      <c r="H854">
        <v>0</v>
      </c>
      <c r="I854" t="s">
        <v>272</v>
      </c>
    </row>
    <row r="855" spans="1:9" x14ac:dyDescent="0.25">
      <c r="A855">
        <v>70357</v>
      </c>
      <c r="B855" t="s">
        <v>192</v>
      </c>
      <c r="C855" t="s">
        <v>238</v>
      </c>
      <c r="D855">
        <v>4</v>
      </c>
      <c r="E855">
        <v>0</v>
      </c>
      <c r="F855" t="s">
        <v>261</v>
      </c>
      <c r="G855" t="s">
        <v>261</v>
      </c>
      <c r="H855">
        <v>0</v>
      </c>
      <c r="I855" t="s">
        <v>354</v>
      </c>
    </row>
    <row r="856" spans="1:9" x14ac:dyDescent="0.25">
      <c r="A856">
        <v>70357</v>
      </c>
      <c r="B856" t="s">
        <v>192</v>
      </c>
      <c r="C856" t="s">
        <v>238</v>
      </c>
      <c r="D856">
        <v>4</v>
      </c>
      <c r="E856">
        <v>0</v>
      </c>
      <c r="F856" t="s">
        <v>247</v>
      </c>
      <c r="G856" t="s">
        <v>12</v>
      </c>
      <c r="H856">
        <v>-2503615</v>
      </c>
      <c r="I856" t="s">
        <v>248</v>
      </c>
    </row>
    <row r="857" spans="1:9" x14ac:dyDescent="0.25">
      <c r="A857">
        <v>70357</v>
      </c>
      <c r="B857" t="s">
        <v>192</v>
      </c>
      <c r="C857" t="s">
        <v>238</v>
      </c>
      <c r="D857">
        <v>4</v>
      </c>
      <c r="E857">
        <v>0</v>
      </c>
      <c r="F857" t="s">
        <v>247</v>
      </c>
      <c r="G857" t="s">
        <v>13</v>
      </c>
      <c r="H857">
        <v>9165615</v>
      </c>
      <c r="I857" t="s">
        <v>249</v>
      </c>
    </row>
    <row r="858" spans="1:9" x14ac:dyDescent="0.25">
      <c r="A858">
        <v>70357</v>
      </c>
      <c r="B858" t="s">
        <v>192</v>
      </c>
      <c r="C858" t="s">
        <v>238</v>
      </c>
      <c r="D858">
        <v>4</v>
      </c>
      <c r="E858">
        <v>0</v>
      </c>
      <c r="F858" t="s">
        <v>241</v>
      </c>
      <c r="G858" t="s">
        <v>25</v>
      </c>
      <c r="H858">
        <v>6385</v>
      </c>
      <c r="I858" t="s">
        <v>250</v>
      </c>
    </row>
    <row r="859" spans="1:9" x14ac:dyDescent="0.25">
      <c r="A859">
        <v>70357</v>
      </c>
      <c r="B859" t="s">
        <v>192</v>
      </c>
      <c r="C859" t="s">
        <v>238</v>
      </c>
      <c r="D859">
        <v>4</v>
      </c>
      <c r="E859">
        <v>0</v>
      </c>
      <c r="F859" t="s">
        <v>241</v>
      </c>
      <c r="G859" t="s">
        <v>26</v>
      </c>
      <c r="H859">
        <v>0</v>
      </c>
      <c r="I859" t="s">
        <v>251</v>
      </c>
    </row>
    <row r="860" spans="1:9" x14ac:dyDescent="0.25">
      <c r="A860">
        <v>70357</v>
      </c>
      <c r="B860" t="s">
        <v>192</v>
      </c>
      <c r="C860" t="s">
        <v>238</v>
      </c>
      <c r="D860">
        <v>4</v>
      </c>
      <c r="E860">
        <v>0</v>
      </c>
      <c r="F860" t="s">
        <v>239</v>
      </c>
      <c r="G860" t="s">
        <v>18</v>
      </c>
      <c r="H860">
        <v>198152</v>
      </c>
      <c r="I860" t="s">
        <v>252</v>
      </c>
    </row>
    <row r="861" spans="1:9" x14ac:dyDescent="0.25">
      <c r="A861">
        <v>70357</v>
      </c>
      <c r="B861" t="s">
        <v>192</v>
      </c>
      <c r="C861" t="s">
        <v>238</v>
      </c>
      <c r="D861">
        <v>4</v>
      </c>
      <c r="E861">
        <v>0</v>
      </c>
      <c r="F861" t="s">
        <v>241</v>
      </c>
      <c r="G861" t="s">
        <v>26</v>
      </c>
      <c r="H861">
        <v>12548</v>
      </c>
      <c r="I861" t="s">
        <v>253</v>
      </c>
    </row>
    <row r="862" spans="1:9" x14ac:dyDescent="0.25">
      <c r="A862">
        <v>70357</v>
      </c>
      <c r="B862" t="s">
        <v>192</v>
      </c>
      <c r="C862" t="s">
        <v>238</v>
      </c>
      <c r="D862">
        <v>4</v>
      </c>
      <c r="E862">
        <v>0</v>
      </c>
      <c r="F862" t="s">
        <v>247</v>
      </c>
      <c r="G862" t="s">
        <v>15</v>
      </c>
      <c r="H862">
        <v>373542</v>
      </c>
      <c r="I862" t="s">
        <v>254</v>
      </c>
    </row>
    <row r="863" spans="1:9" x14ac:dyDescent="0.25">
      <c r="A863">
        <v>70357</v>
      </c>
      <c r="B863" t="s">
        <v>192</v>
      </c>
      <c r="C863" t="s">
        <v>238</v>
      </c>
      <c r="D863">
        <v>4</v>
      </c>
      <c r="E863">
        <v>0</v>
      </c>
      <c r="F863" t="s">
        <v>247</v>
      </c>
      <c r="G863" t="s">
        <v>14</v>
      </c>
      <c r="H863">
        <v>0</v>
      </c>
      <c r="I863" t="s">
        <v>355</v>
      </c>
    </row>
    <row r="864" spans="1:9" x14ac:dyDescent="0.25">
      <c r="A864">
        <v>70357</v>
      </c>
      <c r="B864" t="s">
        <v>192</v>
      </c>
      <c r="C864" t="s">
        <v>238</v>
      </c>
      <c r="D864">
        <v>4</v>
      </c>
      <c r="E864">
        <v>0</v>
      </c>
      <c r="F864" t="s">
        <v>241</v>
      </c>
      <c r="G864" t="s">
        <v>23</v>
      </c>
      <c r="H864">
        <v>64431</v>
      </c>
      <c r="I864" t="s">
        <v>242</v>
      </c>
    </row>
    <row r="865" spans="1:9" x14ac:dyDescent="0.25">
      <c r="A865">
        <v>70357</v>
      </c>
      <c r="B865" t="s">
        <v>192</v>
      </c>
      <c r="C865" t="s">
        <v>238</v>
      </c>
      <c r="D865">
        <v>4</v>
      </c>
      <c r="E865">
        <v>0</v>
      </c>
      <c r="F865" t="s">
        <v>241</v>
      </c>
      <c r="G865" t="s">
        <v>24</v>
      </c>
      <c r="H865">
        <v>62399</v>
      </c>
      <c r="I865" t="s">
        <v>243</v>
      </c>
    </row>
    <row r="866" spans="1:9" x14ac:dyDescent="0.25">
      <c r="A866">
        <v>70357</v>
      </c>
      <c r="B866" t="s">
        <v>192</v>
      </c>
      <c r="C866" t="s">
        <v>238</v>
      </c>
      <c r="D866">
        <v>4</v>
      </c>
      <c r="E866">
        <v>0</v>
      </c>
      <c r="F866" t="s">
        <v>241</v>
      </c>
      <c r="G866" t="s">
        <v>21</v>
      </c>
      <c r="H866">
        <v>0</v>
      </c>
      <c r="I866" t="s">
        <v>356</v>
      </c>
    </row>
    <row r="867" spans="1:9" x14ac:dyDescent="0.25">
      <c r="A867">
        <v>70357</v>
      </c>
      <c r="B867" t="s">
        <v>192</v>
      </c>
      <c r="C867" t="s">
        <v>238</v>
      </c>
      <c r="D867">
        <v>4</v>
      </c>
      <c r="E867">
        <v>0</v>
      </c>
      <c r="F867" t="s">
        <v>239</v>
      </c>
      <c r="G867" t="s">
        <v>20</v>
      </c>
      <c r="H867">
        <v>-56421</v>
      </c>
      <c r="I867" t="s">
        <v>244</v>
      </c>
    </row>
    <row r="868" spans="1:9" x14ac:dyDescent="0.25">
      <c r="A868">
        <v>70357</v>
      </c>
      <c r="B868" t="s">
        <v>192</v>
      </c>
      <c r="C868" t="s">
        <v>238</v>
      </c>
      <c r="D868">
        <v>4</v>
      </c>
      <c r="E868">
        <v>0</v>
      </c>
      <c r="F868" t="s">
        <v>241</v>
      </c>
      <c r="G868" t="s">
        <v>22</v>
      </c>
      <c r="H868">
        <v>0</v>
      </c>
      <c r="I868" t="s">
        <v>245</v>
      </c>
    </row>
    <row r="869" spans="1:9" x14ac:dyDescent="0.25">
      <c r="A869">
        <v>70357</v>
      </c>
      <c r="B869" t="s">
        <v>192</v>
      </c>
      <c r="C869" t="s">
        <v>238</v>
      </c>
      <c r="D869">
        <v>4</v>
      </c>
      <c r="E869">
        <v>0</v>
      </c>
      <c r="F869" t="s">
        <v>241</v>
      </c>
      <c r="G869" t="s">
        <v>26</v>
      </c>
      <c r="H869">
        <v>2072</v>
      </c>
      <c r="I869" t="s">
        <v>246</v>
      </c>
    </row>
    <row r="870" spans="1:9" x14ac:dyDescent="0.25">
      <c r="A870">
        <v>70357</v>
      </c>
      <c r="B870" t="s">
        <v>192</v>
      </c>
      <c r="C870" t="s">
        <v>238</v>
      </c>
      <c r="D870">
        <v>4</v>
      </c>
      <c r="E870">
        <v>0</v>
      </c>
      <c r="F870" t="s">
        <v>239</v>
      </c>
      <c r="G870" t="s">
        <v>17</v>
      </c>
      <c r="H870">
        <v>0</v>
      </c>
      <c r="I870" t="s">
        <v>357</v>
      </c>
    </row>
    <row r="871" spans="1:9" x14ac:dyDescent="0.25">
      <c r="A871">
        <v>70357</v>
      </c>
      <c r="B871" t="s">
        <v>192</v>
      </c>
      <c r="C871" t="s">
        <v>238</v>
      </c>
      <c r="D871">
        <v>4</v>
      </c>
      <c r="E871">
        <v>0</v>
      </c>
      <c r="F871" t="s">
        <v>241</v>
      </c>
      <c r="G871" t="s">
        <v>24</v>
      </c>
      <c r="H871">
        <v>0</v>
      </c>
      <c r="I871" t="s">
        <v>358</v>
      </c>
    </row>
    <row r="872" spans="1:9" x14ac:dyDescent="0.25">
      <c r="A872">
        <v>70357</v>
      </c>
      <c r="B872" t="s">
        <v>192</v>
      </c>
      <c r="C872" t="s">
        <v>238</v>
      </c>
      <c r="D872">
        <v>4</v>
      </c>
      <c r="E872">
        <v>0</v>
      </c>
      <c r="F872" t="s">
        <v>241</v>
      </c>
      <c r="G872" t="s">
        <v>27</v>
      </c>
      <c r="H872">
        <v>0</v>
      </c>
      <c r="I872" t="s">
        <v>359</v>
      </c>
    </row>
    <row r="873" spans="1:9" x14ac:dyDescent="0.25">
      <c r="A873">
        <v>70357</v>
      </c>
      <c r="B873" t="s">
        <v>192</v>
      </c>
      <c r="C873" t="s">
        <v>238</v>
      </c>
      <c r="D873">
        <v>4</v>
      </c>
      <c r="E873">
        <v>0</v>
      </c>
      <c r="F873" t="s">
        <v>239</v>
      </c>
      <c r="G873" t="s">
        <v>19</v>
      </c>
      <c r="H873">
        <v>0</v>
      </c>
      <c r="I873" t="s">
        <v>360</v>
      </c>
    </row>
    <row r="874" spans="1:9" x14ac:dyDescent="0.25">
      <c r="A874">
        <v>70357</v>
      </c>
      <c r="B874" t="s">
        <v>192</v>
      </c>
      <c r="C874" t="s">
        <v>238</v>
      </c>
      <c r="D874">
        <v>4</v>
      </c>
      <c r="E874">
        <v>0</v>
      </c>
      <c r="F874" t="s">
        <v>239</v>
      </c>
      <c r="G874" t="s">
        <v>20</v>
      </c>
      <c r="H874">
        <v>227004</v>
      </c>
      <c r="I874" t="s">
        <v>255</v>
      </c>
    </row>
    <row r="875" spans="1:9" x14ac:dyDescent="0.25">
      <c r="A875">
        <v>70357</v>
      </c>
      <c r="B875" t="s">
        <v>192</v>
      </c>
      <c r="C875" t="s">
        <v>238</v>
      </c>
      <c r="D875">
        <v>4</v>
      </c>
      <c r="E875">
        <v>0</v>
      </c>
      <c r="F875" t="s">
        <v>247</v>
      </c>
      <c r="G875" t="s">
        <v>148</v>
      </c>
      <c r="H875">
        <v>392991</v>
      </c>
      <c r="I875" t="s">
        <v>256</v>
      </c>
    </row>
    <row r="876" spans="1:9" x14ac:dyDescent="0.25">
      <c r="A876">
        <v>70357</v>
      </c>
      <c r="B876" t="s">
        <v>192</v>
      </c>
      <c r="C876" t="s">
        <v>238</v>
      </c>
      <c r="D876">
        <v>4</v>
      </c>
      <c r="E876">
        <v>0</v>
      </c>
      <c r="F876" t="s">
        <v>241</v>
      </c>
      <c r="G876" t="s">
        <v>27</v>
      </c>
      <c r="H876">
        <v>3295238</v>
      </c>
      <c r="I876" t="s">
        <v>257</v>
      </c>
    </row>
    <row r="877" spans="1:9" x14ac:dyDescent="0.25">
      <c r="A877">
        <v>70357</v>
      </c>
      <c r="B877" t="s">
        <v>192</v>
      </c>
      <c r="C877" t="s">
        <v>238</v>
      </c>
      <c r="D877">
        <v>4</v>
      </c>
      <c r="E877">
        <v>0</v>
      </c>
      <c r="F877" t="s">
        <v>241</v>
      </c>
      <c r="G877" t="s">
        <v>27</v>
      </c>
      <c r="H877">
        <v>0</v>
      </c>
      <c r="I877" t="s">
        <v>361</v>
      </c>
    </row>
    <row r="878" spans="1:9" x14ac:dyDescent="0.25">
      <c r="A878">
        <v>70357</v>
      </c>
      <c r="B878" t="s">
        <v>192</v>
      </c>
      <c r="C878" t="s">
        <v>238</v>
      </c>
      <c r="D878">
        <v>4</v>
      </c>
      <c r="E878">
        <v>0</v>
      </c>
      <c r="F878" t="s">
        <v>241</v>
      </c>
      <c r="G878" t="s">
        <v>27</v>
      </c>
      <c r="H878">
        <v>0</v>
      </c>
      <c r="I878" t="s">
        <v>362</v>
      </c>
    </row>
    <row r="879" spans="1:9" x14ac:dyDescent="0.25">
      <c r="A879">
        <v>70357</v>
      </c>
      <c r="B879" t="s">
        <v>192</v>
      </c>
      <c r="C879" t="s">
        <v>238</v>
      </c>
      <c r="D879">
        <v>4</v>
      </c>
      <c r="E879">
        <v>0</v>
      </c>
      <c r="F879" t="s">
        <v>241</v>
      </c>
      <c r="G879" t="s">
        <v>27</v>
      </c>
      <c r="H879">
        <v>0</v>
      </c>
      <c r="I879" t="s">
        <v>363</v>
      </c>
    </row>
    <row r="880" spans="1:9" x14ac:dyDescent="0.25">
      <c r="A880">
        <v>70357</v>
      </c>
      <c r="B880" t="s">
        <v>192</v>
      </c>
      <c r="C880" t="s">
        <v>238</v>
      </c>
      <c r="D880">
        <v>4</v>
      </c>
      <c r="E880">
        <v>0</v>
      </c>
      <c r="F880" t="s">
        <v>239</v>
      </c>
      <c r="G880" t="s">
        <v>16</v>
      </c>
      <c r="H880">
        <v>0</v>
      </c>
      <c r="I880" t="s">
        <v>267</v>
      </c>
    </row>
    <row r="881" spans="1:9" x14ac:dyDescent="0.25">
      <c r="A881">
        <v>70357</v>
      </c>
      <c r="B881" t="s">
        <v>192</v>
      </c>
      <c r="C881" t="s">
        <v>238</v>
      </c>
      <c r="D881">
        <v>4</v>
      </c>
      <c r="E881">
        <v>0</v>
      </c>
      <c r="F881" t="s">
        <v>239</v>
      </c>
      <c r="G881" t="s">
        <v>152</v>
      </c>
      <c r="H881">
        <v>33686</v>
      </c>
      <c r="I881" t="s">
        <v>258</v>
      </c>
    </row>
    <row r="882" spans="1:9" x14ac:dyDescent="0.25">
      <c r="A882">
        <v>70357</v>
      </c>
      <c r="B882" t="s">
        <v>192</v>
      </c>
      <c r="C882" t="s">
        <v>238</v>
      </c>
      <c r="D882">
        <v>4</v>
      </c>
      <c r="E882">
        <v>0</v>
      </c>
      <c r="F882" t="s">
        <v>239</v>
      </c>
      <c r="G882" t="s">
        <v>154</v>
      </c>
      <c r="H882">
        <v>0</v>
      </c>
      <c r="I882" t="s">
        <v>330</v>
      </c>
    </row>
    <row r="883" spans="1:9" x14ac:dyDescent="0.25">
      <c r="A883">
        <v>70357</v>
      </c>
      <c r="B883" t="s">
        <v>192</v>
      </c>
      <c r="C883" t="s">
        <v>238</v>
      </c>
      <c r="D883">
        <v>4</v>
      </c>
      <c r="E883">
        <v>0</v>
      </c>
      <c r="F883" t="s">
        <v>239</v>
      </c>
      <c r="G883" t="s">
        <v>16</v>
      </c>
      <c r="H883">
        <v>3292</v>
      </c>
      <c r="I883" t="s">
        <v>259</v>
      </c>
    </row>
    <row r="884" spans="1:9" x14ac:dyDescent="0.25">
      <c r="A884">
        <v>70357</v>
      </c>
      <c r="B884" t="s">
        <v>192</v>
      </c>
      <c r="C884" t="s">
        <v>238</v>
      </c>
      <c r="D884">
        <v>4</v>
      </c>
      <c r="E884">
        <v>0</v>
      </c>
      <c r="F884" t="s">
        <v>239</v>
      </c>
      <c r="G884" t="s">
        <v>19</v>
      </c>
      <c r="H884">
        <v>27607</v>
      </c>
      <c r="I884" t="s">
        <v>260</v>
      </c>
    </row>
    <row r="885" spans="1:9" x14ac:dyDescent="0.25">
      <c r="A885">
        <v>70357</v>
      </c>
      <c r="B885" t="s">
        <v>192</v>
      </c>
      <c r="C885" t="s">
        <v>238</v>
      </c>
      <c r="D885">
        <v>4</v>
      </c>
      <c r="E885">
        <v>0</v>
      </c>
      <c r="F885" t="s">
        <v>239</v>
      </c>
      <c r="G885" t="s">
        <v>19</v>
      </c>
      <c r="H885">
        <v>0</v>
      </c>
      <c r="I885" t="s">
        <v>270</v>
      </c>
    </row>
    <row r="886" spans="1:9" x14ac:dyDescent="0.25">
      <c r="A886">
        <v>70357</v>
      </c>
      <c r="B886" t="s">
        <v>192</v>
      </c>
      <c r="C886" t="s">
        <v>238</v>
      </c>
      <c r="D886">
        <v>4</v>
      </c>
      <c r="E886">
        <v>0</v>
      </c>
      <c r="F886" t="s">
        <v>241</v>
      </c>
      <c r="G886" t="s">
        <v>139</v>
      </c>
      <c r="H886">
        <v>0</v>
      </c>
      <c r="I886" t="s">
        <v>331</v>
      </c>
    </row>
    <row r="887" spans="1:9" x14ac:dyDescent="0.25">
      <c r="A887">
        <v>70357</v>
      </c>
      <c r="B887" t="s">
        <v>192</v>
      </c>
      <c r="C887" t="s">
        <v>238</v>
      </c>
      <c r="D887">
        <v>4</v>
      </c>
      <c r="E887">
        <v>0</v>
      </c>
      <c r="F887" t="s">
        <v>261</v>
      </c>
      <c r="G887" t="s">
        <v>261</v>
      </c>
      <c r="H887">
        <v>5003694</v>
      </c>
      <c r="I887" t="s">
        <v>262</v>
      </c>
    </row>
    <row r="888" spans="1:9" x14ac:dyDescent="0.25">
      <c r="A888">
        <v>70357</v>
      </c>
      <c r="B888" t="s">
        <v>192</v>
      </c>
      <c r="C888" t="s">
        <v>238</v>
      </c>
      <c r="D888">
        <v>4</v>
      </c>
      <c r="E888">
        <v>0</v>
      </c>
      <c r="F888" t="s">
        <v>239</v>
      </c>
      <c r="G888" t="s">
        <v>19</v>
      </c>
      <c r="H888">
        <v>215690</v>
      </c>
      <c r="I888" t="s">
        <v>263</v>
      </c>
    </row>
    <row r="889" spans="1:9" x14ac:dyDescent="0.25">
      <c r="A889">
        <v>70357</v>
      </c>
      <c r="B889" t="s">
        <v>192</v>
      </c>
      <c r="C889" t="s">
        <v>238</v>
      </c>
      <c r="D889">
        <v>4</v>
      </c>
      <c r="E889">
        <v>0</v>
      </c>
      <c r="F889" t="s">
        <v>239</v>
      </c>
      <c r="G889" t="s">
        <v>16</v>
      </c>
      <c r="H889">
        <v>0</v>
      </c>
      <c r="I889" t="s">
        <v>240</v>
      </c>
    </row>
    <row r="890" spans="1:9" x14ac:dyDescent="0.25">
      <c r="A890">
        <v>70357</v>
      </c>
      <c r="B890" t="s">
        <v>192</v>
      </c>
      <c r="C890" t="s">
        <v>238</v>
      </c>
      <c r="D890">
        <v>4</v>
      </c>
      <c r="E890">
        <v>0</v>
      </c>
      <c r="F890" t="s">
        <v>239</v>
      </c>
      <c r="G890" t="s">
        <v>19</v>
      </c>
      <c r="H890">
        <v>36484</v>
      </c>
      <c r="I890" t="s">
        <v>264</v>
      </c>
    </row>
    <row r="891" spans="1:9" x14ac:dyDescent="0.25">
      <c r="A891">
        <v>70357</v>
      </c>
      <c r="B891" t="s">
        <v>192</v>
      </c>
      <c r="C891" t="s">
        <v>238</v>
      </c>
      <c r="D891">
        <v>4</v>
      </c>
      <c r="E891">
        <v>0</v>
      </c>
      <c r="F891" t="s">
        <v>241</v>
      </c>
      <c r="G891" t="s">
        <v>158</v>
      </c>
      <c r="H891">
        <v>35412</v>
      </c>
      <c r="I891" t="s">
        <v>265</v>
      </c>
    </row>
    <row r="892" spans="1:9" x14ac:dyDescent="0.25">
      <c r="A892">
        <v>70357</v>
      </c>
      <c r="B892" t="s">
        <v>192</v>
      </c>
      <c r="C892" t="s">
        <v>238</v>
      </c>
      <c r="D892">
        <v>4</v>
      </c>
      <c r="E892">
        <v>0</v>
      </c>
      <c r="F892" t="s">
        <v>239</v>
      </c>
      <c r="G892" t="s">
        <v>19</v>
      </c>
      <c r="H892">
        <v>0</v>
      </c>
      <c r="I892" t="s">
        <v>271</v>
      </c>
    </row>
    <row r="893" spans="1:9" x14ac:dyDescent="0.25">
      <c r="A893">
        <v>70357</v>
      </c>
      <c r="B893" t="s">
        <v>192</v>
      </c>
      <c r="C893" t="s">
        <v>238</v>
      </c>
      <c r="D893">
        <v>4</v>
      </c>
      <c r="E893">
        <v>0</v>
      </c>
      <c r="F893" t="s">
        <v>239</v>
      </c>
      <c r="G893" t="s">
        <v>19</v>
      </c>
      <c r="H893">
        <v>100003</v>
      </c>
      <c r="I893" t="s">
        <v>266</v>
      </c>
    </row>
    <row r="894" spans="1:9" x14ac:dyDescent="0.25">
      <c r="A894">
        <v>70357</v>
      </c>
      <c r="B894" t="s">
        <v>192</v>
      </c>
      <c r="C894" t="s">
        <v>238</v>
      </c>
      <c r="D894">
        <v>4</v>
      </c>
      <c r="E894">
        <v>0</v>
      </c>
      <c r="F894" t="s">
        <v>241</v>
      </c>
      <c r="G894" t="s">
        <v>143</v>
      </c>
      <c r="H894">
        <v>0</v>
      </c>
      <c r="I894" t="s">
        <v>332</v>
      </c>
    </row>
    <row r="895" spans="1:9" x14ac:dyDescent="0.25">
      <c r="A895">
        <v>70357</v>
      </c>
      <c r="B895" t="s">
        <v>192</v>
      </c>
      <c r="C895" t="s">
        <v>238</v>
      </c>
      <c r="D895">
        <v>4</v>
      </c>
      <c r="E895">
        <v>0</v>
      </c>
      <c r="F895" t="s">
        <v>241</v>
      </c>
      <c r="G895" t="s">
        <v>138</v>
      </c>
      <c r="H895">
        <v>0</v>
      </c>
      <c r="I895" t="s">
        <v>333</v>
      </c>
    </row>
    <row r="896" spans="1:9" x14ac:dyDescent="0.25">
      <c r="A896">
        <v>70357</v>
      </c>
      <c r="B896" t="s">
        <v>192</v>
      </c>
      <c r="C896" t="s">
        <v>238</v>
      </c>
      <c r="D896">
        <v>4</v>
      </c>
      <c r="E896">
        <v>0</v>
      </c>
      <c r="F896" t="s">
        <v>241</v>
      </c>
      <c r="G896" t="s">
        <v>138</v>
      </c>
      <c r="H896">
        <v>0</v>
      </c>
      <c r="I896" t="s">
        <v>334</v>
      </c>
    </row>
    <row r="897" spans="1:9" x14ac:dyDescent="0.25">
      <c r="A897">
        <v>70357</v>
      </c>
      <c r="B897" t="s">
        <v>192</v>
      </c>
      <c r="C897" t="s">
        <v>238</v>
      </c>
      <c r="D897">
        <v>4</v>
      </c>
      <c r="E897">
        <v>0</v>
      </c>
      <c r="F897" t="s">
        <v>241</v>
      </c>
      <c r="G897" t="s">
        <v>138</v>
      </c>
      <c r="H897">
        <v>-73461</v>
      </c>
      <c r="I897" t="s">
        <v>268</v>
      </c>
    </row>
    <row r="898" spans="1:9" x14ac:dyDescent="0.25">
      <c r="A898">
        <v>70357</v>
      </c>
      <c r="B898" t="s">
        <v>192</v>
      </c>
      <c r="C898" t="s">
        <v>238</v>
      </c>
      <c r="D898">
        <v>4</v>
      </c>
      <c r="E898">
        <v>0</v>
      </c>
      <c r="F898" t="s">
        <v>241</v>
      </c>
      <c r="G898" t="s">
        <v>139</v>
      </c>
      <c r="H898">
        <v>0</v>
      </c>
      <c r="I898" t="s">
        <v>336</v>
      </c>
    </row>
    <row r="899" spans="1:9" x14ac:dyDescent="0.25">
      <c r="A899">
        <v>70357</v>
      </c>
      <c r="B899" t="s">
        <v>192</v>
      </c>
      <c r="C899" t="s">
        <v>238</v>
      </c>
      <c r="D899">
        <v>4</v>
      </c>
      <c r="E899">
        <v>0</v>
      </c>
      <c r="F899" t="s">
        <v>241</v>
      </c>
      <c r="G899" t="s">
        <v>139</v>
      </c>
      <c r="H899">
        <v>0</v>
      </c>
      <c r="I899" t="s">
        <v>337</v>
      </c>
    </row>
    <row r="900" spans="1:9" x14ac:dyDescent="0.25">
      <c r="A900">
        <v>70357</v>
      </c>
      <c r="B900" t="s">
        <v>192</v>
      </c>
      <c r="C900" t="s">
        <v>238</v>
      </c>
      <c r="D900">
        <v>4</v>
      </c>
      <c r="E900">
        <v>0</v>
      </c>
      <c r="F900" t="s">
        <v>241</v>
      </c>
      <c r="G900" t="s">
        <v>139</v>
      </c>
      <c r="H900">
        <v>0</v>
      </c>
      <c r="I900" t="s">
        <v>335</v>
      </c>
    </row>
    <row r="901" spans="1:9" x14ac:dyDescent="0.25">
      <c r="A901">
        <v>70357</v>
      </c>
      <c r="B901" t="s">
        <v>192</v>
      </c>
      <c r="C901" t="s">
        <v>238</v>
      </c>
      <c r="D901">
        <v>4</v>
      </c>
      <c r="E901">
        <v>0</v>
      </c>
      <c r="F901" t="s">
        <v>241</v>
      </c>
      <c r="G901" t="s">
        <v>24</v>
      </c>
      <c r="H901">
        <v>0</v>
      </c>
      <c r="I901" t="s">
        <v>338</v>
      </c>
    </row>
    <row r="902" spans="1:9" x14ac:dyDescent="0.25">
      <c r="A902">
        <v>70357</v>
      </c>
      <c r="B902" t="s">
        <v>192</v>
      </c>
      <c r="C902" t="s">
        <v>238</v>
      </c>
      <c r="D902">
        <v>4</v>
      </c>
      <c r="E902">
        <v>0</v>
      </c>
      <c r="F902" t="s">
        <v>241</v>
      </c>
      <c r="G902" t="s">
        <v>24</v>
      </c>
      <c r="H902">
        <v>0</v>
      </c>
      <c r="I902" t="s">
        <v>339</v>
      </c>
    </row>
    <row r="903" spans="1:9" x14ac:dyDescent="0.25">
      <c r="A903">
        <v>70357</v>
      </c>
      <c r="B903" t="s">
        <v>192</v>
      </c>
      <c r="C903" t="s">
        <v>238</v>
      </c>
      <c r="D903">
        <v>4</v>
      </c>
      <c r="E903">
        <v>0</v>
      </c>
      <c r="F903" t="s">
        <v>241</v>
      </c>
      <c r="G903" t="s">
        <v>24</v>
      </c>
      <c r="H903">
        <v>0</v>
      </c>
      <c r="I903" t="s">
        <v>340</v>
      </c>
    </row>
    <row r="904" spans="1:9" x14ac:dyDescent="0.25">
      <c r="A904">
        <v>70357</v>
      </c>
      <c r="B904" t="s">
        <v>192</v>
      </c>
      <c r="C904" t="s">
        <v>238</v>
      </c>
      <c r="D904">
        <v>4</v>
      </c>
      <c r="E904">
        <v>0</v>
      </c>
      <c r="F904" t="s">
        <v>241</v>
      </c>
      <c r="G904" t="s">
        <v>137</v>
      </c>
      <c r="H904">
        <v>0</v>
      </c>
      <c r="I904" t="s">
        <v>273</v>
      </c>
    </row>
    <row r="905" spans="1:9" x14ac:dyDescent="0.25">
      <c r="A905">
        <v>70357</v>
      </c>
      <c r="B905" t="s">
        <v>192</v>
      </c>
      <c r="C905" t="s">
        <v>238</v>
      </c>
      <c r="D905">
        <v>4</v>
      </c>
      <c r="E905">
        <v>0</v>
      </c>
      <c r="F905" t="s">
        <v>241</v>
      </c>
      <c r="G905" t="s">
        <v>137</v>
      </c>
      <c r="H905">
        <v>0</v>
      </c>
      <c r="I905" t="s">
        <v>341</v>
      </c>
    </row>
    <row r="906" spans="1:9" x14ac:dyDescent="0.25">
      <c r="A906">
        <v>70357</v>
      </c>
      <c r="B906" t="s">
        <v>192</v>
      </c>
      <c r="C906" t="s">
        <v>238</v>
      </c>
      <c r="D906">
        <v>4</v>
      </c>
      <c r="E906">
        <v>0</v>
      </c>
      <c r="F906" t="s">
        <v>241</v>
      </c>
      <c r="G906" t="s">
        <v>137</v>
      </c>
      <c r="H906">
        <v>0</v>
      </c>
      <c r="I906" t="s">
        <v>342</v>
      </c>
    </row>
    <row r="907" spans="1:9" x14ac:dyDescent="0.25">
      <c r="A907">
        <v>70357</v>
      </c>
      <c r="B907" t="s">
        <v>192</v>
      </c>
      <c r="C907" t="s">
        <v>238</v>
      </c>
      <c r="D907">
        <v>4</v>
      </c>
      <c r="E907">
        <v>0</v>
      </c>
      <c r="F907" t="s">
        <v>241</v>
      </c>
      <c r="G907" t="s">
        <v>137</v>
      </c>
      <c r="H907">
        <v>0</v>
      </c>
      <c r="I907" t="s">
        <v>343</v>
      </c>
    </row>
    <row r="908" spans="1:9" x14ac:dyDescent="0.25">
      <c r="A908">
        <v>70357</v>
      </c>
      <c r="B908" t="s">
        <v>192</v>
      </c>
      <c r="C908" t="s">
        <v>238</v>
      </c>
      <c r="D908">
        <v>4</v>
      </c>
      <c r="E908">
        <v>0</v>
      </c>
      <c r="F908" t="s">
        <v>241</v>
      </c>
      <c r="G908" t="s">
        <v>143</v>
      </c>
      <c r="H908">
        <v>0</v>
      </c>
      <c r="I908" t="s">
        <v>344</v>
      </c>
    </row>
    <row r="909" spans="1:9" x14ac:dyDescent="0.25">
      <c r="A909">
        <v>70357</v>
      </c>
      <c r="B909" t="s">
        <v>192</v>
      </c>
      <c r="C909" t="s">
        <v>238</v>
      </c>
      <c r="D909">
        <v>4</v>
      </c>
      <c r="E909">
        <v>0</v>
      </c>
      <c r="F909" t="s">
        <v>241</v>
      </c>
      <c r="G909" t="s">
        <v>143</v>
      </c>
      <c r="H909">
        <v>0</v>
      </c>
      <c r="I909" t="s">
        <v>345</v>
      </c>
    </row>
    <row r="910" spans="1:9" x14ac:dyDescent="0.25">
      <c r="A910">
        <v>70357</v>
      </c>
      <c r="B910" t="s">
        <v>192</v>
      </c>
      <c r="C910" t="s">
        <v>238</v>
      </c>
      <c r="D910">
        <v>4</v>
      </c>
      <c r="E910">
        <v>0</v>
      </c>
      <c r="F910" t="s">
        <v>241</v>
      </c>
      <c r="G910" t="s">
        <v>143</v>
      </c>
      <c r="H910">
        <v>0</v>
      </c>
      <c r="I910" t="s">
        <v>346</v>
      </c>
    </row>
    <row r="911" spans="1:9" x14ac:dyDescent="0.25">
      <c r="A911">
        <v>70357</v>
      </c>
      <c r="B911" t="s">
        <v>192</v>
      </c>
      <c r="C911" t="s">
        <v>238</v>
      </c>
      <c r="D911">
        <v>4</v>
      </c>
      <c r="E911">
        <v>0</v>
      </c>
      <c r="F911" t="s">
        <v>241</v>
      </c>
      <c r="G911" t="s">
        <v>138</v>
      </c>
      <c r="H911">
        <v>0</v>
      </c>
      <c r="I911" t="s">
        <v>347</v>
      </c>
    </row>
    <row r="912" spans="1:9" x14ac:dyDescent="0.25">
      <c r="A912">
        <v>70358</v>
      </c>
      <c r="B912" t="s">
        <v>194</v>
      </c>
      <c r="C912" t="s">
        <v>238</v>
      </c>
      <c r="D912">
        <v>4</v>
      </c>
      <c r="E912">
        <v>0</v>
      </c>
      <c r="F912" t="s">
        <v>239</v>
      </c>
      <c r="G912" t="s">
        <v>153</v>
      </c>
      <c r="H912">
        <v>0</v>
      </c>
      <c r="I912" t="s">
        <v>351</v>
      </c>
    </row>
    <row r="913" spans="1:9" x14ac:dyDescent="0.25">
      <c r="A913">
        <v>70358</v>
      </c>
      <c r="B913" t="s">
        <v>194</v>
      </c>
      <c r="C913" t="s">
        <v>238</v>
      </c>
      <c r="D913">
        <v>4</v>
      </c>
      <c r="E913">
        <v>0</v>
      </c>
      <c r="F913" t="s">
        <v>239</v>
      </c>
      <c r="G913" t="s">
        <v>152</v>
      </c>
      <c r="H913">
        <v>0</v>
      </c>
      <c r="I913" t="s">
        <v>352</v>
      </c>
    </row>
    <row r="914" spans="1:9" x14ac:dyDescent="0.25">
      <c r="A914">
        <v>70358</v>
      </c>
      <c r="B914" t="s">
        <v>194</v>
      </c>
      <c r="C914" t="s">
        <v>238</v>
      </c>
      <c r="D914">
        <v>4</v>
      </c>
      <c r="E914">
        <v>0</v>
      </c>
      <c r="F914" t="s">
        <v>239</v>
      </c>
      <c r="G914" t="s">
        <v>154</v>
      </c>
      <c r="H914">
        <v>0</v>
      </c>
      <c r="I914" t="s">
        <v>349</v>
      </c>
    </row>
    <row r="915" spans="1:9" x14ac:dyDescent="0.25">
      <c r="A915">
        <v>70358</v>
      </c>
      <c r="B915" t="s">
        <v>194</v>
      </c>
      <c r="C915" t="s">
        <v>238</v>
      </c>
      <c r="D915">
        <v>4</v>
      </c>
      <c r="E915">
        <v>0</v>
      </c>
      <c r="F915" t="s">
        <v>241</v>
      </c>
      <c r="G915" t="s">
        <v>26</v>
      </c>
      <c r="H915">
        <v>0</v>
      </c>
      <c r="I915" t="s">
        <v>350</v>
      </c>
    </row>
    <row r="916" spans="1:9" x14ac:dyDescent="0.25">
      <c r="A916">
        <v>70358</v>
      </c>
      <c r="B916" t="s">
        <v>194</v>
      </c>
      <c r="C916" t="s">
        <v>238</v>
      </c>
      <c r="D916">
        <v>4</v>
      </c>
      <c r="E916">
        <v>0</v>
      </c>
      <c r="F916" t="s">
        <v>241</v>
      </c>
      <c r="G916" t="s">
        <v>23</v>
      </c>
      <c r="H916">
        <v>35428</v>
      </c>
      <c r="I916" t="s">
        <v>269</v>
      </c>
    </row>
    <row r="917" spans="1:9" x14ac:dyDescent="0.25">
      <c r="A917">
        <v>70358</v>
      </c>
      <c r="B917" t="s">
        <v>194</v>
      </c>
      <c r="C917" t="s">
        <v>238</v>
      </c>
      <c r="D917">
        <v>4</v>
      </c>
      <c r="E917">
        <v>0</v>
      </c>
      <c r="F917" t="s">
        <v>241</v>
      </c>
      <c r="G917" t="s">
        <v>26</v>
      </c>
      <c r="H917">
        <v>0</v>
      </c>
      <c r="I917" t="s">
        <v>353</v>
      </c>
    </row>
    <row r="918" spans="1:9" x14ac:dyDescent="0.25">
      <c r="A918">
        <v>70358</v>
      </c>
      <c r="B918" t="s">
        <v>194</v>
      </c>
      <c r="C918" t="s">
        <v>238</v>
      </c>
      <c r="D918">
        <v>4</v>
      </c>
      <c r="E918">
        <v>0</v>
      </c>
      <c r="F918" t="s">
        <v>241</v>
      </c>
      <c r="G918" t="s">
        <v>157</v>
      </c>
      <c r="H918">
        <v>0</v>
      </c>
      <c r="I918" t="s">
        <v>348</v>
      </c>
    </row>
    <row r="919" spans="1:9" x14ac:dyDescent="0.25">
      <c r="A919">
        <v>70358</v>
      </c>
      <c r="B919" t="s">
        <v>194</v>
      </c>
      <c r="C919" t="s">
        <v>238</v>
      </c>
      <c r="D919">
        <v>4</v>
      </c>
      <c r="E919">
        <v>0</v>
      </c>
      <c r="F919" t="s">
        <v>261</v>
      </c>
      <c r="G919" t="s">
        <v>261</v>
      </c>
      <c r="H919">
        <v>0</v>
      </c>
      <c r="I919" t="s">
        <v>272</v>
      </c>
    </row>
    <row r="920" spans="1:9" x14ac:dyDescent="0.25">
      <c r="A920">
        <v>70358</v>
      </c>
      <c r="B920" t="s">
        <v>194</v>
      </c>
      <c r="C920" t="s">
        <v>238</v>
      </c>
      <c r="D920">
        <v>4</v>
      </c>
      <c r="E920">
        <v>0</v>
      </c>
      <c r="F920" t="s">
        <v>261</v>
      </c>
      <c r="G920" t="s">
        <v>261</v>
      </c>
      <c r="H920">
        <v>0</v>
      </c>
      <c r="I920" t="s">
        <v>354</v>
      </c>
    </row>
    <row r="921" spans="1:9" x14ac:dyDescent="0.25">
      <c r="A921">
        <v>70358</v>
      </c>
      <c r="B921" t="s">
        <v>194</v>
      </c>
      <c r="C921" t="s">
        <v>238</v>
      </c>
      <c r="D921">
        <v>4</v>
      </c>
      <c r="E921">
        <v>0</v>
      </c>
      <c r="F921" t="s">
        <v>247</v>
      </c>
      <c r="G921" t="s">
        <v>12</v>
      </c>
      <c r="H921">
        <v>-3936659</v>
      </c>
      <c r="I921" t="s">
        <v>248</v>
      </c>
    </row>
    <row r="922" spans="1:9" x14ac:dyDescent="0.25">
      <c r="A922">
        <v>70358</v>
      </c>
      <c r="B922" t="s">
        <v>194</v>
      </c>
      <c r="C922" t="s">
        <v>238</v>
      </c>
      <c r="D922">
        <v>4</v>
      </c>
      <c r="E922">
        <v>0</v>
      </c>
      <c r="F922" t="s">
        <v>247</v>
      </c>
      <c r="G922" t="s">
        <v>13</v>
      </c>
      <c r="H922">
        <v>6329049</v>
      </c>
      <c r="I922" t="s">
        <v>249</v>
      </c>
    </row>
    <row r="923" spans="1:9" x14ac:dyDescent="0.25">
      <c r="A923">
        <v>70358</v>
      </c>
      <c r="B923" t="s">
        <v>194</v>
      </c>
      <c r="C923" t="s">
        <v>238</v>
      </c>
      <c r="D923">
        <v>4</v>
      </c>
      <c r="E923">
        <v>0</v>
      </c>
      <c r="F923" t="s">
        <v>241</v>
      </c>
      <c r="G923" t="s">
        <v>25</v>
      </c>
      <c r="H923">
        <v>7198</v>
      </c>
      <c r="I923" t="s">
        <v>250</v>
      </c>
    </row>
    <row r="924" spans="1:9" x14ac:dyDescent="0.25">
      <c r="A924">
        <v>70358</v>
      </c>
      <c r="B924" t="s">
        <v>194</v>
      </c>
      <c r="C924" t="s">
        <v>238</v>
      </c>
      <c r="D924">
        <v>4</v>
      </c>
      <c r="E924">
        <v>0</v>
      </c>
      <c r="F924" t="s">
        <v>241</v>
      </c>
      <c r="G924" t="s">
        <v>26</v>
      </c>
      <c r="H924">
        <v>0</v>
      </c>
      <c r="I924" t="s">
        <v>251</v>
      </c>
    </row>
    <row r="925" spans="1:9" x14ac:dyDescent="0.25">
      <c r="A925">
        <v>70358</v>
      </c>
      <c r="B925" t="s">
        <v>194</v>
      </c>
      <c r="C925" t="s">
        <v>238</v>
      </c>
      <c r="D925">
        <v>4</v>
      </c>
      <c r="E925">
        <v>0</v>
      </c>
      <c r="F925" t="s">
        <v>239</v>
      </c>
      <c r="G925" t="s">
        <v>18</v>
      </c>
      <c r="H925">
        <v>328320</v>
      </c>
      <c r="I925" t="s">
        <v>252</v>
      </c>
    </row>
    <row r="926" spans="1:9" x14ac:dyDescent="0.25">
      <c r="A926">
        <v>70358</v>
      </c>
      <c r="B926" t="s">
        <v>194</v>
      </c>
      <c r="C926" t="s">
        <v>238</v>
      </c>
      <c r="D926">
        <v>4</v>
      </c>
      <c r="E926">
        <v>0</v>
      </c>
      <c r="F926" t="s">
        <v>241</v>
      </c>
      <c r="G926" t="s">
        <v>26</v>
      </c>
      <c r="H926">
        <v>0</v>
      </c>
      <c r="I926" t="s">
        <v>253</v>
      </c>
    </row>
    <row r="927" spans="1:9" x14ac:dyDescent="0.25">
      <c r="A927">
        <v>70358</v>
      </c>
      <c r="B927" t="s">
        <v>194</v>
      </c>
      <c r="C927" t="s">
        <v>238</v>
      </c>
      <c r="D927">
        <v>4</v>
      </c>
      <c r="E927">
        <v>0</v>
      </c>
      <c r="F927" t="s">
        <v>247</v>
      </c>
      <c r="G927" t="s">
        <v>15</v>
      </c>
      <c r="H927">
        <v>442567</v>
      </c>
      <c r="I927" t="s">
        <v>254</v>
      </c>
    </row>
    <row r="928" spans="1:9" x14ac:dyDescent="0.25">
      <c r="A928">
        <v>70358</v>
      </c>
      <c r="B928" t="s">
        <v>194</v>
      </c>
      <c r="C928" t="s">
        <v>238</v>
      </c>
      <c r="D928">
        <v>4</v>
      </c>
      <c r="E928">
        <v>0</v>
      </c>
      <c r="F928" t="s">
        <v>247</v>
      </c>
      <c r="G928" t="s">
        <v>14</v>
      </c>
      <c r="H928">
        <v>0</v>
      </c>
      <c r="I928" t="s">
        <v>355</v>
      </c>
    </row>
    <row r="929" spans="1:9" x14ac:dyDescent="0.25">
      <c r="A929">
        <v>70358</v>
      </c>
      <c r="B929" t="s">
        <v>194</v>
      </c>
      <c r="C929" t="s">
        <v>238</v>
      </c>
      <c r="D929">
        <v>4</v>
      </c>
      <c r="E929">
        <v>0</v>
      </c>
      <c r="F929" t="s">
        <v>241</v>
      </c>
      <c r="G929" t="s">
        <v>23</v>
      </c>
      <c r="H929">
        <v>71888</v>
      </c>
      <c r="I929" t="s">
        <v>242</v>
      </c>
    </row>
    <row r="930" spans="1:9" x14ac:dyDescent="0.25">
      <c r="A930">
        <v>70358</v>
      </c>
      <c r="B930" t="s">
        <v>194</v>
      </c>
      <c r="C930" t="s">
        <v>238</v>
      </c>
      <c r="D930">
        <v>4</v>
      </c>
      <c r="E930">
        <v>0</v>
      </c>
      <c r="F930" t="s">
        <v>241</v>
      </c>
      <c r="G930" t="s">
        <v>24</v>
      </c>
      <c r="H930">
        <v>44071</v>
      </c>
      <c r="I930" t="s">
        <v>243</v>
      </c>
    </row>
    <row r="931" spans="1:9" x14ac:dyDescent="0.25">
      <c r="A931">
        <v>70358</v>
      </c>
      <c r="B931" t="s">
        <v>194</v>
      </c>
      <c r="C931" t="s">
        <v>238</v>
      </c>
      <c r="D931">
        <v>4</v>
      </c>
      <c r="E931">
        <v>0</v>
      </c>
      <c r="F931" t="s">
        <v>241</v>
      </c>
      <c r="G931" t="s">
        <v>21</v>
      </c>
      <c r="H931">
        <v>0</v>
      </c>
      <c r="I931" t="s">
        <v>356</v>
      </c>
    </row>
    <row r="932" spans="1:9" x14ac:dyDescent="0.25">
      <c r="A932">
        <v>70358</v>
      </c>
      <c r="B932" t="s">
        <v>194</v>
      </c>
      <c r="C932" t="s">
        <v>238</v>
      </c>
      <c r="D932">
        <v>4</v>
      </c>
      <c r="E932">
        <v>0</v>
      </c>
      <c r="F932" t="s">
        <v>239</v>
      </c>
      <c r="G932" t="s">
        <v>20</v>
      </c>
      <c r="H932">
        <v>-5126</v>
      </c>
      <c r="I932" t="s">
        <v>244</v>
      </c>
    </row>
    <row r="933" spans="1:9" x14ac:dyDescent="0.25">
      <c r="A933">
        <v>70358</v>
      </c>
      <c r="B933" t="s">
        <v>194</v>
      </c>
      <c r="C933" t="s">
        <v>238</v>
      </c>
      <c r="D933">
        <v>4</v>
      </c>
      <c r="E933">
        <v>0</v>
      </c>
      <c r="F933" t="s">
        <v>241</v>
      </c>
      <c r="G933" t="s">
        <v>22</v>
      </c>
      <c r="H933">
        <v>596</v>
      </c>
      <c r="I933" t="s">
        <v>245</v>
      </c>
    </row>
    <row r="934" spans="1:9" x14ac:dyDescent="0.25">
      <c r="A934">
        <v>70358</v>
      </c>
      <c r="B934" t="s">
        <v>194</v>
      </c>
      <c r="C934" t="s">
        <v>238</v>
      </c>
      <c r="D934">
        <v>4</v>
      </c>
      <c r="E934">
        <v>0</v>
      </c>
      <c r="F934" t="s">
        <v>241</v>
      </c>
      <c r="G934" t="s">
        <v>26</v>
      </c>
      <c r="H934">
        <v>1759</v>
      </c>
      <c r="I934" t="s">
        <v>246</v>
      </c>
    </row>
    <row r="935" spans="1:9" x14ac:dyDescent="0.25">
      <c r="A935">
        <v>70358</v>
      </c>
      <c r="B935" t="s">
        <v>194</v>
      </c>
      <c r="C935" t="s">
        <v>238</v>
      </c>
      <c r="D935">
        <v>4</v>
      </c>
      <c r="E935">
        <v>0</v>
      </c>
      <c r="F935" t="s">
        <v>239</v>
      </c>
      <c r="G935" t="s">
        <v>17</v>
      </c>
      <c r="H935">
        <v>0</v>
      </c>
      <c r="I935" t="s">
        <v>357</v>
      </c>
    </row>
    <row r="936" spans="1:9" x14ac:dyDescent="0.25">
      <c r="A936">
        <v>70358</v>
      </c>
      <c r="B936" t="s">
        <v>194</v>
      </c>
      <c r="C936" t="s">
        <v>238</v>
      </c>
      <c r="D936">
        <v>4</v>
      </c>
      <c r="E936">
        <v>0</v>
      </c>
      <c r="F936" t="s">
        <v>241</v>
      </c>
      <c r="G936" t="s">
        <v>24</v>
      </c>
      <c r="H936">
        <v>0</v>
      </c>
      <c r="I936" t="s">
        <v>358</v>
      </c>
    </row>
    <row r="937" spans="1:9" x14ac:dyDescent="0.25">
      <c r="A937">
        <v>70358</v>
      </c>
      <c r="B937" t="s">
        <v>194</v>
      </c>
      <c r="C937" t="s">
        <v>238</v>
      </c>
      <c r="D937">
        <v>4</v>
      </c>
      <c r="E937">
        <v>0</v>
      </c>
      <c r="F937" t="s">
        <v>241</v>
      </c>
      <c r="G937" t="s">
        <v>27</v>
      </c>
      <c r="H937">
        <v>0</v>
      </c>
      <c r="I937" t="s">
        <v>359</v>
      </c>
    </row>
    <row r="938" spans="1:9" x14ac:dyDescent="0.25">
      <c r="A938">
        <v>70358</v>
      </c>
      <c r="B938" t="s">
        <v>194</v>
      </c>
      <c r="C938" t="s">
        <v>238</v>
      </c>
      <c r="D938">
        <v>4</v>
      </c>
      <c r="E938">
        <v>0</v>
      </c>
      <c r="F938" t="s">
        <v>239</v>
      </c>
      <c r="G938" t="s">
        <v>19</v>
      </c>
      <c r="H938">
        <v>0</v>
      </c>
      <c r="I938" t="s">
        <v>360</v>
      </c>
    </row>
    <row r="939" spans="1:9" x14ac:dyDescent="0.25">
      <c r="A939">
        <v>70358</v>
      </c>
      <c r="B939" t="s">
        <v>194</v>
      </c>
      <c r="C939" t="s">
        <v>238</v>
      </c>
      <c r="D939">
        <v>4</v>
      </c>
      <c r="E939">
        <v>0</v>
      </c>
      <c r="F939" t="s">
        <v>239</v>
      </c>
      <c r="G939" t="s">
        <v>20</v>
      </c>
      <c r="H939">
        <v>107641</v>
      </c>
      <c r="I939" t="s">
        <v>255</v>
      </c>
    </row>
    <row r="940" spans="1:9" x14ac:dyDescent="0.25">
      <c r="A940">
        <v>70358</v>
      </c>
      <c r="B940" t="s">
        <v>194</v>
      </c>
      <c r="C940" t="s">
        <v>238</v>
      </c>
      <c r="D940">
        <v>4</v>
      </c>
      <c r="E940">
        <v>0</v>
      </c>
      <c r="F940" t="s">
        <v>247</v>
      </c>
      <c r="G940" t="s">
        <v>148</v>
      </c>
      <c r="H940">
        <v>0</v>
      </c>
      <c r="I940" t="s">
        <v>256</v>
      </c>
    </row>
    <row r="941" spans="1:9" x14ac:dyDescent="0.25">
      <c r="A941">
        <v>70358</v>
      </c>
      <c r="B941" t="s">
        <v>194</v>
      </c>
      <c r="C941" t="s">
        <v>238</v>
      </c>
      <c r="D941">
        <v>4</v>
      </c>
      <c r="E941">
        <v>0</v>
      </c>
      <c r="F941" t="s">
        <v>241</v>
      </c>
      <c r="G941" t="s">
        <v>27</v>
      </c>
      <c r="H941">
        <v>7544910</v>
      </c>
      <c r="I941" t="s">
        <v>257</v>
      </c>
    </row>
    <row r="942" spans="1:9" x14ac:dyDescent="0.25">
      <c r="A942">
        <v>70358</v>
      </c>
      <c r="B942" t="s">
        <v>194</v>
      </c>
      <c r="C942" t="s">
        <v>238</v>
      </c>
      <c r="D942">
        <v>4</v>
      </c>
      <c r="E942">
        <v>0</v>
      </c>
      <c r="F942" t="s">
        <v>241</v>
      </c>
      <c r="G942" t="s">
        <v>27</v>
      </c>
      <c r="H942">
        <v>0</v>
      </c>
      <c r="I942" t="s">
        <v>361</v>
      </c>
    </row>
    <row r="943" spans="1:9" x14ac:dyDescent="0.25">
      <c r="A943">
        <v>70358</v>
      </c>
      <c r="B943" t="s">
        <v>194</v>
      </c>
      <c r="C943" t="s">
        <v>238</v>
      </c>
      <c r="D943">
        <v>4</v>
      </c>
      <c r="E943">
        <v>0</v>
      </c>
      <c r="F943" t="s">
        <v>241</v>
      </c>
      <c r="G943" t="s">
        <v>27</v>
      </c>
      <c r="H943">
        <v>0</v>
      </c>
      <c r="I943" t="s">
        <v>362</v>
      </c>
    </row>
    <row r="944" spans="1:9" x14ac:dyDescent="0.25">
      <c r="A944">
        <v>70358</v>
      </c>
      <c r="B944" t="s">
        <v>194</v>
      </c>
      <c r="C944" t="s">
        <v>238</v>
      </c>
      <c r="D944">
        <v>4</v>
      </c>
      <c r="E944">
        <v>0</v>
      </c>
      <c r="F944" t="s">
        <v>241</v>
      </c>
      <c r="G944" t="s">
        <v>27</v>
      </c>
      <c r="H944">
        <v>0</v>
      </c>
      <c r="I944" t="s">
        <v>363</v>
      </c>
    </row>
    <row r="945" spans="1:9" x14ac:dyDescent="0.25">
      <c r="A945">
        <v>70358</v>
      </c>
      <c r="B945" t="s">
        <v>194</v>
      </c>
      <c r="C945" t="s">
        <v>238</v>
      </c>
      <c r="D945">
        <v>4</v>
      </c>
      <c r="E945">
        <v>0</v>
      </c>
      <c r="F945" t="s">
        <v>239</v>
      </c>
      <c r="G945" t="s">
        <v>16</v>
      </c>
      <c r="H945">
        <v>0</v>
      </c>
      <c r="I945" t="s">
        <v>267</v>
      </c>
    </row>
    <row r="946" spans="1:9" x14ac:dyDescent="0.25">
      <c r="A946">
        <v>70358</v>
      </c>
      <c r="B946" t="s">
        <v>194</v>
      </c>
      <c r="C946" t="s">
        <v>238</v>
      </c>
      <c r="D946">
        <v>4</v>
      </c>
      <c r="E946">
        <v>0</v>
      </c>
      <c r="F946" t="s">
        <v>239</v>
      </c>
      <c r="G946" t="s">
        <v>152</v>
      </c>
      <c r="H946">
        <v>128668</v>
      </c>
      <c r="I946" t="s">
        <v>258</v>
      </c>
    </row>
    <row r="947" spans="1:9" x14ac:dyDescent="0.25">
      <c r="A947">
        <v>70358</v>
      </c>
      <c r="B947" t="s">
        <v>194</v>
      </c>
      <c r="C947" t="s">
        <v>238</v>
      </c>
      <c r="D947">
        <v>4</v>
      </c>
      <c r="E947">
        <v>0</v>
      </c>
      <c r="F947" t="s">
        <v>239</v>
      </c>
      <c r="G947" t="s">
        <v>154</v>
      </c>
      <c r="H947">
        <v>0</v>
      </c>
      <c r="I947" t="s">
        <v>330</v>
      </c>
    </row>
    <row r="948" spans="1:9" x14ac:dyDescent="0.25">
      <c r="A948">
        <v>70358</v>
      </c>
      <c r="B948" t="s">
        <v>194</v>
      </c>
      <c r="C948" t="s">
        <v>238</v>
      </c>
      <c r="D948">
        <v>4</v>
      </c>
      <c r="E948">
        <v>0</v>
      </c>
      <c r="F948" t="s">
        <v>239</v>
      </c>
      <c r="G948" t="s">
        <v>16</v>
      </c>
      <c r="H948">
        <v>14749</v>
      </c>
      <c r="I948" t="s">
        <v>259</v>
      </c>
    </row>
    <row r="949" spans="1:9" x14ac:dyDescent="0.25">
      <c r="A949">
        <v>70358</v>
      </c>
      <c r="B949" t="s">
        <v>194</v>
      </c>
      <c r="C949" t="s">
        <v>238</v>
      </c>
      <c r="D949">
        <v>4</v>
      </c>
      <c r="E949">
        <v>0</v>
      </c>
      <c r="F949" t="s">
        <v>239</v>
      </c>
      <c r="G949" t="s">
        <v>19</v>
      </c>
      <c r="H949">
        <v>44619</v>
      </c>
      <c r="I949" t="s">
        <v>260</v>
      </c>
    </row>
    <row r="950" spans="1:9" x14ac:dyDescent="0.25">
      <c r="A950">
        <v>70358</v>
      </c>
      <c r="B950" t="s">
        <v>194</v>
      </c>
      <c r="C950" t="s">
        <v>238</v>
      </c>
      <c r="D950">
        <v>4</v>
      </c>
      <c r="E950">
        <v>0</v>
      </c>
      <c r="F950" t="s">
        <v>239</v>
      </c>
      <c r="G950" t="s">
        <v>19</v>
      </c>
      <c r="H950">
        <v>0</v>
      </c>
      <c r="I950" t="s">
        <v>270</v>
      </c>
    </row>
    <row r="951" spans="1:9" x14ac:dyDescent="0.25">
      <c r="A951">
        <v>70358</v>
      </c>
      <c r="B951" t="s">
        <v>194</v>
      </c>
      <c r="C951" t="s">
        <v>238</v>
      </c>
      <c r="D951">
        <v>4</v>
      </c>
      <c r="E951">
        <v>0</v>
      </c>
      <c r="F951" t="s">
        <v>241</v>
      </c>
      <c r="G951" t="s">
        <v>139</v>
      </c>
      <c r="H951">
        <v>0</v>
      </c>
      <c r="I951" t="s">
        <v>331</v>
      </c>
    </row>
    <row r="952" spans="1:9" x14ac:dyDescent="0.25">
      <c r="A952">
        <v>70358</v>
      </c>
      <c r="B952" t="s">
        <v>194</v>
      </c>
      <c r="C952" t="s">
        <v>238</v>
      </c>
      <c r="D952">
        <v>4</v>
      </c>
      <c r="E952">
        <v>0</v>
      </c>
      <c r="F952" t="s">
        <v>261</v>
      </c>
      <c r="G952" t="s">
        <v>261</v>
      </c>
      <c r="H952">
        <v>-4221957</v>
      </c>
      <c r="I952" t="s">
        <v>262</v>
      </c>
    </row>
    <row r="953" spans="1:9" x14ac:dyDescent="0.25">
      <c r="A953">
        <v>70358</v>
      </c>
      <c r="B953" t="s">
        <v>194</v>
      </c>
      <c r="C953" t="s">
        <v>238</v>
      </c>
      <c r="D953">
        <v>4</v>
      </c>
      <c r="E953">
        <v>0</v>
      </c>
      <c r="F953" t="s">
        <v>239</v>
      </c>
      <c r="G953" t="s">
        <v>19</v>
      </c>
      <c r="H953">
        <v>75834</v>
      </c>
      <c r="I953" t="s">
        <v>263</v>
      </c>
    </row>
    <row r="954" spans="1:9" x14ac:dyDescent="0.25">
      <c r="A954">
        <v>70358</v>
      </c>
      <c r="B954" t="s">
        <v>194</v>
      </c>
      <c r="C954" t="s">
        <v>238</v>
      </c>
      <c r="D954">
        <v>4</v>
      </c>
      <c r="E954">
        <v>0</v>
      </c>
      <c r="F954" t="s">
        <v>239</v>
      </c>
      <c r="G954" t="s">
        <v>16</v>
      </c>
      <c r="H954">
        <v>40</v>
      </c>
      <c r="I954" t="s">
        <v>240</v>
      </c>
    </row>
    <row r="955" spans="1:9" x14ac:dyDescent="0.25">
      <c r="A955">
        <v>70358</v>
      </c>
      <c r="B955" t="s">
        <v>194</v>
      </c>
      <c r="C955" t="s">
        <v>238</v>
      </c>
      <c r="D955">
        <v>4</v>
      </c>
      <c r="E955">
        <v>0</v>
      </c>
      <c r="F955" t="s">
        <v>239</v>
      </c>
      <c r="G955" t="s">
        <v>19</v>
      </c>
      <c r="H955">
        <v>51563</v>
      </c>
      <c r="I955" t="s">
        <v>264</v>
      </c>
    </row>
    <row r="956" spans="1:9" x14ac:dyDescent="0.25">
      <c r="A956">
        <v>70358</v>
      </c>
      <c r="B956" t="s">
        <v>194</v>
      </c>
      <c r="C956" t="s">
        <v>238</v>
      </c>
      <c r="D956">
        <v>4</v>
      </c>
      <c r="E956">
        <v>0</v>
      </c>
      <c r="F956" t="s">
        <v>241</v>
      </c>
      <c r="G956" t="s">
        <v>158</v>
      </c>
      <c r="H956">
        <v>48777</v>
      </c>
      <c r="I956" t="s">
        <v>265</v>
      </c>
    </row>
    <row r="957" spans="1:9" x14ac:dyDescent="0.25">
      <c r="A957">
        <v>70358</v>
      </c>
      <c r="B957" t="s">
        <v>194</v>
      </c>
      <c r="C957" t="s">
        <v>238</v>
      </c>
      <c r="D957">
        <v>4</v>
      </c>
      <c r="E957">
        <v>0</v>
      </c>
      <c r="F957" t="s">
        <v>239</v>
      </c>
      <c r="G957" t="s">
        <v>19</v>
      </c>
      <c r="H957">
        <v>0</v>
      </c>
      <c r="I957" t="s">
        <v>271</v>
      </c>
    </row>
    <row r="958" spans="1:9" x14ac:dyDescent="0.25">
      <c r="A958">
        <v>70358</v>
      </c>
      <c r="B958" t="s">
        <v>194</v>
      </c>
      <c r="C958" t="s">
        <v>238</v>
      </c>
      <c r="D958">
        <v>4</v>
      </c>
      <c r="E958">
        <v>0</v>
      </c>
      <c r="F958" t="s">
        <v>239</v>
      </c>
      <c r="G958" t="s">
        <v>19</v>
      </c>
      <c r="H958">
        <v>0</v>
      </c>
      <c r="I958" t="s">
        <v>266</v>
      </c>
    </row>
    <row r="959" spans="1:9" x14ac:dyDescent="0.25">
      <c r="A959">
        <v>70358</v>
      </c>
      <c r="B959" t="s">
        <v>194</v>
      </c>
      <c r="C959" t="s">
        <v>238</v>
      </c>
      <c r="D959">
        <v>4</v>
      </c>
      <c r="E959">
        <v>0</v>
      </c>
      <c r="F959" t="s">
        <v>241</v>
      </c>
      <c r="G959" t="s">
        <v>143</v>
      </c>
      <c r="H959">
        <v>0</v>
      </c>
      <c r="I959" t="s">
        <v>332</v>
      </c>
    </row>
    <row r="960" spans="1:9" x14ac:dyDescent="0.25">
      <c r="A960">
        <v>70358</v>
      </c>
      <c r="B960" t="s">
        <v>194</v>
      </c>
      <c r="C960" t="s">
        <v>238</v>
      </c>
      <c r="D960">
        <v>4</v>
      </c>
      <c r="E960">
        <v>0</v>
      </c>
      <c r="F960" t="s">
        <v>241</v>
      </c>
      <c r="G960" t="s">
        <v>138</v>
      </c>
      <c r="H960">
        <v>0</v>
      </c>
      <c r="I960" t="s">
        <v>333</v>
      </c>
    </row>
    <row r="961" spans="1:9" x14ac:dyDescent="0.25">
      <c r="A961">
        <v>70358</v>
      </c>
      <c r="B961" t="s">
        <v>194</v>
      </c>
      <c r="C961" t="s">
        <v>238</v>
      </c>
      <c r="D961">
        <v>4</v>
      </c>
      <c r="E961">
        <v>0</v>
      </c>
      <c r="F961" t="s">
        <v>241</v>
      </c>
      <c r="G961" t="s">
        <v>138</v>
      </c>
      <c r="H961">
        <v>0</v>
      </c>
      <c r="I961" t="s">
        <v>334</v>
      </c>
    </row>
    <row r="962" spans="1:9" x14ac:dyDescent="0.25">
      <c r="A962">
        <v>70358</v>
      </c>
      <c r="B962" t="s">
        <v>194</v>
      </c>
      <c r="C962" t="s">
        <v>238</v>
      </c>
      <c r="D962">
        <v>4</v>
      </c>
      <c r="E962">
        <v>0</v>
      </c>
      <c r="F962" t="s">
        <v>241</v>
      </c>
      <c r="G962" t="s">
        <v>138</v>
      </c>
      <c r="H962">
        <v>-45913</v>
      </c>
      <c r="I962" t="s">
        <v>268</v>
      </c>
    </row>
    <row r="963" spans="1:9" x14ac:dyDescent="0.25">
      <c r="A963">
        <v>70358</v>
      </c>
      <c r="B963" t="s">
        <v>194</v>
      </c>
      <c r="C963" t="s">
        <v>238</v>
      </c>
      <c r="D963">
        <v>4</v>
      </c>
      <c r="E963">
        <v>0</v>
      </c>
      <c r="F963" t="s">
        <v>241</v>
      </c>
      <c r="G963" t="s">
        <v>139</v>
      </c>
      <c r="H963">
        <v>0</v>
      </c>
      <c r="I963" t="s">
        <v>336</v>
      </c>
    </row>
    <row r="964" spans="1:9" x14ac:dyDescent="0.25">
      <c r="A964">
        <v>70358</v>
      </c>
      <c r="B964" t="s">
        <v>194</v>
      </c>
      <c r="C964" t="s">
        <v>238</v>
      </c>
      <c r="D964">
        <v>4</v>
      </c>
      <c r="E964">
        <v>0</v>
      </c>
      <c r="F964" t="s">
        <v>241</v>
      </c>
      <c r="G964" t="s">
        <v>139</v>
      </c>
      <c r="H964">
        <v>0</v>
      </c>
      <c r="I964" t="s">
        <v>337</v>
      </c>
    </row>
    <row r="965" spans="1:9" x14ac:dyDescent="0.25">
      <c r="A965">
        <v>70358</v>
      </c>
      <c r="B965" t="s">
        <v>194</v>
      </c>
      <c r="C965" t="s">
        <v>238</v>
      </c>
      <c r="D965">
        <v>4</v>
      </c>
      <c r="E965">
        <v>0</v>
      </c>
      <c r="F965" t="s">
        <v>241</v>
      </c>
      <c r="G965" t="s">
        <v>139</v>
      </c>
      <c r="H965">
        <v>0</v>
      </c>
      <c r="I965" t="s">
        <v>335</v>
      </c>
    </row>
    <row r="966" spans="1:9" x14ac:dyDescent="0.25">
      <c r="A966">
        <v>70358</v>
      </c>
      <c r="B966" t="s">
        <v>194</v>
      </c>
      <c r="C966" t="s">
        <v>238</v>
      </c>
      <c r="D966">
        <v>4</v>
      </c>
      <c r="E966">
        <v>0</v>
      </c>
      <c r="F966" t="s">
        <v>241</v>
      </c>
      <c r="G966" t="s">
        <v>24</v>
      </c>
      <c r="H966">
        <v>0</v>
      </c>
      <c r="I966" t="s">
        <v>338</v>
      </c>
    </row>
    <row r="967" spans="1:9" x14ac:dyDescent="0.25">
      <c r="A967">
        <v>70358</v>
      </c>
      <c r="B967" t="s">
        <v>194</v>
      </c>
      <c r="C967" t="s">
        <v>238</v>
      </c>
      <c r="D967">
        <v>4</v>
      </c>
      <c r="E967">
        <v>0</v>
      </c>
      <c r="F967" t="s">
        <v>241</v>
      </c>
      <c r="G967" t="s">
        <v>24</v>
      </c>
      <c r="H967">
        <v>0</v>
      </c>
      <c r="I967" t="s">
        <v>339</v>
      </c>
    </row>
    <row r="968" spans="1:9" x14ac:dyDescent="0.25">
      <c r="A968">
        <v>70358</v>
      </c>
      <c r="B968" t="s">
        <v>194</v>
      </c>
      <c r="C968" t="s">
        <v>238</v>
      </c>
      <c r="D968">
        <v>4</v>
      </c>
      <c r="E968">
        <v>0</v>
      </c>
      <c r="F968" t="s">
        <v>241</v>
      </c>
      <c r="G968" t="s">
        <v>24</v>
      </c>
      <c r="H968">
        <v>0</v>
      </c>
      <c r="I968" t="s">
        <v>340</v>
      </c>
    </row>
    <row r="969" spans="1:9" x14ac:dyDescent="0.25">
      <c r="A969">
        <v>70358</v>
      </c>
      <c r="B969" t="s">
        <v>194</v>
      </c>
      <c r="C969" t="s">
        <v>238</v>
      </c>
      <c r="D969">
        <v>4</v>
      </c>
      <c r="E969">
        <v>0</v>
      </c>
      <c r="F969" t="s">
        <v>241</v>
      </c>
      <c r="G969" t="s">
        <v>137</v>
      </c>
      <c r="H969">
        <v>0</v>
      </c>
      <c r="I969" t="s">
        <v>273</v>
      </c>
    </row>
    <row r="970" spans="1:9" x14ac:dyDescent="0.25">
      <c r="A970">
        <v>70358</v>
      </c>
      <c r="B970" t="s">
        <v>194</v>
      </c>
      <c r="C970" t="s">
        <v>238</v>
      </c>
      <c r="D970">
        <v>4</v>
      </c>
      <c r="E970">
        <v>0</v>
      </c>
      <c r="F970" t="s">
        <v>241</v>
      </c>
      <c r="G970" t="s">
        <v>137</v>
      </c>
      <c r="H970">
        <v>0</v>
      </c>
      <c r="I970" t="s">
        <v>341</v>
      </c>
    </row>
    <row r="971" spans="1:9" x14ac:dyDescent="0.25">
      <c r="A971">
        <v>70358</v>
      </c>
      <c r="B971" t="s">
        <v>194</v>
      </c>
      <c r="C971" t="s">
        <v>238</v>
      </c>
      <c r="D971">
        <v>4</v>
      </c>
      <c r="E971">
        <v>0</v>
      </c>
      <c r="F971" t="s">
        <v>241</v>
      </c>
      <c r="G971" t="s">
        <v>137</v>
      </c>
      <c r="H971">
        <v>0</v>
      </c>
      <c r="I971" t="s">
        <v>342</v>
      </c>
    </row>
    <row r="972" spans="1:9" x14ac:dyDescent="0.25">
      <c r="A972">
        <v>70358</v>
      </c>
      <c r="B972" t="s">
        <v>194</v>
      </c>
      <c r="C972" t="s">
        <v>238</v>
      </c>
      <c r="D972">
        <v>4</v>
      </c>
      <c r="E972">
        <v>0</v>
      </c>
      <c r="F972" t="s">
        <v>241</v>
      </c>
      <c r="G972" t="s">
        <v>137</v>
      </c>
      <c r="H972">
        <v>0</v>
      </c>
      <c r="I972" t="s">
        <v>343</v>
      </c>
    </row>
    <row r="973" spans="1:9" x14ac:dyDescent="0.25">
      <c r="A973">
        <v>70358</v>
      </c>
      <c r="B973" t="s">
        <v>194</v>
      </c>
      <c r="C973" t="s">
        <v>238</v>
      </c>
      <c r="D973">
        <v>4</v>
      </c>
      <c r="E973">
        <v>0</v>
      </c>
      <c r="F973" t="s">
        <v>241</v>
      </c>
      <c r="G973" t="s">
        <v>143</v>
      </c>
      <c r="H973">
        <v>0</v>
      </c>
      <c r="I973" t="s">
        <v>344</v>
      </c>
    </row>
    <row r="974" spans="1:9" x14ac:dyDescent="0.25">
      <c r="A974">
        <v>70358</v>
      </c>
      <c r="B974" t="s">
        <v>194</v>
      </c>
      <c r="C974" t="s">
        <v>238</v>
      </c>
      <c r="D974">
        <v>4</v>
      </c>
      <c r="E974">
        <v>0</v>
      </c>
      <c r="F974" t="s">
        <v>241</v>
      </c>
      <c r="G974" t="s">
        <v>143</v>
      </c>
      <c r="H974">
        <v>0</v>
      </c>
      <c r="I974" t="s">
        <v>345</v>
      </c>
    </row>
    <row r="975" spans="1:9" x14ac:dyDescent="0.25">
      <c r="A975">
        <v>70358</v>
      </c>
      <c r="B975" t="s">
        <v>194</v>
      </c>
      <c r="C975" t="s">
        <v>238</v>
      </c>
      <c r="D975">
        <v>4</v>
      </c>
      <c r="E975">
        <v>0</v>
      </c>
      <c r="F975" t="s">
        <v>241</v>
      </c>
      <c r="G975" t="s">
        <v>143</v>
      </c>
      <c r="H975">
        <v>0</v>
      </c>
      <c r="I975" t="s">
        <v>346</v>
      </c>
    </row>
    <row r="976" spans="1:9" x14ac:dyDescent="0.25">
      <c r="A976">
        <v>70358</v>
      </c>
      <c r="B976" t="s">
        <v>194</v>
      </c>
      <c r="C976" t="s">
        <v>238</v>
      </c>
      <c r="D976">
        <v>4</v>
      </c>
      <c r="E976">
        <v>0</v>
      </c>
      <c r="F976" t="s">
        <v>241</v>
      </c>
      <c r="G976" t="s">
        <v>138</v>
      </c>
      <c r="H976">
        <v>0</v>
      </c>
      <c r="I976" t="s">
        <v>347</v>
      </c>
    </row>
    <row r="977" spans="1:9" x14ac:dyDescent="0.25">
      <c r="A977">
        <v>70361</v>
      </c>
      <c r="B977" t="s">
        <v>196</v>
      </c>
      <c r="C977" t="s">
        <v>238</v>
      </c>
      <c r="D977">
        <v>4</v>
      </c>
      <c r="E977">
        <v>0</v>
      </c>
      <c r="F977" t="s">
        <v>239</v>
      </c>
      <c r="G977" t="s">
        <v>153</v>
      </c>
      <c r="H977">
        <v>0</v>
      </c>
      <c r="I977" t="s">
        <v>351</v>
      </c>
    </row>
    <row r="978" spans="1:9" x14ac:dyDescent="0.25">
      <c r="A978">
        <v>70361</v>
      </c>
      <c r="B978" t="s">
        <v>196</v>
      </c>
      <c r="C978" t="s">
        <v>238</v>
      </c>
      <c r="D978">
        <v>4</v>
      </c>
      <c r="E978">
        <v>0</v>
      </c>
      <c r="F978" t="s">
        <v>239</v>
      </c>
      <c r="G978" t="s">
        <v>152</v>
      </c>
      <c r="H978">
        <v>0</v>
      </c>
      <c r="I978" t="s">
        <v>352</v>
      </c>
    </row>
    <row r="979" spans="1:9" x14ac:dyDescent="0.25">
      <c r="A979">
        <v>70361</v>
      </c>
      <c r="B979" t="s">
        <v>196</v>
      </c>
      <c r="C979" t="s">
        <v>238</v>
      </c>
      <c r="D979">
        <v>4</v>
      </c>
      <c r="E979">
        <v>0</v>
      </c>
      <c r="F979" t="s">
        <v>239</v>
      </c>
      <c r="G979" t="s">
        <v>154</v>
      </c>
      <c r="H979">
        <v>0</v>
      </c>
      <c r="I979" t="s">
        <v>349</v>
      </c>
    </row>
    <row r="980" spans="1:9" x14ac:dyDescent="0.25">
      <c r="A980">
        <v>70361</v>
      </c>
      <c r="B980" t="s">
        <v>196</v>
      </c>
      <c r="C980" t="s">
        <v>238</v>
      </c>
      <c r="D980">
        <v>4</v>
      </c>
      <c r="E980">
        <v>0</v>
      </c>
      <c r="F980" t="s">
        <v>241</v>
      </c>
      <c r="G980" t="s">
        <v>26</v>
      </c>
      <c r="H980">
        <v>0</v>
      </c>
      <c r="I980" t="s">
        <v>350</v>
      </c>
    </row>
    <row r="981" spans="1:9" x14ac:dyDescent="0.25">
      <c r="A981">
        <v>70361</v>
      </c>
      <c r="B981" t="s">
        <v>196</v>
      </c>
      <c r="C981" t="s">
        <v>238</v>
      </c>
      <c r="D981">
        <v>4</v>
      </c>
      <c r="E981">
        <v>0</v>
      </c>
      <c r="F981" t="s">
        <v>241</v>
      </c>
      <c r="G981" t="s">
        <v>23</v>
      </c>
      <c r="H981">
        <v>41966</v>
      </c>
      <c r="I981" t="s">
        <v>269</v>
      </c>
    </row>
    <row r="982" spans="1:9" x14ac:dyDescent="0.25">
      <c r="A982">
        <v>70361</v>
      </c>
      <c r="B982" t="s">
        <v>196</v>
      </c>
      <c r="C982" t="s">
        <v>238</v>
      </c>
      <c r="D982">
        <v>4</v>
      </c>
      <c r="E982">
        <v>0</v>
      </c>
      <c r="F982" t="s">
        <v>241</v>
      </c>
      <c r="G982" t="s">
        <v>26</v>
      </c>
      <c r="H982">
        <v>0</v>
      </c>
      <c r="I982" t="s">
        <v>353</v>
      </c>
    </row>
    <row r="983" spans="1:9" x14ac:dyDescent="0.25">
      <c r="A983">
        <v>70361</v>
      </c>
      <c r="B983" t="s">
        <v>196</v>
      </c>
      <c r="C983" t="s">
        <v>238</v>
      </c>
      <c r="D983">
        <v>4</v>
      </c>
      <c r="E983">
        <v>0</v>
      </c>
      <c r="F983" t="s">
        <v>241</v>
      </c>
      <c r="G983" t="s">
        <v>157</v>
      </c>
      <c r="H983">
        <v>0</v>
      </c>
      <c r="I983" t="s">
        <v>348</v>
      </c>
    </row>
    <row r="984" spans="1:9" x14ac:dyDescent="0.25">
      <c r="A984">
        <v>70361</v>
      </c>
      <c r="B984" t="s">
        <v>196</v>
      </c>
      <c r="C984" t="s">
        <v>238</v>
      </c>
      <c r="D984">
        <v>4</v>
      </c>
      <c r="E984">
        <v>0</v>
      </c>
      <c r="F984" t="s">
        <v>261</v>
      </c>
      <c r="G984" t="s">
        <v>261</v>
      </c>
      <c r="H984">
        <v>0</v>
      </c>
      <c r="I984" t="s">
        <v>272</v>
      </c>
    </row>
    <row r="985" spans="1:9" x14ac:dyDescent="0.25">
      <c r="A985">
        <v>70361</v>
      </c>
      <c r="B985" t="s">
        <v>196</v>
      </c>
      <c r="C985" t="s">
        <v>238</v>
      </c>
      <c r="D985">
        <v>4</v>
      </c>
      <c r="E985">
        <v>0</v>
      </c>
      <c r="F985" t="s">
        <v>261</v>
      </c>
      <c r="G985" t="s">
        <v>261</v>
      </c>
      <c r="H985">
        <v>0</v>
      </c>
      <c r="I985" t="s">
        <v>354</v>
      </c>
    </row>
    <row r="986" spans="1:9" x14ac:dyDescent="0.25">
      <c r="A986">
        <v>70361</v>
      </c>
      <c r="B986" t="s">
        <v>196</v>
      </c>
      <c r="C986" t="s">
        <v>238</v>
      </c>
      <c r="D986">
        <v>4</v>
      </c>
      <c r="E986">
        <v>0</v>
      </c>
      <c r="F986" t="s">
        <v>247</v>
      </c>
      <c r="G986" t="s">
        <v>12</v>
      </c>
      <c r="H986">
        <v>-2819008</v>
      </c>
      <c r="I986" t="s">
        <v>248</v>
      </c>
    </row>
    <row r="987" spans="1:9" x14ac:dyDescent="0.25">
      <c r="A987">
        <v>70361</v>
      </c>
      <c r="B987" t="s">
        <v>196</v>
      </c>
      <c r="C987" t="s">
        <v>238</v>
      </c>
      <c r="D987">
        <v>4</v>
      </c>
      <c r="E987">
        <v>0</v>
      </c>
      <c r="F987" t="s">
        <v>247</v>
      </c>
      <c r="G987" t="s">
        <v>13</v>
      </c>
      <c r="H987">
        <v>7380856</v>
      </c>
      <c r="I987" t="s">
        <v>249</v>
      </c>
    </row>
    <row r="988" spans="1:9" x14ac:dyDescent="0.25">
      <c r="A988">
        <v>70361</v>
      </c>
      <c r="B988" t="s">
        <v>196</v>
      </c>
      <c r="C988" t="s">
        <v>238</v>
      </c>
      <c r="D988">
        <v>4</v>
      </c>
      <c r="E988">
        <v>0</v>
      </c>
      <c r="F988" t="s">
        <v>241</v>
      </c>
      <c r="G988" t="s">
        <v>25</v>
      </c>
      <c r="H988">
        <v>10386</v>
      </c>
      <c r="I988" t="s">
        <v>250</v>
      </c>
    </row>
    <row r="989" spans="1:9" x14ac:dyDescent="0.25">
      <c r="A989">
        <v>70361</v>
      </c>
      <c r="B989" t="s">
        <v>196</v>
      </c>
      <c r="C989" t="s">
        <v>238</v>
      </c>
      <c r="D989">
        <v>4</v>
      </c>
      <c r="E989">
        <v>0</v>
      </c>
      <c r="F989" t="s">
        <v>241</v>
      </c>
      <c r="G989" t="s">
        <v>26</v>
      </c>
      <c r="H989">
        <v>0</v>
      </c>
      <c r="I989" t="s">
        <v>251</v>
      </c>
    </row>
    <row r="990" spans="1:9" x14ac:dyDescent="0.25">
      <c r="A990">
        <v>70361</v>
      </c>
      <c r="B990" t="s">
        <v>196</v>
      </c>
      <c r="C990" t="s">
        <v>238</v>
      </c>
      <c r="D990">
        <v>4</v>
      </c>
      <c r="E990">
        <v>0</v>
      </c>
      <c r="F990" t="s">
        <v>239</v>
      </c>
      <c r="G990" t="s">
        <v>18</v>
      </c>
      <c r="H990">
        <v>668795</v>
      </c>
      <c r="I990" t="s">
        <v>252</v>
      </c>
    </row>
    <row r="991" spans="1:9" x14ac:dyDescent="0.25">
      <c r="A991">
        <v>70361</v>
      </c>
      <c r="B991" t="s">
        <v>196</v>
      </c>
      <c r="C991" t="s">
        <v>238</v>
      </c>
      <c r="D991">
        <v>4</v>
      </c>
      <c r="E991">
        <v>0</v>
      </c>
      <c r="F991" t="s">
        <v>241</v>
      </c>
      <c r="G991" t="s">
        <v>26</v>
      </c>
      <c r="H991">
        <v>0</v>
      </c>
      <c r="I991" t="s">
        <v>253</v>
      </c>
    </row>
    <row r="992" spans="1:9" x14ac:dyDescent="0.25">
      <c r="A992">
        <v>70361</v>
      </c>
      <c r="B992" t="s">
        <v>196</v>
      </c>
      <c r="C992" t="s">
        <v>238</v>
      </c>
      <c r="D992">
        <v>4</v>
      </c>
      <c r="E992">
        <v>0</v>
      </c>
      <c r="F992" t="s">
        <v>247</v>
      </c>
      <c r="G992" t="s">
        <v>15</v>
      </c>
      <c r="H992">
        <v>292267</v>
      </c>
      <c r="I992" t="s">
        <v>254</v>
      </c>
    </row>
    <row r="993" spans="1:9" x14ac:dyDescent="0.25">
      <c r="A993">
        <v>70361</v>
      </c>
      <c r="B993" t="s">
        <v>196</v>
      </c>
      <c r="C993" t="s">
        <v>238</v>
      </c>
      <c r="D993">
        <v>4</v>
      </c>
      <c r="E993">
        <v>0</v>
      </c>
      <c r="F993" t="s">
        <v>247</v>
      </c>
      <c r="G993" t="s">
        <v>14</v>
      </c>
      <c r="H993">
        <v>0</v>
      </c>
      <c r="I993" t="s">
        <v>355</v>
      </c>
    </row>
    <row r="994" spans="1:9" x14ac:dyDescent="0.25">
      <c r="A994">
        <v>70361</v>
      </c>
      <c r="B994" t="s">
        <v>196</v>
      </c>
      <c r="C994" t="s">
        <v>238</v>
      </c>
      <c r="D994">
        <v>4</v>
      </c>
      <c r="E994">
        <v>0</v>
      </c>
      <c r="F994" t="s">
        <v>241</v>
      </c>
      <c r="G994" t="s">
        <v>23</v>
      </c>
      <c r="H994">
        <v>154517</v>
      </c>
      <c r="I994" t="s">
        <v>242</v>
      </c>
    </row>
    <row r="995" spans="1:9" x14ac:dyDescent="0.25">
      <c r="A995">
        <v>70361</v>
      </c>
      <c r="B995" t="s">
        <v>196</v>
      </c>
      <c r="C995" t="s">
        <v>238</v>
      </c>
      <c r="D995">
        <v>4</v>
      </c>
      <c r="E995">
        <v>0</v>
      </c>
      <c r="F995" t="s">
        <v>241</v>
      </c>
      <c r="G995" t="s">
        <v>24</v>
      </c>
      <c r="H995">
        <v>44878</v>
      </c>
      <c r="I995" t="s">
        <v>243</v>
      </c>
    </row>
    <row r="996" spans="1:9" x14ac:dyDescent="0.25">
      <c r="A996">
        <v>70361</v>
      </c>
      <c r="B996" t="s">
        <v>196</v>
      </c>
      <c r="C996" t="s">
        <v>238</v>
      </c>
      <c r="D996">
        <v>4</v>
      </c>
      <c r="E996">
        <v>0</v>
      </c>
      <c r="F996" t="s">
        <v>241</v>
      </c>
      <c r="G996" t="s">
        <v>21</v>
      </c>
      <c r="H996">
        <v>0</v>
      </c>
      <c r="I996" t="s">
        <v>356</v>
      </c>
    </row>
    <row r="997" spans="1:9" x14ac:dyDescent="0.25">
      <c r="A997">
        <v>70361</v>
      </c>
      <c r="B997" t="s">
        <v>196</v>
      </c>
      <c r="C997" t="s">
        <v>238</v>
      </c>
      <c r="D997">
        <v>4</v>
      </c>
      <c r="E997">
        <v>0</v>
      </c>
      <c r="F997" t="s">
        <v>239</v>
      </c>
      <c r="G997" t="s">
        <v>20</v>
      </c>
      <c r="H997">
        <v>-27959</v>
      </c>
      <c r="I997" t="s">
        <v>244</v>
      </c>
    </row>
    <row r="998" spans="1:9" x14ac:dyDescent="0.25">
      <c r="A998">
        <v>70361</v>
      </c>
      <c r="B998" t="s">
        <v>196</v>
      </c>
      <c r="C998" t="s">
        <v>238</v>
      </c>
      <c r="D998">
        <v>4</v>
      </c>
      <c r="E998">
        <v>0</v>
      </c>
      <c r="F998" t="s">
        <v>241</v>
      </c>
      <c r="G998" t="s">
        <v>22</v>
      </c>
      <c r="H998">
        <v>8341</v>
      </c>
      <c r="I998" t="s">
        <v>245</v>
      </c>
    </row>
    <row r="999" spans="1:9" x14ac:dyDescent="0.25">
      <c r="A999">
        <v>70361</v>
      </c>
      <c r="B999" t="s">
        <v>196</v>
      </c>
      <c r="C999" t="s">
        <v>238</v>
      </c>
      <c r="D999">
        <v>4</v>
      </c>
      <c r="E999">
        <v>0</v>
      </c>
      <c r="F999" t="s">
        <v>241</v>
      </c>
      <c r="G999" t="s">
        <v>26</v>
      </c>
      <c r="H999">
        <v>4152</v>
      </c>
      <c r="I999" t="s">
        <v>246</v>
      </c>
    </row>
    <row r="1000" spans="1:9" x14ac:dyDescent="0.25">
      <c r="A1000">
        <v>70361</v>
      </c>
      <c r="B1000" t="s">
        <v>196</v>
      </c>
      <c r="C1000" t="s">
        <v>238</v>
      </c>
      <c r="D1000">
        <v>4</v>
      </c>
      <c r="E1000">
        <v>0</v>
      </c>
      <c r="F1000" t="s">
        <v>239</v>
      </c>
      <c r="G1000" t="s">
        <v>17</v>
      </c>
      <c r="H1000">
        <v>0</v>
      </c>
      <c r="I1000" t="s">
        <v>357</v>
      </c>
    </row>
    <row r="1001" spans="1:9" x14ac:dyDescent="0.25">
      <c r="A1001">
        <v>70361</v>
      </c>
      <c r="B1001" t="s">
        <v>196</v>
      </c>
      <c r="C1001" t="s">
        <v>238</v>
      </c>
      <c r="D1001">
        <v>4</v>
      </c>
      <c r="E1001">
        <v>0</v>
      </c>
      <c r="F1001" t="s">
        <v>241</v>
      </c>
      <c r="G1001" t="s">
        <v>24</v>
      </c>
      <c r="H1001">
        <v>0</v>
      </c>
      <c r="I1001" t="s">
        <v>358</v>
      </c>
    </row>
    <row r="1002" spans="1:9" x14ac:dyDescent="0.25">
      <c r="A1002">
        <v>70361</v>
      </c>
      <c r="B1002" t="s">
        <v>196</v>
      </c>
      <c r="C1002" t="s">
        <v>238</v>
      </c>
      <c r="D1002">
        <v>4</v>
      </c>
      <c r="E1002">
        <v>0</v>
      </c>
      <c r="F1002" t="s">
        <v>241</v>
      </c>
      <c r="G1002" t="s">
        <v>27</v>
      </c>
      <c r="H1002">
        <v>0</v>
      </c>
      <c r="I1002" t="s">
        <v>359</v>
      </c>
    </row>
    <row r="1003" spans="1:9" x14ac:dyDescent="0.25">
      <c r="A1003">
        <v>70361</v>
      </c>
      <c r="B1003" t="s">
        <v>196</v>
      </c>
      <c r="C1003" t="s">
        <v>238</v>
      </c>
      <c r="D1003">
        <v>4</v>
      </c>
      <c r="E1003">
        <v>0</v>
      </c>
      <c r="F1003" t="s">
        <v>239</v>
      </c>
      <c r="G1003" t="s">
        <v>19</v>
      </c>
      <c r="H1003">
        <v>0</v>
      </c>
      <c r="I1003" t="s">
        <v>360</v>
      </c>
    </row>
    <row r="1004" spans="1:9" x14ac:dyDescent="0.25">
      <c r="A1004">
        <v>70361</v>
      </c>
      <c r="B1004" t="s">
        <v>196</v>
      </c>
      <c r="C1004" t="s">
        <v>238</v>
      </c>
      <c r="D1004">
        <v>4</v>
      </c>
      <c r="E1004">
        <v>0</v>
      </c>
      <c r="F1004" t="s">
        <v>239</v>
      </c>
      <c r="G1004" t="s">
        <v>20</v>
      </c>
      <c r="H1004">
        <v>251634</v>
      </c>
      <c r="I1004" t="s">
        <v>255</v>
      </c>
    </row>
    <row r="1005" spans="1:9" x14ac:dyDescent="0.25">
      <c r="A1005">
        <v>70361</v>
      </c>
      <c r="B1005" t="s">
        <v>196</v>
      </c>
      <c r="C1005" t="s">
        <v>238</v>
      </c>
      <c r="D1005">
        <v>4</v>
      </c>
      <c r="E1005">
        <v>0</v>
      </c>
      <c r="F1005" t="s">
        <v>247</v>
      </c>
      <c r="G1005" t="s">
        <v>148</v>
      </c>
      <c r="H1005">
        <v>0</v>
      </c>
      <c r="I1005" t="s">
        <v>256</v>
      </c>
    </row>
    <row r="1006" spans="1:9" x14ac:dyDescent="0.25">
      <c r="A1006">
        <v>70361</v>
      </c>
      <c r="B1006" t="s">
        <v>196</v>
      </c>
      <c r="C1006" t="s">
        <v>238</v>
      </c>
      <c r="D1006">
        <v>4</v>
      </c>
      <c r="E1006">
        <v>0</v>
      </c>
      <c r="F1006" t="s">
        <v>241</v>
      </c>
      <c r="G1006" t="s">
        <v>27</v>
      </c>
      <c r="H1006">
        <v>12620622</v>
      </c>
      <c r="I1006" t="s">
        <v>257</v>
      </c>
    </row>
    <row r="1007" spans="1:9" x14ac:dyDescent="0.25">
      <c r="A1007">
        <v>70361</v>
      </c>
      <c r="B1007" t="s">
        <v>196</v>
      </c>
      <c r="C1007" t="s">
        <v>238</v>
      </c>
      <c r="D1007">
        <v>4</v>
      </c>
      <c r="E1007">
        <v>0</v>
      </c>
      <c r="F1007" t="s">
        <v>241</v>
      </c>
      <c r="G1007" t="s">
        <v>27</v>
      </c>
      <c r="H1007">
        <v>0</v>
      </c>
      <c r="I1007" t="s">
        <v>361</v>
      </c>
    </row>
    <row r="1008" spans="1:9" x14ac:dyDescent="0.25">
      <c r="A1008">
        <v>70361</v>
      </c>
      <c r="B1008" t="s">
        <v>196</v>
      </c>
      <c r="C1008" t="s">
        <v>238</v>
      </c>
      <c r="D1008">
        <v>4</v>
      </c>
      <c r="E1008">
        <v>0</v>
      </c>
      <c r="F1008" t="s">
        <v>241</v>
      </c>
      <c r="G1008" t="s">
        <v>27</v>
      </c>
      <c r="H1008">
        <v>0</v>
      </c>
      <c r="I1008" t="s">
        <v>362</v>
      </c>
    </row>
    <row r="1009" spans="1:9" x14ac:dyDescent="0.25">
      <c r="A1009">
        <v>70361</v>
      </c>
      <c r="B1009" t="s">
        <v>196</v>
      </c>
      <c r="C1009" t="s">
        <v>238</v>
      </c>
      <c r="D1009">
        <v>4</v>
      </c>
      <c r="E1009">
        <v>0</v>
      </c>
      <c r="F1009" t="s">
        <v>241</v>
      </c>
      <c r="G1009" t="s">
        <v>27</v>
      </c>
      <c r="H1009">
        <v>0</v>
      </c>
      <c r="I1009" t="s">
        <v>363</v>
      </c>
    </row>
    <row r="1010" spans="1:9" x14ac:dyDescent="0.25">
      <c r="A1010">
        <v>70361</v>
      </c>
      <c r="B1010" t="s">
        <v>196</v>
      </c>
      <c r="C1010" t="s">
        <v>238</v>
      </c>
      <c r="D1010">
        <v>4</v>
      </c>
      <c r="E1010">
        <v>0</v>
      </c>
      <c r="F1010" t="s">
        <v>239</v>
      </c>
      <c r="G1010" t="s">
        <v>16</v>
      </c>
      <c r="H1010">
        <v>2763</v>
      </c>
      <c r="I1010" t="s">
        <v>267</v>
      </c>
    </row>
    <row r="1011" spans="1:9" x14ac:dyDescent="0.25">
      <c r="A1011">
        <v>70361</v>
      </c>
      <c r="B1011" t="s">
        <v>196</v>
      </c>
      <c r="C1011" t="s">
        <v>238</v>
      </c>
      <c r="D1011">
        <v>4</v>
      </c>
      <c r="E1011">
        <v>0</v>
      </c>
      <c r="F1011" t="s">
        <v>239</v>
      </c>
      <c r="G1011" t="s">
        <v>152</v>
      </c>
      <c r="H1011">
        <v>464420</v>
      </c>
      <c r="I1011" t="s">
        <v>258</v>
      </c>
    </row>
    <row r="1012" spans="1:9" x14ac:dyDescent="0.25">
      <c r="A1012">
        <v>70361</v>
      </c>
      <c r="B1012" t="s">
        <v>196</v>
      </c>
      <c r="C1012" t="s">
        <v>238</v>
      </c>
      <c r="D1012">
        <v>4</v>
      </c>
      <c r="E1012">
        <v>0</v>
      </c>
      <c r="F1012" t="s">
        <v>239</v>
      </c>
      <c r="G1012" t="s">
        <v>154</v>
      </c>
      <c r="H1012">
        <v>0</v>
      </c>
      <c r="I1012" t="s">
        <v>330</v>
      </c>
    </row>
    <row r="1013" spans="1:9" x14ac:dyDescent="0.25">
      <c r="A1013">
        <v>70361</v>
      </c>
      <c r="B1013" t="s">
        <v>196</v>
      </c>
      <c r="C1013" t="s">
        <v>238</v>
      </c>
      <c r="D1013">
        <v>4</v>
      </c>
      <c r="E1013">
        <v>0</v>
      </c>
      <c r="F1013" t="s">
        <v>239</v>
      </c>
      <c r="G1013" t="s">
        <v>16</v>
      </c>
      <c r="H1013">
        <v>21218</v>
      </c>
      <c r="I1013" t="s">
        <v>259</v>
      </c>
    </row>
    <row r="1014" spans="1:9" x14ac:dyDescent="0.25">
      <c r="A1014">
        <v>70361</v>
      </c>
      <c r="B1014" t="s">
        <v>196</v>
      </c>
      <c r="C1014" t="s">
        <v>238</v>
      </c>
      <c r="D1014">
        <v>4</v>
      </c>
      <c r="E1014">
        <v>0</v>
      </c>
      <c r="F1014" t="s">
        <v>239</v>
      </c>
      <c r="G1014" t="s">
        <v>19</v>
      </c>
      <c r="H1014">
        <v>64081</v>
      </c>
      <c r="I1014" t="s">
        <v>260</v>
      </c>
    </row>
    <row r="1015" spans="1:9" x14ac:dyDescent="0.25">
      <c r="A1015">
        <v>70361</v>
      </c>
      <c r="B1015" t="s">
        <v>196</v>
      </c>
      <c r="C1015" t="s">
        <v>238</v>
      </c>
      <c r="D1015">
        <v>4</v>
      </c>
      <c r="E1015">
        <v>0</v>
      </c>
      <c r="F1015" t="s">
        <v>239</v>
      </c>
      <c r="G1015" t="s">
        <v>19</v>
      </c>
      <c r="H1015">
        <v>0</v>
      </c>
      <c r="I1015" t="s">
        <v>270</v>
      </c>
    </row>
    <row r="1016" spans="1:9" x14ac:dyDescent="0.25">
      <c r="A1016">
        <v>70361</v>
      </c>
      <c r="B1016" t="s">
        <v>196</v>
      </c>
      <c r="C1016" t="s">
        <v>238</v>
      </c>
      <c r="D1016">
        <v>4</v>
      </c>
      <c r="E1016">
        <v>0</v>
      </c>
      <c r="F1016" t="s">
        <v>241</v>
      </c>
      <c r="G1016" t="s">
        <v>139</v>
      </c>
      <c r="H1016">
        <v>0</v>
      </c>
      <c r="I1016" t="s">
        <v>331</v>
      </c>
    </row>
    <row r="1017" spans="1:9" x14ac:dyDescent="0.25">
      <c r="A1017">
        <v>70361</v>
      </c>
      <c r="B1017" t="s">
        <v>196</v>
      </c>
      <c r="C1017" t="s">
        <v>238</v>
      </c>
      <c r="D1017">
        <v>4</v>
      </c>
      <c r="E1017">
        <v>0</v>
      </c>
      <c r="F1017" t="s">
        <v>261</v>
      </c>
      <c r="G1017" t="s">
        <v>261</v>
      </c>
      <c r="H1017">
        <v>-6802713</v>
      </c>
      <c r="I1017" t="s">
        <v>262</v>
      </c>
    </row>
    <row r="1018" spans="1:9" x14ac:dyDescent="0.25">
      <c r="A1018">
        <v>70361</v>
      </c>
      <c r="B1018" t="s">
        <v>196</v>
      </c>
      <c r="C1018" t="s">
        <v>238</v>
      </c>
      <c r="D1018">
        <v>4</v>
      </c>
      <c r="E1018">
        <v>0</v>
      </c>
      <c r="F1018" t="s">
        <v>239</v>
      </c>
      <c r="G1018" t="s">
        <v>19</v>
      </c>
      <c r="H1018">
        <v>178019</v>
      </c>
      <c r="I1018" t="s">
        <v>263</v>
      </c>
    </row>
    <row r="1019" spans="1:9" x14ac:dyDescent="0.25">
      <c r="A1019">
        <v>70361</v>
      </c>
      <c r="B1019" t="s">
        <v>196</v>
      </c>
      <c r="C1019" t="s">
        <v>238</v>
      </c>
      <c r="D1019">
        <v>4</v>
      </c>
      <c r="E1019">
        <v>0</v>
      </c>
      <c r="F1019" t="s">
        <v>239</v>
      </c>
      <c r="G1019" t="s">
        <v>16</v>
      </c>
      <c r="H1019">
        <v>5707</v>
      </c>
      <c r="I1019" t="s">
        <v>240</v>
      </c>
    </row>
    <row r="1020" spans="1:9" x14ac:dyDescent="0.25">
      <c r="A1020">
        <v>70361</v>
      </c>
      <c r="B1020" t="s">
        <v>196</v>
      </c>
      <c r="C1020" t="s">
        <v>238</v>
      </c>
      <c r="D1020">
        <v>4</v>
      </c>
      <c r="E1020">
        <v>0</v>
      </c>
      <c r="F1020" t="s">
        <v>239</v>
      </c>
      <c r="G1020" t="s">
        <v>19</v>
      </c>
      <c r="H1020">
        <v>37088</v>
      </c>
      <c r="I1020" t="s">
        <v>264</v>
      </c>
    </row>
    <row r="1021" spans="1:9" x14ac:dyDescent="0.25">
      <c r="A1021">
        <v>70361</v>
      </c>
      <c r="B1021" t="s">
        <v>196</v>
      </c>
      <c r="C1021" t="s">
        <v>238</v>
      </c>
      <c r="D1021">
        <v>4</v>
      </c>
      <c r="E1021">
        <v>0</v>
      </c>
      <c r="F1021" t="s">
        <v>241</v>
      </c>
      <c r="G1021" t="s">
        <v>158</v>
      </c>
      <c r="H1021">
        <v>35778</v>
      </c>
      <c r="I1021" t="s">
        <v>265</v>
      </c>
    </row>
    <row r="1022" spans="1:9" x14ac:dyDescent="0.25">
      <c r="A1022">
        <v>70361</v>
      </c>
      <c r="B1022" t="s">
        <v>196</v>
      </c>
      <c r="C1022" t="s">
        <v>238</v>
      </c>
      <c r="D1022">
        <v>4</v>
      </c>
      <c r="E1022">
        <v>0</v>
      </c>
      <c r="F1022" t="s">
        <v>239</v>
      </c>
      <c r="G1022" t="s">
        <v>19</v>
      </c>
      <c r="H1022">
        <v>0</v>
      </c>
      <c r="I1022" t="s">
        <v>271</v>
      </c>
    </row>
    <row r="1023" spans="1:9" x14ac:dyDescent="0.25">
      <c r="A1023">
        <v>70361</v>
      </c>
      <c r="B1023" t="s">
        <v>196</v>
      </c>
      <c r="C1023" t="s">
        <v>238</v>
      </c>
      <c r="D1023">
        <v>4</v>
      </c>
      <c r="E1023">
        <v>0</v>
      </c>
      <c r="F1023" t="s">
        <v>239</v>
      </c>
      <c r="G1023" t="s">
        <v>19</v>
      </c>
      <c r="H1023">
        <v>0</v>
      </c>
      <c r="I1023" t="s">
        <v>266</v>
      </c>
    </row>
    <row r="1024" spans="1:9" x14ac:dyDescent="0.25">
      <c r="A1024">
        <v>70361</v>
      </c>
      <c r="B1024" t="s">
        <v>196</v>
      </c>
      <c r="C1024" t="s">
        <v>238</v>
      </c>
      <c r="D1024">
        <v>4</v>
      </c>
      <c r="E1024">
        <v>0</v>
      </c>
      <c r="F1024" t="s">
        <v>241</v>
      </c>
      <c r="G1024" t="s">
        <v>143</v>
      </c>
      <c r="H1024">
        <v>0</v>
      </c>
      <c r="I1024" t="s">
        <v>332</v>
      </c>
    </row>
    <row r="1025" spans="1:9" x14ac:dyDescent="0.25">
      <c r="A1025">
        <v>70361</v>
      </c>
      <c r="B1025" t="s">
        <v>196</v>
      </c>
      <c r="C1025" t="s">
        <v>238</v>
      </c>
      <c r="D1025">
        <v>4</v>
      </c>
      <c r="E1025">
        <v>0</v>
      </c>
      <c r="F1025" t="s">
        <v>241</v>
      </c>
      <c r="G1025" t="s">
        <v>138</v>
      </c>
      <c r="H1025">
        <v>0</v>
      </c>
      <c r="I1025" t="s">
        <v>333</v>
      </c>
    </row>
    <row r="1026" spans="1:9" x14ac:dyDescent="0.25">
      <c r="A1026">
        <v>70361</v>
      </c>
      <c r="B1026" t="s">
        <v>196</v>
      </c>
      <c r="C1026" t="s">
        <v>238</v>
      </c>
      <c r="D1026">
        <v>4</v>
      </c>
      <c r="E1026">
        <v>0</v>
      </c>
      <c r="F1026" t="s">
        <v>241</v>
      </c>
      <c r="G1026" t="s">
        <v>138</v>
      </c>
      <c r="H1026">
        <v>0</v>
      </c>
      <c r="I1026" t="s">
        <v>334</v>
      </c>
    </row>
    <row r="1027" spans="1:9" x14ac:dyDescent="0.25">
      <c r="A1027">
        <v>70361</v>
      </c>
      <c r="B1027" t="s">
        <v>196</v>
      </c>
      <c r="C1027" t="s">
        <v>238</v>
      </c>
      <c r="D1027">
        <v>4</v>
      </c>
      <c r="E1027">
        <v>0</v>
      </c>
      <c r="F1027" t="s">
        <v>241</v>
      </c>
      <c r="G1027" t="s">
        <v>138</v>
      </c>
      <c r="H1027">
        <v>-178191</v>
      </c>
      <c r="I1027" t="s">
        <v>268</v>
      </c>
    </row>
    <row r="1028" spans="1:9" x14ac:dyDescent="0.25">
      <c r="A1028">
        <v>70361</v>
      </c>
      <c r="B1028" t="s">
        <v>196</v>
      </c>
      <c r="C1028" t="s">
        <v>238</v>
      </c>
      <c r="D1028">
        <v>4</v>
      </c>
      <c r="E1028">
        <v>0</v>
      </c>
      <c r="F1028" t="s">
        <v>241</v>
      </c>
      <c r="G1028" t="s">
        <v>139</v>
      </c>
      <c r="H1028">
        <v>0</v>
      </c>
      <c r="I1028" t="s">
        <v>336</v>
      </c>
    </row>
    <row r="1029" spans="1:9" x14ac:dyDescent="0.25">
      <c r="A1029">
        <v>70361</v>
      </c>
      <c r="B1029" t="s">
        <v>196</v>
      </c>
      <c r="C1029" t="s">
        <v>238</v>
      </c>
      <c r="D1029">
        <v>4</v>
      </c>
      <c r="E1029">
        <v>0</v>
      </c>
      <c r="F1029" t="s">
        <v>241</v>
      </c>
      <c r="G1029" t="s">
        <v>139</v>
      </c>
      <c r="H1029">
        <v>0</v>
      </c>
      <c r="I1029" t="s">
        <v>337</v>
      </c>
    </row>
    <row r="1030" spans="1:9" x14ac:dyDescent="0.25">
      <c r="A1030">
        <v>70361</v>
      </c>
      <c r="B1030" t="s">
        <v>196</v>
      </c>
      <c r="C1030" t="s">
        <v>238</v>
      </c>
      <c r="D1030">
        <v>4</v>
      </c>
      <c r="E1030">
        <v>0</v>
      </c>
      <c r="F1030" t="s">
        <v>241</v>
      </c>
      <c r="G1030" t="s">
        <v>139</v>
      </c>
      <c r="H1030">
        <v>0</v>
      </c>
      <c r="I1030" t="s">
        <v>335</v>
      </c>
    </row>
    <row r="1031" spans="1:9" x14ac:dyDescent="0.25">
      <c r="A1031">
        <v>70361</v>
      </c>
      <c r="B1031" t="s">
        <v>196</v>
      </c>
      <c r="C1031" t="s">
        <v>238</v>
      </c>
      <c r="D1031">
        <v>4</v>
      </c>
      <c r="E1031">
        <v>0</v>
      </c>
      <c r="F1031" t="s">
        <v>241</v>
      </c>
      <c r="G1031" t="s">
        <v>24</v>
      </c>
      <c r="H1031">
        <v>0</v>
      </c>
      <c r="I1031" t="s">
        <v>338</v>
      </c>
    </row>
    <row r="1032" spans="1:9" x14ac:dyDescent="0.25">
      <c r="A1032">
        <v>70361</v>
      </c>
      <c r="B1032" t="s">
        <v>196</v>
      </c>
      <c r="C1032" t="s">
        <v>238</v>
      </c>
      <c r="D1032">
        <v>4</v>
      </c>
      <c r="E1032">
        <v>0</v>
      </c>
      <c r="F1032" t="s">
        <v>241</v>
      </c>
      <c r="G1032" t="s">
        <v>24</v>
      </c>
      <c r="H1032">
        <v>0</v>
      </c>
      <c r="I1032" t="s">
        <v>339</v>
      </c>
    </row>
    <row r="1033" spans="1:9" x14ac:dyDescent="0.25">
      <c r="A1033">
        <v>70361</v>
      </c>
      <c r="B1033" t="s">
        <v>196</v>
      </c>
      <c r="C1033" t="s">
        <v>238</v>
      </c>
      <c r="D1033">
        <v>4</v>
      </c>
      <c r="E1033">
        <v>0</v>
      </c>
      <c r="F1033" t="s">
        <v>241</v>
      </c>
      <c r="G1033" t="s">
        <v>24</v>
      </c>
      <c r="H1033">
        <v>0</v>
      </c>
      <c r="I1033" t="s">
        <v>340</v>
      </c>
    </row>
    <row r="1034" spans="1:9" x14ac:dyDescent="0.25">
      <c r="A1034">
        <v>70361</v>
      </c>
      <c r="B1034" t="s">
        <v>196</v>
      </c>
      <c r="C1034" t="s">
        <v>238</v>
      </c>
      <c r="D1034">
        <v>4</v>
      </c>
      <c r="E1034">
        <v>0</v>
      </c>
      <c r="F1034" t="s">
        <v>241</v>
      </c>
      <c r="G1034" t="s">
        <v>137</v>
      </c>
      <c r="H1034">
        <v>0</v>
      </c>
      <c r="I1034" t="s">
        <v>273</v>
      </c>
    </row>
    <row r="1035" spans="1:9" x14ac:dyDescent="0.25">
      <c r="A1035">
        <v>70361</v>
      </c>
      <c r="B1035" t="s">
        <v>196</v>
      </c>
      <c r="C1035" t="s">
        <v>238</v>
      </c>
      <c r="D1035">
        <v>4</v>
      </c>
      <c r="E1035">
        <v>0</v>
      </c>
      <c r="F1035" t="s">
        <v>241</v>
      </c>
      <c r="G1035" t="s">
        <v>137</v>
      </c>
      <c r="H1035">
        <v>0</v>
      </c>
      <c r="I1035" t="s">
        <v>341</v>
      </c>
    </row>
    <row r="1036" spans="1:9" x14ac:dyDescent="0.25">
      <c r="A1036">
        <v>70361</v>
      </c>
      <c r="B1036" t="s">
        <v>196</v>
      </c>
      <c r="C1036" t="s">
        <v>238</v>
      </c>
      <c r="D1036">
        <v>4</v>
      </c>
      <c r="E1036">
        <v>0</v>
      </c>
      <c r="F1036" t="s">
        <v>241</v>
      </c>
      <c r="G1036" t="s">
        <v>137</v>
      </c>
      <c r="H1036">
        <v>0</v>
      </c>
      <c r="I1036" t="s">
        <v>342</v>
      </c>
    </row>
    <row r="1037" spans="1:9" x14ac:dyDescent="0.25">
      <c r="A1037">
        <v>70361</v>
      </c>
      <c r="B1037" t="s">
        <v>196</v>
      </c>
      <c r="C1037" t="s">
        <v>238</v>
      </c>
      <c r="D1037">
        <v>4</v>
      </c>
      <c r="E1037">
        <v>0</v>
      </c>
      <c r="F1037" t="s">
        <v>241</v>
      </c>
      <c r="G1037" t="s">
        <v>137</v>
      </c>
      <c r="H1037">
        <v>0</v>
      </c>
      <c r="I1037" t="s">
        <v>343</v>
      </c>
    </row>
    <row r="1038" spans="1:9" x14ac:dyDescent="0.25">
      <c r="A1038">
        <v>70361</v>
      </c>
      <c r="B1038" t="s">
        <v>196</v>
      </c>
      <c r="C1038" t="s">
        <v>238</v>
      </c>
      <c r="D1038">
        <v>4</v>
      </c>
      <c r="E1038">
        <v>0</v>
      </c>
      <c r="F1038" t="s">
        <v>241</v>
      </c>
      <c r="G1038" t="s">
        <v>143</v>
      </c>
      <c r="H1038">
        <v>0</v>
      </c>
      <c r="I1038" t="s">
        <v>344</v>
      </c>
    </row>
    <row r="1039" spans="1:9" x14ac:dyDescent="0.25">
      <c r="A1039">
        <v>70361</v>
      </c>
      <c r="B1039" t="s">
        <v>196</v>
      </c>
      <c r="C1039" t="s">
        <v>238</v>
      </c>
      <c r="D1039">
        <v>4</v>
      </c>
      <c r="E1039">
        <v>0</v>
      </c>
      <c r="F1039" t="s">
        <v>241</v>
      </c>
      <c r="G1039" t="s">
        <v>143</v>
      </c>
      <c r="H1039">
        <v>0</v>
      </c>
      <c r="I1039" t="s">
        <v>345</v>
      </c>
    </row>
    <row r="1040" spans="1:9" x14ac:dyDescent="0.25">
      <c r="A1040">
        <v>70361</v>
      </c>
      <c r="B1040" t="s">
        <v>196</v>
      </c>
      <c r="C1040" t="s">
        <v>238</v>
      </c>
      <c r="D1040">
        <v>4</v>
      </c>
      <c r="E1040">
        <v>0</v>
      </c>
      <c r="F1040" t="s">
        <v>241</v>
      </c>
      <c r="G1040" t="s">
        <v>143</v>
      </c>
      <c r="H1040">
        <v>0</v>
      </c>
      <c r="I1040" t="s">
        <v>346</v>
      </c>
    </row>
    <row r="1041" spans="1:9" x14ac:dyDescent="0.25">
      <c r="A1041">
        <v>70361</v>
      </c>
      <c r="B1041" t="s">
        <v>196</v>
      </c>
      <c r="C1041" t="s">
        <v>238</v>
      </c>
      <c r="D1041">
        <v>4</v>
      </c>
      <c r="E1041">
        <v>0</v>
      </c>
      <c r="F1041" t="s">
        <v>241</v>
      </c>
      <c r="G1041" t="s">
        <v>138</v>
      </c>
      <c r="H1041">
        <v>0</v>
      </c>
      <c r="I1041" t="s">
        <v>347</v>
      </c>
    </row>
    <row r="1042" spans="1:9" x14ac:dyDescent="0.25">
      <c r="A1042">
        <v>70362</v>
      </c>
      <c r="B1042" t="s">
        <v>198</v>
      </c>
      <c r="C1042" t="s">
        <v>238</v>
      </c>
      <c r="D1042">
        <v>4</v>
      </c>
      <c r="E1042">
        <v>0</v>
      </c>
      <c r="F1042" t="s">
        <v>239</v>
      </c>
      <c r="G1042" t="s">
        <v>153</v>
      </c>
      <c r="H1042">
        <v>0</v>
      </c>
      <c r="I1042" t="s">
        <v>351</v>
      </c>
    </row>
    <row r="1043" spans="1:9" x14ac:dyDescent="0.25">
      <c r="A1043">
        <v>70362</v>
      </c>
      <c r="B1043" t="s">
        <v>198</v>
      </c>
      <c r="C1043" t="s">
        <v>238</v>
      </c>
      <c r="D1043">
        <v>4</v>
      </c>
      <c r="E1043">
        <v>0</v>
      </c>
      <c r="F1043" t="s">
        <v>239</v>
      </c>
      <c r="G1043" t="s">
        <v>152</v>
      </c>
      <c r="H1043">
        <v>0</v>
      </c>
      <c r="I1043" t="s">
        <v>352</v>
      </c>
    </row>
    <row r="1044" spans="1:9" x14ac:dyDescent="0.25">
      <c r="A1044">
        <v>70362</v>
      </c>
      <c r="B1044" t="s">
        <v>198</v>
      </c>
      <c r="C1044" t="s">
        <v>238</v>
      </c>
      <c r="D1044">
        <v>4</v>
      </c>
      <c r="E1044">
        <v>0</v>
      </c>
      <c r="F1044" t="s">
        <v>239</v>
      </c>
      <c r="G1044" t="s">
        <v>154</v>
      </c>
      <c r="H1044">
        <v>0</v>
      </c>
      <c r="I1044" t="s">
        <v>349</v>
      </c>
    </row>
    <row r="1045" spans="1:9" x14ac:dyDescent="0.25">
      <c r="A1045">
        <v>70362</v>
      </c>
      <c r="B1045" t="s">
        <v>198</v>
      </c>
      <c r="C1045" t="s">
        <v>238</v>
      </c>
      <c r="D1045">
        <v>4</v>
      </c>
      <c r="E1045">
        <v>0</v>
      </c>
      <c r="F1045" t="s">
        <v>241</v>
      </c>
      <c r="G1045" t="s">
        <v>26</v>
      </c>
      <c r="H1045">
        <v>0</v>
      </c>
      <c r="I1045" t="s">
        <v>350</v>
      </c>
    </row>
    <row r="1046" spans="1:9" x14ac:dyDescent="0.25">
      <c r="A1046">
        <v>70362</v>
      </c>
      <c r="B1046" t="s">
        <v>198</v>
      </c>
      <c r="C1046" t="s">
        <v>238</v>
      </c>
      <c r="D1046">
        <v>4</v>
      </c>
      <c r="E1046">
        <v>0</v>
      </c>
      <c r="F1046" t="s">
        <v>241</v>
      </c>
      <c r="G1046" t="s">
        <v>23</v>
      </c>
      <c r="H1046">
        <v>34905</v>
      </c>
      <c r="I1046" t="s">
        <v>269</v>
      </c>
    </row>
    <row r="1047" spans="1:9" x14ac:dyDescent="0.25">
      <c r="A1047">
        <v>70362</v>
      </c>
      <c r="B1047" t="s">
        <v>198</v>
      </c>
      <c r="C1047" t="s">
        <v>238</v>
      </c>
      <c r="D1047">
        <v>4</v>
      </c>
      <c r="E1047">
        <v>0</v>
      </c>
      <c r="F1047" t="s">
        <v>241</v>
      </c>
      <c r="G1047" t="s">
        <v>26</v>
      </c>
      <c r="H1047">
        <v>0</v>
      </c>
      <c r="I1047" t="s">
        <v>353</v>
      </c>
    </row>
    <row r="1048" spans="1:9" x14ac:dyDescent="0.25">
      <c r="A1048">
        <v>70362</v>
      </c>
      <c r="B1048" t="s">
        <v>198</v>
      </c>
      <c r="C1048" t="s">
        <v>238</v>
      </c>
      <c r="D1048">
        <v>4</v>
      </c>
      <c r="E1048">
        <v>0</v>
      </c>
      <c r="F1048" t="s">
        <v>241</v>
      </c>
      <c r="G1048" t="s">
        <v>157</v>
      </c>
      <c r="H1048">
        <v>0</v>
      </c>
      <c r="I1048" t="s">
        <v>348</v>
      </c>
    </row>
    <row r="1049" spans="1:9" x14ac:dyDescent="0.25">
      <c r="A1049">
        <v>70362</v>
      </c>
      <c r="B1049" t="s">
        <v>198</v>
      </c>
      <c r="C1049" t="s">
        <v>238</v>
      </c>
      <c r="D1049">
        <v>4</v>
      </c>
      <c r="E1049">
        <v>0</v>
      </c>
      <c r="F1049" t="s">
        <v>261</v>
      </c>
      <c r="G1049" t="s">
        <v>261</v>
      </c>
      <c r="H1049">
        <v>0</v>
      </c>
      <c r="I1049" t="s">
        <v>272</v>
      </c>
    </row>
    <row r="1050" spans="1:9" x14ac:dyDescent="0.25">
      <c r="A1050">
        <v>70362</v>
      </c>
      <c r="B1050" t="s">
        <v>198</v>
      </c>
      <c r="C1050" t="s">
        <v>238</v>
      </c>
      <c r="D1050">
        <v>4</v>
      </c>
      <c r="E1050">
        <v>0</v>
      </c>
      <c r="F1050" t="s">
        <v>261</v>
      </c>
      <c r="G1050" t="s">
        <v>261</v>
      </c>
      <c r="H1050">
        <v>0</v>
      </c>
      <c r="I1050" t="s">
        <v>354</v>
      </c>
    </row>
    <row r="1051" spans="1:9" x14ac:dyDescent="0.25">
      <c r="A1051">
        <v>70362</v>
      </c>
      <c r="B1051" t="s">
        <v>198</v>
      </c>
      <c r="C1051" t="s">
        <v>238</v>
      </c>
      <c r="D1051">
        <v>4</v>
      </c>
      <c r="E1051">
        <v>0</v>
      </c>
      <c r="F1051" t="s">
        <v>247</v>
      </c>
      <c r="G1051" t="s">
        <v>12</v>
      </c>
      <c r="H1051">
        <v>-4076152</v>
      </c>
      <c r="I1051" t="s">
        <v>248</v>
      </c>
    </row>
    <row r="1052" spans="1:9" x14ac:dyDescent="0.25">
      <c r="A1052">
        <v>70362</v>
      </c>
      <c r="B1052" t="s">
        <v>198</v>
      </c>
      <c r="C1052" t="s">
        <v>238</v>
      </c>
      <c r="D1052">
        <v>4</v>
      </c>
      <c r="E1052">
        <v>0</v>
      </c>
      <c r="F1052" t="s">
        <v>247</v>
      </c>
      <c r="G1052" t="s">
        <v>13</v>
      </c>
      <c r="H1052">
        <v>7786537</v>
      </c>
      <c r="I1052" t="s">
        <v>249</v>
      </c>
    </row>
    <row r="1053" spans="1:9" x14ac:dyDescent="0.25">
      <c r="A1053">
        <v>70362</v>
      </c>
      <c r="B1053" t="s">
        <v>198</v>
      </c>
      <c r="C1053" t="s">
        <v>238</v>
      </c>
      <c r="D1053">
        <v>4</v>
      </c>
      <c r="E1053">
        <v>0</v>
      </c>
      <c r="F1053" t="s">
        <v>241</v>
      </c>
      <c r="G1053" t="s">
        <v>25</v>
      </c>
      <c r="H1053">
        <v>8891</v>
      </c>
      <c r="I1053" t="s">
        <v>250</v>
      </c>
    </row>
    <row r="1054" spans="1:9" x14ac:dyDescent="0.25">
      <c r="A1054">
        <v>70362</v>
      </c>
      <c r="B1054" t="s">
        <v>198</v>
      </c>
      <c r="C1054" t="s">
        <v>238</v>
      </c>
      <c r="D1054">
        <v>4</v>
      </c>
      <c r="E1054">
        <v>0</v>
      </c>
      <c r="F1054" t="s">
        <v>241</v>
      </c>
      <c r="G1054" t="s">
        <v>26</v>
      </c>
      <c r="H1054">
        <v>0</v>
      </c>
      <c r="I1054" t="s">
        <v>251</v>
      </c>
    </row>
    <row r="1055" spans="1:9" x14ac:dyDescent="0.25">
      <c r="A1055">
        <v>70362</v>
      </c>
      <c r="B1055" t="s">
        <v>198</v>
      </c>
      <c r="C1055" t="s">
        <v>238</v>
      </c>
      <c r="D1055">
        <v>4</v>
      </c>
      <c r="E1055">
        <v>0</v>
      </c>
      <c r="F1055" t="s">
        <v>239</v>
      </c>
      <c r="G1055" t="s">
        <v>18</v>
      </c>
      <c r="H1055">
        <v>265979</v>
      </c>
      <c r="I1055" t="s">
        <v>252</v>
      </c>
    </row>
    <row r="1056" spans="1:9" x14ac:dyDescent="0.25">
      <c r="A1056">
        <v>70362</v>
      </c>
      <c r="B1056" t="s">
        <v>198</v>
      </c>
      <c r="C1056" t="s">
        <v>238</v>
      </c>
      <c r="D1056">
        <v>4</v>
      </c>
      <c r="E1056">
        <v>0</v>
      </c>
      <c r="F1056" t="s">
        <v>241</v>
      </c>
      <c r="G1056" t="s">
        <v>26</v>
      </c>
      <c r="H1056">
        <v>76991</v>
      </c>
      <c r="I1056" t="s">
        <v>253</v>
      </c>
    </row>
    <row r="1057" spans="1:9" x14ac:dyDescent="0.25">
      <c r="A1057">
        <v>70362</v>
      </c>
      <c r="B1057" t="s">
        <v>198</v>
      </c>
      <c r="C1057" t="s">
        <v>238</v>
      </c>
      <c r="D1057">
        <v>4</v>
      </c>
      <c r="E1057">
        <v>0</v>
      </c>
      <c r="F1057" t="s">
        <v>247</v>
      </c>
      <c r="G1057" t="s">
        <v>15</v>
      </c>
      <c r="H1057">
        <v>245505</v>
      </c>
      <c r="I1057" t="s">
        <v>254</v>
      </c>
    </row>
    <row r="1058" spans="1:9" x14ac:dyDescent="0.25">
      <c r="A1058">
        <v>70362</v>
      </c>
      <c r="B1058" t="s">
        <v>198</v>
      </c>
      <c r="C1058" t="s">
        <v>238</v>
      </c>
      <c r="D1058">
        <v>4</v>
      </c>
      <c r="E1058">
        <v>0</v>
      </c>
      <c r="F1058" t="s">
        <v>247</v>
      </c>
      <c r="G1058" t="s">
        <v>14</v>
      </c>
      <c r="H1058">
        <v>0</v>
      </c>
      <c r="I1058" t="s">
        <v>355</v>
      </c>
    </row>
    <row r="1059" spans="1:9" x14ac:dyDescent="0.25">
      <c r="A1059">
        <v>70362</v>
      </c>
      <c r="B1059" t="s">
        <v>198</v>
      </c>
      <c r="C1059" t="s">
        <v>238</v>
      </c>
      <c r="D1059">
        <v>4</v>
      </c>
      <c r="E1059">
        <v>0</v>
      </c>
      <c r="F1059" t="s">
        <v>241</v>
      </c>
      <c r="G1059" t="s">
        <v>23</v>
      </c>
      <c r="H1059">
        <v>74087</v>
      </c>
      <c r="I1059" t="s">
        <v>242</v>
      </c>
    </row>
    <row r="1060" spans="1:9" x14ac:dyDescent="0.25">
      <c r="A1060">
        <v>70362</v>
      </c>
      <c r="B1060" t="s">
        <v>198</v>
      </c>
      <c r="C1060" t="s">
        <v>238</v>
      </c>
      <c r="D1060">
        <v>4</v>
      </c>
      <c r="E1060">
        <v>0</v>
      </c>
      <c r="F1060" t="s">
        <v>241</v>
      </c>
      <c r="G1060" t="s">
        <v>24</v>
      </c>
      <c r="H1060">
        <v>31051</v>
      </c>
      <c r="I1060" t="s">
        <v>243</v>
      </c>
    </row>
    <row r="1061" spans="1:9" x14ac:dyDescent="0.25">
      <c r="A1061">
        <v>70362</v>
      </c>
      <c r="B1061" t="s">
        <v>198</v>
      </c>
      <c r="C1061" t="s">
        <v>238</v>
      </c>
      <c r="D1061">
        <v>4</v>
      </c>
      <c r="E1061">
        <v>0</v>
      </c>
      <c r="F1061" t="s">
        <v>241</v>
      </c>
      <c r="G1061" t="s">
        <v>21</v>
      </c>
      <c r="H1061">
        <v>0</v>
      </c>
      <c r="I1061" t="s">
        <v>356</v>
      </c>
    </row>
    <row r="1062" spans="1:9" x14ac:dyDescent="0.25">
      <c r="A1062">
        <v>70362</v>
      </c>
      <c r="B1062" t="s">
        <v>198</v>
      </c>
      <c r="C1062" t="s">
        <v>238</v>
      </c>
      <c r="D1062">
        <v>4</v>
      </c>
      <c r="E1062">
        <v>0</v>
      </c>
      <c r="F1062" t="s">
        <v>239</v>
      </c>
      <c r="G1062" t="s">
        <v>20</v>
      </c>
      <c r="H1062">
        <v>-124955</v>
      </c>
      <c r="I1062" t="s">
        <v>244</v>
      </c>
    </row>
    <row r="1063" spans="1:9" x14ac:dyDescent="0.25">
      <c r="A1063">
        <v>70362</v>
      </c>
      <c r="B1063" t="s">
        <v>198</v>
      </c>
      <c r="C1063" t="s">
        <v>238</v>
      </c>
      <c r="D1063">
        <v>4</v>
      </c>
      <c r="E1063">
        <v>0</v>
      </c>
      <c r="F1063" t="s">
        <v>241</v>
      </c>
      <c r="G1063" t="s">
        <v>22</v>
      </c>
      <c r="H1063">
        <v>311</v>
      </c>
      <c r="I1063" t="s">
        <v>245</v>
      </c>
    </row>
    <row r="1064" spans="1:9" x14ac:dyDescent="0.25">
      <c r="A1064">
        <v>70362</v>
      </c>
      <c r="B1064" t="s">
        <v>198</v>
      </c>
      <c r="C1064" t="s">
        <v>238</v>
      </c>
      <c r="D1064">
        <v>4</v>
      </c>
      <c r="E1064">
        <v>0</v>
      </c>
      <c r="F1064" t="s">
        <v>241</v>
      </c>
      <c r="G1064" t="s">
        <v>26</v>
      </c>
      <c r="H1064">
        <v>2640</v>
      </c>
      <c r="I1064" t="s">
        <v>246</v>
      </c>
    </row>
    <row r="1065" spans="1:9" x14ac:dyDescent="0.25">
      <c r="A1065">
        <v>70362</v>
      </c>
      <c r="B1065" t="s">
        <v>198</v>
      </c>
      <c r="C1065" t="s">
        <v>238</v>
      </c>
      <c r="D1065">
        <v>4</v>
      </c>
      <c r="E1065">
        <v>0</v>
      </c>
      <c r="F1065" t="s">
        <v>239</v>
      </c>
      <c r="G1065" t="s">
        <v>17</v>
      </c>
      <c r="H1065">
        <v>0</v>
      </c>
      <c r="I1065" t="s">
        <v>357</v>
      </c>
    </row>
    <row r="1066" spans="1:9" x14ac:dyDescent="0.25">
      <c r="A1066">
        <v>70362</v>
      </c>
      <c r="B1066" t="s">
        <v>198</v>
      </c>
      <c r="C1066" t="s">
        <v>238</v>
      </c>
      <c r="D1066">
        <v>4</v>
      </c>
      <c r="E1066">
        <v>0</v>
      </c>
      <c r="F1066" t="s">
        <v>241</v>
      </c>
      <c r="G1066" t="s">
        <v>24</v>
      </c>
      <c r="H1066">
        <v>0</v>
      </c>
      <c r="I1066" t="s">
        <v>358</v>
      </c>
    </row>
    <row r="1067" spans="1:9" x14ac:dyDescent="0.25">
      <c r="A1067">
        <v>70362</v>
      </c>
      <c r="B1067" t="s">
        <v>198</v>
      </c>
      <c r="C1067" t="s">
        <v>238</v>
      </c>
      <c r="D1067">
        <v>4</v>
      </c>
      <c r="E1067">
        <v>0</v>
      </c>
      <c r="F1067" t="s">
        <v>241</v>
      </c>
      <c r="G1067" t="s">
        <v>27</v>
      </c>
      <c r="H1067">
        <v>0</v>
      </c>
      <c r="I1067" t="s">
        <v>359</v>
      </c>
    </row>
    <row r="1068" spans="1:9" x14ac:dyDescent="0.25">
      <c r="A1068">
        <v>70362</v>
      </c>
      <c r="B1068" t="s">
        <v>198</v>
      </c>
      <c r="C1068" t="s">
        <v>238</v>
      </c>
      <c r="D1068">
        <v>4</v>
      </c>
      <c r="E1068">
        <v>0</v>
      </c>
      <c r="F1068" t="s">
        <v>239</v>
      </c>
      <c r="G1068" t="s">
        <v>19</v>
      </c>
      <c r="H1068">
        <v>0</v>
      </c>
      <c r="I1068" t="s">
        <v>360</v>
      </c>
    </row>
    <row r="1069" spans="1:9" x14ac:dyDescent="0.25">
      <c r="A1069">
        <v>70362</v>
      </c>
      <c r="B1069" t="s">
        <v>198</v>
      </c>
      <c r="C1069" t="s">
        <v>238</v>
      </c>
      <c r="D1069">
        <v>4</v>
      </c>
      <c r="E1069">
        <v>0</v>
      </c>
      <c r="F1069" t="s">
        <v>239</v>
      </c>
      <c r="G1069" t="s">
        <v>20</v>
      </c>
      <c r="H1069">
        <v>815558</v>
      </c>
      <c r="I1069" t="s">
        <v>255</v>
      </c>
    </row>
    <row r="1070" spans="1:9" x14ac:dyDescent="0.25">
      <c r="A1070">
        <v>70362</v>
      </c>
      <c r="B1070" t="s">
        <v>198</v>
      </c>
      <c r="C1070" t="s">
        <v>238</v>
      </c>
      <c r="D1070">
        <v>4</v>
      </c>
      <c r="E1070">
        <v>0</v>
      </c>
      <c r="F1070" t="s">
        <v>247</v>
      </c>
      <c r="G1070" t="s">
        <v>148</v>
      </c>
      <c r="H1070">
        <v>0</v>
      </c>
      <c r="I1070" t="s">
        <v>256</v>
      </c>
    </row>
    <row r="1071" spans="1:9" x14ac:dyDescent="0.25">
      <c r="A1071">
        <v>70362</v>
      </c>
      <c r="B1071" t="s">
        <v>198</v>
      </c>
      <c r="C1071" t="s">
        <v>238</v>
      </c>
      <c r="D1071">
        <v>4</v>
      </c>
      <c r="E1071">
        <v>0</v>
      </c>
      <c r="F1071" t="s">
        <v>241</v>
      </c>
      <c r="G1071" t="s">
        <v>27</v>
      </c>
      <c r="H1071">
        <v>3583325</v>
      </c>
      <c r="I1071" t="s">
        <v>257</v>
      </c>
    </row>
    <row r="1072" spans="1:9" x14ac:dyDescent="0.25">
      <c r="A1072">
        <v>70362</v>
      </c>
      <c r="B1072" t="s">
        <v>198</v>
      </c>
      <c r="C1072" t="s">
        <v>238</v>
      </c>
      <c r="D1072">
        <v>4</v>
      </c>
      <c r="E1072">
        <v>0</v>
      </c>
      <c r="F1072" t="s">
        <v>241</v>
      </c>
      <c r="G1072" t="s">
        <v>27</v>
      </c>
      <c r="H1072">
        <v>0</v>
      </c>
      <c r="I1072" t="s">
        <v>361</v>
      </c>
    </row>
    <row r="1073" spans="1:9" x14ac:dyDescent="0.25">
      <c r="A1073">
        <v>70362</v>
      </c>
      <c r="B1073" t="s">
        <v>198</v>
      </c>
      <c r="C1073" t="s">
        <v>238</v>
      </c>
      <c r="D1073">
        <v>4</v>
      </c>
      <c r="E1073">
        <v>0</v>
      </c>
      <c r="F1073" t="s">
        <v>241</v>
      </c>
      <c r="G1073" t="s">
        <v>27</v>
      </c>
      <c r="H1073">
        <v>0</v>
      </c>
      <c r="I1073" t="s">
        <v>362</v>
      </c>
    </row>
    <row r="1074" spans="1:9" x14ac:dyDescent="0.25">
      <c r="A1074">
        <v>70362</v>
      </c>
      <c r="B1074" t="s">
        <v>198</v>
      </c>
      <c r="C1074" t="s">
        <v>238</v>
      </c>
      <c r="D1074">
        <v>4</v>
      </c>
      <c r="E1074">
        <v>0</v>
      </c>
      <c r="F1074" t="s">
        <v>241</v>
      </c>
      <c r="G1074" t="s">
        <v>27</v>
      </c>
      <c r="H1074">
        <v>0</v>
      </c>
      <c r="I1074" t="s">
        <v>363</v>
      </c>
    </row>
    <row r="1075" spans="1:9" x14ac:dyDescent="0.25">
      <c r="A1075">
        <v>70362</v>
      </c>
      <c r="B1075" t="s">
        <v>198</v>
      </c>
      <c r="C1075" t="s">
        <v>238</v>
      </c>
      <c r="D1075">
        <v>4</v>
      </c>
      <c r="E1075">
        <v>0</v>
      </c>
      <c r="F1075" t="s">
        <v>239</v>
      </c>
      <c r="G1075" t="s">
        <v>16</v>
      </c>
      <c r="H1075">
        <v>184</v>
      </c>
      <c r="I1075" t="s">
        <v>267</v>
      </c>
    </row>
    <row r="1076" spans="1:9" x14ac:dyDescent="0.25">
      <c r="A1076">
        <v>70362</v>
      </c>
      <c r="B1076" t="s">
        <v>198</v>
      </c>
      <c r="C1076" t="s">
        <v>238</v>
      </c>
      <c r="D1076">
        <v>4</v>
      </c>
      <c r="E1076">
        <v>0</v>
      </c>
      <c r="F1076" t="s">
        <v>239</v>
      </c>
      <c r="G1076" t="s">
        <v>152</v>
      </c>
      <c r="H1076">
        <v>34083</v>
      </c>
      <c r="I1076" t="s">
        <v>258</v>
      </c>
    </row>
    <row r="1077" spans="1:9" x14ac:dyDescent="0.25">
      <c r="A1077">
        <v>70362</v>
      </c>
      <c r="B1077" t="s">
        <v>198</v>
      </c>
      <c r="C1077" t="s">
        <v>238</v>
      </c>
      <c r="D1077">
        <v>4</v>
      </c>
      <c r="E1077">
        <v>0</v>
      </c>
      <c r="F1077" t="s">
        <v>239</v>
      </c>
      <c r="G1077" t="s">
        <v>154</v>
      </c>
      <c r="H1077">
        <v>0</v>
      </c>
      <c r="I1077" t="s">
        <v>330</v>
      </c>
    </row>
    <row r="1078" spans="1:9" x14ac:dyDescent="0.25">
      <c r="A1078">
        <v>70362</v>
      </c>
      <c r="B1078" t="s">
        <v>198</v>
      </c>
      <c r="C1078" t="s">
        <v>238</v>
      </c>
      <c r="D1078">
        <v>4</v>
      </c>
      <c r="E1078">
        <v>0</v>
      </c>
      <c r="F1078" t="s">
        <v>239</v>
      </c>
      <c r="G1078" t="s">
        <v>16</v>
      </c>
      <c r="H1078">
        <v>6306</v>
      </c>
      <c r="I1078" t="s">
        <v>259</v>
      </c>
    </row>
    <row r="1079" spans="1:9" x14ac:dyDescent="0.25">
      <c r="A1079">
        <v>70362</v>
      </c>
      <c r="B1079" t="s">
        <v>198</v>
      </c>
      <c r="C1079" t="s">
        <v>238</v>
      </c>
      <c r="D1079">
        <v>4</v>
      </c>
      <c r="E1079">
        <v>0</v>
      </c>
      <c r="F1079" t="s">
        <v>239</v>
      </c>
      <c r="G1079" t="s">
        <v>19</v>
      </c>
      <c r="H1079">
        <v>25941</v>
      </c>
      <c r="I1079" t="s">
        <v>260</v>
      </c>
    </row>
    <row r="1080" spans="1:9" x14ac:dyDescent="0.25">
      <c r="A1080">
        <v>70362</v>
      </c>
      <c r="B1080" t="s">
        <v>198</v>
      </c>
      <c r="C1080" t="s">
        <v>238</v>
      </c>
      <c r="D1080">
        <v>4</v>
      </c>
      <c r="E1080">
        <v>0</v>
      </c>
      <c r="F1080" t="s">
        <v>239</v>
      </c>
      <c r="G1080" t="s">
        <v>19</v>
      </c>
      <c r="H1080">
        <v>0</v>
      </c>
      <c r="I1080" t="s">
        <v>270</v>
      </c>
    </row>
    <row r="1081" spans="1:9" x14ac:dyDescent="0.25">
      <c r="A1081">
        <v>70362</v>
      </c>
      <c r="B1081" t="s">
        <v>198</v>
      </c>
      <c r="C1081" t="s">
        <v>238</v>
      </c>
      <c r="D1081">
        <v>4</v>
      </c>
      <c r="E1081">
        <v>0</v>
      </c>
      <c r="F1081" t="s">
        <v>241</v>
      </c>
      <c r="G1081" t="s">
        <v>139</v>
      </c>
      <c r="H1081">
        <v>0</v>
      </c>
      <c r="I1081" t="s">
        <v>331</v>
      </c>
    </row>
    <row r="1082" spans="1:9" x14ac:dyDescent="0.25">
      <c r="A1082">
        <v>70362</v>
      </c>
      <c r="B1082" t="s">
        <v>198</v>
      </c>
      <c r="C1082" t="s">
        <v>238</v>
      </c>
      <c r="D1082">
        <v>4</v>
      </c>
      <c r="E1082">
        <v>0</v>
      </c>
      <c r="F1082" t="s">
        <v>261</v>
      </c>
      <c r="G1082" t="s">
        <v>261</v>
      </c>
      <c r="H1082">
        <v>1740855</v>
      </c>
      <c r="I1082" t="s">
        <v>262</v>
      </c>
    </row>
    <row r="1083" spans="1:9" x14ac:dyDescent="0.25">
      <c r="A1083">
        <v>70362</v>
      </c>
      <c r="B1083" t="s">
        <v>198</v>
      </c>
      <c r="C1083" t="s">
        <v>238</v>
      </c>
      <c r="D1083">
        <v>4</v>
      </c>
      <c r="E1083">
        <v>0</v>
      </c>
      <c r="F1083" t="s">
        <v>239</v>
      </c>
      <c r="G1083" t="s">
        <v>19</v>
      </c>
      <c r="H1083">
        <v>198673</v>
      </c>
      <c r="I1083" t="s">
        <v>263</v>
      </c>
    </row>
    <row r="1084" spans="1:9" x14ac:dyDescent="0.25">
      <c r="A1084">
        <v>70362</v>
      </c>
      <c r="B1084" t="s">
        <v>198</v>
      </c>
      <c r="C1084" t="s">
        <v>238</v>
      </c>
      <c r="D1084">
        <v>4</v>
      </c>
      <c r="E1084">
        <v>0</v>
      </c>
      <c r="F1084" t="s">
        <v>239</v>
      </c>
      <c r="G1084" t="s">
        <v>16</v>
      </c>
      <c r="H1084">
        <v>264</v>
      </c>
      <c r="I1084" t="s">
        <v>240</v>
      </c>
    </row>
    <row r="1085" spans="1:9" x14ac:dyDescent="0.25">
      <c r="A1085">
        <v>70362</v>
      </c>
      <c r="B1085" t="s">
        <v>198</v>
      </c>
      <c r="C1085" t="s">
        <v>238</v>
      </c>
      <c r="D1085">
        <v>4</v>
      </c>
      <c r="E1085">
        <v>0</v>
      </c>
      <c r="F1085" t="s">
        <v>239</v>
      </c>
      <c r="G1085" t="s">
        <v>19</v>
      </c>
      <c r="H1085">
        <v>57559</v>
      </c>
      <c r="I1085" t="s">
        <v>264</v>
      </c>
    </row>
    <row r="1086" spans="1:9" x14ac:dyDescent="0.25">
      <c r="A1086">
        <v>70362</v>
      </c>
      <c r="B1086" t="s">
        <v>198</v>
      </c>
      <c r="C1086" t="s">
        <v>238</v>
      </c>
      <c r="D1086">
        <v>4</v>
      </c>
      <c r="E1086">
        <v>0</v>
      </c>
      <c r="F1086" t="s">
        <v>241</v>
      </c>
      <c r="G1086" t="s">
        <v>158</v>
      </c>
      <c r="H1086">
        <v>54746</v>
      </c>
      <c r="I1086" t="s">
        <v>265</v>
      </c>
    </row>
    <row r="1087" spans="1:9" x14ac:dyDescent="0.25">
      <c r="A1087">
        <v>70362</v>
      </c>
      <c r="B1087" t="s">
        <v>198</v>
      </c>
      <c r="C1087" t="s">
        <v>238</v>
      </c>
      <c r="D1087">
        <v>4</v>
      </c>
      <c r="E1087">
        <v>0</v>
      </c>
      <c r="F1087" t="s">
        <v>239</v>
      </c>
      <c r="G1087" t="s">
        <v>19</v>
      </c>
      <c r="H1087">
        <v>0</v>
      </c>
      <c r="I1087" t="s">
        <v>271</v>
      </c>
    </row>
    <row r="1088" spans="1:9" x14ac:dyDescent="0.25">
      <c r="A1088">
        <v>70362</v>
      </c>
      <c r="B1088" t="s">
        <v>198</v>
      </c>
      <c r="C1088" t="s">
        <v>238</v>
      </c>
      <c r="D1088">
        <v>4</v>
      </c>
      <c r="E1088">
        <v>0</v>
      </c>
      <c r="F1088" t="s">
        <v>239</v>
      </c>
      <c r="G1088" t="s">
        <v>19</v>
      </c>
      <c r="H1088">
        <v>148856</v>
      </c>
      <c r="I1088" t="s">
        <v>266</v>
      </c>
    </row>
    <row r="1089" spans="1:9" x14ac:dyDescent="0.25">
      <c r="A1089">
        <v>70362</v>
      </c>
      <c r="B1089" t="s">
        <v>198</v>
      </c>
      <c r="C1089" t="s">
        <v>238</v>
      </c>
      <c r="D1089">
        <v>4</v>
      </c>
      <c r="E1089">
        <v>0</v>
      </c>
      <c r="F1089" t="s">
        <v>241</v>
      </c>
      <c r="G1089" t="s">
        <v>143</v>
      </c>
      <c r="H1089">
        <v>0</v>
      </c>
      <c r="I1089" t="s">
        <v>332</v>
      </c>
    </row>
    <row r="1090" spans="1:9" x14ac:dyDescent="0.25">
      <c r="A1090">
        <v>70362</v>
      </c>
      <c r="B1090" t="s">
        <v>198</v>
      </c>
      <c r="C1090" t="s">
        <v>238</v>
      </c>
      <c r="D1090">
        <v>4</v>
      </c>
      <c r="E1090">
        <v>0</v>
      </c>
      <c r="F1090" t="s">
        <v>241</v>
      </c>
      <c r="G1090" t="s">
        <v>138</v>
      </c>
      <c r="H1090">
        <v>0</v>
      </c>
      <c r="I1090" t="s">
        <v>333</v>
      </c>
    </row>
    <row r="1091" spans="1:9" x14ac:dyDescent="0.25">
      <c r="A1091">
        <v>70362</v>
      </c>
      <c r="B1091" t="s">
        <v>198</v>
      </c>
      <c r="C1091" t="s">
        <v>238</v>
      </c>
      <c r="D1091">
        <v>4</v>
      </c>
      <c r="E1091">
        <v>0</v>
      </c>
      <c r="F1091" t="s">
        <v>241</v>
      </c>
      <c r="G1091" t="s">
        <v>138</v>
      </c>
      <c r="H1091">
        <v>0</v>
      </c>
      <c r="I1091" t="s">
        <v>334</v>
      </c>
    </row>
    <row r="1092" spans="1:9" x14ac:dyDescent="0.25">
      <c r="A1092">
        <v>70362</v>
      </c>
      <c r="B1092" t="s">
        <v>198</v>
      </c>
      <c r="C1092" t="s">
        <v>238</v>
      </c>
      <c r="D1092">
        <v>4</v>
      </c>
      <c r="E1092">
        <v>0</v>
      </c>
      <c r="F1092" t="s">
        <v>241</v>
      </c>
      <c r="G1092" t="s">
        <v>138</v>
      </c>
      <c r="H1092">
        <v>-49205</v>
      </c>
      <c r="I1092" t="s">
        <v>268</v>
      </c>
    </row>
    <row r="1093" spans="1:9" x14ac:dyDescent="0.25">
      <c r="A1093">
        <v>70362</v>
      </c>
      <c r="B1093" t="s">
        <v>198</v>
      </c>
      <c r="C1093" t="s">
        <v>238</v>
      </c>
      <c r="D1093">
        <v>4</v>
      </c>
      <c r="E1093">
        <v>0</v>
      </c>
      <c r="F1093" t="s">
        <v>241</v>
      </c>
      <c r="G1093" t="s">
        <v>139</v>
      </c>
      <c r="H1093">
        <v>0</v>
      </c>
      <c r="I1093" t="s">
        <v>336</v>
      </c>
    </row>
    <row r="1094" spans="1:9" x14ac:dyDescent="0.25">
      <c r="A1094">
        <v>70362</v>
      </c>
      <c r="B1094" t="s">
        <v>198</v>
      </c>
      <c r="C1094" t="s">
        <v>238</v>
      </c>
      <c r="D1094">
        <v>4</v>
      </c>
      <c r="E1094">
        <v>0</v>
      </c>
      <c r="F1094" t="s">
        <v>241</v>
      </c>
      <c r="G1094" t="s">
        <v>139</v>
      </c>
      <c r="H1094">
        <v>0</v>
      </c>
      <c r="I1094" t="s">
        <v>337</v>
      </c>
    </row>
    <row r="1095" spans="1:9" x14ac:dyDescent="0.25">
      <c r="A1095">
        <v>70362</v>
      </c>
      <c r="B1095" t="s">
        <v>198</v>
      </c>
      <c r="C1095" t="s">
        <v>238</v>
      </c>
      <c r="D1095">
        <v>4</v>
      </c>
      <c r="E1095">
        <v>0</v>
      </c>
      <c r="F1095" t="s">
        <v>241</v>
      </c>
      <c r="G1095" t="s">
        <v>139</v>
      </c>
      <c r="H1095">
        <v>0</v>
      </c>
      <c r="I1095" t="s">
        <v>335</v>
      </c>
    </row>
    <row r="1096" spans="1:9" x14ac:dyDescent="0.25">
      <c r="A1096">
        <v>70362</v>
      </c>
      <c r="B1096" t="s">
        <v>198</v>
      </c>
      <c r="C1096" t="s">
        <v>238</v>
      </c>
      <c r="D1096">
        <v>4</v>
      </c>
      <c r="E1096">
        <v>0</v>
      </c>
      <c r="F1096" t="s">
        <v>241</v>
      </c>
      <c r="G1096" t="s">
        <v>24</v>
      </c>
      <c r="H1096">
        <v>0</v>
      </c>
      <c r="I1096" t="s">
        <v>338</v>
      </c>
    </row>
    <row r="1097" spans="1:9" x14ac:dyDescent="0.25">
      <c r="A1097">
        <v>70362</v>
      </c>
      <c r="B1097" t="s">
        <v>198</v>
      </c>
      <c r="C1097" t="s">
        <v>238</v>
      </c>
      <c r="D1097">
        <v>4</v>
      </c>
      <c r="E1097">
        <v>0</v>
      </c>
      <c r="F1097" t="s">
        <v>241</v>
      </c>
      <c r="G1097" t="s">
        <v>24</v>
      </c>
      <c r="H1097">
        <v>0</v>
      </c>
      <c r="I1097" t="s">
        <v>339</v>
      </c>
    </row>
    <row r="1098" spans="1:9" x14ac:dyDescent="0.25">
      <c r="A1098">
        <v>70362</v>
      </c>
      <c r="B1098" t="s">
        <v>198</v>
      </c>
      <c r="C1098" t="s">
        <v>238</v>
      </c>
      <c r="D1098">
        <v>4</v>
      </c>
      <c r="E1098">
        <v>0</v>
      </c>
      <c r="F1098" t="s">
        <v>241</v>
      </c>
      <c r="G1098" t="s">
        <v>24</v>
      </c>
      <c r="H1098">
        <v>0</v>
      </c>
      <c r="I1098" t="s">
        <v>340</v>
      </c>
    </row>
    <row r="1099" spans="1:9" x14ac:dyDescent="0.25">
      <c r="A1099">
        <v>70362</v>
      </c>
      <c r="B1099" t="s">
        <v>198</v>
      </c>
      <c r="C1099" t="s">
        <v>238</v>
      </c>
      <c r="D1099">
        <v>4</v>
      </c>
      <c r="E1099">
        <v>0</v>
      </c>
      <c r="F1099" t="s">
        <v>241</v>
      </c>
      <c r="G1099" t="s">
        <v>137</v>
      </c>
      <c r="H1099">
        <v>0</v>
      </c>
      <c r="I1099" t="s">
        <v>273</v>
      </c>
    </row>
    <row r="1100" spans="1:9" x14ac:dyDescent="0.25">
      <c r="A1100">
        <v>70362</v>
      </c>
      <c r="B1100" t="s">
        <v>198</v>
      </c>
      <c r="C1100" t="s">
        <v>238</v>
      </c>
      <c r="D1100">
        <v>4</v>
      </c>
      <c r="E1100">
        <v>0</v>
      </c>
      <c r="F1100" t="s">
        <v>241</v>
      </c>
      <c r="G1100" t="s">
        <v>137</v>
      </c>
      <c r="H1100">
        <v>0</v>
      </c>
      <c r="I1100" t="s">
        <v>341</v>
      </c>
    </row>
    <row r="1101" spans="1:9" x14ac:dyDescent="0.25">
      <c r="A1101">
        <v>70362</v>
      </c>
      <c r="B1101" t="s">
        <v>198</v>
      </c>
      <c r="C1101" t="s">
        <v>238</v>
      </c>
      <c r="D1101">
        <v>4</v>
      </c>
      <c r="E1101">
        <v>0</v>
      </c>
      <c r="F1101" t="s">
        <v>241</v>
      </c>
      <c r="G1101" t="s">
        <v>137</v>
      </c>
      <c r="H1101">
        <v>0</v>
      </c>
      <c r="I1101" t="s">
        <v>342</v>
      </c>
    </row>
    <row r="1102" spans="1:9" x14ac:dyDescent="0.25">
      <c r="A1102">
        <v>70362</v>
      </c>
      <c r="B1102" t="s">
        <v>198</v>
      </c>
      <c r="C1102" t="s">
        <v>238</v>
      </c>
      <c r="D1102">
        <v>4</v>
      </c>
      <c r="E1102">
        <v>0</v>
      </c>
      <c r="F1102" t="s">
        <v>241</v>
      </c>
      <c r="G1102" t="s">
        <v>137</v>
      </c>
      <c r="H1102">
        <v>0</v>
      </c>
      <c r="I1102" t="s">
        <v>343</v>
      </c>
    </row>
    <row r="1103" spans="1:9" x14ac:dyDescent="0.25">
      <c r="A1103">
        <v>70362</v>
      </c>
      <c r="B1103" t="s">
        <v>198</v>
      </c>
      <c r="C1103" t="s">
        <v>238</v>
      </c>
      <c r="D1103">
        <v>4</v>
      </c>
      <c r="E1103">
        <v>0</v>
      </c>
      <c r="F1103" t="s">
        <v>241</v>
      </c>
      <c r="G1103" t="s">
        <v>143</v>
      </c>
      <c r="H1103">
        <v>0</v>
      </c>
      <c r="I1103" t="s">
        <v>344</v>
      </c>
    </row>
    <row r="1104" spans="1:9" x14ac:dyDescent="0.25">
      <c r="A1104">
        <v>70362</v>
      </c>
      <c r="B1104" t="s">
        <v>198</v>
      </c>
      <c r="C1104" t="s">
        <v>238</v>
      </c>
      <c r="D1104">
        <v>4</v>
      </c>
      <c r="E1104">
        <v>0</v>
      </c>
      <c r="F1104" t="s">
        <v>241</v>
      </c>
      <c r="G1104" t="s">
        <v>143</v>
      </c>
      <c r="H1104">
        <v>0</v>
      </c>
      <c r="I1104" t="s">
        <v>345</v>
      </c>
    </row>
    <row r="1105" spans="1:9" x14ac:dyDescent="0.25">
      <c r="A1105">
        <v>70362</v>
      </c>
      <c r="B1105" t="s">
        <v>198</v>
      </c>
      <c r="C1105" t="s">
        <v>238</v>
      </c>
      <c r="D1105">
        <v>4</v>
      </c>
      <c r="E1105">
        <v>0</v>
      </c>
      <c r="F1105" t="s">
        <v>241</v>
      </c>
      <c r="G1105" t="s">
        <v>143</v>
      </c>
      <c r="H1105">
        <v>0</v>
      </c>
      <c r="I1105" t="s">
        <v>346</v>
      </c>
    </row>
    <row r="1106" spans="1:9" x14ac:dyDescent="0.25">
      <c r="A1106">
        <v>70362</v>
      </c>
      <c r="B1106" t="s">
        <v>198</v>
      </c>
      <c r="C1106" t="s">
        <v>238</v>
      </c>
      <c r="D1106">
        <v>4</v>
      </c>
      <c r="E1106">
        <v>0</v>
      </c>
      <c r="F1106" t="s">
        <v>241</v>
      </c>
      <c r="G1106" t="s">
        <v>138</v>
      </c>
      <c r="H1106">
        <v>0</v>
      </c>
      <c r="I1106" t="s">
        <v>347</v>
      </c>
    </row>
    <row r="1107" spans="1:9" x14ac:dyDescent="0.25">
      <c r="A1107">
        <v>70363</v>
      </c>
      <c r="B1107" t="s">
        <v>200</v>
      </c>
      <c r="C1107" t="s">
        <v>238</v>
      </c>
      <c r="D1107">
        <v>4</v>
      </c>
      <c r="E1107">
        <v>0</v>
      </c>
      <c r="F1107" t="s">
        <v>239</v>
      </c>
      <c r="G1107" t="s">
        <v>153</v>
      </c>
      <c r="H1107">
        <v>0</v>
      </c>
      <c r="I1107" t="s">
        <v>351</v>
      </c>
    </row>
    <row r="1108" spans="1:9" x14ac:dyDescent="0.25">
      <c r="A1108">
        <v>70363</v>
      </c>
      <c r="B1108" t="s">
        <v>200</v>
      </c>
      <c r="C1108" t="s">
        <v>238</v>
      </c>
      <c r="D1108">
        <v>4</v>
      </c>
      <c r="E1108">
        <v>0</v>
      </c>
      <c r="F1108" t="s">
        <v>239</v>
      </c>
      <c r="G1108" t="s">
        <v>152</v>
      </c>
      <c r="H1108">
        <v>0</v>
      </c>
      <c r="I1108" t="s">
        <v>352</v>
      </c>
    </row>
    <row r="1109" spans="1:9" x14ac:dyDescent="0.25">
      <c r="A1109">
        <v>70363</v>
      </c>
      <c r="B1109" t="s">
        <v>200</v>
      </c>
      <c r="C1109" t="s">
        <v>238</v>
      </c>
      <c r="D1109">
        <v>4</v>
      </c>
      <c r="E1109">
        <v>0</v>
      </c>
      <c r="F1109" t="s">
        <v>239</v>
      </c>
      <c r="G1109" t="s">
        <v>154</v>
      </c>
      <c r="H1109">
        <v>0</v>
      </c>
      <c r="I1109" t="s">
        <v>349</v>
      </c>
    </row>
    <row r="1110" spans="1:9" x14ac:dyDescent="0.25">
      <c r="A1110">
        <v>70363</v>
      </c>
      <c r="B1110" t="s">
        <v>200</v>
      </c>
      <c r="C1110" t="s">
        <v>238</v>
      </c>
      <c r="D1110">
        <v>4</v>
      </c>
      <c r="E1110">
        <v>0</v>
      </c>
      <c r="F1110" t="s">
        <v>241</v>
      </c>
      <c r="G1110" t="s">
        <v>26</v>
      </c>
      <c r="H1110">
        <v>0</v>
      </c>
      <c r="I1110" t="s">
        <v>350</v>
      </c>
    </row>
    <row r="1111" spans="1:9" x14ac:dyDescent="0.25">
      <c r="A1111">
        <v>70363</v>
      </c>
      <c r="B1111" t="s">
        <v>200</v>
      </c>
      <c r="C1111" t="s">
        <v>238</v>
      </c>
      <c r="D1111">
        <v>4</v>
      </c>
      <c r="E1111">
        <v>0</v>
      </c>
      <c r="F1111" t="s">
        <v>241</v>
      </c>
      <c r="G1111" t="s">
        <v>23</v>
      </c>
      <c r="H1111">
        <v>59894</v>
      </c>
      <c r="I1111" t="s">
        <v>269</v>
      </c>
    </row>
    <row r="1112" spans="1:9" x14ac:dyDescent="0.25">
      <c r="A1112">
        <v>70363</v>
      </c>
      <c r="B1112" t="s">
        <v>200</v>
      </c>
      <c r="C1112" t="s">
        <v>238</v>
      </c>
      <c r="D1112">
        <v>4</v>
      </c>
      <c r="E1112">
        <v>0</v>
      </c>
      <c r="F1112" t="s">
        <v>241</v>
      </c>
      <c r="G1112" t="s">
        <v>26</v>
      </c>
      <c r="H1112">
        <v>0</v>
      </c>
      <c r="I1112" t="s">
        <v>353</v>
      </c>
    </row>
    <row r="1113" spans="1:9" x14ac:dyDescent="0.25">
      <c r="A1113">
        <v>70363</v>
      </c>
      <c r="B1113" t="s">
        <v>200</v>
      </c>
      <c r="C1113" t="s">
        <v>238</v>
      </c>
      <c r="D1113">
        <v>4</v>
      </c>
      <c r="E1113">
        <v>0</v>
      </c>
      <c r="F1113" t="s">
        <v>241</v>
      </c>
      <c r="G1113" t="s">
        <v>157</v>
      </c>
      <c r="H1113">
        <v>0</v>
      </c>
      <c r="I1113" t="s">
        <v>348</v>
      </c>
    </row>
    <row r="1114" spans="1:9" x14ac:dyDescent="0.25">
      <c r="A1114">
        <v>70363</v>
      </c>
      <c r="B1114" t="s">
        <v>200</v>
      </c>
      <c r="C1114" t="s">
        <v>238</v>
      </c>
      <c r="D1114">
        <v>4</v>
      </c>
      <c r="E1114">
        <v>0</v>
      </c>
      <c r="F1114" t="s">
        <v>261</v>
      </c>
      <c r="G1114" t="s">
        <v>261</v>
      </c>
      <c r="H1114">
        <v>0</v>
      </c>
      <c r="I1114" t="s">
        <v>272</v>
      </c>
    </row>
    <row r="1115" spans="1:9" x14ac:dyDescent="0.25">
      <c r="A1115">
        <v>70363</v>
      </c>
      <c r="B1115" t="s">
        <v>200</v>
      </c>
      <c r="C1115" t="s">
        <v>238</v>
      </c>
      <c r="D1115">
        <v>4</v>
      </c>
      <c r="E1115">
        <v>0</v>
      </c>
      <c r="F1115" t="s">
        <v>261</v>
      </c>
      <c r="G1115" t="s">
        <v>261</v>
      </c>
      <c r="H1115">
        <v>0</v>
      </c>
      <c r="I1115" t="s">
        <v>354</v>
      </c>
    </row>
    <row r="1116" spans="1:9" x14ac:dyDescent="0.25">
      <c r="A1116">
        <v>70363</v>
      </c>
      <c r="B1116" t="s">
        <v>200</v>
      </c>
      <c r="C1116" t="s">
        <v>238</v>
      </c>
      <c r="D1116">
        <v>4</v>
      </c>
      <c r="E1116">
        <v>0</v>
      </c>
      <c r="F1116" t="s">
        <v>247</v>
      </c>
      <c r="G1116" t="s">
        <v>12</v>
      </c>
      <c r="H1116">
        <v>-1341669</v>
      </c>
      <c r="I1116" t="s">
        <v>248</v>
      </c>
    </row>
    <row r="1117" spans="1:9" x14ac:dyDescent="0.25">
      <c r="A1117">
        <v>70363</v>
      </c>
      <c r="B1117" t="s">
        <v>200</v>
      </c>
      <c r="C1117" t="s">
        <v>238</v>
      </c>
      <c r="D1117">
        <v>4</v>
      </c>
      <c r="E1117">
        <v>0</v>
      </c>
      <c r="F1117" t="s">
        <v>247</v>
      </c>
      <c r="G1117" t="s">
        <v>13</v>
      </c>
      <c r="H1117">
        <v>6059845</v>
      </c>
      <c r="I1117" t="s">
        <v>249</v>
      </c>
    </row>
    <row r="1118" spans="1:9" x14ac:dyDescent="0.25">
      <c r="A1118">
        <v>70363</v>
      </c>
      <c r="B1118" t="s">
        <v>200</v>
      </c>
      <c r="C1118" t="s">
        <v>238</v>
      </c>
      <c r="D1118">
        <v>4</v>
      </c>
      <c r="E1118">
        <v>0</v>
      </c>
      <c r="F1118" t="s">
        <v>241</v>
      </c>
      <c r="G1118" t="s">
        <v>25</v>
      </c>
      <c r="H1118">
        <v>8768</v>
      </c>
      <c r="I1118" t="s">
        <v>250</v>
      </c>
    </row>
    <row r="1119" spans="1:9" x14ac:dyDescent="0.25">
      <c r="A1119">
        <v>70363</v>
      </c>
      <c r="B1119" t="s">
        <v>200</v>
      </c>
      <c r="C1119" t="s">
        <v>238</v>
      </c>
      <c r="D1119">
        <v>4</v>
      </c>
      <c r="E1119">
        <v>0</v>
      </c>
      <c r="F1119" t="s">
        <v>241</v>
      </c>
      <c r="G1119" t="s">
        <v>26</v>
      </c>
      <c r="H1119">
        <v>0</v>
      </c>
      <c r="I1119" t="s">
        <v>251</v>
      </c>
    </row>
    <row r="1120" spans="1:9" x14ac:dyDescent="0.25">
      <c r="A1120">
        <v>70363</v>
      </c>
      <c r="B1120" t="s">
        <v>200</v>
      </c>
      <c r="C1120" t="s">
        <v>238</v>
      </c>
      <c r="D1120">
        <v>4</v>
      </c>
      <c r="E1120">
        <v>0</v>
      </c>
      <c r="F1120" t="s">
        <v>239</v>
      </c>
      <c r="G1120" t="s">
        <v>18</v>
      </c>
      <c r="H1120">
        <v>415139</v>
      </c>
      <c r="I1120" t="s">
        <v>252</v>
      </c>
    </row>
    <row r="1121" spans="1:9" x14ac:dyDescent="0.25">
      <c r="A1121">
        <v>70363</v>
      </c>
      <c r="B1121" t="s">
        <v>200</v>
      </c>
      <c r="C1121" t="s">
        <v>238</v>
      </c>
      <c r="D1121">
        <v>4</v>
      </c>
      <c r="E1121">
        <v>0</v>
      </c>
      <c r="F1121" t="s">
        <v>241</v>
      </c>
      <c r="G1121" t="s">
        <v>26</v>
      </c>
      <c r="H1121">
        <v>96315</v>
      </c>
      <c r="I1121" t="s">
        <v>253</v>
      </c>
    </row>
    <row r="1122" spans="1:9" x14ac:dyDescent="0.25">
      <c r="A1122">
        <v>70363</v>
      </c>
      <c r="B1122" t="s">
        <v>200</v>
      </c>
      <c r="C1122" t="s">
        <v>238</v>
      </c>
      <c r="D1122">
        <v>4</v>
      </c>
      <c r="E1122">
        <v>0</v>
      </c>
      <c r="F1122" t="s">
        <v>247</v>
      </c>
      <c r="G1122" t="s">
        <v>15</v>
      </c>
      <c r="H1122">
        <v>293118</v>
      </c>
      <c r="I1122" t="s">
        <v>254</v>
      </c>
    </row>
    <row r="1123" spans="1:9" x14ac:dyDescent="0.25">
      <c r="A1123">
        <v>70363</v>
      </c>
      <c r="B1123" t="s">
        <v>200</v>
      </c>
      <c r="C1123" t="s">
        <v>238</v>
      </c>
      <c r="D1123">
        <v>4</v>
      </c>
      <c r="E1123">
        <v>0</v>
      </c>
      <c r="F1123" t="s">
        <v>247</v>
      </c>
      <c r="G1123" t="s">
        <v>14</v>
      </c>
      <c r="H1123">
        <v>0</v>
      </c>
      <c r="I1123" t="s">
        <v>355</v>
      </c>
    </row>
    <row r="1124" spans="1:9" x14ac:dyDescent="0.25">
      <c r="A1124">
        <v>70363</v>
      </c>
      <c r="B1124" t="s">
        <v>200</v>
      </c>
      <c r="C1124" t="s">
        <v>238</v>
      </c>
      <c r="D1124">
        <v>4</v>
      </c>
      <c r="E1124">
        <v>0</v>
      </c>
      <c r="F1124" t="s">
        <v>241</v>
      </c>
      <c r="G1124" t="s">
        <v>23</v>
      </c>
      <c r="H1124">
        <v>73952</v>
      </c>
      <c r="I1124" t="s">
        <v>242</v>
      </c>
    </row>
    <row r="1125" spans="1:9" x14ac:dyDescent="0.25">
      <c r="A1125">
        <v>70363</v>
      </c>
      <c r="B1125" t="s">
        <v>200</v>
      </c>
      <c r="C1125" t="s">
        <v>238</v>
      </c>
      <c r="D1125">
        <v>4</v>
      </c>
      <c r="E1125">
        <v>0</v>
      </c>
      <c r="F1125" t="s">
        <v>241</v>
      </c>
      <c r="G1125" t="s">
        <v>24</v>
      </c>
      <c r="H1125">
        <v>503655</v>
      </c>
      <c r="I1125" t="s">
        <v>243</v>
      </c>
    </row>
    <row r="1126" spans="1:9" x14ac:dyDescent="0.25">
      <c r="A1126">
        <v>70363</v>
      </c>
      <c r="B1126" t="s">
        <v>200</v>
      </c>
      <c r="C1126" t="s">
        <v>238</v>
      </c>
      <c r="D1126">
        <v>4</v>
      </c>
      <c r="E1126">
        <v>0</v>
      </c>
      <c r="F1126" t="s">
        <v>241</v>
      </c>
      <c r="G1126" t="s">
        <v>21</v>
      </c>
      <c r="H1126">
        <v>0</v>
      </c>
      <c r="I1126" t="s">
        <v>356</v>
      </c>
    </row>
    <row r="1127" spans="1:9" x14ac:dyDescent="0.25">
      <c r="A1127">
        <v>70363</v>
      </c>
      <c r="B1127" t="s">
        <v>200</v>
      </c>
      <c r="C1127" t="s">
        <v>238</v>
      </c>
      <c r="D1127">
        <v>4</v>
      </c>
      <c r="E1127">
        <v>0</v>
      </c>
      <c r="F1127" t="s">
        <v>239</v>
      </c>
      <c r="G1127" t="s">
        <v>20</v>
      </c>
      <c r="H1127">
        <v>-3711</v>
      </c>
      <c r="I1127" t="s">
        <v>244</v>
      </c>
    </row>
    <row r="1128" spans="1:9" x14ac:dyDescent="0.25">
      <c r="A1128">
        <v>70363</v>
      </c>
      <c r="B1128" t="s">
        <v>200</v>
      </c>
      <c r="C1128" t="s">
        <v>238</v>
      </c>
      <c r="D1128">
        <v>4</v>
      </c>
      <c r="E1128">
        <v>0</v>
      </c>
      <c r="F1128" t="s">
        <v>241</v>
      </c>
      <c r="G1128" t="s">
        <v>22</v>
      </c>
      <c r="H1128">
        <v>2074</v>
      </c>
      <c r="I1128" t="s">
        <v>245</v>
      </c>
    </row>
    <row r="1129" spans="1:9" x14ac:dyDescent="0.25">
      <c r="A1129">
        <v>70363</v>
      </c>
      <c r="B1129" t="s">
        <v>200</v>
      </c>
      <c r="C1129" t="s">
        <v>238</v>
      </c>
      <c r="D1129">
        <v>4</v>
      </c>
      <c r="E1129">
        <v>0</v>
      </c>
      <c r="F1129" t="s">
        <v>241</v>
      </c>
      <c r="G1129" t="s">
        <v>26</v>
      </c>
      <c r="H1129">
        <v>1782</v>
      </c>
      <c r="I1129" t="s">
        <v>246</v>
      </c>
    </row>
    <row r="1130" spans="1:9" x14ac:dyDescent="0.25">
      <c r="A1130">
        <v>70363</v>
      </c>
      <c r="B1130" t="s">
        <v>200</v>
      </c>
      <c r="C1130" t="s">
        <v>238</v>
      </c>
      <c r="D1130">
        <v>4</v>
      </c>
      <c r="E1130">
        <v>0</v>
      </c>
      <c r="F1130" t="s">
        <v>239</v>
      </c>
      <c r="G1130" t="s">
        <v>17</v>
      </c>
      <c r="H1130">
        <v>0</v>
      </c>
      <c r="I1130" t="s">
        <v>357</v>
      </c>
    </row>
    <row r="1131" spans="1:9" x14ac:dyDescent="0.25">
      <c r="A1131">
        <v>70363</v>
      </c>
      <c r="B1131" t="s">
        <v>200</v>
      </c>
      <c r="C1131" t="s">
        <v>238</v>
      </c>
      <c r="D1131">
        <v>4</v>
      </c>
      <c r="E1131">
        <v>0</v>
      </c>
      <c r="F1131" t="s">
        <v>241</v>
      </c>
      <c r="G1131" t="s">
        <v>24</v>
      </c>
      <c r="H1131">
        <v>0</v>
      </c>
      <c r="I1131" t="s">
        <v>358</v>
      </c>
    </row>
    <row r="1132" spans="1:9" x14ac:dyDescent="0.25">
      <c r="A1132">
        <v>70363</v>
      </c>
      <c r="B1132" t="s">
        <v>200</v>
      </c>
      <c r="C1132" t="s">
        <v>238</v>
      </c>
      <c r="D1132">
        <v>4</v>
      </c>
      <c r="E1132">
        <v>0</v>
      </c>
      <c r="F1132" t="s">
        <v>241</v>
      </c>
      <c r="G1132" t="s">
        <v>27</v>
      </c>
      <c r="H1132">
        <v>0</v>
      </c>
      <c r="I1132" t="s">
        <v>359</v>
      </c>
    </row>
    <row r="1133" spans="1:9" x14ac:dyDescent="0.25">
      <c r="A1133">
        <v>70363</v>
      </c>
      <c r="B1133" t="s">
        <v>200</v>
      </c>
      <c r="C1133" t="s">
        <v>238</v>
      </c>
      <c r="D1133">
        <v>4</v>
      </c>
      <c r="E1133">
        <v>0</v>
      </c>
      <c r="F1133" t="s">
        <v>239</v>
      </c>
      <c r="G1133" t="s">
        <v>19</v>
      </c>
      <c r="H1133">
        <v>0</v>
      </c>
      <c r="I1133" t="s">
        <v>360</v>
      </c>
    </row>
    <row r="1134" spans="1:9" x14ac:dyDescent="0.25">
      <c r="A1134">
        <v>70363</v>
      </c>
      <c r="B1134" t="s">
        <v>200</v>
      </c>
      <c r="C1134" t="s">
        <v>238</v>
      </c>
      <c r="D1134">
        <v>4</v>
      </c>
      <c r="E1134">
        <v>0</v>
      </c>
      <c r="F1134" t="s">
        <v>239</v>
      </c>
      <c r="G1134" t="s">
        <v>20</v>
      </c>
      <c r="H1134">
        <v>8563</v>
      </c>
      <c r="I1134" t="s">
        <v>255</v>
      </c>
    </row>
    <row r="1135" spans="1:9" x14ac:dyDescent="0.25">
      <c r="A1135">
        <v>70363</v>
      </c>
      <c r="B1135" t="s">
        <v>200</v>
      </c>
      <c r="C1135" t="s">
        <v>238</v>
      </c>
      <c r="D1135">
        <v>4</v>
      </c>
      <c r="E1135">
        <v>0</v>
      </c>
      <c r="F1135" t="s">
        <v>247</v>
      </c>
      <c r="G1135" t="s">
        <v>148</v>
      </c>
      <c r="H1135">
        <v>1228734</v>
      </c>
      <c r="I1135" t="s">
        <v>256</v>
      </c>
    </row>
    <row r="1136" spans="1:9" x14ac:dyDescent="0.25">
      <c r="A1136">
        <v>70363</v>
      </c>
      <c r="B1136" t="s">
        <v>200</v>
      </c>
      <c r="C1136" t="s">
        <v>238</v>
      </c>
      <c r="D1136">
        <v>4</v>
      </c>
      <c r="E1136">
        <v>0</v>
      </c>
      <c r="F1136" t="s">
        <v>241</v>
      </c>
      <c r="G1136" t="s">
        <v>27</v>
      </c>
      <c r="H1136">
        <v>6828862</v>
      </c>
      <c r="I1136" t="s">
        <v>257</v>
      </c>
    </row>
    <row r="1137" spans="1:9" x14ac:dyDescent="0.25">
      <c r="A1137">
        <v>70363</v>
      </c>
      <c r="B1137" t="s">
        <v>200</v>
      </c>
      <c r="C1137" t="s">
        <v>238</v>
      </c>
      <c r="D1137">
        <v>4</v>
      </c>
      <c r="E1137">
        <v>0</v>
      </c>
      <c r="F1137" t="s">
        <v>241</v>
      </c>
      <c r="G1137" t="s">
        <v>27</v>
      </c>
      <c r="H1137">
        <v>0</v>
      </c>
      <c r="I1137" t="s">
        <v>361</v>
      </c>
    </row>
    <row r="1138" spans="1:9" x14ac:dyDescent="0.25">
      <c r="A1138">
        <v>70363</v>
      </c>
      <c r="B1138" t="s">
        <v>200</v>
      </c>
      <c r="C1138" t="s">
        <v>238</v>
      </c>
      <c r="D1138">
        <v>4</v>
      </c>
      <c r="E1138">
        <v>0</v>
      </c>
      <c r="F1138" t="s">
        <v>241</v>
      </c>
      <c r="G1138" t="s">
        <v>27</v>
      </c>
      <c r="H1138">
        <v>0</v>
      </c>
      <c r="I1138" t="s">
        <v>362</v>
      </c>
    </row>
    <row r="1139" spans="1:9" x14ac:dyDescent="0.25">
      <c r="A1139">
        <v>70363</v>
      </c>
      <c r="B1139" t="s">
        <v>200</v>
      </c>
      <c r="C1139" t="s">
        <v>238</v>
      </c>
      <c r="D1139">
        <v>4</v>
      </c>
      <c r="E1139">
        <v>0</v>
      </c>
      <c r="F1139" t="s">
        <v>241</v>
      </c>
      <c r="G1139" t="s">
        <v>27</v>
      </c>
      <c r="H1139">
        <v>0</v>
      </c>
      <c r="I1139" t="s">
        <v>363</v>
      </c>
    </row>
    <row r="1140" spans="1:9" x14ac:dyDescent="0.25">
      <c r="A1140">
        <v>70363</v>
      </c>
      <c r="B1140" t="s">
        <v>200</v>
      </c>
      <c r="C1140" t="s">
        <v>238</v>
      </c>
      <c r="D1140">
        <v>4</v>
      </c>
      <c r="E1140">
        <v>0</v>
      </c>
      <c r="F1140" t="s">
        <v>239</v>
      </c>
      <c r="G1140" t="s">
        <v>16</v>
      </c>
      <c r="H1140">
        <v>364</v>
      </c>
      <c r="I1140" t="s">
        <v>267</v>
      </c>
    </row>
    <row r="1141" spans="1:9" x14ac:dyDescent="0.25">
      <c r="A1141">
        <v>70363</v>
      </c>
      <c r="B1141" t="s">
        <v>200</v>
      </c>
      <c r="C1141" t="s">
        <v>238</v>
      </c>
      <c r="D1141">
        <v>4</v>
      </c>
      <c r="E1141">
        <v>0</v>
      </c>
      <c r="F1141" t="s">
        <v>239</v>
      </c>
      <c r="G1141" t="s">
        <v>152</v>
      </c>
      <c r="H1141">
        <v>52780</v>
      </c>
      <c r="I1141" t="s">
        <v>258</v>
      </c>
    </row>
    <row r="1142" spans="1:9" x14ac:dyDescent="0.25">
      <c r="A1142">
        <v>70363</v>
      </c>
      <c r="B1142" t="s">
        <v>200</v>
      </c>
      <c r="C1142" t="s">
        <v>238</v>
      </c>
      <c r="D1142">
        <v>4</v>
      </c>
      <c r="E1142">
        <v>0</v>
      </c>
      <c r="F1142" t="s">
        <v>239</v>
      </c>
      <c r="G1142" t="s">
        <v>154</v>
      </c>
      <c r="H1142">
        <v>0</v>
      </c>
      <c r="I1142" t="s">
        <v>330</v>
      </c>
    </row>
    <row r="1143" spans="1:9" x14ac:dyDescent="0.25">
      <c r="A1143">
        <v>70363</v>
      </c>
      <c r="B1143" t="s">
        <v>200</v>
      </c>
      <c r="C1143" t="s">
        <v>238</v>
      </c>
      <c r="D1143">
        <v>4</v>
      </c>
      <c r="E1143">
        <v>0</v>
      </c>
      <c r="F1143" t="s">
        <v>239</v>
      </c>
      <c r="G1143" t="s">
        <v>16</v>
      </c>
      <c r="H1143">
        <v>3444</v>
      </c>
      <c r="I1143" t="s">
        <v>259</v>
      </c>
    </row>
    <row r="1144" spans="1:9" x14ac:dyDescent="0.25">
      <c r="A1144">
        <v>70363</v>
      </c>
      <c r="B1144" t="s">
        <v>200</v>
      </c>
      <c r="C1144" t="s">
        <v>238</v>
      </c>
      <c r="D1144">
        <v>4</v>
      </c>
      <c r="E1144">
        <v>0</v>
      </c>
      <c r="F1144" t="s">
        <v>239</v>
      </c>
      <c r="G1144" t="s">
        <v>19</v>
      </c>
      <c r="H1144">
        <v>63249</v>
      </c>
      <c r="I1144" t="s">
        <v>260</v>
      </c>
    </row>
    <row r="1145" spans="1:9" x14ac:dyDescent="0.25">
      <c r="A1145">
        <v>70363</v>
      </c>
      <c r="B1145" t="s">
        <v>200</v>
      </c>
      <c r="C1145" t="s">
        <v>238</v>
      </c>
      <c r="D1145">
        <v>4</v>
      </c>
      <c r="E1145">
        <v>0</v>
      </c>
      <c r="F1145" t="s">
        <v>239</v>
      </c>
      <c r="G1145" t="s">
        <v>19</v>
      </c>
      <c r="H1145">
        <v>-507866</v>
      </c>
      <c r="I1145" t="s">
        <v>270</v>
      </c>
    </row>
    <row r="1146" spans="1:9" x14ac:dyDescent="0.25">
      <c r="A1146">
        <v>70363</v>
      </c>
      <c r="B1146" t="s">
        <v>200</v>
      </c>
      <c r="C1146" t="s">
        <v>238</v>
      </c>
      <c r="D1146">
        <v>4</v>
      </c>
      <c r="E1146">
        <v>0</v>
      </c>
      <c r="F1146" t="s">
        <v>241</v>
      </c>
      <c r="G1146" t="s">
        <v>139</v>
      </c>
      <c r="H1146">
        <v>0</v>
      </c>
      <c r="I1146" t="s">
        <v>331</v>
      </c>
    </row>
    <row r="1147" spans="1:9" x14ac:dyDescent="0.25">
      <c r="A1147">
        <v>70363</v>
      </c>
      <c r="B1147" t="s">
        <v>200</v>
      </c>
      <c r="C1147" t="s">
        <v>238</v>
      </c>
      <c r="D1147">
        <v>4</v>
      </c>
      <c r="E1147">
        <v>0</v>
      </c>
      <c r="F1147" t="s">
        <v>261</v>
      </c>
      <c r="G1147" t="s">
        <v>261</v>
      </c>
      <c r="H1147">
        <v>228771</v>
      </c>
      <c r="I1147" t="s">
        <v>262</v>
      </c>
    </row>
    <row r="1148" spans="1:9" x14ac:dyDescent="0.25">
      <c r="A1148">
        <v>70363</v>
      </c>
      <c r="B1148" t="s">
        <v>200</v>
      </c>
      <c r="C1148" t="s">
        <v>238</v>
      </c>
      <c r="D1148">
        <v>4</v>
      </c>
      <c r="E1148">
        <v>0</v>
      </c>
      <c r="F1148" t="s">
        <v>239</v>
      </c>
      <c r="G1148" t="s">
        <v>19</v>
      </c>
      <c r="H1148">
        <v>570339</v>
      </c>
      <c r="I1148" t="s">
        <v>263</v>
      </c>
    </row>
    <row r="1149" spans="1:9" x14ac:dyDescent="0.25">
      <c r="A1149">
        <v>70363</v>
      </c>
      <c r="B1149" t="s">
        <v>200</v>
      </c>
      <c r="C1149" t="s">
        <v>238</v>
      </c>
      <c r="D1149">
        <v>4</v>
      </c>
      <c r="E1149">
        <v>0</v>
      </c>
      <c r="F1149" t="s">
        <v>239</v>
      </c>
      <c r="G1149" t="s">
        <v>16</v>
      </c>
      <c r="H1149">
        <v>1178</v>
      </c>
      <c r="I1149" t="s">
        <v>240</v>
      </c>
    </row>
    <row r="1150" spans="1:9" x14ac:dyDescent="0.25">
      <c r="A1150">
        <v>70363</v>
      </c>
      <c r="B1150" t="s">
        <v>200</v>
      </c>
      <c r="C1150" t="s">
        <v>238</v>
      </c>
      <c r="D1150">
        <v>4</v>
      </c>
      <c r="E1150">
        <v>0</v>
      </c>
      <c r="F1150" t="s">
        <v>239</v>
      </c>
      <c r="G1150" t="s">
        <v>19</v>
      </c>
      <c r="H1150">
        <v>66080</v>
      </c>
      <c r="I1150" t="s">
        <v>264</v>
      </c>
    </row>
    <row r="1151" spans="1:9" x14ac:dyDescent="0.25">
      <c r="A1151">
        <v>70363</v>
      </c>
      <c r="B1151" t="s">
        <v>200</v>
      </c>
      <c r="C1151" t="s">
        <v>238</v>
      </c>
      <c r="D1151">
        <v>4</v>
      </c>
      <c r="E1151">
        <v>0</v>
      </c>
      <c r="F1151" t="s">
        <v>241</v>
      </c>
      <c r="G1151" t="s">
        <v>158</v>
      </c>
      <c r="H1151">
        <v>64348</v>
      </c>
      <c r="I1151" t="s">
        <v>265</v>
      </c>
    </row>
    <row r="1152" spans="1:9" x14ac:dyDescent="0.25">
      <c r="A1152">
        <v>70363</v>
      </c>
      <c r="B1152" t="s">
        <v>200</v>
      </c>
      <c r="C1152" t="s">
        <v>238</v>
      </c>
      <c r="D1152">
        <v>4</v>
      </c>
      <c r="E1152">
        <v>0</v>
      </c>
      <c r="F1152" t="s">
        <v>239</v>
      </c>
      <c r="G1152" t="s">
        <v>19</v>
      </c>
      <c r="H1152">
        <v>507866</v>
      </c>
      <c r="I1152" t="s">
        <v>271</v>
      </c>
    </row>
    <row r="1153" spans="1:9" x14ac:dyDescent="0.25">
      <c r="A1153">
        <v>70363</v>
      </c>
      <c r="B1153" t="s">
        <v>200</v>
      </c>
      <c r="C1153" t="s">
        <v>238</v>
      </c>
      <c r="D1153">
        <v>4</v>
      </c>
      <c r="E1153">
        <v>0</v>
      </c>
      <c r="F1153" t="s">
        <v>239</v>
      </c>
      <c r="G1153" t="s">
        <v>19</v>
      </c>
      <c r="H1153">
        <v>256407</v>
      </c>
      <c r="I1153" t="s">
        <v>266</v>
      </c>
    </row>
    <row r="1154" spans="1:9" x14ac:dyDescent="0.25">
      <c r="A1154">
        <v>70363</v>
      </c>
      <c r="B1154" t="s">
        <v>200</v>
      </c>
      <c r="C1154" t="s">
        <v>238</v>
      </c>
      <c r="D1154">
        <v>4</v>
      </c>
      <c r="E1154">
        <v>0</v>
      </c>
      <c r="F1154" t="s">
        <v>241</v>
      </c>
      <c r="G1154" t="s">
        <v>143</v>
      </c>
      <c r="H1154">
        <v>0</v>
      </c>
      <c r="I1154" t="s">
        <v>332</v>
      </c>
    </row>
    <row r="1155" spans="1:9" x14ac:dyDescent="0.25">
      <c r="A1155">
        <v>70363</v>
      </c>
      <c r="B1155" t="s">
        <v>200</v>
      </c>
      <c r="C1155" t="s">
        <v>238</v>
      </c>
      <c r="D1155">
        <v>4</v>
      </c>
      <c r="E1155">
        <v>0</v>
      </c>
      <c r="F1155" t="s">
        <v>241</v>
      </c>
      <c r="G1155" t="s">
        <v>138</v>
      </c>
      <c r="H1155">
        <v>0</v>
      </c>
      <c r="I1155" t="s">
        <v>333</v>
      </c>
    </row>
    <row r="1156" spans="1:9" x14ac:dyDescent="0.25">
      <c r="A1156">
        <v>70363</v>
      </c>
      <c r="B1156" t="s">
        <v>200</v>
      </c>
      <c r="C1156" t="s">
        <v>238</v>
      </c>
      <c r="D1156">
        <v>4</v>
      </c>
      <c r="E1156">
        <v>0</v>
      </c>
      <c r="F1156" t="s">
        <v>241</v>
      </c>
      <c r="G1156" t="s">
        <v>138</v>
      </c>
      <c r="H1156">
        <v>0</v>
      </c>
      <c r="I1156" t="s">
        <v>334</v>
      </c>
    </row>
    <row r="1157" spans="1:9" x14ac:dyDescent="0.25">
      <c r="A1157">
        <v>70363</v>
      </c>
      <c r="B1157" t="s">
        <v>200</v>
      </c>
      <c r="C1157" t="s">
        <v>238</v>
      </c>
      <c r="D1157">
        <v>4</v>
      </c>
      <c r="E1157">
        <v>0</v>
      </c>
      <c r="F1157" t="s">
        <v>241</v>
      </c>
      <c r="G1157" t="s">
        <v>138</v>
      </c>
      <c r="H1157">
        <v>-192147</v>
      </c>
      <c r="I1157" t="s">
        <v>268</v>
      </c>
    </row>
    <row r="1158" spans="1:9" x14ac:dyDescent="0.25">
      <c r="A1158">
        <v>70363</v>
      </c>
      <c r="B1158" t="s">
        <v>200</v>
      </c>
      <c r="C1158" t="s">
        <v>238</v>
      </c>
      <c r="D1158">
        <v>4</v>
      </c>
      <c r="E1158">
        <v>0</v>
      </c>
      <c r="F1158" t="s">
        <v>241</v>
      </c>
      <c r="G1158" t="s">
        <v>139</v>
      </c>
      <c r="H1158">
        <v>0</v>
      </c>
      <c r="I1158" t="s">
        <v>336</v>
      </c>
    </row>
    <row r="1159" spans="1:9" x14ac:dyDescent="0.25">
      <c r="A1159">
        <v>70363</v>
      </c>
      <c r="B1159" t="s">
        <v>200</v>
      </c>
      <c r="C1159" t="s">
        <v>238</v>
      </c>
      <c r="D1159">
        <v>4</v>
      </c>
      <c r="E1159">
        <v>0</v>
      </c>
      <c r="F1159" t="s">
        <v>241</v>
      </c>
      <c r="G1159" t="s">
        <v>139</v>
      </c>
      <c r="H1159">
        <v>0</v>
      </c>
      <c r="I1159" t="s">
        <v>337</v>
      </c>
    </row>
    <row r="1160" spans="1:9" x14ac:dyDescent="0.25">
      <c r="A1160">
        <v>70363</v>
      </c>
      <c r="B1160" t="s">
        <v>200</v>
      </c>
      <c r="C1160" t="s">
        <v>238</v>
      </c>
      <c r="D1160">
        <v>4</v>
      </c>
      <c r="E1160">
        <v>0</v>
      </c>
      <c r="F1160" t="s">
        <v>241</v>
      </c>
      <c r="G1160" t="s">
        <v>139</v>
      </c>
      <c r="H1160">
        <v>0</v>
      </c>
      <c r="I1160" t="s">
        <v>335</v>
      </c>
    </row>
    <row r="1161" spans="1:9" x14ac:dyDescent="0.25">
      <c r="A1161">
        <v>70363</v>
      </c>
      <c r="B1161" t="s">
        <v>200</v>
      </c>
      <c r="C1161" t="s">
        <v>238</v>
      </c>
      <c r="D1161">
        <v>4</v>
      </c>
      <c r="E1161">
        <v>0</v>
      </c>
      <c r="F1161" t="s">
        <v>241</v>
      </c>
      <c r="G1161" t="s">
        <v>24</v>
      </c>
      <c r="H1161">
        <v>0</v>
      </c>
      <c r="I1161" t="s">
        <v>338</v>
      </c>
    </row>
    <row r="1162" spans="1:9" x14ac:dyDescent="0.25">
      <c r="A1162">
        <v>70363</v>
      </c>
      <c r="B1162" t="s">
        <v>200</v>
      </c>
      <c r="C1162" t="s">
        <v>238</v>
      </c>
      <c r="D1162">
        <v>4</v>
      </c>
      <c r="E1162">
        <v>0</v>
      </c>
      <c r="F1162" t="s">
        <v>241</v>
      </c>
      <c r="G1162" t="s">
        <v>24</v>
      </c>
      <c r="H1162">
        <v>0</v>
      </c>
      <c r="I1162" t="s">
        <v>339</v>
      </c>
    </row>
    <row r="1163" spans="1:9" x14ac:dyDescent="0.25">
      <c r="A1163">
        <v>70363</v>
      </c>
      <c r="B1163" t="s">
        <v>200</v>
      </c>
      <c r="C1163" t="s">
        <v>238</v>
      </c>
      <c r="D1163">
        <v>4</v>
      </c>
      <c r="E1163">
        <v>0</v>
      </c>
      <c r="F1163" t="s">
        <v>241</v>
      </c>
      <c r="G1163" t="s">
        <v>24</v>
      </c>
      <c r="H1163">
        <v>0</v>
      </c>
      <c r="I1163" t="s">
        <v>340</v>
      </c>
    </row>
    <row r="1164" spans="1:9" x14ac:dyDescent="0.25">
      <c r="A1164">
        <v>70363</v>
      </c>
      <c r="B1164" t="s">
        <v>200</v>
      </c>
      <c r="C1164" t="s">
        <v>238</v>
      </c>
      <c r="D1164">
        <v>4</v>
      </c>
      <c r="E1164">
        <v>0</v>
      </c>
      <c r="F1164" t="s">
        <v>241</v>
      </c>
      <c r="G1164" t="s">
        <v>137</v>
      </c>
      <c r="H1164">
        <v>0</v>
      </c>
      <c r="I1164" t="s">
        <v>273</v>
      </c>
    </row>
    <row r="1165" spans="1:9" x14ac:dyDescent="0.25">
      <c r="A1165">
        <v>70363</v>
      </c>
      <c r="B1165" t="s">
        <v>200</v>
      </c>
      <c r="C1165" t="s">
        <v>238</v>
      </c>
      <c r="D1165">
        <v>4</v>
      </c>
      <c r="E1165">
        <v>0</v>
      </c>
      <c r="F1165" t="s">
        <v>241</v>
      </c>
      <c r="G1165" t="s">
        <v>137</v>
      </c>
      <c r="H1165">
        <v>0</v>
      </c>
      <c r="I1165" t="s">
        <v>341</v>
      </c>
    </row>
    <row r="1166" spans="1:9" x14ac:dyDescent="0.25">
      <c r="A1166">
        <v>70363</v>
      </c>
      <c r="B1166" t="s">
        <v>200</v>
      </c>
      <c r="C1166" t="s">
        <v>238</v>
      </c>
      <c r="D1166">
        <v>4</v>
      </c>
      <c r="E1166">
        <v>0</v>
      </c>
      <c r="F1166" t="s">
        <v>241</v>
      </c>
      <c r="G1166" t="s">
        <v>137</v>
      </c>
      <c r="H1166">
        <v>0</v>
      </c>
      <c r="I1166" t="s">
        <v>342</v>
      </c>
    </row>
    <row r="1167" spans="1:9" x14ac:dyDescent="0.25">
      <c r="A1167">
        <v>70363</v>
      </c>
      <c r="B1167" t="s">
        <v>200</v>
      </c>
      <c r="C1167" t="s">
        <v>238</v>
      </c>
      <c r="D1167">
        <v>4</v>
      </c>
      <c r="E1167">
        <v>0</v>
      </c>
      <c r="F1167" t="s">
        <v>241</v>
      </c>
      <c r="G1167" t="s">
        <v>137</v>
      </c>
      <c r="H1167">
        <v>0</v>
      </c>
      <c r="I1167" t="s">
        <v>343</v>
      </c>
    </row>
    <row r="1168" spans="1:9" x14ac:dyDescent="0.25">
      <c r="A1168">
        <v>70363</v>
      </c>
      <c r="B1168" t="s">
        <v>200</v>
      </c>
      <c r="C1168" t="s">
        <v>238</v>
      </c>
      <c r="D1168">
        <v>4</v>
      </c>
      <c r="E1168">
        <v>0</v>
      </c>
      <c r="F1168" t="s">
        <v>241</v>
      </c>
      <c r="G1168" t="s">
        <v>143</v>
      </c>
      <c r="H1168">
        <v>0</v>
      </c>
      <c r="I1168" t="s">
        <v>344</v>
      </c>
    </row>
    <row r="1169" spans="1:9" x14ac:dyDescent="0.25">
      <c r="A1169">
        <v>70363</v>
      </c>
      <c r="B1169" t="s">
        <v>200</v>
      </c>
      <c r="C1169" t="s">
        <v>238</v>
      </c>
      <c r="D1169">
        <v>4</v>
      </c>
      <c r="E1169">
        <v>0</v>
      </c>
      <c r="F1169" t="s">
        <v>241</v>
      </c>
      <c r="G1169" t="s">
        <v>143</v>
      </c>
      <c r="H1169">
        <v>0</v>
      </c>
      <c r="I1169" t="s">
        <v>345</v>
      </c>
    </row>
    <row r="1170" spans="1:9" x14ac:dyDescent="0.25">
      <c r="A1170">
        <v>70363</v>
      </c>
      <c r="B1170" t="s">
        <v>200</v>
      </c>
      <c r="C1170" t="s">
        <v>238</v>
      </c>
      <c r="D1170">
        <v>4</v>
      </c>
      <c r="E1170">
        <v>0</v>
      </c>
      <c r="F1170" t="s">
        <v>241</v>
      </c>
      <c r="G1170" t="s">
        <v>143</v>
      </c>
      <c r="H1170">
        <v>0</v>
      </c>
      <c r="I1170" t="s">
        <v>346</v>
      </c>
    </row>
    <row r="1171" spans="1:9" x14ac:dyDescent="0.25">
      <c r="A1171">
        <v>70363</v>
      </c>
      <c r="B1171" t="s">
        <v>200</v>
      </c>
      <c r="C1171" t="s">
        <v>238</v>
      </c>
      <c r="D1171">
        <v>4</v>
      </c>
      <c r="E1171">
        <v>0</v>
      </c>
      <c r="F1171" t="s">
        <v>241</v>
      </c>
      <c r="G1171" t="s">
        <v>138</v>
      </c>
      <c r="H1171">
        <v>0</v>
      </c>
      <c r="I1171" t="s">
        <v>347</v>
      </c>
    </row>
    <row r="1172" spans="1:9" x14ac:dyDescent="0.25">
      <c r="A1172">
        <v>70364</v>
      </c>
      <c r="B1172" t="s">
        <v>202</v>
      </c>
      <c r="C1172" t="s">
        <v>238</v>
      </c>
      <c r="D1172">
        <v>4</v>
      </c>
      <c r="E1172">
        <v>0</v>
      </c>
      <c r="F1172" t="s">
        <v>239</v>
      </c>
      <c r="G1172" t="s">
        <v>153</v>
      </c>
      <c r="H1172">
        <v>0</v>
      </c>
      <c r="I1172" t="s">
        <v>351</v>
      </c>
    </row>
    <row r="1173" spans="1:9" x14ac:dyDescent="0.25">
      <c r="A1173">
        <v>70364</v>
      </c>
      <c r="B1173" t="s">
        <v>202</v>
      </c>
      <c r="C1173" t="s">
        <v>238</v>
      </c>
      <c r="D1173">
        <v>4</v>
      </c>
      <c r="E1173">
        <v>0</v>
      </c>
      <c r="F1173" t="s">
        <v>239</v>
      </c>
      <c r="G1173" t="s">
        <v>152</v>
      </c>
      <c r="H1173">
        <v>0</v>
      </c>
      <c r="I1173" t="s">
        <v>352</v>
      </c>
    </row>
    <row r="1174" spans="1:9" x14ac:dyDescent="0.25">
      <c r="A1174">
        <v>70364</v>
      </c>
      <c r="B1174" t="s">
        <v>202</v>
      </c>
      <c r="C1174" t="s">
        <v>238</v>
      </c>
      <c r="D1174">
        <v>4</v>
      </c>
      <c r="E1174">
        <v>0</v>
      </c>
      <c r="F1174" t="s">
        <v>239</v>
      </c>
      <c r="G1174" t="s">
        <v>154</v>
      </c>
      <c r="H1174">
        <v>0</v>
      </c>
      <c r="I1174" t="s">
        <v>349</v>
      </c>
    </row>
    <row r="1175" spans="1:9" x14ac:dyDescent="0.25">
      <c r="A1175">
        <v>70364</v>
      </c>
      <c r="B1175" t="s">
        <v>202</v>
      </c>
      <c r="C1175" t="s">
        <v>238</v>
      </c>
      <c r="D1175">
        <v>4</v>
      </c>
      <c r="E1175">
        <v>0</v>
      </c>
      <c r="F1175" t="s">
        <v>241</v>
      </c>
      <c r="G1175" t="s">
        <v>26</v>
      </c>
      <c r="H1175">
        <v>0</v>
      </c>
      <c r="I1175" t="s">
        <v>350</v>
      </c>
    </row>
    <row r="1176" spans="1:9" x14ac:dyDescent="0.25">
      <c r="A1176">
        <v>70364</v>
      </c>
      <c r="B1176" t="s">
        <v>202</v>
      </c>
      <c r="C1176" t="s">
        <v>238</v>
      </c>
      <c r="D1176">
        <v>4</v>
      </c>
      <c r="E1176">
        <v>0</v>
      </c>
      <c r="F1176" t="s">
        <v>241</v>
      </c>
      <c r="G1176" t="s">
        <v>23</v>
      </c>
      <c r="H1176">
        <v>31835</v>
      </c>
      <c r="I1176" t="s">
        <v>269</v>
      </c>
    </row>
    <row r="1177" spans="1:9" x14ac:dyDescent="0.25">
      <c r="A1177">
        <v>70364</v>
      </c>
      <c r="B1177" t="s">
        <v>202</v>
      </c>
      <c r="C1177" t="s">
        <v>238</v>
      </c>
      <c r="D1177">
        <v>4</v>
      </c>
      <c r="E1177">
        <v>0</v>
      </c>
      <c r="F1177" t="s">
        <v>241</v>
      </c>
      <c r="G1177" t="s">
        <v>26</v>
      </c>
      <c r="H1177">
        <v>0</v>
      </c>
      <c r="I1177" t="s">
        <v>353</v>
      </c>
    </row>
    <row r="1178" spans="1:9" x14ac:dyDescent="0.25">
      <c r="A1178">
        <v>70364</v>
      </c>
      <c r="B1178" t="s">
        <v>202</v>
      </c>
      <c r="C1178" t="s">
        <v>238</v>
      </c>
      <c r="D1178">
        <v>4</v>
      </c>
      <c r="E1178">
        <v>0</v>
      </c>
      <c r="F1178" t="s">
        <v>241</v>
      </c>
      <c r="G1178" t="s">
        <v>157</v>
      </c>
      <c r="H1178">
        <v>0</v>
      </c>
      <c r="I1178" t="s">
        <v>348</v>
      </c>
    </row>
    <row r="1179" spans="1:9" x14ac:dyDescent="0.25">
      <c r="A1179">
        <v>70364</v>
      </c>
      <c r="B1179" t="s">
        <v>202</v>
      </c>
      <c r="C1179" t="s">
        <v>238</v>
      </c>
      <c r="D1179">
        <v>4</v>
      </c>
      <c r="E1179">
        <v>0</v>
      </c>
      <c r="F1179" t="s">
        <v>261</v>
      </c>
      <c r="G1179" t="s">
        <v>261</v>
      </c>
      <c r="H1179">
        <v>0</v>
      </c>
      <c r="I1179" t="s">
        <v>272</v>
      </c>
    </row>
    <row r="1180" spans="1:9" x14ac:dyDescent="0.25">
      <c r="A1180">
        <v>70364</v>
      </c>
      <c r="B1180" t="s">
        <v>202</v>
      </c>
      <c r="C1180" t="s">
        <v>238</v>
      </c>
      <c r="D1180">
        <v>4</v>
      </c>
      <c r="E1180">
        <v>0</v>
      </c>
      <c r="F1180" t="s">
        <v>261</v>
      </c>
      <c r="G1180" t="s">
        <v>261</v>
      </c>
      <c r="H1180">
        <v>0</v>
      </c>
      <c r="I1180" t="s">
        <v>354</v>
      </c>
    </row>
    <row r="1181" spans="1:9" x14ac:dyDescent="0.25">
      <c r="A1181">
        <v>70364</v>
      </c>
      <c r="B1181" t="s">
        <v>202</v>
      </c>
      <c r="C1181" t="s">
        <v>238</v>
      </c>
      <c r="D1181">
        <v>4</v>
      </c>
      <c r="E1181">
        <v>0</v>
      </c>
      <c r="F1181" t="s">
        <v>247</v>
      </c>
      <c r="G1181" t="s">
        <v>12</v>
      </c>
      <c r="H1181">
        <v>-4437734</v>
      </c>
      <c r="I1181" t="s">
        <v>248</v>
      </c>
    </row>
    <row r="1182" spans="1:9" x14ac:dyDescent="0.25">
      <c r="A1182">
        <v>70364</v>
      </c>
      <c r="B1182" t="s">
        <v>202</v>
      </c>
      <c r="C1182" t="s">
        <v>238</v>
      </c>
      <c r="D1182">
        <v>4</v>
      </c>
      <c r="E1182">
        <v>0</v>
      </c>
      <c r="F1182" t="s">
        <v>247</v>
      </c>
      <c r="G1182" t="s">
        <v>13</v>
      </c>
      <c r="H1182">
        <v>11465916</v>
      </c>
      <c r="I1182" t="s">
        <v>249</v>
      </c>
    </row>
    <row r="1183" spans="1:9" x14ac:dyDescent="0.25">
      <c r="A1183">
        <v>70364</v>
      </c>
      <c r="B1183" t="s">
        <v>202</v>
      </c>
      <c r="C1183" t="s">
        <v>238</v>
      </c>
      <c r="D1183">
        <v>4</v>
      </c>
      <c r="E1183">
        <v>0</v>
      </c>
      <c r="F1183" t="s">
        <v>241</v>
      </c>
      <c r="G1183" t="s">
        <v>25</v>
      </c>
      <c r="H1183">
        <v>76834</v>
      </c>
      <c r="I1183" t="s">
        <v>250</v>
      </c>
    </row>
    <row r="1184" spans="1:9" x14ac:dyDescent="0.25">
      <c r="A1184">
        <v>70364</v>
      </c>
      <c r="B1184" t="s">
        <v>202</v>
      </c>
      <c r="C1184" t="s">
        <v>238</v>
      </c>
      <c r="D1184">
        <v>4</v>
      </c>
      <c r="E1184">
        <v>0</v>
      </c>
      <c r="F1184" t="s">
        <v>241</v>
      </c>
      <c r="G1184" t="s">
        <v>26</v>
      </c>
      <c r="H1184">
        <v>0</v>
      </c>
      <c r="I1184" t="s">
        <v>251</v>
      </c>
    </row>
    <row r="1185" spans="1:9" x14ac:dyDescent="0.25">
      <c r="A1185">
        <v>70364</v>
      </c>
      <c r="B1185" t="s">
        <v>202</v>
      </c>
      <c r="C1185" t="s">
        <v>238</v>
      </c>
      <c r="D1185">
        <v>4</v>
      </c>
      <c r="E1185">
        <v>0</v>
      </c>
      <c r="F1185" t="s">
        <v>239</v>
      </c>
      <c r="G1185" t="s">
        <v>18</v>
      </c>
      <c r="H1185">
        <v>547921</v>
      </c>
      <c r="I1185" t="s">
        <v>252</v>
      </c>
    </row>
    <row r="1186" spans="1:9" x14ac:dyDescent="0.25">
      <c r="A1186">
        <v>70364</v>
      </c>
      <c r="B1186" t="s">
        <v>202</v>
      </c>
      <c r="C1186" t="s">
        <v>238</v>
      </c>
      <c r="D1186">
        <v>4</v>
      </c>
      <c r="E1186">
        <v>0</v>
      </c>
      <c r="F1186" t="s">
        <v>241</v>
      </c>
      <c r="G1186" t="s">
        <v>26</v>
      </c>
      <c r="H1186">
        <v>0</v>
      </c>
      <c r="I1186" t="s">
        <v>253</v>
      </c>
    </row>
    <row r="1187" spans="1:9" x14ac:dyDescent="0.25">
      <c r="A1187">
        <v>70364</v>
      </c>
      <c r="B1187" t="s">
        <v>202</v>
      </c>
      <c r="C1187" t="s">
        <v>238</v>
      </c>
      <c r="D1187">
        <v>4</v>
      </c>
      <c r="E1187">
        <v>0</v>
      </c>
      <c r="F1187" t="s">
        <v>247</v>
      </c>
      <c r="G1187" t="s">
        <v>15</v>
      </c>
      <c r="H1187">
        <v>756187</v>
      </c>
      <c r="I1187" t="s">
        <v>254</v>
      </c>
    </row>
    <row r="1188" spans="1:9" x14ac:dyDescent="0.25">
      <c r="A1188">
        <v>70364</v>
      </c>
      <c r="B1188" t="s">
        <v>202</v>
      </c>
      <c r="C1188" t="s">
        <v>238</v>
      </c>
      <c r="D1188">
        <v>4</v>
      </c>
      <c r="E1188">
        <v>0</v>
      </c>
      <c r="F1188" t="s">
        <v>247</v>
      </c>
      <c r="G1188" t="s">
        <v>14</v>
      </c>
      <c r="H1188">
        <v>0</v>
      </c>
      <c r="I1188" t="s">
        <v>355</v>
      </c>
    </row>
    <row r="1189" spans="1:9" x14ac:dyDescent="0.25">
      <c r="A1189">
        <v>70364</v>
      </c>
      <c r="B1189" t="s">
        <v>202</v>
      </c>
      <c r="C1189" t="s">
        <v>238</v>
      </c>
      <c r="D1189">
        <v>4</v>
      </c>
      <c r="E1189">
        <v>0</v>
      </c>
      <c r="F1189" t="s">
        <v>241</v>
      </c>
      <c r="G1189" t="s">
        <v>23</v>
      </c>
      <c r="H1189">
        <v>199473</v>
      </c>
      <c r="I1189" t="s">
        <v>242</v>
      </c>
    </row>
    <row r="1190" spans="1:9" x14ac:dyDescent="0.25">
      <c r="A1190">
        <v>70364</v>
      </c>
      <c r="B1190" t="s">
        <v>202</v>
      </c>
      <c r="C1190" t="s">
        <v>238</v>
      </c>
      <c r="D1190">
        <v>4</v>
      </c>
      <c r="E1190">
        <v>0</v>
      </c>
      <c r="F1190" t="s">
        <v>241</v>
      </c>
      <c r="G1190" t="s">
        <v>24</v>
      </c>
      <c r="H1190">
        <v>114711</v>
      </c>
      <c r="I1190" t="s">
        <v>243</v>
      </c>
    </row>
    <row r="1191" spans="1:9" x14ac:dyDescent="0.25">
      <c r="A1191">
        <v>70364</v>
      </c>
      <c r="B1191" t="s">
        <v>202</v>
      </c>
      <c r="C1191" t="s">
        <v>238</v>
      </c>
      <c r="D1191">
        <v>4</v>
      </c>
      <c r="E1191">
        <v>0</v>
      </c>
      <c r="F1191" t="s">
        <v>241</v>
      </c>
      <c r="G1191" t="s">
        <v>21</v>
      </c>
      <c r="H1191">
        <v>0</v>
      </c>
      <c r="I1191" t="s">
        <v>356</v>
      </c>
    </row>
    <row r="1192" spans="1:9" x14ac:dyDescent="0.25">
      <c r="A1192">
        <v>70364</v>
      </c>
      <c r="B1192" t="s">
        <v>202</v>
      </c>
      <c r="C1192" t="s">
        <v>238</v>
      </c>
      <c r="D1192">
        <v>4</v>
      </c>
      <c r="E1192">
        <v>0</v>
      </c>
      <c r="F1192" t="s">
        <v>239</v>
      </c>
      <c r="G1192" t="s">
        <v>20</v>
      </c>
      <c r="H1192">
        <v>-265037</v>
      </c>
      <c r="I1192" t="s">
        <v>244</v>
      </c>
    </row>
    <row r="1193" spans="1:9" x14ac:dyDescent="0.25">
      <c r="A1193">
        <v>70364</v>
      </c>
      <c r="B1193" t="s">
        <v>202</v>
      </c>
      <c r="C1193" t="s">
        <v>238</v>
      </c>
      <c r="D1193">
        <v>4</v>
      </c>
      <c r="E1193">
        <v>0</v>
      </c>
      <c r="F1193" t="s">
        <v>241</v>
      </c>
      <c r="G1193" t="s">
        <v>22</v>
      </c>
      <c r="H1193">
        <v>0</v>
      </c>
      <c r="I1193" t="s">
        <v>245</v>
      </c>
    </row>
    <row r="1194" spans="1:9" x14ac:dyDescent="0.25">
      <c r="A1194">
        <v>70364</v>
      </c>
      <c r="B1194" t="s">
        <v>202</v>
      </c>
      <c r="C1194" t="s">
        <v>238</v>
      </c>
      <c r="D1194">
        <v>4</v>
      </c>
      <c r="E1194">
        <v>0</v>
      </c>
      <c r="F1194" t="s">
        <v>241</v>
      </c>
      <c r="G1194" t="s">
        <v>26</v>
      </c>
      <c r="H1194">
        <v>1520</v>
      </c>
      <c r="I1194" t="s">
        <v>246</v>
      </c>
    </row>
    <row r="1195" spans="1:9" x14ac:dyDescent="0.25">
      <c r="A1195">
        <v>70364</v>
      </c>
      <c r="B1195" t="s">
        <v>202</v>
      </c>
      <c r="C1195" t="s">
        <v>238</v>
      </c>
      <c r="D1195">
        <v>4</v>
      </c>
      <c r="E1195">
        <v>0</v>
      </c>
      <c r="F1195" t="s">
        <v>239</v>
      </c>
      <c r="G1195" t="s">
        <v>17</v>
      </c>
      <c r="H1195">
        <v>0</v>
      </c>
      <c r="I1195" t="s">
        <v>357</v>
      </c>
    </row>
    <row r="1196" spans="1:9" x14ac:dyDescent="0.25">
      <c r="A1196">
        <v>70364</v>
      </c>
      <c r="B1196" t="s">
        <v>202</v>
      </c>
      <c r="C1196" t="s">
        <v>238</v>
      </c>
      <c r="D1196">
        <v>4</v>
      </c>
      <c r="E1196">
        <v>0</v>
      </c>
      <c r="F1196" t="s">
        <v>241</v>
      </c>
      <c r="G1196" t="s">
        <v>24</v>
      </c>
      <c r="H1196">
        <v>0</v>
      </c>
      <c r="I1196" t="s">
        <v>358</v>
      </c>
    </row>
    <row r="1197" spans="1:9" x14ac:dyDescent="0.25">
      <c r="A1197">
        <v>70364</v>
      </c>
      <c r="B1197" t="s">
        <v>202</v>
      </c>
      <c r="C1197" t="s">
        <v>238</v>
      </c>
      <c r="D1197">
        <v>4</v>
      </c>
      <c r="E1197">
        <v>0</v>
      </c>
      <c r="F1197" t="s">
        <v>241</v>
      </c>
      <c r="G1197" t="s">
        <v>27</v>
      </c>
      <c r="H1197">
        <v>0</v>
      </c>
      <c r="I1197" t="s">
        <v>359</v>
      </c>
    </row>
    <row r="1198" spans="1:9" x14ac:dyDescent="0.25">
      <c r="A1198">
        <v>70364</v>
      </c>
      <c r="B1198" t="s">
        <v>202</v>
      </c>
      <c r="C1198" t="s">
        <v>238</v>
      </c>
      <c r="D1198">
        <v>4</v>
      </c>
      <c r="E1198">
        <v>0</v>
      </c>
      <c r="F1198" t="s">
        <v>239</v>
      </c>
      <c r="G1198" t="s">
        <v>19</v>
      </c>
      <c r="H1198">
        <v>0</v>
      </c>
      <c r="I1198" t="s">
        <v>360</v>
      </c>
    </row>
    <row r="1199" spans="1:9" x14ac:dyDescent="0.25">
      <c r="A1199">
        <v>70364</v>
      </c>
      <c r="B1199" t="s">
        <v>202</v>
      </c>
      <c r="C1199" t="s">
        <v>238</v>
      </c>
      <c r="D1199">
        <v>4</v>
      </c>
      <c r="E1199">
        <v>0</v>
      </c>
      <c r="F1199" t="s">
        <v>239</v>
      </c>
      <c r="G1199" t="s">
        <v>20</v>
      </c>
      <c r="H1199">
        <v>451756</v>
      </c>
      <c r="I1199" t="s">
        <v>255</v>
      </c>
    </row>
    <row r="1200" spans="1:9" x14ac:dyDescent="0.25">
      <c r="A1200">
        <v>70364</v>
      </c>
      <c r="B1200" t="s">
        <v>202</v>
      </c>
      <c r="C1200" t="s">
        <v>238</v>
      </c>
      <c r="D1200">
        <v>4</v>
      </c>
      <c r="E1200">
        <v>0</v>
      </c>
      <c r="F1200" t="s">
        <v>247</v>
      </c>
      <c r="G1200" t="s">
        <v>148</v>
      </c>
      <c r="H1200">
        <v>2044951</v>
      </c>
      <c r="I1200" t="s">
        <v>256</v>
      </c>
    </row>
    <row r="1201" spans="1:9" x14ac:dyDescent="0.25">
      <c r="A1201">
        <v>70364</v>
      </c>
      <c r="B1201" t="s">
        <v>202</v>
      </c>
      <c r="C1201" t="s">
        <v>238</v>
      </c>
      <c r="D1201">
        <v>4</v>
      </c>
      <c r="E1201">
        <v>0</v>
      </c>
      <c r="F1201" t="s">
        <v>241</v>
      </c>
      <c r="G1201" t="s">
        <v>27</v>
      </c>
      <c r="H1201">
        <v>12480053</v>
      </c>
      <c r="I1201" t="s">
        <v>257</v>
      </c>
    </row>
    <row r="1202" spans="1:9" x14ac:dyDescent="0.25">
      <c r="A1202">
        <v>70364</v>
      </c>
      <c r="B1202" t="s">
        <v>202</v>
      </c>
      <c r="C1202" t="s">
        <v>238</v>
      </c>
      <c r="D1202">
        <v>4</v>
      </c>
      <c r="E1202">
        <v>0</v>
      </c>
      <c r="F1202" t="s">
        <v>241</v>
      </c>
      <c r="G1202" t="s">
        <v>27</v>
      </c>
      <c r="H1202">
        <v>0</v>
      </c>
      <c r="I1202" t="s">
        <v>361</v>
      </c>
    </row>
    <row r="1203" spans="1:9" x14ac:dyDescent="0.25">
      <c r="A1203">
        <v>70364</v>
      </c>
      <c r="B1203" t="s">
        <v>202</v>
      </c>
      <c r="C1203" t="s">
        <v>238</v>
      </c>
      <c r="D1203">
        <v>4</v>
      </c>
      <c r="E1203">
        <v>0</v>
      </c>
      <c r="F1203" t="s">
        <v>241</v>
      </c>
      <c r="G1203" t="s">
        <v>27</v>
      </c>
      <c r="H1203">
        <v>0</v>
      </c>
      <c r="I1203" t="s">
        <v>362</v>
      </c>
    </row>
    <row r="1204" spans="1:9" x14ac:dyDescent="0.25">
      <c r="A1204">
        <v>70364</v>
      </c>
      <c r="B1204" t="s">
        <v>202</v>
      </c>
      <c r="C1204" t="s">
        <v>238</v>
      </c>
      <c r="D1204">
        <v>4</v>
      </c>
      <c r="E1204">
        <v>0</v>
      </c>
      <c r="F1204" t="s">
        <v>241</v>
      </c>
      <c r="G1204" t="s">
        <v>27</v>
      </c>
      <c r="H1204">
        <v>0</v>
      </c>
      <c r="I1204" t="s">
        <v>363</v>
      </c>
    </row>
    <row r="1205" spans="1:9" x14ac:dyDescent="0.25">
      <c r="A1205">
        <v>70364</v>
      </c>
      <c r="B1205" t="s">
        <v>202</v>
      </c>
      <c r="C1205" t="s">
        <v>238</v>
      </c>
      <c r="D1205">
        <v>4</v>
      </c>
      <c r="E1205">
        <v>0</v>
      </c>
      <c r="F1205" t="s">
        <v>239</v>
      </c>
      <c r="G1205" t="s">
        <v>16</v>
      </c>
      <c r="H1205">
        <v>12044</v>
      </c>
      <c r="I1205" t="s">
        <v>267</v>
      </c>
    </row>
    <row r="1206" spans="1:9" x14ac:dyDescent="0.25">
      <c r="A1206">
        <v>70364</v>
      </c>
      <c r="B1206" t="s">
        <v>202</v>
      </c>
      <c r="C1206" t="s">
        <v>238</v>
      </c>
      <c r="D1206">
        <v>4</v>
      </c>
      <c r="E1206">
        <v>0</v>
      </c>
      <c r="F1206" t="s">
        <v>239</v>
      </c>
      <c r="G1206" t="s">
        <v>152</v>
      </c>
      <c r="H1206">
        <v>40099</v>
      </c>
      <c r="I1206" t="s">
        <v>258</v>
      </c>
    </row>
    <row r="1207" spans="1:9" x14ac:dyDescent="0.25">
      <c r="A1207">
        <v>70364</v>
      </c>
      <c r="B1207" t="s">
        <v>202</v>
      </c>
      <c r="C1207" t="s">
        <v>238</v>
      </c>
      <c r="D1207">
        <v>4</v>
      </c>
      <c r="E1207">
        <v>0</v>
      </c>
      <c r="F1207" t="s">
        <v>239</v>
      </c>
      <c r="G1207" t="s">
        <v>154</v>
      </c>
      <c r="H1207">
        <v>0</v>
      </c>
      <c r="I1207" t="s">
        <v>330</v>
      </c>
    </row>
    <row r="1208" spans="1:9" x14ac:dyDescent="0.25">
      <c r="A1208">
        <v>70364</v>
      </c>
      <c r="B1208" t="s">
        <v>202</v>
      </c>
      <c r="C1208" t="s">
        <v>238</v>
      </c>
      <c r="D1208">
        <v>4</v>
      </c>
      <c r="E1208">
        <v>0</v>
      </c>
      <c r="F1208" t="s">
        <v>239</v>
      </c>
      <c r="G1208" t="s">
        <v>16</v>
      </c>
      <c r="H1208">
        <v>298</v>
      </c>
      <c r="I1208" t="s">
        <v>259</v>
      </c>
    </row>
    <row r="1209" spans="1:9" x14ac:dyDescent="0.25">
      <c r="A1209">
        <v>70364</v>
      </c>
      <c r="B1209" t="s">
        <v>202</v>
      </c>
      <c r="C1209" t="s">
        <v>238</v>
      </c>
      <c r="D1209">
        <v>4</v>
      </c>
      <c r="E1209">
        <v>0</v>
      </c>
      <c r="F1209" t="s">
        <v>239</v>
      </c>
      <c r="G1209" t="s">
        <v>19</v>
      </c>
      <c r="H1209">
        <v>93768</v>
      </c>
      <c r="I1209" t="s">
        <v>260</v>
      </c>
    </row>
    <row r="1210" spans="1:9" x14ac:dyDescent="0.25">
      <c r="A1210">
        <v>70364</v>
      </c>
      <c r="B1210" t="s">
        <v>202</v>
      </c>
      <c r="C1210" t="s">
        <v>238</v>
      </c>
      <c r="D1210">
        <v>4</v>
      </c>
      <c r="E1210">
        <v>0</v>
      </c>
      <c r="F1210" t="s">
        <v>239</v>
      </c>
      <c r="G1210" t="s">
        <v>19</v>
      </c>
      <c r="H1210">
        <v>0</v>
      </c>
      <c r="I1210" t="s">
        <v>270</v>
      </c>
    </row>
    <row r="1211" spans="1:9" x14ac:dyDescent="0.25">
      <c r="A1211">
        <v>70364</v>
      </c>
      <c r="B1211" t="s">
        <v>202</v>
      </c>
      <c r="C1211" t="s">
        <v>238</v>
      </c>
      <c r="D1211">
        <v>4</v>
      </c>
      <c r="E1211">
        <v>0</v>
      </c>
      <c r="F1211" t="s">
        <v>241</v>
      </c>
      <c r="G1211" t="s">
        <v>139</v>
      </c>
      <c r="H1211">
        <v>0</v>
      </c>
      <c r="I1211" t="s">
        <v>331</v>
      </c>
    </row>
    <row r="1212" spans="1:9" x14ac:dyDescent="0.25">
      <c r="A1212">
        <v>70364</v>
      </c>
      <c r="B1212" t="s">
        <v>202</v>
      </c>
      <c r="C1212" t="s">
        <v>238</v>
      </c>
      <c r="D1212">
        <v>4</v>
      </c>
      <c r="E1212">
        <v>0</v>
      </c>
      <c r="F1212" t="s">
        <v>261</v>
      </c>
      <c r="G1212" t="s">
        <v>261</v>
      </c>
      <c r="H1212">
        <v>-1806047</v>
      </c>
      <c r="I1212" t="s">
        <v>262</v>
      </c>
    </row>
    <row r="1213" spans="1:9" x14ac:dyDescent="0.25">
      <c r="A1213">
        <v>70364</v>
      </c>
      <c r="B1213" t="s">
        <v>202</v>
      </c>
      <c r="C1213" t="s">
        <v>238</v>
      </c>
      <c r="D1213">
        <v>4</v>
      </c>
      <c r="E1213">
        <v>0</v>
      </c>
      <c r="F1213" t="s">
        <v>239</v>
      </c>
      <c r="G1213" t="s">
        <v>19</v>
      </c>
      <c r="H1213">
        <v>150684</v>
      </c>
      <c r="I1213" t="s">
        <v>263</v>
      </c>
    </row>
    <row r="1214" spans="1:9" x14ac:dyDescent="0.25">
      <c r="A1214">
        <v>70364</v>
      </c>
      <c r="B1214" t="s">
        <v>202</v>
      </c>
      <c r="C1214" t="s">
        <v>238</v>
      </c>
      <c r="D1214">
        <v>4</v>
      </c>
      <c r="E1214">
        <v>0</v>
      </c>
      <c r="F1214" t="s">
        <v>239</v>
      </c>
      <c r="G1214" t="s">
        <v>16</v>
      </c>
      <c r="H1214">
        <v>24922</v>
      </c>
      <c r="I1214" t="s">
        <v>240</v>
      </c>
    </row>
    <row r="1215" spans="1:9" x14ac:dyDescent="0.25">
      <c r="A1215">
        <v>70364</v>
      </c>
      <c r="B1215" t="s">
        <v>202</v>
      </c>
      <c r="C1215" t="s">
        <v>238</v>
      </c>
      <c r="D1215">
        <v>4</v>
      </c>
      <c r="E1215">
        <v>0</v>
      </c>
      <c r="F1215" t="s">
        <v>239</v>
      </c>
      <c r="G1215" t="s">
        <v>19</v>
      </c>
      <c r="H1215">
        <v>83600</v>
      </c>
      <c r="I1215" t="s">
        <v>264</v>
      </c>
    </row>
    <row r="1216" spans="1:9" x14ac:dyDescent="0.25">
      <c r="A1216">
        <v>70364</v>
      </c>
      <c r="B1216" t="s">
        <v>202</v>
      </c>
      <c r="C1216" t="s">
        <v>238</v>
      </c>
      <c r="D1216">
        <v>4</v>
      </c>
      <c r="E1216">
        <v>0</v>
      </c>
      <c r="F1216" t="s">
        <v>241</v>
      </c>
      <c r="G1216" t="s">
        <v>158</v>
      </c>
      <c r="H1216">
        <v>81142</v>
      </c>
      <c r="I1216" t="s">
        <v>265</v>
      </c>
    </row>
    <row r="1217" spans="1:9" x14ac:dyDescent="0.25">
      <c r="A1217">
        <v>70364</v>
      </c>
      <c r="B1217" t="s">
        <v>202</v>
      </c>
      <c r="C1217" t="s">
        <v>238</v>
      </c>
      <c r="D1217">
        <v>4</v>
      </c>
      <c r="E1217">
        <v>0</v>
      </c>
      <c r="F1217" t="s">
        <v>239</v>
      </c>
      <c r="G1217" t="s">
        <v>19</v>
      </c>
      <c r="H1217">
        <v>0</v>
      </c>
      <c r="I1217" t="s">
        <v>271</v>
      </c>
    </row>
    <row r="1218" spans="1:9" x14ac:dyDescent="0.25">
      <c r="A1218">
        <v>70364</v>
      </c>
      <c r="B1218" t="s">
        <v>202</v>
      </c>
      <c r="C1218" t="s">
        <v>238</v>
      </c>
      <c r="D1218">
        <v>4</v>
      </c>
      <c r="E1218">
        <v>0</v>
      </c>
      <c r="F1218" t="s">
        <v>239</v>
      </c>
      <c r="G1218" t="s">
        <v>19</v>
      </c>
      <c r="H1218">
        <v>0</v>
      </c>
      <c r="I1218" t="s">
        <v>266</v>
      </c>
    </row>
    <row r="1219" spans="1:9" x14ac:dyDescent="0.25">
      <c r="A1219">
        <v>70364</v>
      </c>
      <c r="B1219" t="s">
        <v>202</v>
      </c>
      <c r="C1219" t="s">
        <v>238</v>
      </c>
      <c r="D1219">
        <v>4</v>
      </c>
      <c r="E1219">
        <v>0</v>
      </c>
      <c r="F1219" t="s">
        <v>241</v>
      </c>
      <c r="G1219" t="s">
        <v>143</v>
      </c>
      <c r="H1219">
        <v>0</v>
      </c>
      <c r="I1219" t="s">
        <v>332</v>
      </c>
    </row>
    <row r="1220" spans="1:9" x14ac:dyDescent="0.25">
      <c r="A1220">
        <v>70364</v>
      </c>
      <c r="B1220" t="s">
        <v>202</v>
      </c>
      <c r="C1220" t="s">
        <v>238</v>
      </c>
      <c r="D1220">
        <v>4</v>
      </c>
      <c r="E1220">
        <v>0</v>
      </c>
      <c r="F1220" t="s">
        <v>241</v>
      </c>
      <c r="G1220" t="s">
        <v>138</v>
      </c>
      <c r="H1220">
        <v>0</v>
      </c>
      <c r="I1220" t="s">
        <v>333</v>
      </c>
    </row>
    <row r="1221" spans="1:9" x14ac:dyDescent="0.25">
      <c r="A1221">
        <v>70364</v>
      </c>
      <c r="B1221" t="s">
        <v>202</v>
      </c>
      <c r="C1221" t="s">
        <v>238</v>
      </c>
      <c r="D1221">
        <v>4</v>
      </c>
      <c r="E1221">
        <v>0</v>
      </c>
      <c r="F1221" t="s">
        <v>241</v>
      </c>
      <c r="G1221" t="s">
        <v>138</v>
      </c>
      <c r="H1221">
        <v>0</v>
      </c>
      <c r="I1221" t="s">
        <v>334</v>
      </c>
    </row>
    <row r="1222" spans="1:9" x14ac:dyDescent="0.25">
      <c r="A1222">
        <v>70364</v>
      </c>
      <c r="B1222" t="s">
        <v>202</v>
      </c>
      <c r="C1222" t="s">
        <v>238</v>
      </c>
      <c r="D1222">
        <v>4</v>
      </c>
      <c r="E1222">
        <v>0</v>
      </c>
      <c r="F1222" t="s">
        <v>241</v>
      </c>
      <c r="G1222" t="s">
        <v>138</v>
      </c>
      <c r="H1222">
        <v>-122875</v>
      </c>
      <c r="I1222" t="s">
        <v>268</v>
      </c>
    </row>
    <row r="1223" spans="1:9" x14ac:dyDescent="0.25">
      <c r="A1223">
        <v>70364</v>
      </c>
      <c r="B1223" t="s">
        <v>202</v>
      </c>
      <c r="C1223" t="s">
        <v>238</v>
      </c>
      <c r="D1223">
        <v>4</v>
      </c>
      <c r="E1223">
        <v>0</v>
      </c>
      <c r="F1223" t="s">
        <v>241</v>
      </c>
      <c r="G1223" t="s">
        <v>139</v>
      </c>
      <c r="H1223">
        <v>0</v>
      </c>
      <c r="I1223" t="s">
        <v>336</v>
      </c>
    </row>
    <row r="1224" spans="1:9" x14ac:dyDescent="0.25">
      <c r="A1224">
        <v>70364</v>
      </c>
      <c r="B1224" t="s">
        <v>202</v>
      </c>
      <c r="C1224" t="s">
        <v>238</v>
      </c>
      <c r="D1224">
        <v>4</v>
      </c>
      <c r="E1224">
        <v>0</v>
      </c>
      <c r="F1224" t="s">
        <v>241</v>
      </c>
      <c r="G1224" t="s">
        <v>139</v>
      </c>
      <c r="H1224">
        <v>0</v>
      </c>
      <c r="I1224" t="s">
        <v>337</v>
      </c>
    </row>
    <row r="1225" spans="1:9" x14ac:dyDescent="0.25">
      <c r="A1225">
        <v>70364</v>
      </c>
      <c r="B1225" t="s">
        <v>202</v>
      </c>
      <c r="C1225" t="s">
        <v>238</v>
      </c>
      <c r="D1225">
        <v>4</v>
      </c>
      <c r="E1225">
        <v>0</v>
      </c>
      <c r="F1225" t="s">
        <v>241</v>
      </c>
      <c r="G1225" t="s">
        <v>139</v>
      </c>
      <c r="H1225">
        <v>0</v>
      </c>
      <c r="I1225" t="s">
        <v>335</v>
      </c>
    </row>
    <row r="1226" spans="1:9" x14ac:dyDescent="0.25">
      <c r="A1226">
        <v>70364</v>
      </c>
      <c r="B1226" t="s">
        <v>202</v>
      </c>
      <c r="C1226" t="s">
        <v>238</v>
      </c>
      <c r="D1226">
        <v>4</v>
      </c>
      <c r="E1226">
        <v>0</v>
      </c>
      <c r="F1226" t="s">
        <v>241</v>
      </c>
      <c r="G1226" t="s">
        <v>24</v>
      </c>
      <c r="H1226">
        <v>0</v>
      </c>
      <c r="I1226" t="s">
        <v>338</v>
      </c>
    </row>
    <row r="1227" spans="1:9" x14ac:dyDescent="0.25">
      <c r="A1227">
        <v>70364</v>
      </c>
      <c r="B1227" t="s">
        <v>202</v>
      </c>
      <c r="C1227" t="s">
        <v>238</v>
      </c>
      <c r="D1227">
        <v>4</v>
      </c>
      <c r="E1227">
        <v>0</v>
      </c>
      <c r="F1227" t="s">
        <v>241</v>
      </c>
      <c r="G1227" t="s">
        <v>24</v>
      </c>
      <c r="H1227">
        <v>0</v>
      </c>
      <c r="I1227" t="s">
        <v>339</v>
      </c>
    </row>
    <row r="1228" spans="1:9" x14ac:dyDescent="0.25">
      <c r="A1228">
        <v>70364</v>
      </c>
      <c r="B1228" t="s">
        <v>202</v>
      </c>
      <c r="C1228" t="s">
        <v>238</v>
      </c>
      <c r="D1228">
        <v>4</v>
      </c>
      <c r="E1228">
        <v>0</v>
      </c>
      <c r="F1228" t="s">
        <v>241</v>
      </c>
      <c r="G1228" t="s">
        <v>24</v>
      </c>
      <c r="H1228">
        <v>0</v>
      </c>
      <c r="I1228" t="s">
        <v>340</v>
      </c>
    </row>
    <row r="1229" spans="1:9" x14ac:dyDescent="0.25">
      <c r="A1229">
        <v>70364</v>
      </c>
      <c r="B1229" t="s">
        <v>202</v>
      </c>
      <c r="C1229" t="s">
        <v>238</v>
      </c>
      <c r="D1229">
        <v>4</v>
      </c>
      <c r="E1229">
        <v>0</v>
      </c>
      <c r="F1229" t="s">
        <v>241</v>
      </c>
      <c r="G1229" t="s">
        <v>137</v>
      </c>
      <c r="H1229">
        <v>0</v>
      </c>
      <c r="I1229" t="s">
        <v>273</v>
      </c>
    </row>
    <row r="1230" spans="1:9" x14ac:dyDescent="0.25">
      <c r="A1230">
        <v>70364</v>
      </c>
      <c r="B1230" t="s">
        <v>202</v>
      </c>
      <c r="C1230" t="s">
        <v>238</v>
      </c>
      <c r="D1230">
        <v>4</v>
      </c>
      <c r="E1230">
        <v>0</v>
      </c>
      <c r="F1230" t="s">
        <v>241</v>
      </c>
      <c r="G1230" t="s">
        <v>137</v>
      </c>
      <c r="H1230">
        <v>0</v>
      </c>
      <c r="I1230" t="s">
        <v>341</v>
      </c>
    </row>
    <row r="1231" spans="1:9" x14ac:dyDescent="0.25">
      <c r="A1231">
        <v>70364</v>
      </c>
      <c r="B1231" t="s">
        <v>202</v>
      </c>
      <c r="C1231" t="s">
        <v>238</v>
      </c>
      <c r="D1231">
        <v>4</v>
      </c>
      <c r="E1231">
        <v>0</v>
      </c>
      <c r="F1231" t="s">
        <v>241</v>
      </c>
      <c r="G1231" t="s">
        <v>137</v>
      </c>
      <c r="H1231">
        <v>0</v>
      </c>
      <c r="I1231" t="s">
        <v>342</v>
      </c>
    </row>
    <row r="1232" spans="1:9" x14ac:dyDescent="0.25">
      <c r="A1232">
        <v>70364</v>
      </c>
      <c r="B1232" t="s">
        <v>202</v>
      </c>
      <c r="C1232" t="s">
        <v>238</v>
      </c>
      <c r="D1232">
        <v>4</v>
      </c>
      <c r="E1232">
        <v>0</v>
      </c>
      <c r="F1232" t="s">
        <v>241</v>
      </c>
      <c r="G1232" t="s">
        <v>137</v>
      </c>
      <c r="H1232">
        <v>0</v>
      </c>
      <c r="I1232" t="s">
        <v>343</v>
      </c>
    </row>
    <row r="1233" spans="1:9" x14ac:dyDescent="0.25">
      <c r="A1233">
        <v>70364</v>
      </c>
      <c r="B1233" t="s">
        <v>202</v>
      </c>
      <c r="C1233" t="s">
        <v>238</v>
      </c>
      <c r="D1233">
        <v>4</v>
      </c>
      <c r="E1233">
        <v>0</v>
      </c>
      <c r="F1233" t="s">
        <v>241</v>
      </c>
      <c r="G1233" t="s">
        <v>143</v>
      </c>
      <c r="H1233">
        <v>0</v>
      </c>
      <c r="I1233" t="s">
        <v>344</v>
      </c>
    </row>
    <row r="1234" spans="1:9" x14ac:dyDescent="0.25">
      <c r="A1234">
        <v>70364</v>
      </c>
      <c r="B1234" t="s">
        <v>202</v>
      </c>
      <c r="C1234" t="s">
        <v>238</v>
      </c>
      <c r="D1234">
        <v>4</v>
      </c>
      <c r="E1234">
        <v>0</v>
      </c>
      <c r="F1234" t="s">
        <v>241</v>
      </c>
      <c r="G1234" t="s">
        <v>143</v>
      </c>
      <c r="H1234">
        <v>0</v>
      </c>
      <c r="I1234" t="s">
        <v>345</v>
      </c>
    </row>
    <row r="1235" spans="1:9" x14ac:dyDescent="0.25">
      <c r="A1235">
        <v>70364</v>
      </c>
      <c r="B1235" t="s">
        <v>202</v>
      </c>
      <c r="C1235" t="s">
        <v>238</v>
      </c>
      <c r="D1235">
        <v>4</v>
      </c>
      <c r="E1235">
        <v>0</v>
      </c>
      <c r="F1235" t="s">
        <v>241</v>
      </c>
      <c r="G1235" t="s">
        <v>143</v>
      </c>
      <c r="H1235">
        <v>0</v>
      </c>
      <c r="I1235" t="s">
        <v>346</v>
      </c>
    </row>
    <row r="1236" spans="1:9" x14ac:dyDescent="0.25">
      <c r="A1236">
        <v>70364</v>
      </c>
      <c r="B1236" t="s">
        <v>202</v>
      </c>
      <c r="C1236" t="s">
        <v>238</v>
      </c>
      <c r="D1236">
        <v>4</v>
      </c>
      <c r="E1236">
        <v>0</v>
      </c>
      <c r="F1236" t="s">
        <v>241</v>
      </c>
      <c r="G1236" t="s">
        <v>138</v>
      </c>
      <c r="H1236">
        <v>0</v>
      </c>
      <c r="I1236" t="s">
        <v>347</v>
      </c>
    </row>
    <row r="1237" spans="1:9" x14ac:dyDescent="0.25">
      <c r="A1237">
        <v>70365</v>
      </c>
      <c r="B1237" t="s">
        <v>204</v>
      </c>
      <c r="C1237" t="s">
        <v>238</v>
      </c>
      <c r="D1237">
        <v>4</v>
      </c>
      <c r="E1237">
        <v>0</v>
      </c>
      <c r="F1237" t="s">
        <v>239</v>
      </c>
      <c r="G1237" t="s">
        <v>153</v>
      </c>
      <c r="H1237">
        <v>0</v>
      </c>
      <c r="I1237" t="s">
        <v>351</v>
      </c>
    </row>
    <row r="1238" spans="1:9" x14ac:dyDescent="0.25">
      <c r="A1238">
        <v>70365</v>
      </c>
      <c r="B1238" t="s">
        <v>204</v>
      </c>
      <c r="C1238" t="s">
        <v>238</v>
      </c>
      <c r="D1238">
        <v>4</v>
      </c>
      <c r="E1238">
        <v>0</v>
      </c>
      <c r="F1238" t="s">
        <v>239</v>
      </c>
      <c r="G1238" t="s">
        <v>152</v>
      </c>
      <c r="H1238">
        <v>0</v>
      </c>
      <c r="I1238" t="s">
        <v>352</v>
      </c>
    </row>
    <row r="1239" spans="1:9" x14ac:dyDescent="0.25">
      <c r="A1239">
        <v>70365</v>
      </c>
      <c r="B1239" t="s">
        <v>204</v>
      </c>
      <c r="C1239" t="s">
        <v>238</v>
      </c>
      <c r="D1239">
        <v>4</v>
      </c>
      <c r="E1239">
        <v>0</v>
      </c>
      <c r="F1239" t="s">
        <v>239</v>
      </c>
      <c r="G1239" t="s">
        <v>154</v>
      </c>
      <c r="H1239">
        <v>0</v>
      </c>
      <c r="I1239" t="s">
        <v>349</v>
      </c>
    </row>
    <row r="1240" spans="1:9" x14ac:dyDescent="0.25">
      <c r="A1240">
        <v>70365</v>
      </c>
      <c r="B1240" t="s">
        <v>204</v>
      </c>
      <c r="C1240" t="s">
        <v>238</v>
      </c>
      <c r="D1240">
        <v>4</v>
      </c>
      <c r="E1240">
        <v>0</v>
      </c>
      <c r="F1240" t="s">
        <v>241</v>
      </c>
      <c r="G1240" t="s">
        <v>26</v>
      </c>
      <c r="H1240">
        <v>0</v>
      </c>
      <c r="I1240" t="s">
        <v>350</v>
      </c>
    </row>
    <row r="1241" spans="1:9" x14ac:dyDescent="0.25">
      <c r="A1241">
        <v>70365</v>
      </c>
      <c r="B1241" t="s">
        <v>204</v>
      </c>
      <c r="C1241" t="s">
        <v>238</v>
      </c>
      <c r="D1241">
        <v>4</v>
      </c>
      <c r="E1241">
        <v>0</v>
      </c>
      <c r="F1241" t="s">
        <v>241</v>
      </c>
      <c r="G1241" t="s">
        <v>23</v>
      </c>
      <c r="H1241">
        <v>27730</v>
      </c>
      <c r="I1241" t="s">
        <v>269</v>
      </c>
    </row>
    <row r="1242" spans="1:9" x14ac:dyDescent="0.25">
      <c r="A1242">
        <v>70365</v>
      </c>
      <c r="B1242" t="s">
        <v>204</v>
      </c>
      <c r="C1242" t="s">
        <v>238</v>
      </c>
      <c r="D1242">
        <v>4</v>
      </c>
      <c r="E1242">
        <v>0</v>
      </c>
      <c r="F1242" t="s">
        <v>241</v>
      </c>
      <c r="G1242" t="s">
        <v>26</v>
      </c>
      <c r="H1242">
        <v>0</v>
      </c>
      <c r="I1242" t="s">
        <v>353</v>
      </c>
    </row>
    <row r="1243" spans="1:9" x14ac:dyDescent="0.25">
      <c r="A1243">
        <v>70365</v>
      </c>
      <c r="B1243" t="s">
        <v>204</v>
      </c>
      <c r="C1243" t="s">
        <v>238</v>
      </c>
      <c r="D1243">
        <v>4</v>
      </c>
      <c r="E1243">
        <v>0</v>
      </c>
      <c r="F1243" t="s">
        <v>241</v>
      </c>
      <c r="G1243" t="s">
        <v>157</v>
      </c>
      <c r="H1243">
        <v>0</v>
      </c>
      <c r="I1243" t="s">
        <v>348</v>
      </c>
    </row>
    <row r="1244" spans="1:9" x14ac:dyDescent="0.25">
      <c r="A1244">
        <v>70365</v>
      </c>
      <c r="B1244" t="s">
        <v>204</v>
      </c>
      <c r="C1244" t="s">
        <v>238</v>
      </c>
      <c r="D1244">
        <v>4</v>
      </c>
      <c r="E1244">
        <v>0</v>
      </c>
      <c r="F1244" t="s">
        <v>261</v>
      </c>
      <c r="G1244" t="s">
        <v>261</v>
      </c>
      <c r="H1244">
        <v>0</v>
      </c>
      <c r="I1244" t="s">
        <v>272</v>
      </c>
    </row>
    <row r="1245" spans="1:9" x14ac:dyDescent="0.25">
      <c r="A1245">
        <v>70365</v>
      </c>
      <c r="B1245" t="s">
        <v>204</v>
      </c>
      <c r="C1245" t="s">
        <v>238</v>
      </c>
      <c r="D1245">
        <v>4</v>
      </c>
      <c r="E1245">
        <v>0</v>
      </c>
      <c r="F1245" t="s">
        <v>261</v>
      </c>
      <c r="G1245" t="s">
        <v>261</v>
      </c>
      <c r="H1245">
        <v>0</v>
      </c>
      <c r="I1245" t="s">
        <v>354</v>
      </c>
    </row>
    <row r="1246" spans="1:9" x14ac:dyDescent="0.25">
      <c r="A1246">
        <v>70365</v>
      </c>
      <c r="B1246" t="s">
        <v>204</v>
      </c>
      <c r="C1246" t="s">
        <v>238</v>
      </c>
      <c r="D1246">
        <v>4</v>
      </c>
      <c r="E1246">
        <v>0</v>
      </c>
      <c r="F1246" t="s">
        <v>247</v>
      </c>
      <c r="G1246" t="s">
        <v>12</v>
      </c>
      <c r="H1246">
        <v>-3007312</v>
      </c>
      <c r="I1246" t="s">
        <v>248</v>
      </c>
    </row>
    <row r="1247" spans="1:9" x14ac:dyDescent="0.25">
      <c r="A1247">
        <v>70365</v>
      </c>
      <c r="B1247" t="s">
        <v>204</v>
      </c>
      <c r="C1247" t="s">
        <v>238</v>
      </c>
      <c r="D1247">
        <v>4</v>
      </c>
      <c r="E1247">
        <v>0</v>
      </c>
      <c r="F1247" t="s">
        <v>247</v>
      </c>
      <c r="G1247" t="s">
        <v>13</v>
      </c>
      <c r="H1247">
        <v>6710114</v>
      </c>
      <c r="I1247" t="s">
        <v>249</v>
      </c>
    </row>
    <row r="1248" spans="1:9" x14ac:dyDescent="0.25">
      <c r="A1248">
        <v>70365</v>
      </c>
      <c r="B1248" t="s">
        <v>204</v>
      </c>
      <c r="C1248" t="s">
        <v>238</v>
      </c>
      <c r="D1248">
        <v>4</v>
      </c>
      <c r="E1248">
        <v>0</v>
      </c>
      <c r="F1248" t="s">
        <v>241</v>
      </c>
      <c r="G1248" t="s">
        <v>25</v>
      </c>
      <c r="H1248">
        <v>23005</v>
      </c>
      <c r="I1248" t="s">
        <v>250</v>
      </c>
    </row>
    <row r="1249" spans="1:9" x14ac:dyDescent="0.25">
      <c r="A1249">
        <v>70365</v>
      </c>
      <c r="B1249" t="s">
        <v>204</v>
      </c>
      <c r="C1249" t="s">
        <v>238</v>
      </c>
      <c r="D1249">
        <v>4</v>
      </c>
      <c r="E1249">
        <v>0</v>
      </c>
      <c r="F1249" t="s">
        <v>241</v>
      </c>
      <c r="G1249" t="s">
        <v>26</v>
      </c>
      <c r="H1249">
        <v>0</v>
      </c>
      <c r="I1249" t="s">
        <v>251</v>
      </c>
    </row>
    <row r="1250" spans="1:9" x14ac:dyDescent="0.25">
      <c r="A1250">
        <v>70365</v>
      </c>
      <c r="B1250" t="s">
        <v>204</v>
      </c>
      <c r="C1250" t="s">
        <v>238</v>
      </c>
      <c r="D1250">
        <v>4</v>
      </c>
      <c r="E1250">
        <v>0</v>
      </c>
      <c r="F1250" t="s">
        <v>239</v>
      </c>
      <c r="G1250" t="s">
        <v>18</v>
      </c>
      <c r="H1250">
        <v>345439</v>
      </c>
      <c r="I1250" t="s">
        <v>252</v>
      </c>
    </row>
    <row r="1251" spans="1:9" x14ac:dyDescent="0.25">
      <c r="A1251">
        <v>70365</v>
      </c>
      <c r="B1251" t="s">
        <v>204</v>
      </c>
      <c r="C1251" t="s">
        <v>238</v>
      </c>
      <c r="D1251">
        <v>4</v>
      </c>
      <c r="E1251">
        <v>0</v>
      </c>
      <c r="F1251" t="s">
        <v>241</v>
      </c>
      <c r="G1251" t="s">
        <v>26</v>
      </c>
      <c r="H1251">
        <v>0</v>
      </c>
      <c r="I1251" t="s">
        <v>253</v>
      </c>
    </row>
    <row r="1252" spans="1:9" x14ac:dyDescent="0.25">
      <c r="A1252">
        <v>70365</v>
      </c>
      <c r="B1252" t="s">
        <v>204</v>
      </c>
      <c r="C1252" t="s">
        <v>238</v>
      </c>
      <c r="D1252">
        <v>4</v>
      </c>
      <c r="E1252">
        <v>0</v>
      </c>
      <c r="F1252" t="s">
        <v>247</v>
      </c>
      <c r="G1252" t="s">
        <v>15</v>
      </c>
      <c r="H1252">
        <v>246920</v>
      </c>
      <c r="I1252" t="s">
        <v>254</v>
      </c>
    </row>
    <row r="1253" spans="1:9" x14ac:dyDescent="0.25">
      <c r="A1253">
        <v>70365</v>
      </c>
      <c r="B1253" t="s">
        <v>204</v>
      </c>
      <c r="C1253" t="s">
        <v>238</v>
      </c>
      <c r="D1253">
        <v>4</v>
      </c>
      <c r="E1253">
        <v>0</v>
      </c>
      <c r="F1253" t="s">
        <v>247</v>
      </c>
      <c r="G1253" t="s">
        <v>14</v>
      </c>
      <c r="H1253">
        <v>0</v>
      </c>
      <c r="I1253" t="s">
        <v>355</v>
      </c>
    </row>
    <row r="1254" spans="1:9" x14ac:dyDescent="0.25">
      <c r="A1254">
        <v>70365</v>
      </c>
      <c r="B1254" t="s">
        <v>204</v>
      </c>
      <c r="C1254" t="s">
        <v>238</v>
      </c>
      <c r="D1254">
        <v>4</v>
      </c>
      <c r="E1254">
        <v>0</v>
      </c>
      <c r="F1254" t="s">
        <v>241</v>
      </c>
      <c r="G1254" t="s">
        <v>23</v>
      </c>
      <c r="H1254">
        <v>77349</v>
      </c>
      <c r="I1254" t="s">
        <v>242</v>
      </c>
    </row>
    <row r="1255" spans="1:9" x14ac:dyDescent="0.25">
      <c r="A1255">
        <v>70365</v>
      </c>
      <c r="B1255" t="s">
        <v>204</v>
      </c>
      <c r="C1255" t="s">
        <v>238</v>
      </c>
      <c r="D1255">
        <v>4</v>
      </c>
      <c r="E1255">
        <v>0</v>
      </c>
      <c r="F1255" t="s">
        <v>241</v>
      </c>
      <c r="G1255" t="s">
        <v>24</v>
      </c>
      <c r="H1255">
        <v>70791</v>
      </c>
      <c r="I1255" t="s">
        <v>243</v>
      </c>
    </row>
    <row r="1256" spans="1:9" x14ac:dyDescent="0.25">
      <c r="A1256">
        <v>70365</v>
      </c>
      <c r="B1256" t="s">
        <v>204</v>
      </c>
      <c r="C1256" t="s">
        <v>238</v>
      </c>
      <c r="D1256">
        <v>4</v>
      </c>
      <c r="E1256">
        <v>0</v>
      </c>
      <c r="F1256" t="s">
        <v>241</v>
      </c>
      <c r="G1256" t="s">
        <v>21</v>
      </c>
      <c r="H1256">
        <v>0</v>
      </c>
      <c r="I1256" t="s">
        <v>356</v>
      </c>
    </row>
    <row r="1257" spans="1:9" x14ac:dyDescent="0.25">
      <c r="A1257">
        <v>70365</v>
      </c>
      <c r="B1257" t="s">
        <v>204</v>
      </c>
      <c r="C1257" t="s">
        <v>238</v>
      </c>
      <c r="D1257">
        <v>4</v>
      </c>
      <c r="E1257">
        <v>0</v>
      </c>
      <c r="F1257" t="s">
        <v>239</v>
      </c>
      <c r="G1257" t="s">
        <v>20</v>
      </c>
      <c r="H1257">
        <v>-5658</v>
      </c>
      <c r="I1257" t="s">
        <v>244</v>
      </c>
    </row>
    <row r="1258" spans="1:9" x14ac:dyDescent="0.25">
      <c r="A1258">
        <v>70365</v>
      </c>
      <c r="B1258" t="s">
        <v>204</v>
      </c>
      <c r="C1258" t="s">
        <v>238</v>
      </c>
      <c r="D1258">
        <v>4</v>
      </c>
      <c r="E1258">
        <v>0</v>
      </c>
      <c r="F1258" t="s">
        <v>241</v>
      </c>
      <c r="G1258" t="s">
        <v>22</v>
      </c>
      <c r="H1258">
        <v>1272</v>
      </c>
      <c r="I1258" t="s">
        <v>245</v>
      </c>
    </row>
    <row r="1259" spans="1:9" x14ac:dyDescent="0.25">
      <c r="A1259">
        <v>70365</v>
      </c>
      <c r="B1259" t="s">
        <v>204</v>
      </c>
      <c r="C1259" t="s">
        <v>238</v>
      </c>
      <c r="D1259">
        <v>4</v>
      </c>
      <c r="E1259">
        <v>0</v>
      </c>
      <c r="F1259" t="s">
        <v>241</v>
      </c>
      <c r="G1259" t="s">
        <v>26</v>
      </c>
      <c r="H1259">
        <v>1578</v>
      </c>
      <c r="I1259" t="s">
        <v>246</v>
      </c>
    </row>
    <row r="1260" spans="1:9" x14ac:dyDescent="0.25">
      <c r="A1260">
        <v>70365</v>
      </c>
      <c r="B1260" t="s">
        <v>204</v>
      </c>
      <c r="C1260" t="s">
        <v>238</v>
      </c>
      <c r="D1260">
        <v>4</v>
      </c>
      <c r="E1260">
        <v>0</v>
      </c>
      <c r="F1260" t="s">
        <v>239</v>
      </c>
      <c r="G1260" t="s">
        <v>17</v>
      </c>
      <c r="H1260">
        <v>0</v>
      </c>
      <c r="I1260" t="s">
        <v>357</v>
      </c>
    </row>
    <row r="1261" spans="1:9" x14ac:dyDescent="0.25">
      <c r="A1261">
        <v>70365</v>
      </c>
      <c r="B1261" t="s">
        <v>204</v>
      </c>
      <c r="C1261" t="s">
        <v>238</v>
      </c>
      <c r="D1261">
        <v>4</v>
      </c>
      <c r="E1261">
        <v>0</v>
      </c>
      <c r="F1261" t="s">
        <v>241</v>
      </c>
      <c r="G1261" t="s">
        <v>24</v>
      </c>
      <c r="H1261">
        <v>0</v>
      </c>
      <c r="I1261" t="s">
        <v>358</v>
      </c>
    </row>
    <row r="1262" spans="1:9" x14ac:dyDescent="0.25">
      <c r="A1262">
        <v>70365</v>
      </c>
      <c r="B1262" t="s">
        <v>204</v>
      </c>
      <c r="C1262" t="s">
        <v>238</v>
      </c>
      <c r="D1262">
        <v>4</v>
      </c>
      <c r="E1262">
        <v>0</v>
      </c>
      <c r="F1262" t="s">
        <v>241</v>
      </c>
      <c r="G1262" t="s">
        <v>27</v>
      </c>
      <c r="H1262">
        <v>0</v>
      </c>
      <c r="I1262" t="s">
        <v>359</v>
      </c>
    </row>
    <row r="1263" spans="1:9" x14ac:dyDescent="0.25">
      <c r="A1263">
        <v>70365</v>
      </c>
      <c r="B1263" t="s">
        <v>204</v>
      </c>
      <c r="C1263" t="s">
        <v>238</v>
      </c>
      <c r="D1263">
        <v>4</v>
      </c>
      <c r="E1263">
        <v>0</v>
      </c>
      <c r="F1263" t="s">
        <v>239</v>
      </c>
      <c r="G1263" t="s">
        <v>19</v>
      </c>
      <c r="H1263">
        <v>0</v>
      </c>
      <c r="I1263" t="s">
        <v>360</v>
      </c>
    </row>
    <row r="1264" spans="1:9" x14ac:dyDescent="0.25">
      <c r="A1264">
        <v>70365</v>
      </c>
      <c r="B1264" t="s">
        <v>204</v>
      </c>
      <c r="C1264" t="s">
        <v>238</v>
      </c>
      <c r="D1264">
        <v>4</v>
      </c>
      <c r="E1264">
        <v>0</v>
      </c>
      <c r="F1264" t="s">
        <v>239</v>
      </c>
      <c r="G1264" t="s">
        <v>20</v>
      </c>
      <c r="H1264">
        <v>0</v>
      </c>
      <c r="I1264" t="s">
        <v>255</v>
      </c>
    </row>
    <row r="1265" spans="1:9" x14ac:dyDescent="0.25">
      <c r="A1265">
        <v>70365</v>
      </c>
      <c r="B1265" t="s">
        <v>204</v>
      </c>
      <c r="C1265" t="s">
        <v>238</v>
      </c>
      <c r="D1265">
        <v>4</v>
      </c>
      <c r="E1265">
        <v>0</v>
      </c>
      <c r="F1265" t="s">
        <v>247</v>
      </c>
      <c r="G1265" t="s">
        <v>148</v>
      </c>
      <c r="H1265">
        <v>749491</v>
      </c>
      <c r="I1265" t="s">
        <v>256</v>
      </c>
    </row>
    <row r="1266" spans="1:9" x14ac:dyDescent="0.25">
      <c r="A1266">
        <v>70365</v>
      </c>
      <c r="B1266" t="s">
        <v>204</v>
      </c>
      <c r="C1266" t="s">
        <v>238</v>
      </c>
      <c r="D1266">
        <v>4</v>
      </c>
      <c r="E1266">
        <v>0</v>
      </c>
      <c r="F1266" t="s">
        <v>241</v>
      </c>
      <c r="G1266" t="s">
        <v>27</v>
      </c>
      <c r="H1266">
        <v>8631257</v>
      </c>
      <c r="I1266" t="s">
        <v>257</v>
      </c>
    </row>
    <row r="1267" spans="1:9" x14ac:dyDescent="0.25">
      <c r="A1267">
        <v>70365</v>
      </c>
      <c r="B1267" t="s">
        <v>204</v>
      </c>
      <c r="C1267" t="s">
        <v>238</v>
      </c>
      <c r="D1267">
        <v>4</v>
      </c>
      <c r="E1267">
        <v>0</v>
      </c>
      <c r="F1267" t="s">
        <v>241</v>
      </c>
      <c r="G1267" t="s">
        <v>27</v>
      </c>
      <c r="H1267">
        <v>0</v>
      </c>
      <c r="I1267" t="s">
        <v>361</v>
      </c>
    </row>
    <row r="1268" spans="1:9" x14ac:dyDescent="0.25">
      <c r="A1268">
        <v>70365</v>
      </c>
      <c r="B1268" t="s">
        <v>204</v>
      </c>
      <c r="C1268" t="s">
        <v>238</v>
      </c>
      <c r="D1268">
        <v>4</v>
      </c>
      <c r="E1268">
        <v>0</v>
      </c>
      <c r="F1268" t="s">
        <v>241</v>
      </c>
      <c r="G1268" t="s">
        <v>27</v>
      </c>
      <c r="H1268">
        <v>0</v>
      </c>
      <c r="I1268" t="s">
        <v>362</v>
      </c>
    </row>
    <row r="1269" spans="1:9" x14ac:dyDescent="0.25">
      <c r="A1269">
        <v>70365</v>
      </c>
      <c r="B1269" t="s">
        <v>204</v>
      </c>
      <c r="C1269" t="s">
        <v>238</v>
      </c>
      <c r="D1269">
        <v>4</v>
      </c>
      <c r="E1269">
        <v>0</v>
      </c>
      <c r="F1269" t="s">
        <v>241</v>
      </c>
      <c r="G1269" t="s">
        <v>27</v>
      </c>
      <c r="H1269">
        <v>0</v>
      </c>
      <c r="I1269" t="s">
        <v>363</v>
      </c>
    </row>
    <row r="1270" spans="1:9" x14ac:dyDescent="0.25">
      <c r="A1270">
        <v>70365</v>
      </c>
      <c r="B1270" t="s">
        <v>204</v>
      </c>
      <c r="C1270" t="s">
        <v>238</v>
      </c>
      <c r="D1270">
        <v>4</v>
      </c>
      <c r="E1270">
        <v>0</v>
      </c>
      <c r="F1270" t="s">
        <v>239</v>
      </c>
      <c r="G1270" t="s">
        <v>16</v>
      </c>
      <c r="H1270">
        <v>0</v>
      </c>
      <c r="I1270" t="s">
        <v>267</v>
      </c>
    </row>
    <row r="1271" spans="1:9" x14ac:dyDescent="0.25">
      <c r="A1271">
        <v>70365</v>
      </c>
      <c r="B1271" t="s">
        <v>204</v>
      </c>
      <c r="C1271" t="s">
        <v>238</v>
      </c>
      <c r="D1271">
        <v>4</v>
      </c>
      <c r="E1271">
        <v>0</v>
      </c>
      <c r="F1271" t="s">
        <v>239</v>
      </c>
      <c r="G1271" t="s">
        <v>152</v>
      </c>
      <c r="H1271">
        <v>30337</v>
      </c>
      <c r="I1271" t="s">
        <v>258</v>
      </c>
    </row>
    <row r="1272" spans="1:9" x14ac:dyDescent="0.25">
      <c r="A1272">
        <v>70365</v>
      </c>
      <c r="B1272" t="s">
        <v>204</v>
      </c>
      <c r="C1272" t="s">
        <v>238</v>
      </c>
      <c r="D1272">
        <v>4</v>
      </c>
      <c r="E1272">
        <v>0</v>
      </c>
      <c r="F1272" t="s">
        <v>239</v>
      </c>
      <c r="G1272" t="s">
        <v>154</v>
      </c>
      <c r="H1272">
        <v>135787</v>
      </c>
      <c r="I1272" t="s">
        <v>330</v>
      </c>
    </row>
    <row r="1273" spans="1:9" x14ac:dyDescent="0.25">
      <c r="A1273">
        <v>70365</v>
      </c>
      <c r="B1273" t="s">
        <v>204</v>
      </c>
      <c r="C1273" t="s">
        <v>238</v>
      </c>
      <c r="D1273">
        <v>4</v>
      </c>
      <c r="E1273">
        <v>0</v>
      </c>
      <c r="F1273" t="s">
        <v>239</v>
      </c>
      <c r="G1273" t="s">
        <v>16</v>
      </c>
      <c r="H1273">
        <v>0</v>
      </c>
      <c r="I1273" t="s">
        <v>259</v>
      </c>
    </row>
    <row r="1274" spans="1:9" x14ac:dyDescent="0.25">
      <c r="A1274">
        <v>70365</v>
      </c>
      <c r="B1274" t="s">
        <v>204</v>
      </c>
      <c r="C1274" t="s">
        <v>238</v>
      </c>
      <c r="D1274">
        <v>4</v>
      </c>
      <c r="E1274">
        <v>0</v>
      </c>
      <c r="F1274" t="s">
        <v>239</v>
      </c>
      <c r="G1274" t="s">
        <v>19</v>
      </c>
      <c r="H1274">
        <v>49184</v>
      </c>
      <c r="I1274" t="s">
        <v>260</v>
      </c>
    </row>
    <row r="1275" spans="1:9" x14ac:dyDescent="0.25">
      <c r="A1275">
        <v>70365</v>
      </c>
      <c r="B1275" t="s">
        <v>204</v>
      </c>
      <c r="C1275" t="s">
        <v>238</v>
      </c>
      <c r="D1275">
        <v>4</v>
      </c>
      <c r="E1275">
        <v>0</v>
      </c>
      <c r="F1275" t="s">
        <v>239</v>
      </c>
      <c r="G1275" t="s">
        <v>19</v>
      </c>
      <c r="H1275">
        <v>0</v>
      </c>
      <c r="I1275" t="s">
        <v>270</v>
      </c>
    </row>
    <row r="1276" spans="1:9" x14ac:dyDescent="0.25">
      <c r="A1276">
        <v>70365</v>
      </c>
      <c r="B1276" t="s">
        <v>204</v>
      </c>
      <c r="C1276" t="s">
        <v>238</v>
      </c>
      <c r="D1276">
        <v>4</v>
      </c>
      <c r="E1276">
        <v>0</v>
      </c>
      <c r="F1276" t="s">
        <v>241</v>
      </c>
      <c r="G1276" t="s">
        <v>139</v>
      </c>
      <c r="H1276">
        <v>0</v>
      </c>
      <c r="I1276" t="s">
        <v>331</v>
      </c>
    </row>
    <row r="1277" spans="1:9" x14ac:dyDescent="0.25">
      <c r="A1277">
        <v>70365</v>
      </c>
      <c r="B1277" t="s">
        <v>204</v>
      </c>
      <c r="C1277" t="s">
        <v>238</v>
      </c>
      <c r="D1277">
        <v>4</v>
      </c>
      <c r="E1277">
        <v>0</v>
      </c>
      <c r="F1277" t="s">
        <v>261</v>
      </c>
      <c r="G1277" t="s">
        <v>261</v>
      </c>
      <c r="H1277">
        <v>-3257752</v>
      </c>
      <c r="I1277" t="s">
        <v>262</v>
      </c>
    </row>
    <row r="1278" spans="1:9" x14ac:dyDescent="0.25">
      <c r="A1278">
        <v>70365</v>
      </c>
      <c r="B1278" t="s">
        <v>204</v>
      </c>
      <c r="C1278" t="s">
        <v>238</v>
      </c>
      <c r="D1278">
        <v>4</v>
      </c>
      <c r="E1278">
        <v>0</v>
      </c>
      <c r="F1278" t="s">
        <v>239</v>
      </c>
      <c r="G1278" t="s">
        <v>19</v>
      </c>
      <c r="H1278">
        <v>85216</v>
      </c>
      <c r="I1278" t="s">
        <v>263</v>
      </c>
    </row>
    <row r="1279" spans="1:9" x14ac:dyDescent="0.25">
      <c r="A1279">
        <v>70365</v>
      </c>
      <c r="B1279" t="s">
        <v>204</v>
      </c>
      <c r="C1279" t="s">
        <v>238</v>
      </c>
      <c r="D1279">
        <v>4</v>
      </c>
      <c r="E1279">
        <v>0</v>
      </c>
      <c r="F1279" t="s">
        <v>239</v>
      </c>
      <c r="G1279" t="s">
        <v>16</v>
      </c>
      <c r="H1279">
        <v>32</v>
      </c>
      <c r="I1279" t="s">
        <v>240</v>
      </c>
    </row>
    <row r="1280" spans="1:9" x14ac:dyDescent="0.25">
      <c r="A1280">
        <v>70365</v>
      </c>
      <c r="B1280" t="s">
        <v>204</v>
      </c>
      <c r="C1280" t="s">
        <v>238</v>
      </c>
      <c r="D1280">
        <v>4</v>
      </c>
      <c r="E1280">
        <v>0</v>
      </c>
      <c r="F1280" t="s">
        <v>239</v>
      </c>
      <c r="G1280" t="s">
        <v>19</v>
      </c>
      <c r="H1280">
        <v>57531</v>
      </c>
      <c r="I1280" t="s">
        <v>264</v>
      </c>
    </row>
    <row r="1281" spans="1:9" x14ac:dyDescent="0.25">
      <c r="A1281">
        <v>70365</v>
      </c>
      <c r="B1281" t="s">
        <v>204</v>
      </c>
      <c r="C1281" t="s">
        <v>238</v>
      </c>
      <c r="D1281">
        <v>4</v>
      </c>
      <c r="E1281">
        <v>0</v>
      </c>
      <c r="F1281" t="s">
        <v>241</v>
      </c>
      <c r="G1281" t="s">
        <v>158</v>
      </c>
      <c r="H1281">
        <v>55364</v>
      </c>
      <c r="I1281" t="s">
        <v>265</v>
      </c>
    </row>
    <row r="1282" spans="1:9" x14ac:dyDescent="0.25">
      <c r="A1282">
        <v>70365</v>
      </c>
      <c r="B1282" t="s">
        <v>204</v>
      </c>
      <c r="C1282" t="s">
        <v>238</v>
      </c>
      <c r="D1282">
        <v>4</v>
      </c>
      <c r="E1282">
        <v>0</v>
      </c>
      <c r="F1282" t="s">
        <v>239</v>
      </c>
      <c r="G1282" t="s">
        <v>19</v>
      </c>
      <c r="H1282">
        <v>0</v>
      </c>
      <c r="I1282" t="s">
        <v>271</v>
      </c>
    </row>
    <row r="1283" spans="1:9" x14ac:dyDescent="0.25">
      <c r="A1283">
        <v>70365</v>
      </c>
      <c r="B1283" t="s">
        <v>204</v>
      </c>
      <c r="C1283" t="s">
        <v>238</v>
      </c>
      <c r="D1283">
        <v>4</v>
      </c>
      <c r="E1283">
        <v>0</v>
      </c>
      <c r="F1283" t="s">
        <v>239</v>
      </c>
      <c r="G1283" t="s">
        <v>19</v>
      </c>
      <c r="H1283">
        <v>0</v>
      </c>
      <c r="I1283" t="s">
        <v>266</v>
      </c>
    </row>
    <row r="1284" spans="1:9" x14ac:dyDescent="0.25">
      <c r="A1284">
        <v>70365</v>
      </c>
      <c r="B1284" t="s">
        <v>204</v>
      </c>
      <c r="C1284" t="s">
        <v>238</v>
      </c>
      <c r="D1284">
        <v>4</v>
      </c>
      <c r="E1284">
        <v>0</v>
      </c>
      <c r="F1284" t="s">
        <v>241</v>
      </c>
      <c r="G1284" t="s">
        <v>143</v>
      </c>
      <c r="H1284">
        <v>0</v>
      </c>
      <c r="I1284" t="s">
        <v>332</v>
      </c>
    </row>
    <row r="1285" spans="1:9" x14ac:dyDescent="0.25">
      <c r="A1285">
        <v>70365</v>
      </c>
      <c r="B1285" t="s">
        <v>204</v>
      </c>
      <c r="C1285" t="s">
        <v>238</v>
      </c>
      <c r="D1285">
        <v>4</v>
      </c>
      <c r="E1285">
        <v>0</v>
      </c>
      <c r="F1285" t="s">
        <v>241</v>
      </c>
      <c r="G1285" t="s">
        <v>138</v>
      </c>
      <c r="H1285">
        <v>0</v>
      </c>
      <c r="I1285" t="s">
        <v>333</v>
      </c>
    </row>
    <row r="1286" spans="1:9" x14ac:dyDescent="0.25">
      <c r="A1286">
        <v>70365</v>
      </c>
      <c r="B1286" t="s">
        <v>204</v>
      </c>
      <c r="C1286" t="s">
        <v>238</v>
      </c>
      <c r="D1286">
        <v>4</v>
      </c>
      <c r="E1286">
        <v>0</v>
      </c>
      <c r="F1286" t="s">
        <v>241</v>
      </c>
      <c r="G1286" t="s">
        <v>138</v>
      </c>
      <c r="H1286">
        <v>0</v>
      </c>
      <c r="I1286" t="s">
        <v>334</v>
      </c>
    </row>
    <row r="1287" spans="1:9" x14ac:dyDescent="0.25">
      <c r="A1287">
        <v>70365</v>
      </c>
      <c r="B1287" t="s">
        <v>204</v>
      </c>
      <c r="C1287" t="s">
        <v>238</v>
      </c>
      <c r="D1287">
        <v>4</v>
      </c>
      <c r="E1287">
        <v>0</v>
      </c>
      <c r="F1287" t="s">
        <v>241</v>
      </c>
      <c r="G1287" t="s">
        <v>138</v>
      </c>
      <c r="H1287">
        <v>-62535</v>
      </c>
      <c r="I1287" t="s">
        <v>268</v>
      </c>
    </row>
    <row r="1288" spans="1:9" x14ac:dyDescent="0.25">
      <c r="A1288">
        <v>70365</v>
      </c>
      <c r="B1288" t="s">
        <v>204</v>
      </c>
      <c r="C1288" t="s">
        <v>238</v>
      </c>
      <c r="D1288">
        <v>4</v>
      </c>
      <c r="E1288">
        <v>0</v>
      </c>
      <c r="F1288" t="s">
        <v>241</v>
      </c>
      <c r="G1288" t="s">
        <v>139</v>
      </c>
      <c r="H1288">
        <v>0</v>
      </c>
      <c r="I1288" t="s">
        <v>336</v>
      </c>
    </row>
    <row r="1289" spans="1:9" x14ac:dyDescent="0.25">
      <c r="A1289">
        <v>70365</v>
      </c>
      <c r="B1289" t="s">
        <v>204</v>
      </c>
      <c r="C1289" t="s">
        <v>238</v>
      </c>
      <c r="D1289">
        <v>4</v>
      </c>
      <c r="E1289">
        <v>0</v>
      </c>
      <c r="F1289" t="s">
        <v>241</v>
      </c>
      <c r="G1289" t="s">
        <v>139</v>
      </c>
      <c r="H1289">
        <v>0</v>
      </c>
      <c r="I1289" t="s">
        <v>337</v>
      </c>
    </row>
    <row r="1290" spans="1:9" x14ac:dyDescent="0.25">
      <c r="A1290">
        <v>70365</v>
      </c>
      <c r="B1290" t="s">
        <v>204</v>
      </c>
      <c r="C1290" t="s">
        <v>238</v>
      </c>
      <c r="D1290">
        <v>4</v>
      </c>
      <c r="E1290">
        <v>0</v>
      </c>
      <c r="F1290" t="s">
        <v>241</v>
      </c>
      <c r="G1290" t="s">
        <v>139</v>
      </c>
      <c r="H1290">
        <v>0</v>
      </c>
      <c r="I1290" t="s">
        <v>335</v>
      </c>
    </row>
    <row r="1291" spans="1:9" x14ac:dyDescent="0.25">
      <c r="A1291">
        <v>70365</v>
      </c>
      <c r="B1291" t="s">
        <v>204</v>
      </c>
      <c r="C1291" t="s">
        <v>238</v>
      </c>
      <c r="D1291">
        <v>4</v>
      </c>
      <c r="E1291">
        <v>0</v>
      </c>
      <c r="F1291" t="s">
        <v>241</v>
      </c>
      <c r="G1291" t="s">
        <v>24</v>
      </c>
      <c r="H1291">
        <v>0</v>
      </c>
      <c r="I1291" t="s">
        <v>338</v>
      </c>
    </row>
    <row r="1292" spans="1:9" x14ac:dyDescent="0.25">
      <c r="A1292">
        <v>70365</v>
      </c>
      <c r="B1292" t="s">
        <v>204</v>
      </c>
      <c r="C1292" t="s">
        <v>238</v>
      </c>
      <c r="D1292">
        <v>4</v>
      </c>
      <c r="E1292">
        <v>0</v>
      </c>
      <c r="F1292" t="s">
        <v>241</v>
      </c>
      <c r="G1292" t="s">
        <v>24</v>
      </c>
      <c r="H1292">
        <v>0</v>
      </c>
      <c r="I1292" t="s">
        <v>339</v>
      </c>
    </row>
    <row r="1293" spans="1:9" x14ac:dyDescent="0.25">
      <c r="A1293">
        <v>70365</v>
      </c>
      <c r="B1293" t="s">
        <v>204</v>
      </c>
      <c r="C1293" t="s">
        <v>238</v>
      </c>
      <c r="D1293">
        <v>4</v>
      </c>
      <c r="E1293">
        <v>0</v>
      </c>
      <c r="F1293" t="s">
        <v>241</v>
      </c>
      <c r="G1293" t="s">
        <v>24</v>
      </c>
      <c r="H1293">
        <v>0</v>
      </c>
      <c r="I1293" t="s">
        <v>340</v>
      </c>
    </row>
    <row r="1294" spans="1:9" x14ac:dyDescent="0.25">
      <c r="A1294">
        <v>70365</v>
      </c>
      <c r="B1294" t="s">
        <v>204</v>
      </c>
      <c r="C1294" t="s">
        <v>238</v>
      </c>
      <c r="D1294">
        <v>4</v>
      </c>
      <c r="E1294">
        <v>0</v>
      </c>
      <c r="F1294" t="s">
        <v>241</v>
      </c>
      <c r="G1294" t="s">
        <v>137</v>
      </c>
      <c r="H1294">
        <v>0</v>
      </c>
      <c r="I1294" t="s">
        <v>273</v>
      </c>
    </row>
    <row r="1295" spans="1:9" x14ac:dyDescent="0.25">
      <c r="A1295">
        <v>70365</v>
      </c>
      <c r="B1295" t="s">
        <v>204</v>
      </c>
      <c r="C1295" t="s">
        <v>238</v>
      </c>
      <c r="D1295">
        <v>4</v>
      </c>
      <c r="E1295">
        <v>0</v>
      </c>
      <c r="F1295" t="s">
        <v>241</v>
      </c>
      <c r="G1295" t="s">
        <v>137</v>
      </c>
      <c r="H1295">
        <v>0</v>
      </c>
      <c r="I1295" t="s">
        <v>341</v>
      </c>
    </row>
    <row r="1296" spans="1:9" x14ac:dyDescent="0.25">
      <c r="A1296">
        <v>70365</v>
      </c>
      <c r="B1296" t="s">
        <v>204</v>
      </c>
      <c r="C1296" t="s">
        <v>238</v>
      </c>
      <c r="D1296">
        <v>4</v>
      </c>
      <c r="E1296">
        <v>0</v>
      </c>
      <c r="F1296" t="s">
        <v>241</v>
      </c>
      <c r="G1296" t="s">
        <v>137</v>
      </c>
      <c r="H1296">
        <v>0</v>
      </c>
      <c r="I1296" t="s">
        <v>342</v>
      </c>
    </row>
    <row r="1297" spans="1:9" x14ac:dyDescent="0.25">
      <c r="A1297">
        <v>70365</v>
      </c>
      <c r="B1297" t="s">
        <v>204</v>
      </c>
      <c r="C1297" t="s">
        <v>238</v>
      </c>
      <c r="D1297">
        <v>4</v>
      </c>
      <c r="E1297">
        <v>0</v>
      </c>
      <c r="F1297" t="s">
        <v>241</v>
      </c>
      <c r="G1297" t="s">
        <v>137</v>
      </c>
      <c r="H1297">
        <v>0</v>
      </c>
      <c r="I1297" t="s">
        <v>343</v>
      </c>
    </row>
    <row r="1298" spans="1:9" x14ac:dyDescent="0.25">
      <c r="A1298">
        <v>70365</v>
      </c>
      <c r="B1298" t="s">
        <v>204</v>
      </c>
      <c r="C1298" t="s">
        <v>238</v>
      </c>
      <c r="D1298">
        <v>4</v>
      </c>
      <c r="E1298">
        <v>0</v>
      </c>
      <c r="F1298" t="s">
        <v>241</v>
      </c>
      <c r="G1298" t="s">
        <v>143</v>
      </c>
      <c r="H1298">
        <v>0</v>
      </c>
      <c r="I1298" t="s">
        <v>344</v>
      </c>
    </row>
    <row r="1299" spans="1:9" x14ac:dyDescent="0.25">
      <c r="A1299">
        <v>70365</v>
      </c>
      <c r="B1299" t="s">
        <v>204</v>
      </c>
      <c r="C1299" t="s">
        <v>238</v>
      </c>
      <c r="D1299">
        <v>4</v>
      </c>
      <c r="E1299">
        <v>0</v>
      </c>
      <c r="F1299" t="s">
        <v>241</v>
      </c>
      <c r="G1299" t="s">
        <v>143</v>
      </c>
      <c r="H1299">
        <v>0</v>
      </c>
      <c r="I1299" t="s">
        <v>345</v>
      </c>
    </row>
    <row r="1300" spans="1:9" x14ac:dyDescent="0.25">
      <c r="A1300">
        <v>70365</v>
      </c>
      <c r="B1300" t="s">
        <v>204</v>
      </c>
      <c r="C1300" t="s">
        <v>238</v>
      </c>
      <c r="D1300">
        <v>4</v>
      </c>
      <c r="E1300">
        <v>0</v>
      </c>
      <c r="F1300" t="s">
        <v>241</v>
      </c>
      <c r="G1300" t="s">
        <v>143</v>
      </c>
      <c r="H1300">
        <v>0</v>
      </c>
      <c r="I1300" t="s">
        <v>346</v>
      </c>
    </row>
    <row r="1301" spans="1:9" x14ac:dyDescent="0.25">
      <c r="A1301">
        <v>70365</v>
      </c>
      <c r="B1301" t="s">
        <v>204</v>
      </c>
      <c r="C1301" t="s">
        <v>238</v>
      </c>
      <c r="D1301">
        <v>4</v>
      </c>
      <c r="E1301">
        <v>0</v>
      </c>
      <c r="F1301" t="s">
        <v>241</v>
      </c>
      <c r="G1301" t="s">
        <v>138</v>
      </c>
      <c r="H1301">
        <v>0</v>
      </c>
      <c r="I1301" t="s">
        <v>347</v>
      </c>
    </row>
    <row r="1302" spans="1:9" x14ac:dyDescent="0.25">
      <c r="A1302">
        <v>70366</v>
      </c>
      <c r="B1302" t="s">
        <v>206</v>
      </c>
      <c r="C1302" t="s">
        <v>238</v>
      </c>
      <c r="D1302">
        <v>4</v>
      </c>
      <c r="E1302">
        <v>0</v>
      </c>
      <c r="F1302" t="s">
        <v>239</v>
      </c>
      <c r="G1302" t="s">
        <v>153</v>
      </c>
      <c r="H1302">
        <v>0</v>
      </c>
      <c r="I1302" t="s">
        <v>351</v>
      </c>
    </row>
    <row r="1303" spans="1:9" x14ac:dyDescent="0.25">
      <c r="A1303">
        <v>70366</v>
      </c>
      <c r="B1303" t="s">
        <v>206</v>
      </c>
      <c r="C1303" t="s">
        <v>238</v>
      </c>
      <c r="D1303">
        <v>4</v>
      </c>
      <c r="E1303">
        <v>0</v>
      </c>
      <c r="F1303" t="s">
        <v>239</v>
      </c>
      <c r="G1303" t="s">
        <v>152</v>
      </c>
      <c r="H1303">
        <v>0</v>
      </c>
      <c r="I1303" t="s">
        <v>352</v>
      </c>
    </row>
    <row r="1304" spans="1:9" x14ac:dyDescent="0.25">
      <c r="A1304">
        <v>70366</v>
      </c>
      <c r="B1304" t="s">
        <v>206</v>
      </c>
      <c r="C1304" t="s">
        <v>238</v>
      </c>
      <c r="D1304">
        <v>4</v>
      </c>
      <c r="E1304">
        <v>0</v>
      </c>
      <c r="F1304" t="s">
        <v>239</v>
      </c>
      <c r="G1304" t="s">
        <v>154</v>
      </c>
      <c r="H1304">
        <v>0</v>
      </c>
      <c r="I1304" t="s">
        <v>349</v>
      </c>
    </row>
    <row r="1305" spans="1:9" x14ac:dyDescent="0.25">
      <c r="A1305">
        <v>70366</v>
      </c>
      <c r="B1305" t="s">
        <v>206</v>
      </c>
      <c r="C1305" t="s">
        <v>238</v>
      </c>
      <c r="D1305">
        <v>4</v>
      </c>
      <c r="E1305">
        <v>0</v>
      </c>
      <c r="F1305" t="s">
        <v>241</v>
      </c>
      <c r="G1305" t="s">
        <v>26</v>
      </c>
      <c r="H1305">
        <v>0</v>
      </c>
      <c r="I1305" t="s">
        <v>350</v>
      </c>
    </row>
    <row r="1306" spans="1:9" x14ac:dyDescent="0.25">
      <c r="A1306">
        <v>70366</v>
      </c>
      <c r="B1306" t="s">
        <v>206</v>
      </c>
      <c r="C1306" t="s">
        <v>238</v>
      </c>
      <c r="D1306">
        <v>4</v>
      </c>
      <c r="E1306">
        <v>0</v>
      </c>
      <c r="F1306" t="s">
        <v>241</v>
      </c>
      <c r="G1306" t="s">
        <v>23</v>
      </c>
      <c r="H1306">
        <v>28565</v>
      </c>
      <c r="I1306" t="s">
        <v>269</v>
      </c>
    </row>
    <row r="1307" spans="1:9" x14ac:dyDescent="0.25">
      <c r="A1307">
        <v>70366</v>
      </c>
      <c r="B1307" t="s">
        <v>206</v>
      </c>
      <c r="C1307" t="s">
        <v>238</v>
      </c>
      <c r="D1307">
        <v>4</v>
      </c>
      <c r="E1307">
        <v>0</v>
      </c>
      <c r="F1307" t="s">
        <v>241</v>
      </c>
      <c r="G1307" t="s">
        <v>26</v>
      </c>
      <c r="H1307">
        <v>0</v>
      </c>
      <c r="I1307" t="s">
        <v>353</v>
      </c>
    </row>
    <row r="1308" spans="1:9" x14ac:dyDescent="0.25">
      <c r="A1308">
        <v>70366</v>
      </c>
      <c r="B1308" t="s">
        <v>206</v>
      </c>
      <c r="C1308" t="s">
        <v>238</v>
      </c>
      <c r="D1308">
        <v>4</v>
      </c>
      <c r="E1308">
        <v>0</v>
      </c>
      <c r="F1308" t="s">
        <v>241</v>
      </c>
      <c r="G1308" t="s">
        <v>157</v>
      </c>
      <c r="H1308">
        <v>0</v>
      </c>
      <c r="I1308" t="s">
        <v>348</v>
      </c>
    </row>
    <row r="1309" spans="1:9" x14ac:dyDescent="0.25">
      <c r="A1309">
        <v>70366</v>
      </c>
      <c r="B1309" t="s">
        <v>206</v>
      </c>
      <c r="C1309" t="s">
        <v>238</v>
      </c>
      <c r="D1309">
        <v>4</v>
      </c>
      <c r="E1309">
        <v>0</v>
      </c>
      <c r="F1309" t="s">
        <v>261</v>
      </c>
      <c r="G1309" t="s">
        <v>261</v>
      </c>
      <c r="H1309">
        <v>0</v>
      </c>
      <c r="I1309" t="s">
        <v>272</v>
      </c>
    </row>
    <row r="1310" spans="1:9" x14ac:dyDescent="0.25">
      <c r="A1310">
        <v>70366</v>
      </c>
      <c r="B1310" t="s">
        <v>206</v>
      </c>
      <c r="C1310" t="s">
        <v>238</v>
      </c>
      <c r="D1310">
        <v>4</v>
      </c>
      <c r="E1310">
        <v>0</v>
      </c>
      <c r="F1310" t="s">
        <v>261</v>
      </c>
      <c r="G1310" t="s">
        <v>261</v>
      </c>
      <c r="H1310">
        <v>0</v>
      </c>
      <c r="I1310" t="s">
        <v>354</v>
      </c>
    </row>
    <row r="1311" spans="1:9" x14ac:dyDescent="0.25">
      <c r="A1311">
        <v>70366</v>
      </c>
      <c r="B1311" t="s">
        <v>206</v>
      </c>
      <c r="C1311" t="s">
        <v>238</v>
      </c>
      <c r="D1311">
        <v>4</v>
      </c>
      <c r="E1311">
        <v>0</v>
      </c>
      <c r="F1311" t="s">
        <v>247</v>
      </c>
      <c r="G1311" t="s">
        <v>12</v>
      </c>
      <c r="H1311">
        <v>-3188723</v>
      </c>
      <c r="I1311" t="s">
        <v>248</v>
      </c>
    </row>
    <row r="1312" spans="1:9" x14ac:dyDescent="0.25">
      <c r="A1312">
        <v>70366</v>
      </c>
      <c r="B1312" t="s">
        <v>206</v>
      </c>
      <c r="C1312" t="s">
        <v>238</v>
      </c>
      <c r="D1312">
        <v>4</v>
      </c>
      <c r="E1312">
        <v>0</v>
      </c>
      <c r="F1312" t="s">
        <v>247</v>
      </c>
      <c r="G1312" t="s">
        <v>13</v>
      </c>
      <c r="H1312">
        <v>6586026</v>
      </c>
      <c r="I1312" t="s">
        <v>249</v>
      </c>
    </row>
    <row r="1313" spans="1:9" x14ac:dyDescent="0.25">
      <c r="A1313">
        <v>70366</v>
      </c>
      <c r="B1313" t="s">
        <v>206</v>
      </c>
      <c r="C1313" t="s">
        <v>238</v>
      </c>
      <c r="D1313">
        <v>4</v>
      </c>
      <c r="E1313">
        <v>0</v>
      </c>
      <c r="F1313" t="s">
        <v>241</v>
      </c>
      <c r="G1313" t="s">
        <v>25</v>
      </c>
      <c r="H1313">
        <v>28687</v>
      </c>
      <c r="I1313" t="s">
        <v>250</v>
      </c>
    </row>
    <row r="1314" spans="1:9" x14ac:dyDescent="0.25">
      <c r="A1314">
        <v>70366</v>
      </c>
      <c r="B1314" t="s">
        <v>206</v>
      </c>
      <c r="C1314" t="s">
        <v>238</v>
      </c>
      <c r="D1314">
        <v>4</v>
      </c>
      <c r="E1314">
        <v>0</v>
      </c>
      <c r="F1314" t="s">
        <v>241</v>
      </c>
      <c r="G1314" t="s">
        <v>26</v>
      </c>
      <c r="H1314">
        <v>0</v>
      </c>
      <c r="I1314" t="s">
        <v>251</v>
      </c>
    </row>
    <row r="1315" spans="1:9" x14ac:dyDescent="0.25">
      <c r="A1315">
        <v>70366</v>
      </c>
      <c r="B1315" t="s">
        <v>206</v>
      </c>
      <c r="C1315" t="s">
        <v>238</v>
      </c>
      <c r="D1315">
        <v>4</v>
      </c>
      <c r="E1315">
        <v>0</v>
      </c>
      <c r="F1315" t="s">
        <v>239</v>
      </c>
      <c r="G1315" t="s">
        <v>18</v>
      </c>
      <c r="H1315">
        <v>394074</v>
      </c>
      <c r="I1315" t="s">
        <v>252</v>
      </c>
    </row>
    <row r="1316" spans="1:9" x14ac:dyDescent="0.25">
      <c r="A1316">
        <v>70366</v>
      </c>
      <c r="B1316" t="s">
        <v>206</v>
      </c>
      <c r="C1316" t="s">
        <v>238</v>
      </c>
      <c r="D1316">
        <v>4</v>
      </c>
      <c r="E1316">
        <v>0</v>
      </c>
      <c r="F1316" t="s">
        <v>241</v>
      </c>
      <c r="G1316" t="s">
        <v>26</v>
      </c>
      <c r="H1316">
        <v>0</v>
      </c>
      <c r="I1316" t="s">
        <v>253</v>
      </c>
    </row>
    <row r="1317" spans="1:9" x14ac:dyDescent="0.25">
      <c r="A1317">
        <v>70366</v>
      </c>
      <c r="B1317" t="s">
        <v>206</v>
      </c>
      <c r="C1317" t="s">
        <v>238</v>
      </c>
      <c r="D1317">
        <v>4</v>
      </c>
      <c r="E1317">
        <v>0</v>
      </c>
      <c r="F1317" t="s">
        <v>247</v>
      </c>
      <c r="G1317" t="s">
        <v>15</v>
      </c>
      <c r="H1317">
        <v>253780</v>
      </c>
      <c r="I1317" t="s">
        <v>254</v>
      </c>
    </row>
    <row r="1318" spans="1:9" x14ac:dyDescent="0.25">
      <c r="A1318">
        <v>70366</v>
      </c>
      <c r="B1318" t="s">
        <v>206</v>
      </c>
      <c r="C1318" t="s">
        <v>238</v>
      </c>
      <c r="D1318">
        <v>4</v>
      </c>
      <c r="E1318">
        <v>0</v>
      </c>
      <c r="F1318" t="s">
        <v>247</v>
      </c>
      <c r="G1318" t="s">
        <v>14</v>
      </c>
      <c r="H1318">
        <v>0</v>
      </c>
      <c r="I1318" t="s">
        <v>355</v>
      </c>
    </row>
    <row r="1319" spans="1:9" x14ac:dyDescent="0.25">
      <c r="A1319">
        <v>70366</v>
      </c>
      <c r="B1319" t="s">
        <v>206</v>
      </c>
      <c r="C1319" t="s">
        <v>238</v>
      </c>
      <c r="D1319">
        <v>4</v>
      </c>
      <c r="E1319">
        <v>0</v>
      </c>
      <c r="F1319" t="s">
        <v>241</v>
      </c>
      <c r="G1319" t="s">
        <v>23</v>
      </c>
      <c r="H1319">
        <v>52371</v>
      </c>
      <c r="I1319" t="s">
        <v>242</v>
      </c>
    </row>
    <row r="1320" spans="1:9" x14ac:dyDescent="0.25">
      <c r="A1320">
        <v>70366</v>
      </c>
      <c r="B1320" t="s">
        <v>206</v>
      </c>
      <c r="C1320" t="s">
        <v>238</v>
      </c>
      <c r="D1320">
        <v>4</v>
      </c>
      <c r="E1320">
        <v>0</v>
      </c>
      <c r="F1320" t="s">
        <v>241</v>
      </c>
      <c r="G1320" t="s">
        <v>24</v>
      </c>
      <c r="H1320">
        <v>93353</v>
      </c>
      <c r="I1320" t="s">
        <v>243</v>
      </c>
    </row>
    <row r="1321" spans="1:9" x14ac:dyDescent="0.25">
      <c r="A1321">
        <v>70366</v>
      </c>
      <c r="B1321" t="s">
        <v>206</v>
      </c>
      <c r="C1321" t="s">
        <v>238</v>
      </c>
      <c r="D1321">
        <v>4</v>
      </c>
      <c r="E1321">
        <v>0</v>
      </c>
      <c r="F1321" t="s">
        <v>241</v>
      </c>
      <c r="G1321" t="s">
        <v>21</v>
      </c>
      <c r="H1321">
        <v>0</v>
      </c>
      <c r="I1321" t="s">
        <v>356</v>
      </c>
    </row>
    <row r="1322" spans="1:9" x14ac:dyDescent="0.25">
      <c r="A1322">
        <v>70366</v>
      </c>
      <c r="B1322" t="s">
        <v>206</v>
      </c>
      <c r="C1322" t="s">
        <v>238</v>
      </c>
      <c r="D1322">
        <v>4</v>
      </c>
      <c r="E1322">
        <v>0</v>
      </c>
      <c r="F1322" t="s">
        <v>239</v>
      </c>
      <c r="G1322" t="s">
        <v>20</v>
      </c>
      <c r="H1322">
        <v>-5107</v>
      </c>
      <c r="I1322" t="s">
        <v>244</v>
      </c>
    </row>
    <row r="1323" spans="1:9" x14ac:dyDescent="0.25">
      <c r="A1323">
        <v>70366</v>
      </c>
      <c r="B1323" t="s">
        <v>206</v>
      </c>
      <c r="C1323" t="s">
        <v>238</v>
      </c>
      <c r="D1323">
        <v>4</v>
      </c>
      <c r="E1323">
        <v>0</v>
      </c>
      <c r="F1323" t="s">
        <v>241</v>
      </c>
      <c r="G1323" t="s">
        <v>22</v>
      </c>
      <c r="H1323">
        <v>9545</v>
      </c>
      <c r="I1323" t="s">
        <v>245</v>
      </c>
    </row>
    <row r="1324" spans="1:9" x14ac:dyDescent="0.25">
      <c r="A1324">
        <v>70366</v>
      </c>
      <c r="B1324" t="s">
        <v>206</v>
      </c>
      <c r="C1324" t="s">
        <v>238</v>
      </c>
      <c r="D1324">
        <v>4</v>
      </c>
      <c r="E1324">
        <v>0</v>
      </c>
      <c r="F1324" t="s">
        <v>241</v>
      </c>
      <c r="G1324" t="s">
        <v>26</v>
      </c>
      <c r="H1324">
        <v>3586</v>
      </c>
      <c r="I1324" t="s">
        <v>246</v>
      </c>
    </row>
    <row r="1325" spans="1:9" x14ac:dyDescent="0.25">
      <c r="A1325">
        <v>70366</v>
      </c>
      <c r="B1325" t="s">
        <v>206</v>
      </c>
      <c r="C1325" t="s">
        <v>238</v>
      </c>
      <c r="D1325">
        <v>4</v>
      </c>
      <c r="E1325">
        <v>0</v>
      </c>
      <c r="F1325" t="s">
        <v>239</v>
      </c>
      <c r="G1325" t="s">
        <v>17</v>
      </c>
      <c r="H1325">
        <v>0</v>
      </c>
      <c r="I1325" t="s">
        <v>357</v>
      </c>
    </row>
    <row r="1326" spans="1:9" x14ac:dyDescent="0.25">
      <c r="A1326">
        <v>70366</v>
      </c>
      <c r="B1326" t="s">
        <v>206</v>
      </c>
      <c r="C1326" t="s">
        <v>238</v>
      </c>
      <c r="D1326">
        <v>4</v>
      </c>
      <c r="E1326">
        <v>0</v>
      </c>
      <c r="F1326" t="s">
        <v>241</v>
      </c>
      <c r="G1326" t="s">
        <v>24</v>
      </c>
      <c r="H1326">
        <v>0</v>
      </c>
      <c r="I1326" t="s">
        <v>358</v>
      </c>
    </row>
    <row r="1327" spans="1:9" x14ac:dyDescent="0.25">
      <c r="A1327">
        <v>70366</v>
      </c>
      <c r="B1327" t="s">
        <v>206</v>
      </c>
      <c r="C1327" t="s">
        <v>238</v>
      </c>
      <c r="D1327">
        <v>4</v>
      </c>
      <c r="E1327">
        <v>0</v>
      </c>
      <c r="F1327" t="s">
        <v>241</v>
      </c>
      <c r="G1327" t="s">
        <v>27</v>
      </c>
      <c r="H1327">
        <v>0</v>
      </c>
      <c r="I1327" t="s">
        <v>359</v>
      </c>
    </row>
    <row r="1328" spans="1:9" x14ac:dyDescent="0.25">
      <c r="A1328">
        <v>70366</v>
      </c>
      <c r="B1328" t="s">
        <v>206</v>
      </c>
      <c r="C1328" t="s">
        <v>238</v>
      </c>
      <c r="D1328">
        <v>4</v>
      </c>
      <c r="E1328">
        <v>0</v>
      </c>
      <c r="F1328" t="s">
        <v>239</v>
      </c>
      <c r="G1328" t="s">
        <v>19</v>
      </c>
      <c r="H1328">
        <v>0</v>
      </c>
      <c r="I1328" t="s">
        <v>360</v>
      </c>
    </row>
    <row r="1329" spans="1:9" x14ac:dyDescent="0.25">
      <c r="A1329">
        <v>70366</v>
      </c>
      <c r="B1329" t="s">
        <v>206</v>
      </c>
      <c r="C1329" t="s">
        <v>238</v>
      </c>
      <c r="D1329">
        <v>4</v>
      </c>
      <c r="E1329">
        <v>0</v>
      </c>
      <c r="F1329" t="s">
        <v>239</v>
      </c>
      <c r="G1329" t="s">
        <v>20</v>
      </c>
      <c r="H1329">
        <v>0</v>
      </c>
      <c r="I1329" t="s">
        <v>255</v>
      </c>
    </row>
    <row r="1330" spans="1:9" x14ac:dyDescent="0.25">
      <c r="A1330">
        <v>70366</v>
      </c>
      <c r="B1330" t="s">
        <v>206</v>
      </c>
      <c r="C1330" t="s">
        <v>238</v>
      </c>
      <c r="D1330">
        <v>4</v>
      </c>
      <c r="E1330">
        <v>0</v>
      </c>
      <c r="F1330" t="s">
        <v>247</v>
      </c>
      <c r="G1330" t="s">
        <v>148</v>
      </c>
      <c r="H1330">
        <v>667744</v>
      </c>
      <c r="I1330" t="s">
        <v>256</v>
      </c>
    </row>
    <row r="1331" spans="1:9" x14ac:dyDescent="0.25">
      <c r="A1331">
        <v>70366</v>
      </c>
      <c r="B1331" t="s">
        <v>206</v>
      </c>
      <c r="C1331" t="s">
        <v>238</v>
      </c>
      <c r="D1331">
        <v>4</v>
      </c>
      <c r="E1331">
        <v>0</v>
      </c>
      <c r="F1331" t="s">
        <v>241</v>
      </c>
      <c r="G1331" t="s">
        <v>27</v>
      </c>
      <c r="H1331">
        <v>9030366</v>
      </c>
      <c r="I1331" t="s">
        <v>257</v>
      </c>
    </row>
    <row r="1332" spans="1:9" x14ac:dyDescent="0.25">
      <c r="A1332">
        <v>70366</v>
      </c>
      <c r="B1332" t="s">
        <v>206</v>
      </c>
      <c r="C1332" t="s">
        <v>238</v>
      </c>
      <c r="D1332">
        <v>4</v>
      </c>
      <c r="E1332">
        <v>0</v>
      </c>
      <c r="F1332" t="s">
        <v>241</v>
      </c>
      <c r="G1332" t="s">
        <v>27</v>
      </c>
      <c r="H1332">
        <v>0</v>
      </c>
      <c r="I1332" t="s">
        <v>361</v>
      </c>
    </row>
    <row r="1333" spans="1:9" x14ac:dyDescent="0.25">
      <c r="A1333">
        <v>70366</v>
      </c>
      <c r="B1333" t="s">
        <v>206</v>
      </c>
      <c r="C1333" t="s">
        <v>238</v>
      </c>
      <c r="D1333">
        <v>4</v>
      </c>
      <c r="E1333">
        <v>0</v>
      </c>
      <c r="F1333" t="s">
        <v>241</v>
      </c>
      <c r="G1333" t="s">
        <v>27</v>
      </c>
      <c r="H1333">
        <v>0</v>
      </c>
      <c r="I1333" t="s">
        <v>362</v>
      </c>
    </row>
    <row r="1334" spans="1:9" x14ac:dyDescent="0.25">
      <c r="A1334">
        <v>70366</v>
      </c>
      <c r="B1334" t="s">
        <v>206</v>
      </c>
      <c r="C1334" t="s">
        <v>238</v>
      </c>
      <c r="D1334">
        <v>4</v>
      </c>
      <c r="E1334">
        <v>0</v>
      </c>
      <c r="F1334" t="s">
        <v>241</v>
      </c>
      <c r="G1334" t="s">
        <v>27</v>
      </c>
      <c r="H1334">
        <v>0</v>
      </c>
      <c r="I1334" t="s">
        <v>363</v>
      </c>
    </row>
    <row r="1335" spans="1:9" x14ac:dyDescent="0.25">
      <c r="A1335">
        <v>70366</v>
      </c>
      <c r="B1335" t="s">
        <v>206</v>
      </c>
      <c r="C1335" t="s">
        <v>238</v>
      </c>
      <c r="D1335">
        <v>4</v>
      </c>
      <c r="E1335">
        <v>0</v>
      </c>
      <c r="F1335" t="s">
        <v>239</v>
      </c>
      <c r="G1335" t="s">
        <v>16</v>
      </c>
      <c r="H1335">
        <v>0</v>
      </c>
      <c r="I1335" t="s">
        <v>267</v>
      </c>
    </row>
    <row r="1336" spans="1:9" x14ac:dyDescent="0.25">
      <c r="A1336">
        <v>70366</v>
      </c>
      <c r="B1336" t="s">
        <v>206</v>
      </c>
      <c r="C1336" t="s">
        <v>238</v>
      </c>
      <c r="D1336">
        <v>4</v>
      </c>
      <c r="E1336">
        <v>0</v>
      </c>
      <c r="F1336" t="s">
        <v>239</v>
      </c>
      <c r="G1336" t="s">
        <v>152</v>
      </c>
      <c r="H1336">
        <v>24235</v>
      </c>
      <c r="I1336" t="s">
        <v>258</v>
      </c>
    </row>
    <row r="1337" spans="1:9" x14ac:dyDescent="0.25">
      <c r="A1337">
        <v>70366</v>
      </c>
      <c r="B1337" t="s">
        <v>206</v>
      </c>
      <c r="C1337" t="s">
        <v>238</v>
      </c>
      <c r="D1337">
        <v>4</v>
      </c>
      <c r="E1337">
        <v>0</v>
      </c>
      <c r="F1337" t="s">
        <v>239</v>
      </c>
      <c r="G1337" t="s">
        <v>154</v>
      </c>
      <c r="H1337">
        <v>153219</v>
      </c>
      <c r="I1337" t="s">
        <v>330</v>
      </c>
    </row>
    <row r="1338" spans="1:9" x14ac:dyDescent="0.25">
      <c r="A1338">
        <v>70366</v>
      </c>
      <c r="B1338" t="s">
        <v>206</v>
      </c>
      <c r="C1338" t="s">
        <v>238</v>
      </c>
      <c r="D1338">
        <v>4</v>
      </c>
      <c r="E1338">
        <v>0</v>
      </c>
      <c r="F1338" t="s">
        <v>239</v>
      </c>
      <c r="G1338" t="s">
        <v>16</v>
      </c>
      <c r="H1338">
        <v>0</v>
      </c>
      <c r="I1338" t="s">
        <v>259</v>
      </c>
    </row>
    <row r="1339" spans="1:9" x14ac:dyDescent="0.25">
      <c r="A1339">
        <v>70366</v>
      </c>
      <c r="B1339" t="s">
        <v>206</v>
      </c>
      <c r="C1339" t="s">
        <v>238</v>
      </c>
      <c r="D1339">
        <v>4</v>
      </c>
      <c r="E1339">
        <v>0</v>
      </c>
      <c r="F1339" t="s">
        <v>239</v>
      </c>
      <c r="G1339" t="s">
        <v>19</v>
      </c>
      <c r="H1339">
        <v>42640</v>
      </c>
      <c r="I1339" t="s">
        <v>260</v>
      </c>
    </row>
    <row r="1340" spans="1:9" x14ac:dyDescent="0.25">
      <c r="A1340">
        <v>70366</v>
      </c>
      <c r="B1340" t="s">
        <v>206</v>
      </c>
      <c r="C1340" t="s">
        <v>238</v>
      </c>
      <c r="D1340">
        <v>4</v>
      </c>
      <c r="E1340">
        <v>0</v>
      </c>
      <c r="F1340" t="s">
        <v>239</v>
      </c>
      <c r="G1340" t="s">
        <v>19</v>
      </c>
      <c r="H1340">
        <v>0</v>
      </c>
      <c r="I1340" t="s">
        <v>270</v>
      </c>
    </row>
    <row r="1341" spans="1:9" x14ac:dyDescent="0.25">
      <c r="A1341">
        <v>70366</v>
      </c>
      <c r="B1341" t="s">
        <v>206</v>
      </c>
      <c r="C1341" t="s">
        <v>238</v>
      </c>
      <c r="D1341">
        <v>4</v>
      </c>
      <c r="E1341">
        <v>0</v>
      </c>
      <c r="F1341" t="s">
        <v>241</v>
      </c>
      <c r="G1341" t="s">
        <v>139</v>
      </c>
      <c r="H1341">
        <v>0</v>
      </c>
      <c r="I1341" t="s">
        <v>331</v>
      </c>
    </row>
    <row r="1342" spans="1:9" x14ac:dyDescent="0.25">
      <c r="A1342">
        <v>70366</v>
      </c>
      <c r="B1342" t="s">
        <v>206</v>
      </c>
      <c r="C1342" t="s">
        <v>238</v>
      </c>
      <c r="D1342">
        <v>4</v>
      </c>
      <c r="E1342">
        <v>0</v>
      </c>
      <c r="F1342" t="s">
        <v>261</v>
      </c>
      <c r="G1342" t="s">
        <v>261</v>
      </c>
      <c r="H1342">
        <v>-4338637</v>
      </c>
      <c r="I1342" t="s">
        <v>262</v>
      </c>
    </row>
    <row r="1343" spans="1:9" x14ac:dyDescent="0.25">
      <c r="A1343">
        <v>70366</v>
      </c>
      <c r="B1343" t="s">
        <v>206</v>
      </c>
      <c r="C1343" t="s">
        <v>238</v>
      </c>
      <c r="D1343">
        <v>4</v>
      </c>
      <c r="E1343">
        <v>0</v>
      </c>
      <c r="F1343" t="s">
        <v>239</v>
      </c>
      <c r="G1343" t="s">
        <v>19</v>
      </c>
      <c r="H1343">
        <v>83335</v>
      </c>
      <c r="I1343" t="s">
        <v>263</v>
      </c>
    </row>
    <row r="1344" spans="1:9" x14ac:dyDescent="0.25">
      <c r="A1344">
        <v>70366</v>
      </c>
      <c r="B1344" t="s">
        <v>206</v>
      </c>
      <c r="C1344" t="s">
        <v>238</v>
      </c>
      <c r="D1344">
        <v>4</v>
      </c>
      <c r="E1344">
        <v>0</v>
      </c>
      <c r="F1344" t="s">
        <v>239</v>
      </c>
      <c r="G1344" t="s">
        <v>16</v>
      </c>
      <c r="H1344">
        <v>22</v>
      </c>
      <c r="I1344" t="s">
        <v>240</v>
      </c>
    </row>
    <row r="1345" spans="1:9" x14ac:dyDescent="0.25">
      <c r="A1345">
        <v>70366</v>
      </c>
      <c r="B1345" t="s">
        <v>206</v>
      </c>
      <c r="C1345" t="s">
        <v>238</v>
      </c>
      <c r="D1345">
        <v>4</v>
      </c>
      <c r="E1345">
        <v>0</v>
      </c>
      <c r="F1345" t="s">
        <v>239</v>
      </c>
      <c r="G1345" t="s">
        <v>19</v>
      </c>
      <c r="H1345">
        <v>59263</v>
      </c>
      <c r="I1345" t="s">
        <v>264</v>
      </c>
    </row>
    <row r="1346" spans="1:9" x14ac:dyDescent="0.25">
      <c r="A1346">
        <v>70366</v>
      </c>
      <c r="B1346" t="s">
        <v>206</v>
      </c>
      <c r="C1346" t="s">
        <v>238</v>
      </c>
      <c r="D1346">
        <v>4</v>
      </c>
      <c r="E1346">
        <v>0</v>
      </c>
      <c r="F1346" t="s">
        <v>241</v>
      </c>
      <c r="G1346" t="s">
        <v>158</v>
      </c>
      <c r="H1346">
        <v>56436</v>
      </c>
      <c r="I1346" t="s">
        <v>265</v>
      </c>
    </row>
    <row r="1347" spans="1:9" x14ac:dyDescent="0.25">
      <c r="A1347">
        <v>70366</v>
      </c>
      <c r="B1347" t="s">
        <v>206</v>
      </c>
      <c r="C1347" t="s">
        <v>238</v>
      </c>
      <c r="D1347">
        <v>4</v>
      </c>
      <c r="E1347">
        <v>0</v>
      </c>
      <c r="F1347" t="s">
        <v>239</v>
      </c>
      <c r="G1347" t="s">
        <v>19</v>
      </c>
      <c r="H1347">
        <v>0</v>
      </c>
      <c r="I1347" t="s">
        <v>271</v>
      </c>
    </row>
    <row r="1348" spans="1:9" x14ac:dyDescent="0.25">
      <c r="A1348">
        <v>70366</v>
      </c>
      <c r="B1348" t="s">
        <v>206</v>
      </c>
      <c r="C1348" t="s">
        <v>238</v>
      </c>
      <c r="D1348">
        <v>4</v>
      </c>
      <c r="E1348">
        <v>0</v>
      </c>
      <c r="F1348" t="s">
        <v>239</v>
      </c>
      <c r="G1348" t="s">
        <v>19</v>
      </c>
      <c r="H1348">
        <v>0</v>
      </c>
      <c r="I1348" t="s">
        <v>266</v>
      </c>
    </row>
    <row r="1349" spans="1:9" x14ac:dyDescent="0.25">
      <c r="A1349">
        <v>70366</v>
      </c>
      <c r="B1349" t="s">
        <v>206</v>
      </c>
      <c r="C1349" t="s">
        <v>238</v>
      </c>
      <c r="D1349">
        <v>4</v>
      </c>
      <c r="E1349">
        <v>0</v>
      </c>
      <c r="F1349" t="s">
        <v>241</v>
      </c>
      <c r="G1349" t="s">
        <v>143</v>
      </c>
      <c r="H1349">
        <v>0</v>
      </c>
      <c r="I1349" t="s">
        <v>332</v>
      </c>
    </row>
    <row r="1350" spans="1:9" x14ac:dyDescent="0.25">
      <c r="A1350">
        <v>70366</v>
      </c>
      <c r="B1350" t="s">
        <v>206</v>
      </c>
      <c r="C1350" t="s">
        <v>238</v>
      </c>
      <c r="D1350">
        <v>4</v>
      </c>
      <c r="E1350">
        <v>0</v>
      </c>
      <c r="F1350" t="s">
        <v>241</v>
      </c>
      <c r="G1350" t="s">
        <v>138</v>
      </c>
      <c r="H1350">
        <v>0</v>
      </c>
      <c r="I1350" t="s">
        <v>333</v>
      </c>
    </row>
    <row r="1351" spans="1:9" x14ac:dyDescent="0.25">
      <c r="A1351">
        <v>70366</v>
      </c>
      <c r="B1351" t="s">
        <v>206</v>
      </c>
      <c r="C1351" t="s">
        <v>238</v>
      </c>
      <c r="D1351">
        <v>4</v>
      </c>
      <c r="E1351">
        <v>0</v>
      </c>
      <c r="F1351" t="s">
        <v>241</v>
      </c>
      <c r="G1351" t="s">
        <v>138</v>
      </c>
      <c r="H1351">
        <v>0</v>
      </c>
      <c r="I1351" t="s">
        <v>334</v>
      </c>
    </row>
    <row r="1352" spans="1:9" x14ac:dyDescent="0.25">
      <c r="A1352">
        <v>70366</v>
      </c>
      <c r="B1352" t="s">
        <v>206</v>
      </c>
      <c r="C1352" t="s">
        <v>238</v>
      </c>
      <c r="D1352">
        <v>4</v>
      </c>
      <c r="E1352">
        <v>0</v>
      </c>
      <c r="F1352" t="s">
        <v>241</v>
      </c>
      <c r="G1352" t="s">
        <v>138</v>
      </c>
      <c r="H1352">
        <v>-47579</v>
      </c>
      <c r="I1352" t="s">
        <v>268</v>
      </c>
    </row>
    <row r="1353" spans="1:9" x14ac:dyDescent="0.25">
      <c r="A1353">
        <v>70366</v>
      </c>
      <c r="B1353" t="s">
        <v>206</v>
      </c>
      <c r="C1353" t="s">
        <v>238</v>
      </c>
      <c r="D1353">
        <v>4</v>
      </c>
      <c r="E1353">
        <v>0</v>
      </c>
      <c r="F1353" t="s">
        <v>241</v>
      </c>
      <c r="G1353" t="s">
        <v>139</v>
      </c>
      <c r="H1353">
        <v>0</v>
      </c>
      <c r="I1353" t="s">
        <v>336</v>
      </c>
    </row>
    <row r="1354" spans="1:9" x14ac:dyDescent="0.25">
      <c r="A1354">
        <v>70366</v>
      </c>
      <c r="B1354" t="s">
        <v>206</v>
      </c>
      <c r="C1354" t="s">
        <v>238</v>
      </c>
      <c r="D1354">
        <v>4</v>
      </c>
      <c r="E1354">
        <v>0</v>
      </c>
      <c r="F1354" t="s">
        <v>241</v>
      </c>
      <c r="G1354" t="s">
        <v>139</v>
      </c>
      <c r="H1354">
        <v>0</v>
      </c>
      <c r="I1354" t="s">
        <v>337</v>
      </c>
    </row>
    <row r="1355" spans="1:9" x14ac:dyDescent="0.25">
      <c r="A1355">
        <v>70366</v>
      </c>
      <c r="B1355" t="s">
        <v>206</v>
      </c>
      <c r="C1355" t="s">
        <v>238</v>
      </c>
      <c r="D1355">
        <v>4</v>
      </c>
      <c r="E1355">
        <v>0</v>
      </c>
      <c r="F1355" t="s">
        <v>241</v>
      </c>
      <c r="G1355" t="s">
        <v>139</v>
      </c>
      <c r="H1355">
        <v>0</v>
      </c>
      <c r="I1355" t="s">
        <v>335</v>
      </c>
    </row>
    <row r="1356" spans="1:9" x14ac:dyDescent="0.25">
      <c r="A1356">
        <v>70366</v>
      </c>
      <c r="B1356" t="s">
        <v>206</v>
      </c>
      <c r="C1356" t="s">
        <v>238</v>
      </c>
      <c r="D1356">
        <v>4</v>
      </c>
      <c r="E1356">
        <v>0</v>
      </c>
      <c r="F1356" t="s">
        <v>241</v>
      </c>
      <c r="G1356" t="s">
        <v>24</v>
      </c>
      <c r="H1356">
        <v>0</v>
      </c>
      <c r="I1356" t="s">
        <v>338</v>
      </c>
    </row>
    <row r="1357" spans="1:9" x14ac:dyDescent="0.25">
      <c r="A1357">
        <v>70366</v>
      </c>
      <c r="B1357" t="s">
        <v>206</v>
      </c>
      <c r="C1357" t="s">
        <v>238</v>
      </c>
      <c r="D1357">
        <v>4</v>
      </c>
      <c r="E1357">
        <v>0</v>
      </c>
      <c r="F1357" t="s">
        <v>241</v>
      </c>
      <c r="G1357" t="s">
        <v>24</v>
      </c>
      <c r="H1357">
        <v>0</v>
      </c>
      <c r="I1357" t="s">
        <v>339</v>
      </c>
    </row>
    <row r="1358" spans="1:9" x14ac:dyDescent="0.25">
      <c r="A1358">
        <v>70366</v>
      </c>
      <c r="B1358" t="s">
        <v>206</v>
      </c>
      <c r="C1358" t="s">
        <v>238</v>
      </c>
      <c r="D1358">
        <v>4</v>
      </c>
      <c r="E1358">
        <v>0</v>
      </c>
      <c r="F1358" t="s">
        <v>241</v>
      </c>
      <c r="G1358" t="s">
        <v>24</v>
      </c>
      <c r="H1358">
        <v>0</v>
      </c>
      <c r="I1358" t="s">
        <v>340</v>
      </c>
    </row>
    <row r="1359" spans="1:9" x14ac:dyDescent="0.25">
      <c r="A1359">
        <v>70366</v>
      </c>
      <c r="B1359" t="s">
        <v>206</v>
      </c>
      <c r="C1359" t="s">
        <v>238</v>
      </c>
      <c r="D1359">
        <v>4</v>
      </c>
      <c r="E1359">
        <v>0</v>
      </c>
      <c r="F1359" t="s">
        <v>241</v>
      </c>
      <c r="G1359" t="s">
        <v>137</v>
      </c>
      <c r="H1359">
        <v>0</v>
      </c>
      <c r="I1359" t="s">
        <v>273</v>
      </c>
    </row>
    <row r="1360" spans="1:9" x14ac:dyDescent="0.25">
      <c r="A1360">
        <v>70366</v>
      </c>
      <c r="B1360" t="s">
        <v>206</v>
      </c>
      <c r="C1360" t="s">
        <v>238</v>
      </c>
      <c r="D1360">
        <v>4</v>
      </c>
      <c r="E1360">
        <v>0</v>
      </c>
      <c r="F1360" t="s">
        <v>241</v>
      </c>
      <c r="G1360" t="s">
        <v>137</v>
      </c>
      <c r="H1360">
        <v>0</v>
      </c>
      <c r="I1360" t="s">
        <v>341</v>
      </c>
    </row>
    <row r="1361" spans="1:9" x14ac:dyDescent="0.25">
      <c r="A1361">
        <v>70366</v>
      </c>
      <c r="B1361" t="s">
        <v>206</v>
      </c>
      <c r="C1361" t="s">
        <v>238</v>
      </c>
      <c r="D1361">
        <v>4</v>
      </c>
      <c r="E1361">
        <v>0</v>
      </c>
      <c r="F1361" t="s">
        <v>241</v>
      </c>
      <c r="G1361" t="s">
        <v>137</v>
      </c>
      <c r="H1361">
        <v>0</v>
      </c>
      <c r="I1361" t="s">
        <v>342</v>
      </c>
    </row>
    <row r="1362" spans="1:9" x14ac:dyDescent="0.25">
      <c r="A1362">
        <v>70366</v>
      </c>
      <c r="B1362" t="s">
        <v>206</v>
      </c>
      <c r="C1362" t="s">
        <v>238</v>
      </c>
      <c r="D1362">
        <v>4</v>
      </c>
      <c r="E1362">
        <v>0</v>
      </c>
      <c r="F1362" t="s">
        <v>241</v>
      </c>
      <c r="G1362" t="s">
        <v>137</v>
      </c>
      <c r="H1362">
        <v>0</v>
      </c>
      <c r="I1362" t="s">
        <v>343</v>
      </c>
    </row>
    <row r="1363" spans="1:9" x14ac:dyDescent="0.25">
      <c r="A1363">
        <v>70366</v>
      </c>
      <c r="B1363" t="s">
        <v>206</v>
      </c>
      <c r="C1363" t="s">
        <v>238</v>
      </c>
      <c r="D1363">
        <v>4</v>
      </c>
      <c r="E1363">
        <v>0</v>
      </c>
      <c r="F1363" t="s">
        <v>241</v>
      </c>
      <c r="G1363" t="s">
        <v>143</v>
      </c>
      <c r="H1363">
        <v>0</v>
      </c>
      <c r="I1363" t="s">
        <v>344</v>
      </c>
    </row>
    <row r="1364" spans="1:9" x14ac:dyDescent="0.25">
      <c r="A1364">
        <v>70366</v>
      </c>
      <c r="B1364" t="s">
        <v>206</v>
      </c>
      <c r="C1364" t="s">
        <v>238</v>
      </c>
      <c r="D1364">
        <v>4</v>
      </c>
      <c r="E1364">
        <v>0</v>
      </c>
      <c r="F1364" t="s">
        <v>241</v>
      </c>
      <c r="G1364" t="s">
        <v>143</v>
      </c>
      <c r="H1364">
        <v>0</v>
      </c>
      <c r="I1364" t="s">
        <v>345</v>
      </c>
    </row>
    <row r="1365" spans="1:9" x14ac:dyDescent="0.25">
      <c r="A1365">
        <v>70366</v>
      </c>
      <c r="B1365" t="s">
        <v>206</v>
      </c>
      <c r="C1365" t="s">
        <v>238</v>
      </c>
      <c r="D1365">
        <v>4</v>
      </c>
      <c r="E1365">
        <v>0</v>
      </c>
      <c r="F1365" t="s">
        <v>241</v>
      </c>
      <c r="G1365" t="s">
        <v>143</v>
      </c>
      <c r="H1365">
        <v>0</v>
      </c>
      <c r="I1365" t="s">
        <v>346</v>
      </c>
    </row>
    <row r="1366" spans="1:9" x14ac:dyDescent="0.25">
      <c r="A1366">
        <v>70366</v>
      </c>
      <c r="B1366" t="s">
        <v>206</v>
      </c>
      <c r="C1366" t="s">
        <v>238</v>
      </c>
      <c r="D1366">
        <v>4</v>
      </c>
      <c r="E1366">
        <v>0</v>
      </c>
      <c r="F1366" t="s">
        <v>241</v>
      </c>
      <c r="G1366" t="s">
        <v>138</v>
      </c>
      <c r="H1366">
        <v>0</v>
      </c>
      <c r="I1366" t="s">
        <v>347</v>
      </c>
    </row>
    <row r="1367" spans="1:9" x14ac:dyDescent="0.25">
      <c r="A1367">
        <v>70367</v>
      </c>
      <c r="B1367" t="s">
        <v>208</v>
      </c>
      <c r="C1367" t="s">
        <v>238</v>
      </c>
      <c r="D1367">
        <v>4</v>
      </c>
      <c r="E1367">
        <v>0</v>
      </c>
      <c r="F1367" t="s">
        <v>239</v>
      </c>
      <c r="G1367" t="s">
        <v>153</v>
      </c>
      <c r="H1367">
        <v>0</v>
      </c>
      <c r="I1367" t="s">
        <v>351</v>
      </c>
    </row>
    <row r="1368" spans="1:9" x14ac:dyDescent="0.25">
      <c r="A1368">
        <v>70367</v>
      </c>
      <c r="B1368" t="s">
        <v>208</v>
      </c>
      <c r="C1368" t="s">
        <v>238</v>
      </c>
      <c r="D1368">
        <v>4</v>
      </c>
      <c r="E1368">
        <v>0</v>
      </c>
      <c r="F1368" t="s">
        <v>239</v>
      </c>
      <c r="G1368" t="s">
        <v>152</v>
      </c>
      <c r="H1368">
        <v>0</v>
      </c>
      <c r="I1368" t="s">
        <v>352</v>
      </c>
    </row>
    <row r="1369" spans="1:9" x14ac:dyDescent="0.25">
      <c r="A1369">
        <v>70367</v>
      </c>
      <c r="B1369" t="s">
        <v>208</v>
      </c>
      <c r="C1369" t="s">
        <v>238</v>
      </c>
      <c r="D1369">
        <v>4</v>
      </c>
      <c r="E1369">
        <v>0</v>
      </c>
      <c r="F1369" t="s">
        <v>239</v>
      </c>
      <c r="G1369" t="s">
        <v>154</v>
      </c>
      <c r="H1369">
        <v>0</v>
      </c>
      <c r="I1369" t="s">
        <v>349</v>
      </c>
    </row>
    <row r="1370" spans="1:9" x14ac:dyDescent="0.25">
      <c r="A1370">
        <v>70367</v>
      </c>
      <c r="B1370" t="s">
        <v>208</v>
      </c>
      <c r="C1370" t="s">
        <v>238</v>
      </c>
      <c r="D1370">
        <v>4</v>
      </c>
      <c r="E1370">
        <v>0</v>
      </c>
      <c r="F1370" t="s">
        <v>241</v>
      </c>
      <c r="G1370" t="s">
        <v>26</v>
      </c>
      <c r="H1370">
        <v>0</v>
      </c>
      <c r="I1370" t="s">
        <v>350</v>
      </c>
    </row>
    <row r="1371" spans="1:9" x14ac:dyDescent="0.25">
      <c r="A1371">
        <v>70367</v>
      </c>
      <c r="B1371" t="s">
        <v>208</v>
      </c>
      <c r="C1371" t="s">
        <v>238</v>
      </c>
      <c r="D1371">
        <v>4</v>
      </c>
      <c r="E1371">
        <v>0</v>
      </c>
      <c r="F1371" t="s">
        <v>241</v>
      </c>
      <c r="G1371" t="s">
        <v>23</v>
      </c>
      <c r="H1371">
        <v>0</v>
      </c>
      <c r="I1371" t="s">
        <v>269</v>
      </c>
    </row>
    <row r="1372" spans="1:9" x14ac:dyDescent="0.25">
      <c r="A1372">
        <v>70367</v>
      </c>
      <c r="B1372" t="s">
        <v>208</v>
      </c>
      <c r="C1372" t="s">
        <v>238</v>
      </c>
      <c r="D1372">
        <v>4</v>
      </c>
      <c r="E1372">
        <v>0</v>
      </c>
      <c r="F1372" t="s">
        <v>241</v>
      </c>
      <c r="G1372" t="s">
        <v>26</v>
      </c>
      <c r="H1372">
        <v>0</v>
      </c>
      <c r="I1372" t="s">
        <v>353</v>
      </c>
    </row>
    <row r="1373" spans="1:9" x14ac:dyDescent="0.25">
      <c r="A1373">
        <v>70367</v>
      </c>
      <c r="B1373" t="s">
        <v>208</v>
      </c>
      <c r="C1373" t="s">
        <v>238</v>
      </c>
      <c r="D1373">
        <v>4</v>
      </c>
      <c r="E1373">
        <v>0</v>
      </c>
      <c r="F1373" t="s">
        <v>241</v>
      </c>
      <c r="G1373" t="s">
        <v>157</v>
      </c>
      <c r="H1373">
        <v>0</v>
      </c>
      <c r="I1373" t="s">
        <v>348</v>
      </c>
    </row>
    <row r="1374" spans="1:9" x14ac:dyDescent="0.25">
      <c r="A1374">
        <v>70367</v>
      </c>
      <c r="B1374" t="s">
        <v>208</v>
      </c>
      <c r="C1374" t="s">
        <v>238</v>
      </c>
      <c r="D1374">
        <v>4</v>
      </c>
      <c r="E1374">
        <v>0</v>
      </c>
      <c r="F1374" t="s">
        <v>261</v>
      </c>
      <c r="G1374" t="s">
        <v>261</v>
      </c>
      <c r="H1374">
        <v>-10000</v>
      </c>
      <c r="I1374" t="s">
        <v>272</v>
      </c>
    </row>
    <row r="1375" spans="1:9" x14ac:dyDescent="0.25">
      <c r="A1375">
        <v>70367</v>
      </c>
      <c r="B1375" t="s">
        <v>208</v>
      </c>
      <c r="C1375" t="s">
        <v>238</v>
      </c>
      <c r="D1375">
        <v>4</v>
      </c>
      <c r="E1375">
        <v>0</v>
      </c>
      <c r="F1375" t="s">
        <v>261</v>
      </c>
      <c r="G1375" t="s">
        <v>261</v>
      </c>
      <c r="H1375">
        <v>0</v>
      </c>
      <c r="I1375" t="s">
        <v>354</v>
      </c>
    </row>
    <row r="1376" spans="1:9" x14ac:dyDescent="0.25">
      <c r="A1376">
        <v>70367</v>
      </c>
      <c r="B1376" t="s">
        <v>208</v>
      </c>
      <c r="C1376" t="s">
        <v>238</v>
      </c>
      <c r="D1376">
        <v>4</v>
      </c>
      <c r="E1376">
        <v>0</v>
      </c>
      <c r="F1376" t="s">
        <v>247</v>
      </c>
      <c r="G1376" t="s">
        <v>12</v>
      </c>
      <c r="H1376">
        <v>-4721912</v>
      </c>
      <c r="I1376" t="s">
        <v>248</v>
      </c>
    </row>
    <row r="1377" spans="1:9" x14ac:dyDescent="0.25">
      <c r="A1377">
        <v>70367</v>
      </c>
      <c r="B1377" t="s">
        <v>208</v>
      </c>
      <c r="C1377" t="s">
        <v>238</v>
      </c>
      <c r="D1377">
        <v>4</v>
      </c>
      <c r="E1377">
        <v>0</v>
      </c>
      <c r="F1377" t="s">
        <v>247</v>
      </c>
      <c r="G1377" t="s">
        <v>13</v>
      </c>
      <c r="H1377">
        <v>13720368</v>
      </c>
      <c r="I1377" t="s">
        <v>249</v>
      </c>
    </row>
    <row r="1378" spans="1:9" x14ac:dyDescent="0.25">
      <c r="A1378">
        <v>70367</v>
      </c>
      <c r="B1378" t="s">
        <v>208</v>
      </c>
      <c r="C1378" t="s">
        <v>238</v>
      </c>
      <c r="D1378">
        <v>4</v>
      </c>
      <c r="E1378">
        <v>0</v>
      </c>
      <c r="F1378" t="s">
        <v>241</v>
      </c>
      <c r="G1378" t="s">
        <v>25</v>
      </c>
      <c r="H1378">
        <v>235653</v>
      </c>
      <c r="I1378" t="s">
        <v>250</v>
      </c>
    </row>
    <row r="1379" spans="1:9" x14ac:dyDescent="0.25">
      <c r="A1379">
        <v>70367</v>
      </c>
      <c r="B1379" t="s">
        <v>208</v>
      </c>
      <c r="C1379" t="s">
        <v>238</v>
      </c>
      <c r="D1379">
        <v>4</v>
      </c>
      <c r="E1379">
        <v>0</v>
      </c>
      <c r="F1379" t="s">
        <v>241</v>
      </c>
      <c r="G1379" t="s">
        <v>26</v>
      </c>
      <c r="H1379">
        <v>0</v>
      </c>
      <c r="I1379" t="s">
        <v>251</v>
      </c>
    </row>
    <row r="1380" spans="1:9" x14ac:dyDescent="0.25">
      <c r="A1380">
        <v>70367</v>
      </c>
      <c r="B1380" t="s">
        <v>208</v>
      </c>
      <c r="C1380" t="s">
        <v>238</v>
      </c>
      <c r="D1380">
        <v>4</v>
      </c>
      <c r="E1380">
        <v>0</v>
      </c>
      <c r="F1380" t="s">
        <v>239</v>
      </c>
      <c r="G1380" t="s">
        <v>18</v>
      </c>
      <c r="H1380">
        <v>731886</v>
      </c>
      <c r="I1380" t="s">
        <v>252</v>
      </c>
    </row>
    <row r="1381" spans="1:9" x14ac:dyDescent="0.25">
      <c r="A1381">
        <v>70367</v>
      </c>
      <c r="B1381" t="s">
        <v>208</v>
      </c>
      <c r="C1381" t="s">
        <v>238</v>
      </c>
      <c r="D1381">
        <v>4</v>
      </c>
      <c r="E1381">
        <v>0</v>
      </c>
      <c r="F1381" t="s">
        <v>241</v>
      </c>
      <c r="G1381" t="s">
        <v>26</v>
      </c>
      <c r="H1381">
        <v>0</v>
      </c>
      <c r="I1381" t="s">
        <v>253</v>
      </c>
    </row>
    <row r="1382" spans="1:9" x14ac:dyDescent="0.25">
      <c r="A1382">
        <v>70367</v>
      </c>
      <c r="B1382" t="s">
        <v>208</v>
      </c>
      <c r="C1382" t="s">
        <v>238</v>
      </c>
      <c r="D1382">
        <v>4</v>
      </c>
      <c r="E1382">
        <v>0</v>
      </c>
      <c r="F1382" t="s">
        <v>247</v>
      </c>
      <c r="G1382" t="s">
        <v>15</v>
      </c>
      <c r="H1382">
        <v>511688</v>
      </c>
      <c r="I1382" t="s">
        <v>254</v>
      </c>
    </row>
    <row r="1383" spans="1:9" x14ac:dyDescent="0.25">
      <c r="A1383">
        <v>70367</v>
      </c>
      <c r="B1383" t="s">
        <v>208</v>
      </c>
      <c r="C1383" t="s">
        <v>238</v>
      </c>
      <c r="D1383">
        <v>4</v>
      </c>
      <c r="E1383">
        <v>0</v>
      </c>
      <c r="F1383" t="s">
        <v>247</v>
      </c>
      <c r="G1383" t="s">
        <v>14</v>
      </c>
      <c r="H1383">
        <v>0</v>
      </c>
      <c r="I1383" t="s">
        <v>355</v>
      </c>
    </row>
    <row r="1384" spans="1:9" x14ac:dyDescent="0.25">
      <c r="A1384">
        <v>70367</v>
      </c>
      <c r="B1384" t="s">
        <v>208</v>
      </c>
      <c r="C1384" t="s">
        <v>238</v>
      </c>
      <c r="D1384">
        <v>4</v>
      </c>
      <c r="E1384">
        <v>0</v>
      </c>
      <c r="F1384" t="s">
        <v>241</v>
      </c>
      <c r="G1384" t="s">
        <v>23</v>
      </c>
      <c r="H1384">
        <v>140342</v>
      </c>
      <c r="I1384" t="s">
        <v>242</v>
      </c>
    </row>
    <row r="1385" spans="1:9" x14ac:dyDescent="0.25">
      <c r="A1385">
        <v>70367</v>
      </c>
      <c r="B1385" t="s">
        <v>208</v>
      </c>
      <c r="C1385" t="s">
        <v>238</v>
      </c>
      <c r="D1385">
        <v>4</v>
      </c>
      <c r="E1385">
        <v>0</v>
      </c>
      <c r="F1385" t="s">
        <v>241</v>
      </c>
      <c r="G1385" t="s">
        <v>24</v>
      </c>
      <c r="H1385">
        <v>107569</v>
      </c>
      <c r="I1385" t="s">
        <v>243</v>
      </c>
    </row>
    <row r="1386" spans="1:9" x14ac:dyDescent="0.25">
      <c r="A1386">
        <v>70367</v>
      </c>
      <c r="B1386" t="s">
        <v>208</v>
      </c>
      <c r="C1386" t="s">
        <v>238</v>
      </c>
      <c r="D1386">
        <v>4</v>
      </c>
      <c r="E1386">
        <v>0</v>
      </c>
      <c r="F1386" t="s">
        <v>241</v>
      </c>
      <c r="G1386" t="s">
        <v>21</v>
      </c>
      <c r="H1386">
        <v>0</v>
      </c>
      <c r="I1386" t="s">
        <v>356</v>
      </c>
    </row>
    <row r="1387" spans="1:9" x14ac:dyDescent="0.25">
      <c r="A1387">
        <v>70367</v>
      </c>
      <c r="B1387" t="s">
        <v>208</v>
      </c>
      <c r="C1387" t="s">
        <v>238</v>
      </c>
      <c r="D1387">
        <v>4</v>
      </c>
      <c r="E1387">
        <v>0</v>
      </c>
      <c r="F1387" t="s">
        <v>239</v>
      </c>
      <c r="G1387" t="s">
        <v>20</v>
      </c>
      <c r="H1387">
        <v>-53448</v>
      </c>
      <c r="I1387" t="s">
        <v>244</v>
      </c>
    </row>
    <row r="1388" spans="1:9" x14ac:dyDescent="0.25">
      <c r="A1388">
        <v>70367</v>
      </c>
      <c r="B1388" t="s">
        <v>208</v>
      </c>
      <c r="C1388" t="s">
        <v>238</v>
      </c>
      <c r="D1388">
        <v>4</v>
      </c>
      <c r="E1388">
        <v>0</v>
      </c>
      <c r="F1388" t="s">
        <v>241</v>
      </c>
      <c r="G1388" t="s">
        <v>22</v>
      </c>
      <c r="H1388">
        <v>24244</v>
      </c>
      <c r="I1388" t="s">
        <v>245</v>
      </c>
    </row>
    <row r="1389" spans="1:9" x14ac:dyDescent="0.25">
      <c r="A1389">
        <v>70367</v>
      </c>
      <c r="B1389" t="s">
        <v>208</v>
      </c>
      <c r="C1389" t="s">
        <v>238</v>
      </c>
      <c r="D1389">
        <v>4</v>
      </c>
      <c r="E1389">
        <v>0</v>
      </c>
      <c r="F1389" t="s">
        <v>241</v>
      </c>
      <c r="G1389" t="s">
        <v>26</v>
      </c>
      <c r="H1389">
        <v>5668</v>
      </c>
      <c r="I1389" t="s">
        <v>246</v>
      </c>
    </row>
    <row r="1390" spans="1:9" x14ac:dyDescent="0.25">
      <c r="A1390">
        <v>70367</v>
      </c>
      <c r="B1390" t="s">
        <v>208</v>
      </c>
      <c r="C1390" t="s">
        <v>238</v>
      </c>
      <c r="D1390">
        <v>4</v>
      </c>
      <c r="E1390">
        <v>0</v>
      </c>
      <c r="F1390" t="s">
        <v>239</v>
      </c>
      <c r="G1390" t="s">
        <v>17</v>
      </c>
      <c r="H1390">
        <v>0</v>
      </c>
      <c r="I1390" t="s">
        <v>357</v>
      </c>
    </row>
    <row r="1391" spans="1:9" x14ac:dyDescent="0.25">
      <c r="A1391">
        <v>70367</v>
      </c>
      <c r="B1391" t="s">
        <v>208</v>
      </c>
      <c r="C1391" t="s">
        <v>238</v>
      </c>
      <c r="D1391">
        <v>4</v>
      </c>
      <c r="E1391">
        <v>0</v>
      </c>
      <c r="F1391" t="s">
        <v>241</v>
      </c>
      <c r="G1391" t="s">
        <v>24</v>
      </c>
      <c r="H1391">
        <v>0</v>
      </c>
      <c r="I1391" t="s">
        <v>358</v>
      </c>
    </row>
    <row r="1392" spans="1:9" x14ac:dyDescent="0.25">
      <c r="A1392">
        <v>70367</v>
      </c>
      <c r="B1392" t="s">
        <v>208</v>
      </c>
      <c r="C1392" t="s">
        <v>238</v>
      </c>
      <c r="D1392">
        <v>4</v>
      </c>
      <c r="E1392">
        <v>0</v>
      </c>
      <c r="F1392" t="s">
        <v>241</v>
      </c>
      <c r="G1392" t="s">
        <v>27</v>
      </c>
      <c r="H1392">
        <v>0</v>
      </c>
      <c r="I1392" t="s">
        <v>359</v>
      </c>
    </row>
    <row r="1393" spans="1:9" x14ac:dyDescent="0.25">
      <c r="A1393">
        <v>70367</v>
      </c>
      <c r="B1393" t="s">
        <v>208</v>
      </c>
      <c r="C1393" t="s">
        <v>238</v>
      </c>
      <c r="D1393">
        <v>4</v>
      </c>
      <c r="E1393">
        <v>0</v>
      </c>
      <c r="F1393" t="s">
        <v>239</v>
      </c>
      <c r="G1393" t="s">
        <v>19</v>
      </c>
      <c r="H1393">
        <v>0</v>
      </c>
      <c r="I1393" t="s">
        <v>360</v>
      </c>
    </row>
    <row r="1394" spans="1:9" x14ac:dyDescent="0.25">
      <c r="A1394">
        <v>70367</v>
      </c>
      <c r="B1394" t="s">
        <v>208</v>
      </c>
      <c r="C1394" t="s">
        <v>238</v>
      </c>
      <c r="D1394">
        <v>4</v>
      </c>
      <c r="E1394">
        <v>0</v>
      </c>
      <c r="F1394" t="s">
        <v>239</v>
      </c>
      <c r="G1394" t="s">
        <v>20</v>
      </c>
      <c r="H1394">
        <v>816043</v>
      </c>
      <c r="I1394" t="s">
        <v>255</v>
      </c>
    </row>
    <row r="1395" spans="1:9" x14ac:dyDescent="0.25">
      <c r="A1395">
        <v>70367</v>
      </c>
      <c r="B1395" t="s">
        <v>208</v>
      </c>
      <c r="C1395" t="s">
        <v>238</v>
      </c>
      <c r="D1395">
        <v>4</v>
      </c>
      <c r="E1395">
        <v>0</v>
      </c>
      <c r="F1395" t="s">
        <v>247</v>
      </c>
      <c r="G1395" t="s">
        <v>148</v>
      </c>
      <c r="H1395">
        <v>1879000</v>
      </c>
      <c r="I1395" t="s">
        <v>256</v>
      </c>
    </row>
    <row r="1396" spans="1:9" x14ac:dyDescent="0.25">
      <c r="A1396">
        <v>70367</v>
      </c>
      <c r="B1396" t="s">
        <v>208</v>
      </c>
      <c r="C1396" t="s">
        <v>238</v>
      </c>
      <c r="D1396">
        <v>4</v>
      </c>
      <c r="E1396">
        <v>0</v>
      </c>
      <c r="F1396" t="s">
        <v>241</v>
      </c>
      <c r="G1396" t="s">
        <v>27</v>
      </c>
      <c r="H1396">
        <v>26216543</v>
      </c>
      <c r="I1396" t="s">
        <v>257</v>
      </c>
    </row>
    <row r="1397" spans="1:9" x14ac:dyDescent="0.25">
      <c r="A1397">
        <v>70367</v>
      </c>
      <c r="B1397" t="s">
        <v>208</v>
      </c>
      <c r="C1397" t="s">
        <v>238</v>
      </c>
      <c r="D1397">
        <v>4</v>
      </c>
      <c r="E1397">
        <v>0</v>
      </c>
      <c r="F1397" t="s">
        <v>241</v>
      </c>
      <c r="G1397" t="s">
        <v>27</v>
      </c>
      <c r="H1397">
        <v>506358</v>
      </c>
      <c r="I1397" t="s">
        <v>361</v>
      </c>
    </row>
    <row r="1398" spans="1:9" x14ac:dyDescent="0.25">
      <c r="A1398">
        <v>70367</v>
      </c>
      <c r="B1398" t="s">
        <v>208</v>
      </c>
      <c r="C1398" t="s">
        <v>238</v>
      </c>
      <c r="D1398">
        <v>4</v>
      </c>
      <c r="E1398">
        <v>0</v>
      </c>
      <c r="F1398" t="s">
        <v>241</v>
      </c>
      <c r="G1398" t="s">
        <v>27</v>
      </c>
      <c r="H1398">
        <v>0</v>
      </c>
      <c r="I1398" t="s">
        <v>362</v>
      </c>
    </row>
    <row r="1399" spans="1:9" x14ac:dyDescent="0.25">
      <c r="A1399">
        <v>70367</v>
      </c>
      <c r="B1399" t="s">
        <v>208</v>
      </c>
      <c r="C1399" t="s">
        <v>238</v>
      </c>
      <c r="D1399">
        <v>4</v>
      </c>
      <c r="E1399">
        <v>0</v>
      </c>
      <c r="F1399" t="s">
        <v>241</v>
      </c>
      <c r="G1399" t="s">
        <v>27</v>
      </c>
      <c r="H1399">
        <v>1215000</v>
      </c>
      <c r="I1399" t="s">
        <v>363</v>
      </c>
    </row>
    <row r="1400" spans="1:9" x14ac:dyDescent="0.25">
      <c r="A1400">
        <v>70367</v>
      </c>
      <c r="B1400" t="s">
        <v>208</v>
      </c>
      <c r="C1400" t="s">
        <v>238</v>
      </c>
      <c r="D1400">
        <v>4</v>
      </c>
      <c r="E1400">
        <v>0</v>
      </c>
      <c r="F1400" t="s">
        <v>239</v>
      </c>
      <c r="G1400" t="s">
        <v>16</v>
      </c>
      <c r="H1400">
        <v>91858</v>
      </c>
      <c r="I1400" t="s">
        <v>267</v>
      </c>
    </row>
    <row r="1401" spans="1:9" x14ac:dyDescent="0.25">
      <c r="A1401">
        <v>70367</v>
      </c>
      <c r="B1401" t="s">
        <v>208</v>
      </c>
      <c r="C1401" t="s">
        <v>238</v>
      </c>
      <c r="D1401">
        <v>4</v>
      </c>
      <c r="E1401">
        <v>0</v>
      </c>
      <c r="F1401" t="s">
        <v>239</v>
      </c>
      <c r="G1401" t="s">
        <v>152</v>
      </c>
      <c r="H1401">
        <v>107749</v>
      </c>
      <c r="I1401" t="s">
        <v>258</v>
      </c>
    </row>
    <row r="1402" spans="1:9" x14ac:dyDescent="0.25">
      <c r="A1402">
        <v>70367</v>
      </c>
      <c r="B1402" t="s">
        <v>208</v>
      </c>
      <c r="C1402" t="s">
        <v>238</v>
      </c>
      <c r="D1402">
        <v>4</v>
      </c>
      <c r="E1402">
        <v>0</v>
      </c>
      <c r="F1402" t="s">
        <v>239</v>
      </c>
      <c r="G1402" t="s">
        <v>154</v>
      </c>
      <c r="H1402">
        <v>0</v>
      </c>
      <c r="I1402" t="s">
        <v>330</v>
      </c>
    </row>
    <row r="1403" spans="1:9" x14ac:dyDescent="0.25">
      <c r="A1403">
        <v>70367</v>
      </c>
      <c r="B1403" t="s">
        <v>208</v>
      </c>
      <c r="C1403" t="s">
        <v>238</v>
      </c>
      <c r="D1403">
        <v>4</v>
      </c>
      <c r="E1403">
        <v>0</v>
      </c>
      <c r="F1403" t="s">
        <v>239</v>
      </c>
      <c r="G1403" t="s">
        <v>16</v>
      </c>
      <c r="H1403">
        <v>0</v>
      </c>
      <c r="I1403" t="s">
        <v>259</v>
      </c>
    </row>
    <row r="1404" spans="1:9" x14ac:dyDescent="0.25">
      <c r="A1404">
        <v>70367</v>
      </c>
      <c r="B1404" t="s">
        <v>208</v>
      </c>
      <c r="C1404" t="s">
        <v>238</v>
      </c>
      <c r="D1404">
        <v>4</v>
      </c>
      <c r="E1404">
        <v>0</v>
      </c>
      <c r="F1404" t="s">
        <v>239</v>
      </c>
      <c r="G1404" t="s">
        <v>19</v>
      </c>
      <c r="H1404">
        <v>47804</v>
      </c>
      <c r="I1404" t="s">
        <v>260</v>
      </c>
    </row>
    <row r="1405" spans="1:9" x14ac:dyDescent="0.25">
      <c r="A1405">
        <v>70367</v>
      </c>
      <c r="B1405" t="s">
        <v>208</v>
      </c>
      <c r="C1405" t="s">
        <v>238</v>
      </c>
      <c r="D1405">
        <v>4</v>
      </c>
      <c r="E1405">
        <v>0</v>
      </c>
      <c r="F1405" t="s">
        <v>239</v>
      </c>
      <c r="G1405" t="s">
        <v>19</v>
      </c>
      <c r="H1405">
        <v>0</v>
      </c>
      <c r="I1405" t="s">
        <v>270</v>
      </c>
    </row>
    <row r="1406" spans="1:9" x14ac:dyDescent="0.25">
      <c r="A1406">
        <v>70367</v>
      </c>
      <c r="B1406" t="s">
        <v>208</v>
      </c>
      <c r="C1406" t="s">
        <v>238</v>
      </c>
      <c r="D1406">
        <v>4</v>
      </c>
      <c r="E1406">
        <v>0</v>
      </c>
      <c r="F1406" t="s">
        <v>241</v>
      </c>
      <c r="G1406" t="s">
        <v>139</v>
      </c>
      <c r="H1406">
        <v>0</v>
      </c>
      <c r="I1406" t="s">
        <v>331</v>
      </c>
    </row>
    <row r="1407" spans="1:9" x14ac:dyDescent="0.25">
      <c r="A1407">
        <v>70367</v>
      </c>
      <c r="B1407" t="s">
        <v>208</v>
      </c>
      <c r="C1407" t="s">
        <v>238</v>
      </c>
      <c r="D1407">
        <v>4</v>
      </c>
      <c r="E1407">
        <v>0</v>
      </c>
      <c r="F1407" t="s">
        <v>261</v>
      </c>
      <c r="G1407" t="s">
        <v>261</v>
      </c>
      <c r="H1407">
        <v>-14814149</v>
      </c>
      <c r="I1407" t="s">
        <v>262</v>
      </c>
    </row>
    <row r="1408" spans="1:9" x14ac:dyDescent="0.25">
      <c r="A1408">
        <v>70367</v>
      </c>
      <c r="B1408" t="s">
        <v>208</v>
      </c>
      <c r="C1408" t="s">
        <v>238</v>
      </c>
      <c r="D1408">
        <v>4</v>
      </c>
      <c r="E1408">
        <v>0</v>
      </c>
      <c r="F1408" t="s">
        <v>239</v>
      </c>
      <c r="G1408" t="s">
        <v>19</v>
      </c>
      <c r="H1408">
        <v>325472</v>
      </c>
      <c r="I1408" t="s">
        <v>263</v>
      </c>
    </row>
    <row r="1409" spans="1:9" x14ac:dyDescent="0.25">
      <c r="A1409">
        <v>70367</v>
      </c>
      <c r="B1409" t="s">
        <v>208</v>
      </c>
      <c r="C1409" t="s">
        <v>238</v>
      </c>
      <c r="D1409">
        <v>4</v>
      </c>
      <c r="E1409">
        <v>0</v>
      </c>
      <c r="F1409" t="s">
        <v>239</v>
      </c>
      <c r="G1409" t="s">
        <v>16</v>
      </c>
      <c r="H1409">
        <v>176523</v>
      </c>
      <c r="I1409" t="s">
        <v>240</v>
      </c>
    </row>
    <row r="1410" spans="1:9" x14ac:dyDescent="0.25">
      <c r="A1410">
        <v>70367</v>
      </c>
      <c r="B1410" t="s">
        <v>208</v>
      </c>
      <c r="C1410" t="s">
        <v>238</v>
      </c>
      <c r="D1410">
        <v>4</v>
      </c>
      <c r="E1410">
        <v>0</v>
      </c>
      <c r="F1410" t="s">
        <v>239</v>
      </c>
      <c r="G1410" t="s">
        <v>19</v>
      </c>
      <c r="H1410">
        <v>67499</v>
      </c>
      <c r="I1410" t="s">
        <v>264</v>
      </c>
    </row>
    <row r="1411" spans="1:9" x14ac:dyDescent="0.25">
      <c r="A1411">
        <v>70367</v>
      </c>
      <c r="B1411" t="s">
        <v>208</v>
      </c>
      <c r="C1411" t="s">
        <v>238</v>
      </c>
      <c r="D1411">
        <v>4</v>
      </c>
      <c r="E1411">
        <v>0</v>
      </c>
      <c r="F1411" t="s">
        <v>241</v>
      </c>
      <c r="G1411" t="s">
        <v>158</v>
      </c>
      <c r="H1411">
        <v>64144</v>
      </c>
      <c r="I1411" t="s">
        <v>265</v>
      </c>
    </row>
    <row r="1412" spans="1:9" x14ac:dyDescent="0.25">
      <c r="A1412">
        <v>70367</v>
      </c>
      <c r="B1412" t="s">
        <v>208</v>
      </c>
      <c r="C1412" t="s">
        <v>238</v>
      </c>
      <c r="D1412">
        <v>4</v>
      </c>
      <c r="E1412">
        <v>0</v>
      </c>
      <c r="F1412" t="s">
        <v>239</v>
      </c>
      <c r="G1412" t="s">
        <v>19</v>
      </c>
      <c r="H1412">
        <v>6389</v>
      </c>
      <c r="I1412" t="s">
        <v>271</v>
      </c>
    </row>
    <row r="1413" spans="1:9" x14ac:dyDescent="0.25">
      <c r="A1413">
        <v>70367</v>
      </c>
      <c r="B1413" t="s">
        <v>208</v>
      </c>
      <c r="C1413" t="s">
        <v>238</v>
      </c>
      <c r="D1413">
        <v>4</v>
      </c>
      <c r="E1413">
        <v>0</v>
      </c>
      <c r="F1413" t="s">
        <v>239</v>
      </c>
      <c r="G1413" t="s">
        <v>19</v>
      </c>
      <c r="H1413">
        <v>0</v>
      </c>
      <c r="I1413" t="s">
        <v>266</v>
      </c>
    </row>
    <row r="1414" spans="1:9" x14ac:dyDescent="0.25">
      <c r="A1414">
        <v>70367</v>
      </c>
      <c r="B1414" t="s">
        <v>208</v>
      </c>
      <c r="C1414" t="s">
        <v>238</v>
      </c>
      <c r="D1414">
        <v>4</v>
      </c>
      <c r="E1414">
        <v>0</v>
      </c>
      <c r="F1414" t="s">
        <v>241</v>
      </c>
      <c r="G1414" t="s">
        <v>143</v>
      </c>
      <c r="H1414">
        <v>0</v>
      </c>
      <c r="I1414" t="s">
        <v>332</v>
      </c>
    </row>
    <row r="1415" spans="1:9" x14ac:dyDescent="0.25">
      <c r="A1415">
        <v>70367</v>
      </c>
      <c r="B1415" t="s">
        <v>208</v>
      </c>
      <c r="C1415" t="s">
        <v>238</v>
      </c>
      <c r="D1415">
        <v>4</v>
      </c>
      <c r="E1415">
        <v>0</v>
      </c>
      <c r="F1415" t="s">
        <v>241</v>
      </c>
      <c r="G1415" t="s">
        <v>138</v>
      </c>
      <c r="H1415">
        <v>0</v>
      </c>
      <c r="I1415" t="s">
        <v>333</v>
      </c>
    </row>
    <row r="1416" spans="1:9" x14ac:dyDescent="0.25">
      <c r="A1416">
        <v>70367</v>
      </c>
      <c r="B1416" t="s">
        <v>208</v>
      </c>
      <c r="C1416" t="s">
        <v>238</v>
      </c>
      <c r="D1416">
        <v>4</v>
      </c>
      <c r="E1416">
        <v>0</v>
      </c>
      <c r="F1416" t="s">
        <v>241</v>
      </c>
      <c r="G1416" t="s">
        <v>138</v>
      </c>
      <c r="H1416">
        <v>0</v>
      </c>
      <c r="I1416" t="s">
        <v>334</v>
      </c>
    </row>
    <row r="1417" spans="1:9" x14ac:dyDescent="0.25">
      <c r="A1417">
        <v>70367</v>
      </c>
      <c r="B1417" t="s">
        <v>208</v>
      </c>
      <c r="C1417" t="s">
        <v>238</v>
      </c>
      <c r="D1417">
        <v>4</v>
      </c>
      <c r="E1417">
        <v>0</v>
      </c>
      <c r="F1417" t="s">
        <v>241</v>
      </c>
      <c r="G1417" t="s">
        <v>138</v>
      </c>
      <c r="H1417">
        <v>0</v>
      </c>
      <c r="I1417" t="s">
        <v>268</v>
      </c>
    </row>
    <row r="1418" spans="1:9" x14ac:dyDescent="0.25">
      <c r="A1418">
        <v>70367</v>
      </c>
      <c r="B1418" t="s">
        <v>208</v>
      </c>
      <c r="C1418" t="s">
        <v>238</v>
      </c>
      <c r="D1418">
        <v>4</v>
      </c>
      <c r="E1418">
        <v>0</v>
      </c>
      <c r="F1418" t="s">
        <v>241</v>
      </c>
      <c r="G1418" t="s">
        <v>139</v>
      </c>
      <c r="H1418">
        <v>0</v>
      </c>
      <c r="I1418" t="s">
        <v>336</v>
      </c>
    </row>
    <row r="1419" spans="1:9" x14ac:dyDescent="0.25">
      <c r="A1419">
        <v>70367</v>
      </c>
      <c r="B1419" t="s">
        <v>208</v>
      </c>
      <c r="C1419" t="s">
        <v>238</v>
      </c>
      <c r="D1419">
        <v>4</v>
      </c>
      <c r="E1419">
        <v>0</v>
      </c>
      <c r="F1419" t="s">
        <v>241</v>
      </c>
      <c r="G1419" t="s">
        <v>139</v>
      </c>
      <c r="H1419">
        <v>0</v>
      </c>
      <c r="I1419" t="s">
        <v>337</v>
      </c>
    </row>
    <row r="1420" spans="1:9" x14ac:dyDescent="0.25">
      <c r="A1420">
        <v>70367</v>
      </c>
      <c r="B1420" t="s">
        <v>208</v>
      </c>
      <c r="C1420" t="s">
        <v>238</v>
      </c>
      <c r="D1420">
        <v>4</v>
      </c>
      <c r="E1420">
        <v>0</v>
      </c>
      <c r="F1420" t="s">
        <v>241</v>
      </c>
      <c r="G1420" t="s">
        <v>139</v>
      </c>
      <c r="H1420">
        <v>0</v>
      </c>
      <c r="I1420" t="s">
        <v>335</v>
      </c>
    </row>
    <row r="1421" spans="1:9" x14ac:dyDescent="0.25">
      <c r="A1421">
        <v>70367</v>
      </c>
      <c r="B1421" t="s">
        <v>208</v>
      </c>
      <c r="C1421" t="s">
        <v>238</v>
      </c>
      <c r="D1421">
        <v>4</v>
      </c>
      <c r="E1421">
        <v>0</v>
      </c>
      <c r="F1421" t="s">
        <v>241</v>
      </c>
      <c r="G1421" t="s">
        <v>24</v>
      </c>
      <c r="H1421">
        <v>0</v>
      </c>
      <c r="I1421" t="s">
        <v>338</v>
      </c>
    </row>
    <row r="1422" spans="1:9" x14ac:dyDescent="0.25">
      <c r="A1422">
        <v>70367</v>
      </c>
      <c r="B1422" t="s">
        <v>208</v>
      </c>
      <c r="C1422" t="s">
        <v>238</v>
      </c>
      <c r="D1422">
        <v>4</v>
      </c>
      <c r="E1422">
        <v>0</v>
      </c>
      <c r="F1422" t="s">
        <v>241</v>
      </c>
      <c r="G1422" t="s">
        <v>24</v>
      </c>
      <c r="H1422">
        <v>0</v>
      </c>
      <c r="I1422" t="s">
        <v>339</v>
      </c>
    </row>
    <row r="1423" spans="1:9" x14ac:dyDescent="0.25">
      <c r="A1423">
        <v>70367</v>
      </c>
      <c r="B1423" t="s">
        <v>208</v>
      </c>
      <c r="C1423" t="s">
        <v>238</v>
      </c>
      <c r="D1423">
        <v>4</v>
      </c>
      <c r="E1423">
        <v>0</v>
      </c>
      <c r="F1423" t="s">
        <v>241</v>
      </c>
      <c r="G1423" t="s">
        <v>24</v>
      </c>
      <c r="H1423">
        <v>0</v>
      </c>
      <c r="I1423" t="s">
        <v>340</v>
      </c>
    </row>
    <row r="1424" spans="1:9" x14ac:dyDescent="0.25">
      <c r="A1424">
        <v>70367</v>
      </c>
      <c r="B1424" t="s">
        <v>208</v>
      </c>
      <c r="C1424" t="s">
        <v>238</v>
      </c>
      <c r="D1424">
        <v>4</v>
      </c>
      <c r="E1424">
        <v>0</v>
      </c>
      <c r="F1424" t="s">
        <v>241</v>
      </c>
      <c r="G1424" t="s">
        <v>137</v>
      </c>
      <c r="H1424">
        <v>0</v>
      </c>
      <c r="I1424" t="s">
        <v>273</v>
      </c>
    </row>
    <row r="1425" spans="1:9" x14ac:dyDescent="0.25">
      <c r="A1425">
        <v>70367</v>
      </c>
      <c r="B1425" t="s">
        <v>208</v>
      </c>
      <c r="C1425" t="s">
        <v>238</v>
      </c>
      <c r="D1425">
        <v>4</v>
      </c>
      <c r="E1425">
        <v>0</v>
      </c>
      <c r="F1425" t="s">
        <v>241</v>
      </c>
      <c r="G1425" t="s">
        <v>137</v>
      </c>
      <c r="H1425">
        <v>0</v>
      </c>
      <c r="I1425" t="s">
        <v>341</v>
      </c>
    </row>
    <row r="1426" spans="1:9" x14ac:dyDescent="0.25">
      <c r="A1426">
        <v>70367</v>
      </c>
      <c r="B1426" t="s">
        <v>208</v>
      </c>
      <c r="C1426" t="s">
        <v>238</v>
      </c>
      <c r="D1426">
        <v>4</v>
      </c>
      <c r="E1426">
        <v>0</v>
      </c>
      <c r="F1426" t="s">
        <v>241</v>
      </c>
      <c r="G1426" t="s">
        <v>137</v>
      </c>
      <c r="H1426">
        <v>0</v>
      </c>
      <c r="I1426" t="s">
        <v>342</v>
      </c>
    </row>
    <row r="1427" spans="1:9" x14ac:dyDescent="0.25">
      <c r="A1427">
        <v>70367</v>
      </c>
      <c r="B1427" t="s">
        <v>208</v>
      </c>
      <c r="C1427" t="s">
        <v>238</v>
      </c>
      <c r="D1427">
        <v>4</v>
      </c>
      <c r="E1427">
        <v>0</v>
      </c>
      <c r="F1427" t="s">
        <v>241</v>
      </c>
      <c r="G1427" t="s">
        <v>137</v>
      </c>
      <c r="H1427">
        <v>0</v>
      </c>
      <c r="I1427" t="s">
        <v>343</v>
      </c>
    </row>
    <row r="1428" spans="1:9" x14ac:dyDescent="0.25">
      <c r="A1428">
        <v>70367</v>
      </c>
      <c r="B1428" t="s">
        <v>208</v>
      </c>
      <c r="C1428" t="s">
        <v>238</v>
      </c>
      <c r="D1428">
        <v>4</v>
      </c>
      <c r="E1428">
        <v>0</v>
      </c>
      <c r="F1428" t="s">
        <v>241</v>
      </c>
      <c r="G1428" t="s">
        <v>143</v>
      </c>
      <c r="H1428">
        <v>0</v>
      </c>
      <c r="I1428" t="s">
        <v>344</v>
      </c>
    </row>
    <row r="1429" spans="1:9" x14ac:dyDescent="0.25">
      <c r="A1429">
        <v>70367</v>
      </c>
      <c r="B1429" t="s">
        <v>208</v>
      </c>
      <c r="C1429" t="s">
        <v>238</v>
      </c>
      <c r="D1429">
        <v>4</v>
      </c>
      <c r="E1429">
        <v>0</v>
      </c>
      <c r="F1429" t="s">
        <v>241</v>
      </c>
      <c r="G1429" t="s">
        <v>143</v>
      </c>
      <c r="H1429">
        <v>0</v>
      </c>
      <c r="I1429" t="s">
        <v>345</v>
      </c>
    </row>
    <row r="1430" spans="1:9" x14ac:dyDescent="0.25">
      <c r="A1430">
        <v>70367</v>
      </c>
      <c r="B1430" t="s">
        <v>208</v>
      </c>
      <c r="C1430" t="s">
        <v>238</v>
      </c>
      <c r="D1430">
        <v>4</v>
      </c>
      <c r="E1430">
        <v>0</v>
      </c>
      <c r="F1430" t="s">
        <v>241</v>
      </c>
      <c r="G1430" t="s">
        <v>143</v>
      </c>
      <c r="H1430">
        <v>0</v>
      </c>
      <c r="I1430" t="s">
        <v>346</v>
      </c>
    </row>
    <row r="1431" spans="1:9" x14ac:dyDescent="0.25">
      <c r="A1431">
        <v>70367</v>
      </c>
      <c r="B1431" t="s">
        <v>208</v>
      </c>
      <c r="C1431" t="s">
        <v>238</v>
      </c>
      <c r="D1431">
        <v>4</v>
      </c>
      <c r="E1431">
        <v>0</v>
      </c>
      <c r="F1431" t="s">
        <v>241</v>
      </c>
      <c r="G1431" t="s">
        <v>138</v>
      </c>
      <c r="H1431">
        <v>0</v>
      </c>
      <c r="I1431" t="s">
        <v>347</v>
      </c>
    </row>
    <row r="1432" spans="1:9" x14ac:dyDescent="0.25">
      <c r="A1432">
        <v>70368</v>
      </c>
      <c r="B1432" t="s">
        <v>211</v>
      </c>
      <c r="C1432" t="s">
        <v>238</v>
      </c>
      <c r="D1432">
        <v>4</v>
      </c>
      <c r="E1432">
        <v>0</v>
      </c>
      <c r="F1432" t="s">
        <v>239</v>
      </c>
      <c r="G1432" t="s">
        <v>153</v>
      </c>
      <c r="H1432">
        <v>0</v>
      </c>
      <c r="I1432" t="s">
        <v>351</v>
      </c>
    </row>
    <row r="1433" spans="1:9" x14ac:dyDescent="0.25">
      <c r="A1433">
        <v>70368</v>
      </c>
      <c r="B1433" t="s">
        <v>211</v>
      </c>
      <c r="C1433" t="s">
        <v>238</v>
      </c>
      <c r="D1433">
        <v>4</v>
      </c>
      <c r="E1433">
        <v>0</v>
      </c>
      <c r="F1433" t="s">
        <v>239</v>
      </c>
      <c r="G1433" t="s">
        <v>152</v>
      </c>
      <c r="H1433">
        <v>0</v>
      </c>
      <c r="I1433" t="s">
        <v>352</v>
      </c>
    </row>
    <row r="1434" spans="1:9" x14ac:dyDescent="0.25">
      <c r="A1434">
        <v>70368</v>
      </c>
      <c r="B1434" t="s">
        <v>211</v>
      </c>
      <c r="C1434" t="s">
        <v>238</v>
      </c>
      <c r="D1434">
        <v>4</v>
      </c>
      <c r="E1434">
        <v>0</v>
      </c>
      <c r="F1434" t="s">
        <v>239</v>
      </c>
      <c r="G1434" t="s">
        <v>154</v>
      </c>
      <c r="H1434">
        <v>0</v>
      </c>
      <c r="I1434" t="s">
        <v>349</v>
      </c>
    </row>
    <row r="1435" spans="1:9" x14ac:dyDescent="0.25">
      <c r="A1435">
        <v>70368</v>
      </c>
      <c r="B1435" t="s">
        <v>211</v>
      </c>
      <c r="C1435" t="s">
        <v>238</v>
      </c>
      <c r="D1435">
        <v>4</v>
      </c>
      <c r="E1435">
        <v>0</v>
      </c>
      <c r="F1435" t="s">
        <v>241</v>
      </c>
      <c r="G1435" t="s">
        <v>26</v>
      </c>
      <c r="H1435">
        <v>0</v>
      </c>
      <c r="I1435" t="s">
        <v>350</v>
      </c>
    </row>
    <row r="1436" spans="1:9" x14ac:dyDescent="0.25">
      <c r="A1436">
        <v>70368</v>
      </c>
      <c r="B1436" t="s">
        <v>211</v>
      </c>
      <c r="C1436" t="s">
        <v>238</v>
      </c>
      <c r="D1436">
        <v>4</v>
      </c>
      <c r="E1436">
        <v>0</v>
      </c>
      <c r="F1436" t="s">
        <v>241</v>
      </c>
      <c r="G1436" t="s">
        <v>23</v>
      </c>
      <c r="H1436">
        <v>0</v>
      </c>
      <c r="I1436" t="s">
        <v>269</v>
      </c>
    </row>
    <row r="1437" spans="1:9" x14ac:dyDescent="0.25">
      <c r="A1437">
        <v>70368</v>
      </c>
      <c r="B1437" t="s">
        <v>211</v>
      </c>
      <c r="C1437" t="s">
        <v>238</v>
      </c>
      <c r="D1437">
        <v>4</v>
      </c>
      <c r="E1437">
        <v>0</v>
      </c>
      <c r="F1437" t="s">
        <v>241</v>
      </c>
      <c r="G1437" t="s">
        <v>26</v>
      </c>
      <c r="H1437">
        <v>0</v>
      </c>
      <c r="I1437" t="s">
        <v>353</v>
      </c>
    </row>
    <row r="1438" spans="1:9" x14ac:dyDescent="0.25">
      <c r="A1438">
        <v>70368</v>
      </c>
      <c r="B1438" t="s">
        <v>211</v>
      </c>
      <c r="C1438" t="s">
        <v>238</v>
      </c>
      <c r="D1438">
        <v>4</v>
      </c>
      <c r="E1438">
        <v>0</v>
      </c>
      <c r="F1438" t="s">
        <v>241</v>
      </c>
      <c r="G1438" t="s">
        <v>157</v>
      </c>
      <c r="H1438">
        <v>0</v>
      </c>
      <c r="I1438" t="s">
        <v>348</v>
      </c>
    </row>
    <row r="1439" spans="1:9" x14ac:dyDescent="0.25">
      <c r="A1439">
        <v>70368</v>
      </c>
      <c r="B1439" t="s">
        <v>211</v>
      </c>
      <c r="C1439" t="s">
        <v>238</v>
      </c>
      <c r="D1439">
        <v>4</v>
      </c>
      <c r="E1439">
        <v>0</v>
      </c>
      <c r="F1439" t="s">
        <v>261</v>
      </c>
      <c r="G1439" t="s">
        <v>261</v>
      </c>
      <c r="H1439">
        <v>0</v>
      </c>
      <c r="I1439" t="s">
        <v>272</v>
      </c>
    </row>
    <row r="1440" spans="1:9" x14ac:dyDescent="0.25">
      <c r="A1440">
        <v>70368</v>
      </c>
      <c r="B1440" t="s">
        <v>211</v>
      </c>
      <c r="C1440" t="s">
        <v>238</v>
      </c>
      <c r="D1440">
        <v>4</v>
      </c>
      <c r="E1440">
        <v>0</v>
      </c>
      <c r="F1440" t="s">
        <v>261</v>
      </c>
      <c r="G1440" t="s">
        <v>261</v>
      </c>
      <c r="H1440">
        <v>0</v>
      </c>
      <c r="I1440" t="s">
        <v>354</v>
      </c>
    </row>
    <row r="1441" spans="1:9" x14ac:dyDescent="0.25">
      <c r="A1441">
        <v>70368</v>
      </c>
      <c r="B1441" t="s">
        <v>211</v>
      </c>
      <c r="C1441" t="s">
        <v>238</v>
      </c>
      <c r="D1441">
        <v>4</v>
      </c>
      <c r="E1441">
        <v>0</v>
      </c>
      <c r="F1441" t="s">
        <v>247</v>
      </c>
      <c r="G1441" t="s">
        <v>12</v>
      </c>
      <c r="H1441">
        <v>-2999727</v>
      </c>
      <c r="I1441" t="s">
        <v>248</v>
      </c>
    </row>
    <row r="1442" spans="1:9" x14ac:dyDescent="0.25">
      <c r="A1442">
        <v>70368</v>
      </c>
      <c r="B1442" t="s">
        <v>211</v>
      </c>
      <c r="C1442" t="s">
        <v>238</v>
      </c>
      <c r="D1442">
        <v>4</v>
      </c>
      <c r="E1442">
        <v>0</v>
      </c>
      <c r="F1442" t="s">
        <v>247</v>
      </c>
      <c r="G1442" t="s">
        <v>13</v>
      </c>
      <c r="H1442">
        <v>7358498</v>
      </c>
      <c r="I1442" t="s">
        <v>249</v>
      </c>
    </row>
    <row r="1443" spans="1:9" x14ac:dyDescent="0.25">
      <c r="A1443">
        <v>70368</v>
      </c>
      <c r="B1443" t="s">
        <v>211</v>
      </c>
      <c r="C1443" t="s">
        <v>238</v>
      </c>
      <c r="D1443">
        <v>4</v>
      </c>
      <c r="E1443">
        <v>0</v>
      </c>
      <c r="F1443" t="s">
        <v>241</v>
      </c>
      <c r="G1443" t="s">
        <v>25</v>
      </c>
      <c r="H1443">
        <v>8943</v>
      </c>
      <c r="I1443" t="s">
        <v>250</v>
      </c>
    </row>
    <row r="1444" spans="1:9" x14ac:dyDescent="0.25">
      <c r="A1444">
        <v>70368</v>
      </c>
      <c r="B1444" t="s">
        <v>211</v>
      </c>
      <c r="C1444" t="s">
        <v>238</v>
      </c>
      <c r="D1444">
        <v>4</v>
      </c>
      <c r="E1444">
        <v>0</v>
      </c>
      <c r="F1444" t="s">
        <v>241</v>
      </c>
      <c r="G1444" t="s">
        <v>26</v>
      </c>
      <c r="H1444">
        <v>0</v>
      </c>
      <c r="I1444" t="s">
        <v>251</v>
      </c>
    </row>
    <row r="1445" spans="1:9" x14ac:dyDescent="0.25">
      <c r="A1445">
        <v>70368</v>
      </c>
      <c r="B1445" t="s">
        <v>211</v>
      </c>
      <c r="C1445" t="s">
        <v>238</v>
      </c>
      <c r="D1445">
        <v>4</v>
      </c>
      <c r="E1445">
        <v>0</v>
      </c>
      <c r="F1445" t="s">
        <v>239</v>
      </c>
      <c r="G1445" t="s">
        <v>18</v>
      </c>
      <c r="H1445">
        <v>312439</v>
      </c>
      <c r="I1445" t="s">
        <v>252</v>
      </c>
    </row>
    <row r="1446" spans="1:9" x14ac:dyDescent="0.25">
      <c r="A1446">
        <v>70368</v>
      </c>
      <c r="B1446" t="s">
        <v>211</v>
      </c>
      <c r="C1446" t="s">
        <v>238</v>
      </c>
      <c r="D1446">
        <v>4</v>
      </c>
      <c r="E1446">
        <v>0</v>
      </c>
      <c r="F1446" t="s">
        <v>241</v>
      </c>
      <c r="G1446" t="s">
        <v>26</v>
      </c>
      <c r="H1446">
        <v>0</v>
      </c>
      <c r="I1446" t="s">
        <v>253</v>
      </c>
    </row>
    <row r="1447" spans="1:9" x14ac:dyDescent="0.25">
      <c r="A1447">
        <v>70368</v>
      </c>
      <c r="B1447" t="s">
        <v>211</v>
      </c>
      <c r="C1447" t="s">
        <v>238</v>
      </c>
      <c r="D1447">
        <v>4</v>
      </c>
      <c r="E1447">
        <v>0</v>
      </c>
      <c r="F1447" t="s">
        <v>247</v>
      </c>
      <c r="G1447" t="s">
        <v>15</v>
      </c>
      <c r="H1447">
        <v>444307</v>
      </c>
      <c r="I1447" t="s">
        <v>254</v>
      </c>
    </row>
    <row r="1448" spans="1:9" x14ac:dyDescent="0.25">
      <c r="A1448">
        <v>70368</v>
      </c>
      <c r="B1448" t="s">
        <v>211</v>
      </c>
      <c r="C1448" t="s">
        <v>238</v>
      </c>
      <c r="D1448">
        <v>4</v>
      </c>
      <c r="E1448">
        <v>0</v>
      </c>
      <c r="F1448" t="s">
        <v>247</v>
      </c>
      <c r="G1448" t="s">
        <v>14</v>
      </c>
      <c r="H1448">
        <v>0</v>
      </c>
      <c r="I1448" t="s">
        <v>355</v>
      </c>
    </row>
    <row r="1449" spans="1:9" x14ac:dyDescent="0.25">
      <c r="A1449">
        <v>70368</v>
      </c>
      <c r="B1449" t="s">
        <v>211</v>
      </c>
      <c r="C1449" t="s">
        <v>238</v>
      </c>
      <c r="D1449">
        <v>4</v>
      </c>
      <c r="E1449">
        <v>0</v>
      </c>
      <c r="F1449" t="s">
        <v>241</v>
      </c>
      <c r="G1449" t="s">
        <v>23</v>
      </c>
      <c r="H1449">
        <v>73063</v>
      </c>
      <c r="I1449" t="s">
        <v>242</v>
      </c>
    </row>
    <row r="1450" spans="1:9" x14ac:dyDescent="0.25">
      <c r="A1450">
        <v>70368</v>
      </c>
      <c r="B1450" t="s">
        <v>211</v>
      </c>
      <c r="C1450" t="s">
        <v>238</v>
      </c>
      <c r="D1450">
        <v>4</v>
      </c>
      <c r="E1450">
        <v>0</v>
      </c>
      <c r="F1450" t="s">
        <v>241</v>
      </c>
      <c r="G1450" t="s">
        <v>24</v>
      </c>
      <c r="H1450">
        <v>63557</v>
      </c>
      <c r="I1450" t="s">
        <v>243</v>
      </c>
    </row>
    <row r="1451" spans="1:9" x14ac:dyDescent="0.25">
      <c r="A1451">
        <v>70368</v>
      </c>
      <c r="B1451" t="s">
        <v>211</v>
      </c>
      <c r="C1451" t="s">
        <v>238</v>
      </c>
      <c r="D1451">
        <v>4</v>
      </c>
      <c r="E1451">
        <v>0</v>
      </c>
      <c r="F1451" t="s">
        <v>241</v>
      </c>
      <c r="G1451" t="s">
        <v>21</v>
      </c>
      <c r="H1451">
        <v>0</v>
      </c>
      <c r="I1451" t="s">
        <v>356</v>
      </c>
    </row>
    <row r="1452" spans="1:9" x14ac:dyDescent="0.25">
      <c r="A1452">
        <v>70368</v>
      </c>
      <c r="B1452" t="s">
        <v>211</v>
      </c>
      <c r="C1452" t="s">
        <v>238</v>
      </c>
      <c r="D1452">
        <v>4</v>
      </c>
      <c r="E1452">
        <v>0</v>
      </c>
      <c r="F1452" t="s">
        <v>239</v>
      </c>
      <c r="G1452" t="s">
        <v>20</v>
      </c>
      <c r="H1452">
        <v>-11717</v>
      </c>
      <c r="I1452" t="s">
        <v>244</v>
      </c>
    </row>
    <row r="1453" spans="1:9" x14ac:dyDescent="0.25">
      <c r="A1453">
        <v>70368</v>
      </c>
      <c r="B1453" t="s">
        <v>211</v>
      </c>
      <c r="C1453" t="s">
        <v>238</v>
      </c>
      <c r="D1453">
        <v>4</v>
      </c>
      <c r="E1453">
        <v>0</v>
      </c>
      <c r="F1453" t="s">
        <v>241</v>
      </c>
      <c r="G1453" t="s">
        <v>22</v>
      </c>
      <c r="H1453">
        <v>0</v>
      </c>
      <c r="I1453" t="s">
        <v>245</v>
      </c>
    </row>
    <row r="1454" spans="1:9" x14ac:dyDescent="0.25">
      <c r="A1454">
        <v>70368</v>
      </c>
      <c r="B1454" t="s">
        <v>211</v>
      </c>
      <c r="C1454" t="s">
        <v>238</v>
      </c>
      <c r="D1454">
        <v>4</v>
      </c>
      <c r="E1454">
        <v>0</v>
      </c>
      <c r="F1454" t="s">
        <v>241</v>
      </c>
      <c r="G1454" t="s">
        <v>26</v>
      </c>
      <c r="H1454">
        <v>2891</v>
      </c>
      <c r="I1454" t="s">
        <v>246</v>
      </c>
    </row>
    <row r="1455" spans="1:9" x14ac:dyDescent="0.25">
      <c r="A1455">
        <v>70368</v>
      </c>
      <c r="B1455" t="s">
        <v>211</v>
      </c>
      <c r="C1455" t="s">
        <v>238</v>
      </c>
      <c r="D1455">
        <v>4</v>
      </c>
      <c r="E1455">
        <v>0</v>
      </c>
      <c r="F1455" t="s">
        <v>239</v>
      </c>
      <c r="G1455" t="s">
        <v>17</v>
      </c>
      <c r="H1455">
        <v>0</v>
      </c>
      <c r="I1455" t="s">
        <v>357</v>
      </c>
    </row>
    <row r="1456" spans="1:9" x14ac:dyDescent="0.25">
      <c r="A1456">
        <v>70368</v>
      </c>
      <c r="B1456" t="s">
        <v>211</v>
      </c>
      <c r="C1456" t="s">
        <v>238</v>
      </c>
      <c r="D1456">
        <v>4</v>
      </c>
      <c r="E1456">
        <v>0</v>
      </c>
      <c r="F1456" t="s">
        <v>241</v>
      </c>
      <c r="G1456" t="s">
        <v>24</v>
      </c>
      <c r="H1456">
        <v>0</v>
      </c>
      <c r="I1456" t="s">
        <v>358</v>
      </c>
    </row>
    <row r="1457" spans="1:9" x14ac:dyDescent="0.25">
      <c r="A1457">
        <v>70368</v>
      </c>
      <c r="B1457" t="s">
        <v>211</v>
      </c>
      <c r="C1457" t="s">
        <v>238</v>
      </c>
      <c r="D1457">
        <v>4</v>
      </c>
      <c r="E1457">
        <v>0</v>
      </c>
      <c r="F1457" t="s">
        <v>241</v>
      </c>
      <c r="G1457" t="s">
        <v>27</v>
      </c>
      <c r="H1457">
        <v>0</v>
      </c>
      <c r="I1457" t="s">
        <v>359</v>
      </c>
    </row>
    <row r="1458" spans="1:9" x14ac:dyDescent="0.25">
      <c r="A1458">
        <v>70368</v>
      </c>
      <c r="B1458" t="s">
        <v>211</v>
      </c>
      <c r="C1458" t="s">
        <v>238</v>
      </c>
      <c r="D1458">
        <v>4</v>
      </c>
      <c r="E1458">
        <v>0</v>
      </c>
      <c r="F1458" t="s">
        <v>239</v>
      </c>
      <c r="G1458" t="s">
        <v>19</v>
      </c>
      <c r="H1458">
        <v>0</v>
      </c>
      <c r="I1458" t="s">
        <v>360</v>
      </c>
    </row>
    <row r="1459" spans="1:9" x14ac:dyDescent="0.25">
      <c r="A1459">
        <v>70368</v>
      </c>
      <c r="B1459" t="s">
        <v>211</v>
      </c>
      <c r="C1459" t="s">
        <v>238</v>
      </c>
      <c r="D1459">
        <v>4</v>
      </c>
      <c r="E1459">
        <v>0</v>
      </c>
      <c r="F1459" t="s">
        <v>239</v>
      </c>
      <c r="G1459" t="s">
        <v>20</v>
      </c>
      <c r="H1459">
        <v>135637</v>
      </c>
      <c r="I1459" t="s">
        <v>255</v>
      </c>
    </row>
    <row r="1460" spans="1:9" x14ac:dyDescent="0.25">
      <c r="A1460">
        <v>70368</v>
      </c>
      <c r="B1460" t="s">
        <v>211</v>
      </c>
      <c r="C1460" t="s">
        <v>238</v>
      </c>
      <c r="D1460">
        <v>4</v>
      </c>
      <c r="E1460">
        <v>0</v>
      </c>
      <c r="F1460" t="s">
        <v>247</v>
      </c>
      <c r="G1460" t="s">
        <v>148</v>
      </c>
      <c r="H1460">
        <v>652531</v>
      </c>
      <c r="I1460" t="s">
        <v>256</v>
      </c>
    </row>
    <row r="1461" spans="1:9" x14ac:dyDescent="0.25">
      <c r="A1461">
        <v>70368</v>
      </c>
      <c r="B1461" t="s">
        <v>211</v>
      </c>
      <c r="C1461" t="s">
        <v>238</v>
      </c>
      <c r="D1461">
        <v>4</v>
      </c>
      <c r="E1461">
        <v>0</v>
      </c>
      <c r="F1461" t="s">
        <v>241</v>
      </c>
      <c r="G1461" t="s">
        <v>27</v>
      </c>
      <c r="H1461">
        <v>8545577</v>
      </c>
      <c r="I1461" t="s">
        <v>257</v>
      </c>
    </row>
    <row r="1462" spans="1:9" x14ac:dyDescent="0.25">
      <c r="A1462">
        <v>70368</v>
      </c>
      <c r="B1462" t="s">
        <v>211</v>
      </c>
      <c r="C1462" t="s">
        <v>238</v>
      </c>
      <c r="D1462">
        <v>4</v>
      </c>
      <c r="E1462">
        <v>0</v>
      </c>
      <c r="F1462" t="s">
        <v>241</v>
      </c>
      <c r="G1462" t="s">
        <v>27</v>
      </c>
      <c r="H1462">
        <v>0</v>
      </c>
      <c r="I1462" t="s">
        <v>361</v>
      </c>
    </row>
    <row r="1463" spans="1:9" x14ac:dyDescent="0.25">
      <c r="A1463">
        <v>70368</v>
      </c>
      <c r="B1463" t="s">
        <v>211</v>
      </c>
      <c r="C1463" t="s">
        <v>238</v>
      </c>
      <c r="D1463">
        <v>4</v>
      </c>
      <c r="E1463">
        <v>0</v>
      </c>
      <c r="F1463" t="s">
        <v>241</v>
      </c>
      <c r="G1463" t="s">
        <v>27</v>
      </c>
      <c r="H1463">
        <v>0</v>
      </c>
      <c r="I1463" t="s">
        <v>362</v>
      </c>
    </row>
    <row r="1464" spans="1:9" x14ac:dyDescent="0.25">
      <c r="A1464">
        <v>70368</v>
      </c>
      <c r="B1464" t="s">
        <v>211</v>
      </c>
      <c r="C1464" t="s">
        <v>238</v>
      </c>
      <c r="D1464">
        <v>4</v>
      </c>
      <c r="E1464">
        <v>0</v>
      </c>
      <c r="F1464" t="s">
        <v>241</v>
      </c>
      <c r="G1464" t="s">
        <v>27</v>
      </c>
      <c r="H1464">
        <v>0</v>
      </c>
      <c r="I1464" t="s">
        <v>363</v>
      </c>
    </row>
    <row r="1465" spans="1:9" x14ac:dyDescent="0.25">
      <c r="A1465">
        <v>70368</v>
      </c>
      <c r="B1465" t="s">
        <v>211</v>
      </c>
      <c r="C1465" t="s">
        <v>238</v>
      </c>
      <c r="D1465">
        <v>4</v>
      </c>
      <c r="E1465">
        <v>0</v>
      </c>
      <c r="F1465" t="s">
        <v>239</v>
      </c>
      <c r="G1465" t="s">
        <v>16</v>
      </c>
      <c r="H1465">
        <v>1360</v>
      </c>
      <c r="I1465" t="s">
        <v>267</v>
      </c>
    </row>
    <row r="1466" spans="1:9" x14ac:dyDescent="0.25">
      <c r="A1466">
        <v>70368</v>
      </c>
      <c r="B1466" t="s">
        <v>211</v>
      </c>
      <c r="C1466" t="s">
        <v>238</v>
      </c>
      <c r="D1466">
        <v>4</v>
      </c>
      <c r="E1466">
        <v>0</v>
      </c>
      <c r="F1466" t="s">
        <v>239</v>
      </c>
      <c r="G1466" t="s">
        <v>152</v>
      </c>
      <c r="H1466">
        <v>37579</v>
      </c>
      <c r="I1466" t="s">
        <v>258</v>
      </c>
    </row>
    <row r="1467" spans="1:9" x14ac:dyDescent="0.25">
      <c r="A1467">
        <v>70368</v>
      </c>
      <c r="B1467" t="s">
        <v>211</v>
      </c>
      <c r="C1467" t="s">
        <v>238</v>
      </c>
      <c r="D1467">
        <v>4</v>
      </c>
      <c r="E1467">
        <v>0</v>
      </c>
      <c r="F1467" t="s">
        <v>239</v>
      </c>
      <c r="G1467" t="s">
        <v>154</v>
      </c>
      <c r="H1467">
        <v>0</v>
      </c>
      <c r="I1467" t="s">
        <v>330</v>
      </c>
    </row>
    <row r="1468" spans="1:9" x14ac:dyDescent="0.25">
      <c r="A1468">
        <v>70368</v>
      </c>
      <c r="B1468" t="s">
        <v>211</v>
      </c>
      <c r="C1468" t="s">
        <v>238</v>
      </c>
      <c r="D1468">
        <v>4</v>
      </c>
      <c r="E1468">
        <v>0</v>
      </c>
      <c r="F1468" t="s">
        <v>239</v>
      </c>
      <c r="G1468" t="s">
        <v>16</v>
      </c>
      <c r="H1468">
        <v>0</v>
      </c>
      <c r="I1468" t="s">
        <v>259</v>
      </c>
    </row>
    <row r="1469" spans="1:9" x14ac:dyDescent="0.25">
      <c r="A1469">
        <v>70368</v>
      </c>
      <c r="B1469" t="s">
        <v>211</v>
      </c>
      <c r="C1469" t="s">
        <v>238</v>
      </c>
      <c r="D1469">
        <v>4</v>
      </c>
      <c r="E1469">
        <v>0</v>
      </c>
      <c r="F1469" t="s">
        <v>239</v>
      </c>
      <c r="G1469" t="s">
        <v>19</v>
      </c>
      <c r="H1469">
        <v>37250</v>
      </c>
      <c r="I1469" t="s">
        <v>260</v>
      </c>
    </row>
    <row r="1470" spans="1:9" x14ac:dyDescent="0.25">
      <c r="A1470">
        <v>70368</v>
      </c>
      <c r="B1470" t="s">
        <v>211</v>
      </c>
      <c r="C1470" t="s">
        <v>238</v>
      </c>
      <c r="D1470">
        <v>4</v>
      </c>
      <c r="E1470">
        <v>0</v>
      </c>
      <c r="F1470" t="s">
        <v>239</v>
      </c>
      <c r="G1470" t="s">
        <v>19</v>
      </c>
      <c r="H1470">
        <v>0</v>
      </c>
      <c r="I1470" t="s">
        <v>270</v>
      </c>
    </row>
    <row r="1471" spans="1:9" x14ac:dyDescent="0.25">
      <c r="A1471">
        <v>70368</v>
      </c>
      <c r="B1471" t="s">
        <v>211</v>
      </c>
      <c r="C1471" t="s">
        <v>238</v>
      </c>
      <c r="D1471">
        <v>4</v>
      </c>
      <c r="E1471">
        <v>0</v>
      </c>
      <c r="F1471" t="s">
        <v>241</v>
      </c>
      <c r="G1471" t="s">
        <v>139</v>
      </c>
      <c r="H1471">
        <v>0</v>
      </c>
      <c r="I1471" t="s">
        <v>331</v>
      </c>
    </row>
    <row r="1472" spans="1:9" x14ac:dyDescent="0.25">
      <c r="A1472">
        <v>70368</v>
      </c>
      <c r="B1472" t="s">
        <v>211</v>
      </c>
      <c r="C1472" t="s">
        <v>238</v>
      </c>
      <c r="D1472">
        <v>4</v>
      </c>
      <c r="E1472">
        <v>0</v>
      </c>
      <c r="F1472" t="s">
        <v>261</v>
      </c>
      <c r="G1472" t="s">
        <v>261</v>
      </c>
      <c r="H1472">
        <v>-2212882</v>
      </c>
      <c r="I1472" t="s">
        <v>262</v>
      </c>
    </row>
    <row r="1473" spans="1:9" x14ac:dyDescent="0.25">
      <c r="A1473">
        <v>70368</v>
      </c>
      <c r="B1473" t="s">
        <v>211</v>
      </c>
      <c r="C1473" t="s">
        <v>238</v>
      </c>
      <c r="D1473">
        <v>4</v>
      </c>
      <c r="E1473">
        <v>0</v>
      </c>
      <c r="F1473" t="s">
        <v>239</v>
      </c>
      <c r="G1473" t="s">
        <v>19</v>
      </c>
      <c r="H1473">
        <v>252095</v>
      </c>
      <c r="I1473" t="s">
        <v>263</v>
      </c>
    </row>
    <row r="1474" spans="1:9" x14ac:dyDescent="0.25">
      <c r="A1474">
        <v>70368</v>
      </c>
      <c r="B1474" t="s">
        <v>211</v>
      </c>
      <c r="C1474" t="s">
        <v>238</v>
      </c>
      <c r="D1474">
        <v>4</v>
      </c>
      <c r="E1474">
        <v>0</v>
      </c>
      <c r="F1474" t="s">
        <v>239</v>
      </c>
      <c r="G1474" t="s">
        <v>16</v>
      </c>
      <c r="H1474">
        <v>6045</v>
      </c>
      <c r="I1474" t="s">
        <v>240</v>
      </c>
    </row>
    <row r="1475" spans="1:9" x14ac:dyDescent="0.25">
      <c r="A1475">
        <v>70368</v>
      </c>
      <c r="B1475" t="s">
        <v>211</v>
      </c>
      <c r="C1475" t="s">
        <v>238</v>
      </c>
      <c r="D1475">
        <v>4</v>
      </c>
      <c r="E1475">
        <v>0</v>
      </c>
      <c r="F1475" t="s">
        <v>239</v>
      </c>
      <c r="G1475" t="s">
        <v>19</v>
      </c>
      <c r="H1475">
        <v>65636</v>
      </c>
      <c r="I1475" t="s">
        <v>264</v>
      </c>
    </row>
    <row r="1476" spans="1:9" x14ac:dyDescent="0.25">
      <c r="A1476">
        <v>70368</v>
      </c>
      <c r="B1476" t="s">
        <v>211</v>
      </c>
      <c r="C1476" t="s">
        <v>238</v>
      </c>
      <c r="D1476">
        <v>4</v>
      </c>
      <c r="E1476">
        <v>0</v>
      </c>
      <c r="F1476" t="s">
        <v>241</v>
      </c>
      <c r="G1476" t="s">
        <v>158</v>
      </c>
      <c r="H1476">
        <v>64658</v>
      </c>
      <c r="I1476" t="s">
        <v>265</v>
      </c>
    </row>
    <row r="1477" spans="1:9" x14ac:dyDescent="0.25">
      <c r="A1477">
        <v>70368</v>
      </c>
      <c r="B1477" t="s">
        <v>211</v>
      </c>
      <c r="C1477" t="s">
        <v>238</v>
      </c>
      <c r="D1477">
        <v>4</v>
      </c>
      <c r="E1477">
        <v>0</v>
      </c>
      <c r="F1477" t="s">
        <v>239</v>
      </c>
      <c r="G1477" t="s">
        <v>19</v>
      </c>
      <c r="H1477">
        <v>0</v>
      </c>
      <c r="I1477" t="s">
        <v>271</v>
      </c>
    </row>
    <row r="1478" spans="1:9" x14ac:dyDescent="0.25">
      <c r="A1478">
        <v>70368</v>
      </c>
      <c r="B1478" t="s">
        <v>211</v>
      </c>
      <c r="C1478" t="s">
        <v>238</v>
      </c>
      <c r="D1478">
        <v>4</v>
      </c>
      <c r="E1478">
        <v>0</v>
      </c>
      <c r="F1478" t="s">
        <v>239</v>
      </c>
      <c r="G1478" t="s">
        <v>19</v>
      </c>
      <c r="H1478">
        <v>0</v>
      </c>
      <c r="I1478" t="s">
        <v>266</v>
      </c>
    </row>
    <row r="1479" spans="1:9" x14ac:dyDescent="0.25">
      <c r="A1479">
        <v>70368</v>
      </c>
      <c r="B1479" t="s">
        <v>211</v>
      </c>
      <c r="C1479" t="s">
        <v>238</v>
      </c>
      <c r="D1479">
        <v>4</v>
      </c>
      <c r="E1479">
        <v>0</v>
      </c>
      <c r="F1479" t="s">
        <v>241</v>
      </c>
      <c r="G1479" t="s">
        <v>143</v>
      </c>
      <c r="H1479">
        <v>0</v>
      </c>
      <c r="I1479" t="s">
        <v>332</v>
      </c>
    </row>
    <row r="1480" spans="1:9" x14ac:dyDescent="0.25">
      <c r="A1480">
        <v>70368</v>
      </c>
      <c r="B1480" t="s">
        <v>211</v>
      </c>
      <c r="C1480" t="s">
        <v>238</v>
      </c>
      <c r="D1480">
        <v>4</v>
      </c>
      <c r="E1480">
        <v>0</v>
      </c>
      <c r="F1480" t="s">
        <v>241</v>
      </c>
      <c r="G1480" t="s">
        <v>138</v>
      </c>
      <c r="H1480">
        <v>0</v>
      </c>
      <c r="I1480" t="s">
        <v>333</v>
      </c>
    </row>
    <row r="1481" spans="1:9" x14ac:dyDescent="0.25">
      <c r="A1481">
        <v>70368</v>
      </c>
      <c r="B1481" t="s">
        <v>211</v>
      </c>
      <c r="C1481" t="s">
        <v>238</v>
      </c>
      <c r="D1481">
        <v>4</v>
      </c>
      <c r="E1481">
        <v>0</v>
      </c>
      <c r="F1481" t="s">
        <v>241</v>
      </c>
      <c r="G1481" t="s">
        <v>138</v>
      </c>
      <c r="H1481">
        <v>0</v>
      </c>
      <c r="I1481" t="s">
        <v>334</v>
      </c>
    </row>
    <row r="1482" spans="1:9" x14ac:dyDescent="0.25">
      <c r="A1482">
        <v>70368</v>
      </c>
      <c r="B1482" t="s">
        <v>211</v>
      </c>
      <c r="C1482" t="s">
        <v>238</v>
      </c>
      <c r="D1482">
        <v>4</v>
      </c>
      <c r="E1482">
        <v>0</v>
      </c>
      <c r="F1482" t="s">
        <v>241</v>
      </c>
      <c r="G1482" t="s">
        <v>138</v>
      </c>
      <c r="H1482">
        <v>-98030</v>
      </c>
      <c r="I1482" t="s">
        <v>268</v>
      </c>
    </row>
    <row r="1483" spans="1:9" x14ac:dyDescent="0.25">
      <c r="A1483">
        <v>70368</v>
      </c>
      <c r="B1483" t="s">
        <v>211</v>
      </c>
      <c r="C1483" t="s">
        <v>238</v>
      </c>
      <c r="D1483">
        <v>4</v>
      </c>
      <c r="E1483">
        <v>0</v>
      </c>
      <c r="F1483" t="s">
        <v>241</v>
      </c>
      <c r="G1483" t="s">
        <v>139</v>
      </c>
      <c r="H1483">
        <v>0</v>
      </c>
      <c r="I1483" t="s">
        <v>336</v>
      </c>
    </row>
    <row r="1484" spans="1:9" x14ac:dyDescent="0.25">
      <c r="A1484">
        <v>70368</v>
      </c>
      <c r="B1484" t="s">
        <v>211</v>
      </c>
      <c r="C1484" t="s">
        <v>238</v>
      </c>
      <c r="D1484">
        <v>4</v>
      </c>
      <c r="E1484">
        <v>0</v>
      </c>
      <c r="F1484" t="s">
        <v>241</v>
      </c>
      <c r="G1484" t="s">
        <v>139</v>
      </c>
      <c r="H1484">
        <v>0</v>
      </c>
      <c r="I1484" t="s">
        <v>337</v>
      </c>
    </row>
    <row r="1485" spans="1:9" x14ac:dyDescent="0.25">
      <c r="A1485">
        <v>70368</v>
      </c>
      <c r="B1485" t="s">
        <v>211</v>
      </c>
      <c r="C1485" t="s">
        <v>238</v>
      </c>
      <c r="D1485">
        <v>4</v>
      </c>
      <c r="E1485">
        <v>0</v>
      </c>
      <c r="F1485" t="s">
        <v>241</v>
      </c>
      <c r="G1485" t="s">
        <v>139</v>
      </c>
      <c r="H1485">
        <v>0</v>
      </c>
      <c r="I1485" t="s">
        <v>335</v>
      </c>
    </row>
    <row r="1486" spans="1:9" x14ac:dyDescent="0.25">
      <c r="A1486">
        <v>70368</v>
      </c>
      <c r="B1486" t="s">
        <v>211</v>
      </c>
      <c r="C1486" t="s">
        <v>238</v>
      </c>
      <c r="D1486">
        <v>4</v>
      </c>
      <c r="E1486">
        <v>0</v>
      </c>
      <c r="F1486" t="s">
        <v>241</v>
      </c>
      <c r="G1486" t="s">
        <v>24</v>
      </c>
      <c r="H1486">
        <v>0</v>
      </c>
      <c r="I1486" t="s">
        <v>338</v>
      </c>
    </row>
    <row r="1487" spans="1:9" x14ac:dyDescent="0.25">
      <c r="A1487">
        <v>70368</v>
      </c>
      <c r="B1487" t="s">
        <v>211</v>
      </c>
      <c r="C1487" t="s">
        <v>238</v>
      </c>
      <c r="D1487">
        <v>4</v>
      </c>
      <c r="E1487">
        <v>0</v>
      </c>
      <c r="F1487" t="s">
        <v>241</v>
      </c>
      <c r="G1487" t="s">
        <v>24</v>
      </c>
      <c r="H1487">
        <v>0</v>
      </c>
      <c r="I1487" t="s">
        <v>339</v>
      </c>
    </row>
    <row r="1488" spans="1:9" x14ac:dyDescent="0.25">
      <c r="A1488">
        <v>70368</v>
      </c>
      <c r="B1488" t="s">
        <v>211</v>
      </c>
      <c r="C1488" t="s">
        <v>238</v>
      </c>
      <c r="D1488">
        <v>4</v>
      </c>
      <c r="E1488">
        <v>0</v>
      </c>
      <c r="F1488" t="s">
        <v>241</v>
      </c>
      <c r="G1488" t="s">
        <v>24</v>
      </c>
      <c r="H1488">
        <v>0</v>
      </c>
      <c r="I1488" t="s">
        <v>340</v>
      </c>
    </row>
    <row r="1489" spans="1:9" x14ac:dyDescent="0.25">
      <c r="A1489">
        <v>70368</v>
      </c>
      <c r="B1489" t="s">
        <v>211</v>
      </c>
      <c r="C1489" t="s">
        <v>238</v>
      </c>
      <c r="D1489">
        <v>4</v>
      </c>
      <c r="E1489">
        <v>0</v>
      </c>
      <c r="F1489" t="s">
        <v>241</v>
      </c>
      <c r="G1489" t="s">
        <v>137</v>
      </c>
      <c r="H1489">
        <v>0</v>
      </c>
      <c r="I1489" t="s">
        <v>273</v>
      </c>
    </row>
    <row r="1490" spans="1:9" x14ac:dyDescent="0.25">
      <c r="A1490">
        <v>70368</v>
      </c>
      <c r="B1490" t="s">
        <v>211</v>
      </c>
      <c r="C1490" t="s">
        <v>238</v>
      </c>
      <c r="D1490">
        <v>4</v>
      </c>
      <c r="E1490">
        <v>0</v>
      </c>
      <c r="F1490" t="s">
        <v>241</v>
      </c>
      <c r="G1490" t="s">
        <v>137</v>
      </c>
      <c r="H1490">
        <v>0</v>
      </c>
      <c r="I1490" t="s">
        <v>341</v>
      </c>
    </row>
    <row r="1491" spans="1:9" x14ac:dyDescent="0.25">
      <c r="A1491">
        <v>70368</v>
      </c>
      <c r="B1491" t="s">
        <v>211</v>
      </c>
      <c r="C1491" t="s">
        <v>238</v>
      </c>
      <c r="D1491">
        <v>4</v>
      </c>
      <c r="E1491">
        <v>0</v>
      </c>
      <c r="F1491" t="s">
        <v>241</v>
      </c>
      <c r="G1491" t="s">
        <v>137</v>
      </c>
      <c r="H1491">
        <v>0</v>
      </c>
      <c r="I1491" t="s">
        <v>342</v>
      </c>
    </row>
    <row r="1492" spans="1:9" x14ac:dyDescent="0.25">
      <c r="A1492">
        <v>70368</v>
      </c>
      <c r="B1492" t="s">
        <v>211</v>
      </c>
      <c r="C1492" t="s">
        <v>238</v>
      </c>
      <c r="D1492">
        <v>4</v>
      </c>
      <c r="E1492">
        <v>0</v>
      </c>
      <c r="F1492" t="s">
        <v>241</v>
      </c>
      <c r="G1492" t="s">
        <v>137</v>
      </c>
      <c r="H1492">
        <v>0</v>
      </c>
      <c r="I1492" t="s">
        <v>343</v>
      </c>
    </row>
    <row r="1493" spans="1:9" x14ac:dyDescent="0.25">
      <c r="A1493">
        <v>70368</v>
      </c>
      <c r="B1493" t="s">
        <v>211</v>
      </c>
      <c r="C1493" t="s">
        <v>238</v>
      </c>
      <c r="D1493">
        <v>4</v>
      </c>
      <c r="E1493">
        <v>0</v>
      </c>
      <c r="F1493" t="s">
        <v>241</v>
      </c>
      <c r="G1493" t="s">
        <v>143</v>
      </c>
      <c r="H1493">
        <v>0</v>
      </c>
      <c r="I1493" t="s">
        <v>344</v>
      </c>
    </row>
    <row r="1494" spans="1:9" x14ac:dyDescent="0.25">
      <c r="A1494">
        <v>70368</v>
      </c>
      <c r="B1494" t="s">
        <v>211</v>
      </c>
      <c r="C1494" t="s">
        <v>238</v>
      </c>
      <c r="D1494">
        <v>4</v>
      </c>
      <c r="E1494">
        <v>0</v>
      </c>
      <c r="F1494" t="s">
        <v>241</v>
      </c>
      <c r="G1494" t="s">
        <v>143</v>
      </c>
      <c r="H1494">
        <v>0</v>
      </c>
      <c r="I1494" t="s">
        <v>345</v>
      </c>
    </row>
    <row r="1495" spans="1:9" x14ac:dyDescent="0.25">
      <c r="A1495">
        <v>70368</v>
      </c>
      <c r="B1495" t="s">
        <v>211</v>
      </c>
      <c r="C1495" t="s">
        <v>238</v>
      </c>
      <c r="D1495">
        <v>4</v>
      </c>
      <c r="E1495">
        <v>0</v>
      </c>
      <c r="F1495" t="s">
        <v>241</v>
      </c>
      <c r="G1495" t="s">
        <v>143</v>
      </c>
      <c r="H1495">
        <v>0</v>
      </c>
      <c r="I1495" t="s">
        <v>346</v>
      </c>
    </row>
    <row r="1496" spans="1:9" x14ac:dyDescent="0.25">
      <c r="A1496">
        <v>70368</v>
      </c>
      <c r="B1496" t="s">
        <v>211</v>
      </c>
      <c r="C1496" t="s">
        <v>238</v>
      </c>
      <c r="D1496">
        <v>4</v>
      </c>
      <c r="E1496">
        <v>0</v>
      </c>
      <c r="F1496" t="s">
        <v>241</v>
      </c>
      <c r="G1496" t="s">
        <v>138</v>
      </c>
      <c r="H1496">
        <v>0</v>
      </c>
      <c r="I1496" t="s">
        <v>347</v>
      </c>
    </row>
    <row r="1497" spans="1:9" x14ac:dyDescent="0.25">
      <c r="A1497">
        <v>70369</v>
      </c>
      <c r="B1497" t="s">
        <v>213</v>
      </c>
      <c r="C1497" t="s">
        <v>238</v>
      </c>
      <c r="D1497">
        <v>4</v>
      </c>
      <c r="E1497">
        <v>0</v>
      </c>
      <c r="F1497" t="s">
        <v>239</v>
      </c>
      <c r="G1497" t="s">
        <v>153</v>
      </c>
      <c r="H1497">
        <v>0</v>
      </c>
      <c r="I1497" t="s">
        <v>351</v>
      </c>
    </row>
    <row r="1498" spans="1:9" x14ac:dyDescent="0.25">
      <c r="A1498">
        <v>70369</v>
      </c>
      <c r="B1498" t="s">
        <v>213</v>
      </c>
      <c r="C1498" t="s">
        <v>238</v>
      </c>
      <c r="D1498">
        <v>4</v>
      </c>
      <c r="E1498">
        <v>0</v>
      </c>
      <c r="F1498" t="s">
        <v>239</v>
      </c>
      <c r="G1498" t="s">
        <v>152</v>
      </c>
      <c r="H1498">
        <v>0</v>
      </c>
      <c r="I1498" t="s">
        <v>352</v>
      </c>
    </row>
    <row r="1499" spans="1:9" x14ac:dyDescent="0.25">
      <c r="A1499">
        <v>70369</v>
      </c>
      <c r="B1499" t="s">
        <v>213</v>
      </c>
      <c r="C1499" t="s">
        <v>238</v>
      </c>
      <c r="D1499">
        <v>4</v>
      </c>
      <c r="E1499">
        <v>0</v>
      </c>
      <c r="F1499" t="s">
        <v>239</v>
      </c>
      <c r="G1499" t="s">
        <v>154</v>
      </c>
      <c r="H1499">
        <v>0</v>
      </c>
      <c r="I1499" t="s">
        <v>349</v>
      </c>
    </row>
    <row r="1500" spans="1:9" x14ac:dyDescent="0.25">
      <c r="A1500">
        <v>70369</v>
      </c>
      <c r="B1500" t="s">
        <v>213</v>
      </c>
      <c r="C1500" t="s">
        <v>238</v>
      </c>
      <c r="D1500">
        <v>4</v>
      </c>
      <c r="E1500">
        <v>0</v>
      </c>
      <c r="F1500" t="s">
        <v>241</v>
      </c>
      <c r="G1500" t="s">
        <v>26</v>
      </c>
      <c r="H1500">
        <v>0</v>
      </c>
      <c r="I1500" t="s">
        <v>350</v>
      </c>
    </row>
    <row r="1501" spans="1:9" x14ac:dyDescent="0.25">
      <c r="A1501">
        <v>70369</v>
      </c>
      <c r="B1501" t="s">
        <v>213</v>
      </c>
      <c r="C1501" t="s">
        <v>238</v>
      </c>
      <c r="D1501">
        <v>4</v>
      </c>
      <c r="E1501">
        <v>0</v>
      </c>
      <c r="F1501" t="s">
        <v>241</v>
      </c>
      <c r="G1501" t="s">
        <v>23</v>
      </c>
      <c r="H1501">
        <v>0</v>
      </c>
      <c r="I1501" t="s">
        <v>269</v>
      </c>
    </row>
    <row r="1502" spans="1:9" x14ac:dyDescent="0.25">
      <c r="A1502">
        <v>70369</v>
      </c>
      <c r="B1502" t="s">
        <v>213</v>
      </c>
      <c r="C1502" t="s">
        <v>238</v>
      </c>
      <c r="D1502">
        <v>4</v>
      </c>
      <c r="E1502">
        <v>0</v>
      </c>
      <c r="F1502" t="s">
        <v>241</v>
      </c>
      <c r="G1502" t="s">
        <v>26</v>
      </c>
      <c r="H1502">
        <v>0</v>
      </c>
      <c r="I1502" t="s">
        <v>353</v>
      </c>
    </row>
    <row r="1503" spans="1:9" x14ac:dyDescent="0.25">
      <c r="A1503">
        <v>70369</v>
      </c>
      <c r="B1503" t="s">
        <v>213</v>
      </c>
      <c r="C1503" t="s">
        <v>238</v>
      </c>
      <c r="D1503">
        <v>4</v>
      </c>
      <c r="E1503">
        <v>0</v>
      </c>
      <c r="F1503" t="s">
        <v>241</v>
      </c>
      <c r="G1503" t="s">
        <v>157</v>
      </c>
      <c r="H1503">
        <v>0</v>
      </c>
      <c r="I1503" t="s">
        <v>348</v>
      </c>
    </row>
    <row r="1504" spans="1:9" x14ac:dyDescent="0.25">
      <c r="A1504">
        <v>70369</v>
      </c>
      <c r="B1504" t="s">
        <v>213</v>
      </c>
      <c r="C1504" t="s">
        <v>238</v>
      </c>
      <c r="D1504">
        <v>4</v>
      </c>
      <c r="E1504">
        <v>0</v>
      </c>
      <c r="F1504" t="s">
        <v>261</v>
      </c>
      <c r="G1504" t="s">
        <v>261</v>
      </c>
      <c r="H1504">
        <v>0</v>
      </c>
      <c r="I1504" t="s">
        <v>272</v>
      </c>
    </row>
    <row r="1505" spans="1:9" x14ac:dyDescent="0.25">
      <c r="A1505">
        <v>70369</v>
      </c>
      <c r="B1505" t="s">
        <v>213</v>
      </c>
      <c r="C1505" t="s">
        <v>238</v>
      </c>
      <c r="D1505">
        <v>4</v>
      </c>
      <c r="E1505">
        <v>0</v>
      </c>
      <c r="F1505" t="s">
        <v>261</v>
      </c>
      <c r="G1505" t="s">
        <v>261</v>
      </c>
      <c r="H1505">
        <v>0</v>
      </c>
      <c r="I1505" t="s">
        <v>354</v>
      </c>
    </row>
    <row r="1506" spans="1:9" x14ac:dyDescent="0.25">
      <c r="A1506">
        <v>70369</v>
      </c>
      <c r="B1506" t="s">
        <v>213</v>
      </c>
      <c r="C1506" t="s">
        <v>238</v>
      </c>
      <c r="D1506">
        <v>4</v>
      </c>
      <c r="E1506">
        <v>0</v>
      </c>
      <c r="F1506" t="s">
        <v>247</v>
      </c>
      <c r="G1506" t="s">
        <v>12</v>
      </c>
      <c r="H1506">
        <v>-3520119</v>
      </c>
      <c r="I1506" t="s">
        <v>248</v>
      </c>
    </row>
    <row r="1507" spans="1:9" x14ac:dyDescent="0.25">
      <c r="A1507">
        <v>70369</v>
      </c>
      <c r="B1507" t="s">
        <v>213</v>
      </c>
      <c r="C1507" t="s">
        <v>238</v>
      </c>
      <c r="D1507">
        <v>4</v>
      </c>
      <c r="E1507">
        <v>0</v>
      </c>
      <c r="F1507" t="s">
        <v>247</v>
      </c>
      <c r="G1507" t="s">
        <v>13</v>
      </c>
      <c r="H1507">
        <v>11789767</v>
      </c>
      <c r="I1507" t="s">
        <v>249</v>
      </c>
    </row>
    <row r="1508" spans="1:9" x14ac:dyDescent="0.25">
      <c r="A1508">
        <v>70369</v>
      </c>
      <c r="B1508" t="s">
        <v>213</v>
      </c>
      <c r="C1508" t="s">
        <v>238</v>
      </c>
      <c r="D1508">
        <v>4</v>
      </c>
      <c r="E1508">
        <v>0</v>
      </c>
      <c r="F1508" t="s">
        <v>241</v>
      </c>
      <c r="G1508" t="s">
        <v>25</v>
      </c>
      <c r="H1508">
        <v>5810</v>
      </c>
      <c r="I1508" t="s">
        <v>250</v>
      </c>
    </row>
    <row r="1509" spans="1:9" x14ac:dyDescent="0.25">
      <c r="A1509">
        <v>70369</v>
      </c>
      <c r="B1509" t="s">
        <v>213</v>
      </c>
      <c r="C1509" t="s">
        <v>238</v>
      </c>
      <c r="D1509">
        <v>4</v>
      </c>
      <c r="E1509">
        <v>0</v>
      </c>
      <c r="F1509" t="s">
        <v>241</v>
      </c>
      <c r="G1509" t="s">
        <v>26</v>
      </c>
      <c r="H1509">
        <v>0</v>
      </c>
      <c r="I1509" t="s">
        <v>251</v>
      </c>
    </row>
    <row r="1510" spans="1:9" x14ac:dyDescent="0.25">
      <c r="A1510">
        <v>70369</v>
      </c>
      <c r="B1510" t="s">
        <v>213</v>
      </c>
      <c r="C1510" t="s">
        <v>238</v>
      </c>
      <c r="D1510">
        <v>4</v>
      </c>
      <c r="E1510">
        <v>0</v>
      </c>
      <c r="F1510" t="s">
        <v>239</v>
      </c>
      <c r="G1510" t="s">
        <v>18</v>
      </c>
      <c r="H1510">
        <v>375227</v>
      </c>
      <c r="I1510" t="s">
        <v>252</v>
      </c>
    </row>
    <row r="1511" spans="1:9" x14ac:dyDescent="0.25">
      <c r="A1511">
        <v>70369</v>
      </c>
      <c r="B1511" t="s">
        <v>213</v>
      </c>
      <c r="C1511" t="s">
        <v>238</v>
      </c>
      <c r="D1511">
        <v>4</v>
      </c>
      <c r="E1511">
        <v>0</v>
      </c>
      <c r="F1511" t="s">
        <v>241</v>
      </c>
      <c r="G1511" t="s">
        <v>26</v>
      </c>
      <c r="H1511">
        <v>68089</v>
      </c>
      <c r="I1511" t="s">
        <v>253</v>
      </c>
    </row>
    <row r="1512" spans="1:9" x14ac:dyDescent="0.25">
      <c r="A1512">
        <v>70369</v>
      </c>
      <c r="B1512" t="s">
        <v>213</v>
      </c>
      <c r="C1512" t="s">
        <v>238</v>
      </c>
      <c r="D1512">
        <v>4</v>
      </c>
      <c r="E1512">
        <v>0</v>
      </c>
      <c r="F1512" t="s">
        <v>247</v>
      </c>
      <c r="G1512" t="s">
        <v>15</v>
      </c>
      <c r="H1512">
        <v>548924</v>
      </c>
      <c r="I1512" t="s">
        <v>254</v>
      </c>
    </row>
    <row r="1513" spans="1:9" x14ac:dyDescent="0.25">
      <c r="A1513">
        <v>70369</v>
      </c>
      <c r="B1513" t="s">
        <v>213</v>
      </c>
      <c r="C1513" t="s">
        <v>238</v>
      </c>
      <c r="D1513">
        <v>4</v>
      </c>
      <c r="E1513">
        <v>0</v>
      </c>
      <c r="F1513" t="s">
        <v>247</v>
      </c>
      <c r="G1513" t="s">
        <v>14</v>
      </c>
      <c r="H1513">
        <v>0</v>
      </c>
      <c r="I1513" t="s">
        <v>355</v>
      </c>
    </row>
    <row r="1514" spans="1:9" x14ac:dyDescent="0.25">
      <c r="A1514">
        <v>70369</v>
      </c>
      <c r="B1514" t="s">
        <v>213</v>
      </c>
      <c r="C1514" t="s">
        <v>238</v>
      </c>
      <c r="D1514">
        <v>4</v>
      </c>
      <c r="E1514">
        <v>0</v>
      </c>
      <c r="F1514" t="s">
        <v>241</v>
      </c>
      <c r="G1514" t="s">
        <v>23</v>
      </c>
      <c r="H1514">
        <v>79812</v>
      </c>
      <c r="I1514" t="s">
        <v>242</v>
      </c>
    </row>
    <row r="1515" spans="1:9" x14ac:dyDescent="0.25">
      <c r="A1515">
        <v>70369</v>
      </c>
      <c r="B1515" t="s">
        <v>213</v>
      </c>
      <c r="C1515" t="s">
        <v>238</v>
      </c>
      <c r="D1515">
        <v>4</v>
      </c>
      <c r="E1515">
        <v>0</v>
      </c>
      <c r="F1515" t="s">
        <v>241</v>
      </c>
      <c r="G1515" t="s">
        <v>24</v>
      </c>
      <c r="H1515">
        <v>148565</v>
      </c>
      <c r="I1515" t="s">
        <v>243</v>
      </c>
    </row>
    <row r="1516" spans="1:9" x14ac:dyDescent="0.25">
      <c r="A1516">
        <v>70369</v>
      </c>
      <c r="B1516" t="s">
        <v>213</v>
      </c>
      <c r="C1516" t="s">
        <v>238</v>
      </c>
      <c r="D1516">
        <v>4</v>
      </c>
      <c r="E1516">
        <v>0</v>
      </c>
      <c r="F1516" t="s">
        <v>241</v>
      </c>
      <c r="G1516" t="s">
        <v>21</v>
      </c>
      <c r="H1516">
        <v>0</v>
      </c>
      <c r="I1516" t="s">
        <v>356</v>
      </c>
    </row>
    <row r="1517" spans="1:9" x14ac:dyDescent="0.25">
      <c r="A1517">
        <v>70369</v>
      </c>
      <c r="B1517" t="s">
        <v>213</v>
      </c>
      <c r="C1517" t="s">
        <v>238</v>
      </c>
      <c r="D1517">
        <v>4</v>
      </c>
      <c r="E1517">
        <v>0</v>
      </c>
      <c r="F1517" t="s">
        <v>239</v>
      </c>
      <c r="G1517" t="s">
        <v>20</v>
      </c>
      <c r="H1517">
        <v>-37026</v>
      </c>
      <c r="I1517" t="s">
        <v>244</v>
      </c>
    </row>
    <row r="1518" spans="1:9" x14ac:dyDescent="0.25">
      <c r="A1518">
        <v>70369</v>
      </c>
      <c r="B1518" t="s">
        <v>213</v>
      </c>
      <c r="C1518" t="s">
        <v>238</v>
      </c>
      <c r="D1518">
        <v>4</v>
      </c>
      <c r="E1518">
        <v>0</v>
      </c>
      <c r="F1518" t="s">
        <v>241</v>
      </c>
      <c r="G1518" t="s">
        <v>22</v>
      </c>
      <c r="H1518">
        <v>0</v>
      </c>
      <c r="I1518" t="s">
        <v>245</v>
      </c>
    </row>
    <row r="1519" spans="1:9" x14ac:dyDescent="0.25">
      <c r="A1519">
        <v>70369</v>
      </c>
      <c r="B1519" t="s">
        <v>213</v>
      </c>
      <c r="C1519" t="s">
        <v>238</v>
      </c>
      <c r="D1519">
        <v>4</v>
      </c>
      <c r="E1519">
        <v>0</v>
      </c>
      <c r="F1519" t="s">
        <v>241</v>
      </c>
      <c r="G1519" t="s">
        <v>26</v>
      </c>
      <c r="H1519">
        <v>3542</v>
      </c>
      <c r="I1519" t="s">
        <v>246</v>
      </c>
    </row>
    <row r="1520" spans="1:9" x14ac:dyDescent="0.25">
      <c r="A1520">
        <v>70369</v>
      </c>
      <c r="B1520" t="s">
        <v>213</v>
      </c>
      <c r="C1520" t="s">
        <v>238</v>
      </c>
      <c r="D1520">
        <v>4</v>
      </c>
      <c r="E1520">
        <v>0</v>
      </c>
      <c r="F1520" t="s">
        <v>239</v>
      </c>
      <c r="G1520" t="s">
        <v>17</v>
      </c>
      <c r="H1520">
        <v>0</v>
      </c>
      <c r="I1520" t="s">
        <v>357</v>
      </c>
    </row>
    <row r="1521" spans="1:9" x14ac:dyDescent="0.25">
      <c r="A1521">
        <v>70369</v>
      </c>
      <c r="B1521" t="s">
        <v>213</v>
      </c>
      <c r="C1521" t="s">
        <v>238</v>
      </c>
      <c r="D1521">
        <v>4</v>
      </c>
      <c r="E1521">
        <v>0</v>
      </c>
      <c r="F1521" t="s">
        <v>241</v>
      </c>
      <c r="G1521" t="s">
        <v>24</v>
      </c>
      <c r="H1521">
        <v>0</v>
      </c>
      <c r="I1521" t="s">
        <v>358</v>
      </c>
    </row>
    <row r="1522" spans="1:9" x14ac:dyDescent="0.25">
      <c r="A1522">
        <v>70369</v>
      </c>
      <c r="B1522" t="s">
        <v>213</v>
      </c>
      <c r="C1522" t="s">
        <v>238</v>
      </c>
      <c r="D1522">
        <v>4</v>
      </c>
      <c r="E1522">
        <v>0</v>
      </c>
      <c r="F1522" t="s">
        <v>241</v>
      </c>
      <c r="G1522" t="s">
        <v>27</v>
      </c>
      <c r="H1522">
        <v>0</v>
      </c>
      <c r="I1522" t="s">
        <v>359</v>
      </c>
    </row>
    <row r="1523" spans="1:9" x14ac:dyDescent="0.25">
      <c r="A1523">
        <v>70369</v>
      </c>
      <c r="B1523" t="s">
        <v>213</v>
      </c>
      <c r="C1523" t="s">
        <v>238</v>
      </c>
      <c r="D1523">
        <v>4</v>
      </c>
      <c r="E1523">
        <v>0</v>
      </c>
      <c r="F1523" t="s">
        <v>239</v>
      </c>
      <c r="G1523" t="s">
        <v>19</v>
      </c>
      <c r="H1523">
        <v>0</v>
      </c>
      <c r="I1523" t="s">
        <v>360</v>
      </c>
    </row>
    <row r="1524" spans="1:9" x14ac:dyDescent="0.25">
      <c r="A1524">
        <v>70369</v>
      </c>
      <c r="B1524" t="s">
        <v>213</v>
      </c>
      <c r="C1524" t="s">
        <v>238</v>
      </c>
      <c r="D1524">
        <v>4</v>
      </c>
      <c r="E1524">
        <v>0</v>
      </c>
      <c r="F1524" t="s">
        <v>239</v>
      </c>
      <c r="G1524" t="s">
        <v>20</v>
      </c>
      <c r="H1524">
        <v>270947</v>
      </c>
      <c r="I1524" t="s">
        <v>255</v>
      </c>
    </row>
    <row r="1525" spans="1:9" x14ac:dyDescent="0.25">
      <c r="A1525">
        <v>70369</v>
      </c>
      <c r="B1525" t="s">
        <v>213</v>
      </c>
      <c r="C1525" t="s">
        <v>238</v>
      </c>
      <c r="D1525">
        <v>4</v>
      </c>
      <c r="E1525">
        <v>0</v>
      </c>
      <c r="F1525" t="s">
        <v>247</v>
      </c>
      <c r="G1525" t="s">
        <v>148</v>
      </c>
      <c r="H1525">
        <v>1947185</v>
      </c>
      <c r="I1525" t="s">
        <v>256</v>
      </c>
    </row>
    <row r="1526" spans="1:9" x14ac:dyDescent="0.25">
      <c r="A1526">
        <v>70369</v>
      </c>
      <c r="B1526" t="s">
        <v>213</v>
      </c>
      <c r="C1526" t="s">
        <v>238</v>
      </c>
      <c r="D1526">
        <v>4</v>
      </c>
      <c r="E1526">
        <v>0</v>
      </c>
      <c r="F1526" t="s">
        <v>241</v>
      </c>
      <c r="G1526" t="s">
        <v>27</v>
      </c>
      <c r="H1526">
        <v>7008841</v>
      </c>
      <c r="I1526" t="s">
        <v>257</v>
      </c>
    </row>
    <row r="1527" spans="1:9" x14ac:dyDescent="0.25">
      <c r="A1527">
        <v>70369</v>
      </c>
      <c r="B1527" t="s">
        <v>213</v>
      </c>
      <c r="C1527" t="s">
        <v>238</v>
      </c>
      <c r="D1527">
        <v>4</v>
      </c>
      <c r="E1527">
        <v>0</v>
      </c>
      <c r="F1527" t="s">
        <v>241</v>
      </c>
      <c r="G1527" t="s">
        <v>27</v>
      </c>
      <c r="H1527">
        <v>0</v>
      </c>
      <c r="I1527" t="s">
        <v>361</v>
      </c>
    </row>
    <row r="1528" spans="1:9" x14ac:dyDescent="0.25">
      <c r="A1528">
        <v>70369</v>
      </c>
      <c r="B1528" t="s">
        <v>213</v>
      </c>
      <c r="C1528" t="s">
        <v>238</v>
      </c>
      <c r="D1528">
        <v>4</v>
      </c>
      <c r="E1528">
        <v>0</v>
      </c>
      <c r="F1528" t="s">
        <v>241</v>
      </c>
      <c r="G1528" t="s">
        <v>27</v>
      </c>
      <c r="H1528">
        <v>0</v>
      </c>
      <c r="I1528" t="s">
        <v>362</v>
      </c>
    </row>
    <row r="1529" spans="1:9" x14ac:dyDescent="0.25">
      <c r="A1529">
        <v>70369</v>
      </c>
      <c r="B1529" t="s">
        <v>213</v>
      </c>
      <c r="C1529" t="s">
        <v>238</v>
      </c>
      <c r="D1529">
        <v>4</v>
      </c>
      <c r="E1529">
        <v>0</v>
      </c>
      <c r="F1529" t="s">
        <v>241</v>
      </c>
      <c r="G1529" t="s">
        <v>27</v>
      </c>
      <c r="H1529">
        <v>0</v>
      </c>
      <c r="I1529" t="s">
        <v>363</v>
      </c>
    </row>
    <row r="1530" spans="1:9" x14ac:dyDescent="0.25">
      <c r="A1530">
        <v>70369</v>
      </c>
      <c r="B1530" t="s">
        <v>213</v>
      </c>
      <c r="C1530" t="s">
        <v>238</v>
      </c>
      <c r="D1530">
        <v>4</v>
      </c>
      <c r="E1530">
        <v>0</v>
      </c>
      <c r="F1530" t="s">
        <v>239</v>
      </c>
      <c r="G1530" t="s">
        <v>16</v>
      </c>
      <c r="H1530">
        <v>0</v>
      </c>
      <c r="I1530" t="s">
        <v>267</v>
      </c>
    </row>
    <row r="1531" spans="1:9" x14ac:dyDescent="0.25">
      <c r="A1531">
        <v>70369</v>
      </c>
      <c r="B1531" t="s">
        <v>213</v>
      </c>
      <c r="C1531" t="s">
        <v>238</v>
      </c>
      <c r="D1531">
        <v>4</v>
      </c>
      <c r="E1531">
        <v>0</v>
      </c>
      <c r="F1531" t="s">
        <v>239</v>
      </c>
      <c r="G1531" t="s">
        <v>152</v>
      </c>
      <c r="H1531">
        <v>37524</v>
      </c>
      <c r="I1531" t="s">
        <v>258</v>
      </c>
    </row>
    <row r="1532" spans="1:9" x14ac:dyDescent="0.25">
      <c r="A1532">
        <v>70369</v>
      </c>
      <c r="B1532" t="s">
        <v>213</v>
      </c>
      <c r="C1532" t="s">
        <v>238</v>
      </c>
      <c r="D1532">
        <v>4</v>
      </c>
      <c r="E1532">
        <v>0</v>
      </c>
      <c r="F1532" t="s">
        <v>239</v>
      </c>
      <c r="G1532" t="s">
        <v>154</v>
      </c>
      <c r="H1532">
        <v>0</v>
      </c>
      <c r="I1532" t="s">
        <v>330</v>
      </c>
    </row>
    <row r="1533" spans="1:9" x14ac:dyDescent="0.25">
      <c r="A1533">
        <v>70369</v>
      </c>
      <c r="B1533" t="s">
        <v>213</v>
      </c>
      <c r="C1533" t="s">
        <v>238</v>
      </c>
      <c r="D1533">
        <v>4</v>
      </c>
      <c r="E1533">
        <v>0</v>
      </c>
      <c r="F1533" t="s">
        <v>239</v>
      </c>
      <c r="G1533" t="s">
        <v>16</v>
      </c>
      <c r="H1533">
        <v>3767</v>
      </c>
      <c r="I1533" t="s">
        <v>259</v>
      </c>
    </row>
    <row r="1534" spans="1:9" x14ac:dyDescent="0.25">
      <c r="A1534">
        <v>70369</v>
      </c>
      <c r="B1534" t="s">
        <v>213</v>
      </c>
      <c r="C1534" t="s">
        <v>238</v>
      </c>
      <c r="D1534">
        <v>4</v>
      </c>
      <c r="E1534">
        <v>0</v>
      </c>
      <c r="F1534" t="s">
        <v>239</v>
      </c>
      <c r="G1534" t="s">
        <v>19</v>
      </c>
      <c r="H1534">
        <v>42885</v>
      </c>
      <c r="I1534" t="s">
        <v>260</v>
      </c>
    </row>
    <row r="1535" spans="1:9" x14ac:dyDescent="0.25">
      <c r="A1535">
        <v>70369</v>
      </c>
      <c r="B1535" t="s">
        <v>213</v>
      </c>
      <c r="C1535" t="s">
        <v>238</v>
      </c>
      <c r="D1535">
        <v>4</v>
      </c>
      <c r="E1535">
        <v>0</v>
      </c>
      <c r="F1535" t="s">
        <v>239</v>
      </c>
      <c r="G1535" t="s">
        <v>19</v>
      </c>
      <c r="H1535">
        <v>0</v>
      </c>
      <c r="I1535" t="s">
        <v>270</v>
      </c>
    </row>
    <row r="1536" spans="1:9" x14ac:dyDescent="0.25">
      <c r="A1536">
        <v>70369</v>
      </c>
      <c r="B1536" t="s">
        <v>213</v>
      </c>
      <c r="C1536" t="s">
        <v>238</v>
      </c>
      <c r="D1536">
        <v>4</v>
      </c>
      <c r="E1536">
        <v>0</v>
      </c>
      <c r="F1536" t="s">
        <v>241</v>
      </c>
      <c r="G1536" t="s">
        <v>139</v>
      </c>
      <c r="H1536">
        <v>0</v>
      </c>
      <c r="I1536" t="s">
        <v>331</v>
      </c>
    </row>
    <row r="1537" spans="1:9" x14ac:dyDescent="0.25">
      <c r="A1537">
        <v>70369</v>
      </c>
      <c r="B1537" t="s">
        <v>213</v>
      </c>
      <c r="C1537" t="s">
        <v>238</v>
      </c>
      <c r="D1537">
        <v>4</v>
      </c>
      <c r="E1537">
        <v>0</v>
      </c>
      <c r="F1537" t="s">
        <v>261</v>
      </c>
      <c r="G1537" t="s">
        <v>261</v>
      </c>
      <c r="H1537">
        <v>5047611</v>
      </c>
      <c r="I1537" t="s">
        <v>262</v>
      </c>
    </row>
    <row r="1538" spans="1:9" x14ac:dyDescent="0.25">
      <c r="A1538">
        <v>70369</v>
      </c>
      <c r="B1538" t="s">
        <v>213</v>
      </c>
      <c r="C1538" t="s">
        <v>238</v>
      </c>
      <c r="D1538">
        <v>4</v>
      </c>
      <c r="E1538">
        <v>0</v>
      </c>
      <c r="F1538" t="s">
        <v>239</v>
      </c>
      <c r="G1538" t="s">
        <v>19</v>
      </c>
      <c r="H1538">
        <v>268839</v>
      </c>
      <c r="I1538" t="s">
        <v>263</v>
      </c>
    </row>
    <row r="1539" spans="1:9" x14ac:dyDescent="0.25">
      <c r="A1539">
        <v>70369</v>
      </c>
      <c r="B1539" t="s">
        <v>213</v>
      </c>
      <c r="C1539" t="s">
        <v>238</v>
      </c>
      <c r="D1539">
        <v>4</v>
      </c>
      <c r="E1539">
        <v>0</v>
      </c>
      <c r="F1539" t="s">
        <v>239</v>
      </c>
      <c r="G1539" t="s">
        <v>16</v>
      </c>
      <c r="H1539">
        <v>8098</v>
      </c>
      <c r="I1539" t="s">
        <v>240</v>
      </c>
    </row>
    <row r="1540" spans="1:9" x14ac:dyDescent="0.25">
      <c r="A1540">
        <v>70369</v>
      </c>
      <c r="B1540" t="s">
        <v>213</v>
      </c>
      <c r="C1540" t="s">
        <v>238</v>
      </c>
      <c r="D1540">
        <v>4</v>
      </c>
      <c r="E1540">
        <v>0</v>
      </c>
      <c r="F1540" t="s">
        <v>239</v>
      </c>
      <c r="G1540" t="s">
        <v>19</v>
      </c>
      <c r="H1540">
        <v>59576</v>
      </c>
      <c r="I1540" t="s">
        <v>264</v>
      </c>
    </row>
    <row r="1541" spans="1:9" x14ac:dyDescent="0.25">
      <c r="A1541">
        <v>70369</v>
      </c>
      <c r="B1541" t="s">
        <v>213</v>
      </c>
      <c r="C1541" t="s">
        <v>238</v>
      </c>
      <c r="D1541">
        <v>4</v>
      </c>
      <c r="E1541">
        <v>0</v>
      </c>
      <c r="F1541" t="s">
        <v>241</v>
      </c>
      <c r="G1541" t="s">
        <v>158</v>
      </c>
      <c r="H1541">
        <v>55247</v>
      </c>
      <c r="I1541" t="s">
        <v>265</v>
      </c>
    </row>
    <row r="1542" spans="1:9" x14ac:dyDescent="0.25">
      <c r="A1542">
        <v>70369</v>
      </c>
      <c r="B1542" t="s">
        <v>213</v>
      </c>
      <c r="C1542" t="s">
        <v>238</v>
      </c>
      <c r="D1542">
        <v>4</v>
      </c>
      <c r="E1542">
        <v>0</v>
      </c>
      <c r="F1542" t="s">
        <v>239</v>
      </c>
      <c r="G1542" t="s">
        <v>19</v>
      </c>
      <c r="H1542">
        <v>0</v>
      </c>
      <c r="I1542" t="s">
        <v>271</v>
      </c>
    </row>
    <row r="1543" spans="1:9" x14ac:dyDescent="0.25">
      <c r="A1543">
        <v>70369</v>
      </c>
      <c r="B1543" t="s">
        <v>213</v>
      </c>
      <c r="C1543" t="s">
        <v>238</v>
      </c>
      <c r="D1543">
        <v>4</v>
      </c>
      <c r="E1543">
        <v>0</v>
      </c>
      <c r="F1543" t="s">
        <v>239</v>
      </c>
      <c r="G1543" t="s">
        <v>19</v>
      </c>
      <c r="H1543">
        <v>301696</v>
      </c>
      <c r="I1543" t="s">
        <v>266</v>
      </c>
    </row>
    <row r="1544" spans="1:9" x14ac:dyDescent="0.25">
      <c r="A1544">
        <v>70369</v>
      </c>
      <c r="B1544" t="s">
        <v>213</v>
      </c>
      <c r="C1544" t="s">
        <v>238</v>
      </c>
      <c r="D1544">
        <v>4</v>
      </c>
      <c r="E1544">
        <v>0</v>
      </c>
      <c r="F1544" t="s">
        <v>241</v>
      </c>
      <c r="G1544" t="s">
        <v>143</v>
      </c>
      <c r="H1544">
        <v>0</v>
      </c>
      <c r="I1544" t="s">
        <v>332</v>
      </c>
    </row>
    <row r="1545" spans="1:9" x14ac:dyDescent="0.25">
      <c r="A1545">
        <v>70369</v>
      </c>
      <c r="B1545" t="s">
        <v>213</v>
      </c>
      <c r="C1545" t="s">
        <v>238</v>
      </c>
      <c r="D1545">
        <v>4</v>
      </c>
      <c r="E1545">
        <v>0</v>
      </c>
      <c r="F1545" t="s">
        <v>241</v>
      </c>
      <c r="G1545" t="s">
        <v>138</v>
      </c>
      <c r="H1545">
        <v>0</v>
      </c>
      <c r="I1545" t="s">
        <v>333</v>
      </c>
    </row>
    <row r="1546" spans="1:9" x14ac:dyDescent="0.25">
      <c r="A1546">
        <v>70369</v>
      </c>
      <c r="B1546" t="s">
        <v>213</v>
      </c>
      <c r="C1546" t="s">
        <v>238</v>
      </c>
      <c r="D1546">
        <v>4</v>
      </c>
      <c r="E1546">
        <v>0</v>
      </c>
      <c r="F1546" t="s">
        <v>241</v>
      </c>
      <c r="G1546" t="s">
        <v>138</v>
      </c>
      <c r="H1546">
        <v>0</v>
      </c>
      <c r="I1546" t="s">
        <v>334</v>
      </c>
    </row>
    <row r="1547" spans="1:9" x14ac:dyDescent="0.25">
      <c r="A1547">
        <v>70369</v>
      </c>
      <c r="B1547" t="s">
        <v>213</v>
      </c>
      <c r="C1547" t="s">
        <v>238</v>
      </c>
      <c r="D1547">
        <v>4</v>
      </c>
      <c r="E1547">
        <v>0</v>
      </c>
      <c r="F1547" t="s">
        <v>241</v>
      </c>
      <c r="G1547" t="s">
        <v>138</v>
      </c>
      <c r="H1547">
        <v>14419</v>
      </c>
      <c r="I1547" t="s">
        <v>268</v>
      </c>
    </row>
    <row r="1548" spans="1:9" x14ac:dyDescent="0.25">
      <c r="A1548">
        <v>70369</v>
      </c>
      <c r="B1548" t="s">
        <v>213</v>
      </c>
      <c r="C1548" t="s">
        <v>238</v>
      </c>
      <c r="D1548">
        <v>4</v>
      </c>
      <c r="E1548">
        <v>0</v>
      </c>
      <c r="F1548" t="s">
        <v>241</v>
      </c>
      <c r="G1548" t="s">
        <v>139</v>
      </c>
      <c r="H1548">
        <v>0</v>
      </c>
      <c r="I1548" t="s">
        <v>336</v>
      </c>
    </row>
    <row r="1549" spans="1:9" x14ac:dyDescent="0.25">
      <c r="A1549">
        <v>70369</v>
      </c>
      <c r="B1549" t="s">
        <v>213</v>
      </c>
      <c r="C1549" t="s">
        <v>238</v>
      </c>
      <c r="D1549">
        <v>4</v>
      </c>
      <c r="E1549">
        <v>0</v>
      </c>
      <c r="F1549" t="s">
        <v>241</v>
      </c>
      <c r="G1549" t="s">
        <v>139</v>
      </c>
      <c r="H1549">
        <v>0</v>
      </c>
      <c r="I1549" t="s">
        <v>337</v>
      </c>
    </row>
    <row r="1550" spans="1:9" x14ac:dyDescent="0.25">
      <c r="A1550">
        <v>70369</v>
      </c>
      <c r="B1550" t="s">
        <v>213</v>
      </c>
      <c r="C1550" t="s">
        <v>238</v>
      </c>
      <c r="D1550">
        <v>4</v>
      </c>
      <c r="E1550">
        <v>0</v>
      </c>
      <c r="F1550" t="s">
        <v>241</v>
      </c>
      <c r="G1550" t="s">
        <v>139</v>
      </c>
      <c r="H1550">
        <v>0</v>
      </c>
      <c r="I1550" t="s">
        <v>335</v>
      </c>
    </row>
    <row r="1551" spans="1:9" x14ac:dyDescent="0.25">
      <c r="A1551">
        <v>70369</v>
      </c>
      <c r="B1551" t="s">
        <v>213</v>
      </c>
      <c r="C1551" t="s">
        <v>238</v>
      </c>
      <c r="D1551">
        <v>4</v>
      </c>
      <c r="E1551">
        <v>0</v>
      </c>
      <c r="F1551" t="s">
        <v>241</v>
      </c>
      <c r="G1551" t="s">
        <v>24</v>
      </c>
      <c r="H1551">
        <v>0</v>
      </c>
      <c r="I1551" t="s">
        <v>338</v>
      </c>
    </row>
    <row r="1552" spans="1:9" x14ac:dyDescent="0.25">
      <c r="A1552">
        <v>70369</v>
      </c>
      <c r="B1552" t="s">
        <v>213</v>
      </c>
      <c r="C1552" t="s">
        <v>238</v>
      </c>
      <c r="D1552">
        <v>4</v>
      </c>
      <c r="E1552">
        <v>0</v>
      </c>
      <c r="F1552" t="s">
        <v>241</v>
      </c>
      <c r="G1552" t="s">
        <v>24</v>
      </c>
      <c r="H1552">
        <v>0</v>
      </c>
      <c r="I1552" t="s">
        <v>339</v>
      </c>
    </row>
    <row r="1553" spans="1:9" x14ac:dyDescent="0.25">
      <c r="A1553">
        <v>70369</v>
      </c>
      <c r="B1553" t="s">
        <v>213</v>
      </c>
      <c r="C1553" t="s">
        <v>238</v>
      </c>
      <c r="D1553">
        <v>4</v>
      </c>
      <c r="E1553">
        <v>0</v>
      </c>
      <c r="F1553" t="s">
        <v>241</v>
      </c>
      <c r="G1553" t="s">
        <v>24</v>
      </c>
      <c r="H1553">
        <v>0</v>
      </c>
      <c r="I1553" t="s">
        <v>340</v>
      </c>
    </row>
    <row r="1554" spans="1:9" x14ac:dyDescent="0.25">
      <c r="A1554">
        <v>70369</v>
      </c>
      <c r="B1554" t="s">
        <v>213</v>
      </c>
      <c r="C1554" t="s">
        <v>238</v>
      </c>
      <c r="D1554">
        <v>4</v>
      </c>
      <c r="E1554">
        <v>0</v>
      </c>
      <c r="F1554" t="s">
        <v>241</v>
      </c>
      <c r="G1554" t="s">
        <v>137</v>
      </c>
      <c r="H1554">
        <v>0</v>
      </c>
      <c r="I1554" t="s">
        <v>273</v>
      </c>
    </row>
    <row r="1555" spans="1:9" x14ac:dyDescent="0.25">
      <c r="A1555">
        <v>70369</v>
      </c>
      <c r="B1555" t="s">
        <v>213</v>
      </c>
      <c r="C1555" t="s">
        <v>238</v>
      </c>
      <c r="D1555">
        <v>4</v>
      </c>
      <c r="E1555">
        <v>0</v>
      </c>
      <c r="F1555" t="s">
        <v>241</v>
      </c>
      <c r="G1555" t="s">
        <v>137</v>
      </c>
      <c r="H1555">
        <v>0</v>
      </c>
      <c r="I1555" t="s">
        <v>341</v>
      </c>
    </row>
    <row r="1556" spans="1:9" x14ac:dyDescent="0.25">
      <c r="A1556">
        <v>70369</v>
      </c>
      <c r="B1556" t="s">
        <v>213</v>
      </c>
      <c r="C1556" t="s">
        <v>238</v>
      </c>
      <c r="D1556">
        <v>4</v>
      </c>
      <c r="E1556">
        <v>0</v>
      </c>
      <c r="F1556" t="s">
        <v>241</v>
      </c>
      <c r="G1556" t="s">
        <v>137</v>
      </c>
      <c r="H1556">
        <v>0</v>
      </c>
      <c r="I1556" t="s">
        <v>342</v>
      </c>
    </row>
    <row r="1557" spans="1:9" x14ac:dyDescent="0.25">
      <c r="A1557">
        <v>70369</v>
      </c>
      <c r="B1557" t="s">
        <v>213</v>
      </c>
      <c r="C1557" t="s">
        <v>238</v>
      </c>
      <c r="D1557">
        <v>4</v>
      </c>
      <c r="E1557">
        <v>0</v>
      </c>
      <c r="F1557" t="s">
        <v>241</v>
      </c>
      <c r="G1557" t="s">
        <v>137</v>
      </c>
      <c r="H1557">
        <v>0</v>
      </c>
      <c r="I1557" t="s">
        <v>343</v>
      </c>
    </row>
    <row r="1558" spans="1:9" x14ac:dyDescent="0.25">
      <c r="A1558">
        <v>70369</v>
      </c>
      <c r="B1558" t="s">
        <v>213</v>
      </c>
      <c r="C1558" t="s">
        <v>238</v>
      </c>
      <c r="D1558">
        <v>4</v>
      </c>
      <c r="E1558">
        <v>0</v>
      </c>
      <c r="F1558" t="s">
        <v>241</v>
      </c>
      <c r="G1558" t="s">
        <v>143</v>
      </c>
      <c r="H1558">
        <v>0</v>
      </c>
      <c r="I1558" t="s">
        <v>344</v>
      </c>
    </row>
    <row r="1559" spans="1:9" x14ac:dyDescent="0.25">
      <c r="A1559">
        <v>70369</v>
      </c>
      <c r="B1559" t="s">
        <v>213</v>
      </c>
      <c r="C1559" t="s">
        <v>238</v>
      </c>
      <c r="D1559">
        <v>4</v>
      </c>
      <c r="E1559">
        <v>0</v>
      </c>
      <c r="F1559" t="s">
        <v>241</v>
      </c>
      <c r="G1559" t="s">
        <v>143</v>
      </c>
      <c r="H1559">
        <v>0</v>
      </c>
      <c r="I1559" t="s">
        <v>345</v>
      </c>
    </row>
    <row r="1560" spans="1:9" x14ac:dyDescent="0.25">
      <c r="A1560">
        <v>70369</v>
      </c>
      <c r="B1560" t="s">
        <v>213</v>
      </c>
      <c r="C1560" t="s">
        <v>238</v>
      </c>
      <c r="D1560">
        <v>4</v>
      </c>
      <c r="E1560">
        <v>0</v>
      </c>
      <c r="F1560" t="s">
        <v>241</v>
      </c>
      <c r="G1560" t="s">
        <v>143</v>
      </c>
      <c r="H1560">
        <v>0</v>
      </c>
      <c r="I1560" t="s">
        <v>346</v>
      </c>
    </row>
    <row r="1561" spans="1:9" x14ac:dyDescent="0.25">
      <c r="A1561">
        <v>70369</v>
      </c>
      <c r="B1561" t="s">
        <v>213</v>
      </c>
      <c r="C1561" t="s">
        <v>238</v>
      </c>
      <c r="D1561">
        <v>4</v>
      </c>
      <c r="E1561">
        <v>0</v>
      </c>
      <c r="F1561" t="s">
        <v>241</v>
      </c>
      <c r="G1561" t="s">
        <v>138</v>
      </c>
      <c r="H1561">
        <v>0</v>
      </c>
      <c r="I1561" t="s">
        <v>347</v>
      </c>
    </row>
    <row r="1562" spans="1:9" x14ac:dyDescent="0.25">
      <c r="A1562">
        <v>70370</v>
      </c>
      <c r="B1562" t="s">
        <v>215</v>
      </c>
      <c r="C1562" t="s">
        <v>238</v>
      </c>
      <c r="D1562">
        <v>4</v>
      </c>
      <c r="E1562">
        <v>0</v>
      </c>
      <c r="F1562" t="s">
        <v>239</v>
      </c>
      <c r="G1562" t="s">
        <v>153</v>
      </c>
      <c r="H1562">
        <v>0</v>
      </c>
      <c r="I1562" t="s">
        <v>351</v>
      </c>
    </row>
    <row r="1563" spans="1:9" x14ac:dyDescent="0.25">
      <c r="A1563">
        <v>70370</v>
      </c>
      <c r="B1563" t="s">
        <v>215</v>
      </c>
      <c r="C1563" t="s">
        <v>238</v>
      </c>
      <c r="D1563">
        <v>4</v>
      </c>
      <c r="E1563">
        <v>0</v>
      </c>
      <c r="F1563" t="s">
        <v>239</v>
      </c>
      <c r="G1563" t="s">
        <v>152</v>
      </c>
      <c r="H1563">
        <v>0</v>
      </c>
      <c r="I1563" t="s">
        <v>352</v>
      </c>
    </row>
    <row r="1564" spans="1:9" x14ac:dyDescent="0.25">
      <c r="A1564">
        <v>70370</v>
      </c>
      <c r="B1564" t="s">
        <v>215</v>
      </c>
      <c r="C1564" t="s">
        <v>238</v>
      </c>
      <c r="D1564">
        <v>4</v>
      </c>
      <c r="E1564">
        <v>0</v>
      </c>
      <c r="F1564" t="s">
        <v>239</v>
      </c>
      <c r="G1564" t="s">
        <v>154</v>
      </c>
      <c r="H1564">
        <v>0</v>
      </c>
      <c r="I1564" t="s">
        <v>349</v>
      </c>
    </row>
    <row r="1565" spans="1:9" x14ac:dyDescent="0.25">
      <c r="A1565">
        <v>70370</v>
      </c>
      <c r="B1565" t="s">
        <v>215</v>
      </c>
      <c r="C1565" t="s">
        <v>238</v>
      </c>
      <c r="D1565">
        <v>4</v>
      </c>
      <c r="E1565">
        <v>0</v>
      </c>
      <c r="F1565" t="s">
        <v>241</v>
      </c>
      <c r="G1565" t="s">
        <v>26</v>
      </c>
      <c r="H1565">
        <v>0</v>
      </c>
      <c r="I1565" t="s">
        <v>350</v>
      </c>
    </row>
    <row r="1566" spans="1:9" x14ac:dyDescent="0.25">
      <c r="A1566">
        <v>70370</v>
      </c>
      <c r="B1566" t="s">
        <v>215</v>
      </c>
      <c r="C1566" t="s">
        <v>238</v>
      </c>
      <c r="D1566">
        <v>4</v>
      </c>
      <c r="E1566">
        <v>0</v>
      </c>
      <c r="F1566" t="s">
        <v>241</v>
      </c>
      <c r="G1566" t="s">
        <v>23</v>
      </c>
      <c r="H1566">
        <v>0</v>
      </c>
      <c r="I1566" t="s">
        <v>269</v>
      </c>
    </row>
    <row r="1567" spans="1:9" x14ac:dyDescent="0.25">
      <c r="A1567">
        <v>70370</v>
      </c>
      <c r="B1567" t="s">
        <v>215</v>
      </c>
      <c r="C1567" t="s">
        <v>238</v>
      </c>
      <c r="D1567">
        <v>4</v>
      </c>
      <c r="E1567">
        <v>0</v>
      </c>
      <c r="F1567" t="s">
        <v>241</v>
      </c>
      <c r="G1567" t="s">
        <v>26</v>
      </c>
      <c r="H1567">
        <v>0</v>
      </c>
      <c r="I1567" t="s">
        <v>353</v>
      </c>
    </row>
    <row r="1568" spans="1:9" x14ac:dyDescent="0.25">
      <c r="A1568">
        <v>70370</v>
      </c>
      <c r="B1568" t="s">
        <v>215</v>
      </c>
      <c r="C1568" t="s">
        <v>238</v>
      </c>
      <c r="D1568">
        <v>4</v>
      </c>
      <c r="E1568">
        <v>0</v>
      </c>
      <c r="F1568" t="s">
        <v>241</v>
      </c>
      <c r="G1568" t="s">
        <v>157</v>
      </c>
      <c r="H1568">
        <v>0</v>
      </c>
      <c r="I1568" t="s">
        <v>348</v>
      </c>
    </row>
    <row r="1569" spans="1:9" x14ac:dyDescent="0.25">
      <c r="A1569">
        <v>70370</v>
      </c>
      <c r="B1569" t="s">
        <v>215</v>
      </c>
      <c r="C1569" t="s">
        <v>238</v>
      </c>
      <c r="D1569">
        <v>4</v>
      </c>
      <c r="E1569">
        <v>0</v>
      </c>
      <c r="F1569" t="s">
        <v>261</v>
      </c>
      <c r="G1569" t="s">
        <v>261</v>
      </c>
      <c r="H1569">
        <v>0</v>
      </c>
      <c r="I1569" t="s">
        <v>272</v>
      </c>
    </row>
    <row r="1570" spans="1:9" x14ac:dyDescent="0.25">
      <c r="A1570">
        <v>70370</v>
      </c>
      <c r="B1570" t="s">
        <v>215</v>
      </c>
      <c r="C1570" t="s">
        <v>238</v>
      </c>
      <c r="D1570">
        <v>4</v>
      </c>
      <c r="E1570">
        <v>0</v>
      </c>
      <c r="F1570" t="s">
        <v>261</v>
      </c>
      <c r="G1570" t="s">
        <v>261</v>
      </c>
      <c r="H1570">
        <v>0</v>
      </c>
      <c r="I1570" t="s">
        <v>354</v>
      </c>
    </row>
    <row r="1571" spans="1:9" x14ac:dyDescent="0.25">
      <c r="A1571">
        <v>70370</v>
      </c>
      <c r="B1571" t="s">
        <v>215</v>
      </c>
      <c r="C1571" t="s">
        <v>238</v>
      </c>
      <c r="D1571">
        <v>4</v>
      </c>
      <c r="E1571">
        <v>0</v>
      </c>
      <c r="F1571" t="s">
        <v>247</v>
      </c>
      <c r="G1571" t="s">
        <v>12</v>
      </c>
      <c r="H1571">
        <v>-2921746</v>
      </c>
      <c r="I1571" t="s">
        <v>248</v>
      </c>
    </row>
    <row r="1572" spans="1:9" x14ac:dyDescent="0.25">
      <c r="A1572">
        <v>70370</v>
      </c>
      <c r="B1572" t="s">
        <v>215</v>
      </c>
      <c r="C1572" t="s">
        <v>238</v>
      </c>
      <c r="D1572">
        <v>4</v>
      </c>
      <c r="E1572">
        <v>0</v>
      </c>
      <c r="F1572" t="s">
        <v>247</v>
      </c>
      <c r="G1572" t="s">
        <v>13</v>
      </c>
      <c r="H1572">
        <v>10153070</v>
      </c>
      <c r="I1572" t="s">
        <v>249</v>
      </c>
    </row>
    <row r="1573" spans="1:9" x14ac:dyDescent="0.25">
      <c r="A1573">
        <v>70370</v>
      </c>
      <c r="B1573" t="s">
        <v>215</v>
      </c>
      <c r="C1573" t="s">
        <v>238</v>
      </c>
      <c r="D1573">
        <v>4</v>
      </c>
      <c r="E1573">
        <v>0</v>
      </c>
      <c r="F1573" t="s">
        <v>241</v>
      </c>
      <c r="G1573" t="s">
        <v>25</v>
      </c>
      <c r="H1573">
        <v>10658</v>
      </c>
      <c r="I1573" t="s">
        <v>250</v>
      </c>
    </row>
    <row r="1574" spans="1:9" x14ac:dyDescent="0.25">
      <c r="A1574">
        <v>70370</v>
      </c>
      <c r="B1574" t="s">
        <v>215</v>
      </c>
      <c r="C1574" t="s">
        <v>238</v>
      </c>
      <c r="D1574">
        <v>4</v>
      </c>
      <c r="E1574">
        <v>0</v>
      </c>
      <c r="F1574" t="s">
        <v>241</v>
      </c>
      <c r="G1574" t="s">
        <v>26</v>
      </c>
      <c r="H1574">
        <v>0</v>
      </c>
      <c r="I1574" t="s">
        <v>251</v>
      </c>
    </row>
    <row r="1575" spans="1:9" x14ac:dyDescent="0.25">
      <c r="A1575">
        <v>70370</v>
      </c>
      <c r="B1575" t="s">
        <v>215</v>
      </c>
      <c r="C1575" t="s">
        <v>238</v>
      </c>
      <c r="D1575">
        <v>4</v>
      </c>
      <c r="E1575">
        <v>0</v>
      </c>
      <c r="F1575" t="s">
        <v>239</v>
      </c>
      <c r="G1575" t="s">
        <v>18</v>
      </c>
      <c r="H1575">
        <v>153413</v>
      </c>
      <c r="I1575" t="s">
        <v>252</v>
      </c>
    </row>
    <row r="1576" spans="1:9" x14ac:dyDescent="0.25">
      <c r="A1576">
        <v>70370</v>
      </c>
      <c r="B1576" t="s">
        <v>215</v>
      </c>
      <c r="C1576" t="s">
        <v>238</v>
      </c>
      <c r="D1576">
        <v>4</v>
      </c>
      <c r="E1576">
        <v>0</v>
      </c>
      <c r="F1576" t="s">
        <v>241</v>
      </c>
      <c r="G1576" t="s">
        <v>26</v>
      </c>
      <c r="H1576">
        <v>67248</v>
      </c>
      <c r="I1576" t="s">
        <v>253</v>
      </c>
    </row>
    <row r="1577" spans="1:9" x14ac:dyDescent="0.25">
      <c r="A1577">
        <v>70370</v>
      </c>
      <c r="B1577" t="s">
        <v>215</v>
      </c>
      <c r="C1577" t="s">
        <v>238</v>
      </c>
      <c r="D1577">
        <v>4</v>
      </c>
      <c r="E1577">
        <v>0</v>
      </c>
      <c r="F1577" t="s">
        <v>247</v>
      </c>
      <c r="G1577" t="s">
        <v>15</v>
      </c>
      <c r="H1577">
        <v>335902</v>
      </c>
      <c r="I1577" t="s">
        <v>254</v>
      </c>
    </row>
    <row r="1578" spans="1:9" x14ac:dyDescent="0.25">
      <c r="A1578">
        <v>70370</v>
      </c>
      <c r="B1578" t="s">
        <v>215</v>
      </c>
      <c r="C1578" t="s">
        <v>238</v>
      </c>
      <c r="D1578">
        <v>4</v>
      </c>
      <c r="E1578">
        <v>0</v>
      </c>
      <c r="F1578" t="s">
        <v>247</v>
      </c>
      <c r="G1578" t="s">
        <v>14</v>
      </c>
      <c r="H1578">
        <v>0</v>
      </c>
      <c r="I1578" t="s">
        <v>355</v>
      </c>
    </row>
    <row r="1579" spans="1:9" x14ac:dyDescent="0.25">
      <c r="A1579">
        <v>70370</v>
      </c>
      <c r="B1579" t="s">
        <v>215</v>
      </c>
      <c r="C1579" t="s">
        <v>238</v>
      </c>
      <c r="D1579">
        <v>4</v>
      </c>
      <c r="E1579">
        <v>0</v>
      </c>
      <c r="F1579" t="s">
        <v>241</v>
      </c>
      <c r="G1579" t="s">
        <v>23</v>
      </c>
      <c r="H1579">
        <v>66694</v>
      </c>
      <c r="I1579" t="s">
        <v>242</v>
      </c>
    </row>
    <row r="1580" spans="1:9" x14ac:dyDescent="0.25">
      <c r="A1580">
        <v>70370</v>
      </c>
      <c r="B1580" t="s">
        <v>215</v>
      </c>
      <c r="C1580" t="s">
        <v>238</v>
      </c>
      <c r="D1580">
        <v>4</v>
      </c>
      <c r="E1580">
        <v>0</v>
      </c>
      <c r="F1580" t="s">
        <v>241</v>
      </c>
      <c r="G1580" t="s">
        <v>24</v>
      </c>
      <c r="H1580">
        <v>13746</v>
      </c>
      <c r="I1580" t="s">
        <v>243</v>
      </c>
    </row>
    <row r="1581" spans="1:9" x14ac:dyDescent="0.25">
      <c r="A1581">
        <v>70370</v>
      </c>
      <c r="B1581" t="s">
        <v>215</v>
      </c>
      <c r="C1581" t="s">
        <v>238</v>
      </c>
      <c r="D1581">
        <v>4</v>
      </c>
      <c r="E1581">
        <v>0</v>
      </c>
      <c r="F1581" t="s">
        <v>241</v>
      </c>
      <c r="G1581" t="s">
        <v>21</v>
      </c>
      <c r="H1581">
        <v>0</v>
      </c>
      <c r="I1581" t="s">
        <v>356</v>
      </c>
    </row>
    <row r="1582" spans="1:9" x14ac:dyDescent="0.25">
      <c r="A1582">
        <v>70370</v>
      </c>
      <c r="B1582" t="s">
        <v>215</v>
      </c>
      <c r="C1582" t="s">
        <v>238</v>
      </c>
      <c r="D1582">
        <v>4</v>
      </c>
      <c r="E1582">
        <v>0</v>
      </c>
      <c r="F1582" t="s">
        <v>239</v>
      </c>
      <c r="G1582" t="s">
        <v>20</v>
      </c>
      <c r="H1582">
        <v>-26798</v>
      </c>
      <c r="I1582" t="s">
        <v>244</v>
      </c>
    </row>
    <row r="1583" spans="1:9" x14ac:dyDescent="0.25">
      <c r="A1583">
        <v>70370</v>
      </c>
      <c r="B1583" t="s">
        <v>215</v>
      </c>
      <c r="C1583" t="s">
        <v>238</v>
      </c>
      <c r="D1583">
        <v>4</v>
      </c>
      <c r="E1583">
        <v>0</v>
      </c>
      <c r="F1583" t="s">
        <v>241</v>
      </c>
      <c r="G1583" t="s">
        <v>22</v>
      </c>
      <c r="H1583">
        <v>0</v>
      </c>
      <c r="I1583" t="s">
        <v>245</v>
      </c>
    </row>
    <row r="1584" spans="1:9" x14ac:dyDescent="0.25">
      <c r="A1584">
        <v>70370</v>
      </c>
      <c r="B1584" t="s">
        <v>215</v>
      </c>
      <c r="C1584" t="s">
        <v>238</v>
      </c>
      <c r="D1584">
        <v>4</v>
      </c>
      <c r="E1584">
        <v>0</v>
      </c>
      <c r="F1584" t="s">
        <v>241</v>
      </c>
      <c r="G1584" t="s">
        <v>26</v>
      </c>
      <c r="H1584">
        <v>2091</v>
      </c>
      <c r="I1584" t="s">
        <v>246</v>
      </c>
    </row>
    <row r="1585" spans="1:9" x14ac:dyDescent="0.25">
      <c r="A1585">
        <v>70370</v>
      </c>
      <c r="B1585" t="s">
        <v>215</v>
      </c>
      <c r="C1585" t="s">
        <v>238</v>
      </c>
      <c r="D1585">
        <v>4</v>
      </c>
      <c r="E1585">
        <v>0</v>
      </c>
      <c r="F1585" t="s">
        <v>239</v>
      </c>
      <c r="G1585" t="s">
        <v>17</v>
      </c>
      <c r="H1585">
        <v>0</v>
      </c>
      <c r="I1585" t="s">
        <v>357</v>
      </c>
    </row>
    <row r="1586" spans="1:9" x14ac:dyDescent="0.25">
      <c r="A1586">
        <v>70370</v>
      </c>
      <c r="B1586" t="s">
        <v>215</v>
      </c>
      <c r="C1586" t="s">
        <v>238</v>
      </c>
      <c r="D1586">
        <v>4</v>
      </c>
      <c r="E1586">
        <v>0</v>
      </c>
      <c r="F1586" t="s">
        <v>241</v>
      </c>
      <c r="G1586" t="s">
        <v>24</v>
      </c>
      <c r="H1586">
        <v>0</v>
      </c>
      <c r="I1586" t="s">
        <v>358</v>
      </c>
    </row>
    <row r="1587" spans="1:9" x14ac:dyDescent="0.25">
      <c r="A1587">
        <v>70370</v>
      </c>
      <c r="B1587" t="s">
        <v>215</v>
      </c>
      <c r="C1587" t="s">
        <v>238</v>
      </c>
      <c r="D1587">
        <v>4</v>
      </c>
      <c r="E1587">
        <v>0</v>
      </c>
      <c r="F1587" t="s">
        <v>241</v>
      </c>
      <c r="G1587" t="s">
        <v>27</v>
      </c>
      <c r="H1587">
        <v>0</v>
      </c>
      <c r="I1587" t="s">
        <v>359</v>
      </c>
    </row>
    <row r="1588" spans="1:9" x14ac:dyDescent="0.25">
      <c r="A1588">
        <v>70370</v>
      </c>
      <c r="B1588" t="s">
        <v>215</v>
      </c>
      <c r="C1588" t="s">
        <v>238</v>
      </c>
      <c r="D1588">
        <v>4</v>
      </c>
      <c r="E1588">
        <v>0</v>
      </c>
      <c r="F1588" t="s">
        <v>239</v>
      </c>
      <c r="G1588" t="s">
        <v>19</v>
      </c>
      <c r="H1588">
        <v>0</v>
      </c>
      <c r="I1588" t="s">
        <v>360</v>
      </c>
    </row>
    <row r="1589" spans="1:9" x14ac:dyDescent="0.25">
      <c r="A1589">
        <v>70370</v>
      </c>
      <c r="B1589" t="s">
        <v>215</v>
      </c>
      <c r="C1589" t="s">
        <v>238</v>
      </c>
      <c r="D1589">
        <v>4</v>
      </c>
      <c r="E1589">
        <v>0</v>
      </c>
      <c r="F1589" t="s">
        <v>239</v>
      </c>
      <c r="G1589" t="s">
        <v>20</v>
      </c>
      <c r="H1589">
        <v>184835</v>
      </c>
      <c r="I1589" t="s">
        <v>255</v>
      </c>
    </row>
    <row r="1590" spans="1:9" x14ac:dyDescent="0.25">
      <c r="A1590">
        <v>70370</v>
      </c>
      <c r="B1590" t="s">
        <v>215</v>
      </c>
      <c r="C1590" t="s">
        <v>238</v>
      </c>
      <c r="D1590">
        <v>4</v>
      </c>
      <c r="E1590">
        <v>0</v>
      </c>
      <c r="F1590" t="s">
        <v>247</v>
      </c>
      <c r="G1590" t="s">
        <v>148</v>
      </c>
      <c r="H1590">
        <v>784640</v>
      </c>
      <c r="I1590" t="s">
        <v>256</v>
      </c>
    </row>
    <row r="1591" spans="1:9" x14ac:dyDescent="0.25">
      <c r="A1591">
        <v>70370</v>
      </c>
      <c r="B1591" t="s">
        <v>215</v>
      </c>
      <c r="C1591" t="s">
        <v>238</v>
      </c>
      <c r="D1591">
        <v>4</v>
      </c>
      <c r="E1591">
        <v>0</v>
      </c>
      <c r="F1591" t="s">
        <v>241</v>
      </c>
      <c r="G1591" t="s">
        <v>27</v>
      </c>
      <c r="H1591">
        <v>2174861</v>
      </c>
      <c r="I1591" t="s">
        <v>257</v>
      </c>
    </row>
    <row r="1592" spans="1:9" x14ac:dyDescent="0.25">
      <c r="A1592">
        <v>70370</v>
      </c>
      <c r="B1592" t="s">
        <v>215</v>
      </c>
      <c r="C1592" t="s">
        <v>238</v>
      </c>
      <c r="D1592">
        <v>4</v>
      </c>
      <c r="E1592">
        <v>0</v>
      </c>
      <c r="F1592" t="s">
        <v>241</v>
      </c>
      <c r="G1592" t="s">
        <v>27</v>
      </c>
      <c r="H1592">
        <v>0</v>
      </c>
      <c r="I1592" t="s">
        <v>361</v>
      </c>
    </row>
    <row r="1593" spans="1:9" x14ac:dyDescent="0.25">
      <c r="A1593">
        <v>70370</v>
      </c>
      <c r="B1593" t="s">
        <v>215</v>
      </c>
      <c r="C1593" t="s">
        <v>238</v>
      </c>
      <c r="D1593">
        <v>4</v>
      </c>
      <c r="E1593">
        <v>0</v>
      </c>
      <c r="F1593" t="s">
        <v>241</v>
      </c>
      <c r="G1593" t="s">
        <v>27</v>
      </c>
      <c r="H1593">
        <v>0</v>
      </c>
      <c r="I1593" t="s">
        <v>362</v>
      </c>
    </row>
    <row r="1594" spans="1:9" x14ac:dyDescent="0.25">
      <c r="A1594">
        <v>70370</v>
      </c>
      <c r="B1594" t="s">
        <v>215</v>
      </c>
      <c r="C1594" t="s">
        <v>238</v>
      </c>
      <c r="D1594">
        <v>4</v>
      </c>
      <c r="E1594">
        <v>0</v>
      </c>
      <c r="F1594" t="s">
        <v>241</v>
      </c>
      <c r="G1594" t="s">
        <v>27</v>
      </c>
      <c r="H1594">
        <v>0</v>
      </c>
      <c r="I1594" t="s">
        <v>363</v>
      </c>
    </row>
    <row r="1595" spans="1:9" x14ac:dyDescent="0.25">
      <c r="A1595">
        <v>70370</v>
      </c>
      <c r="B1595" t="s">
        <v>215</v>
      </c>
      <c r="C1595" t="s">
        <v>238</v>
      </c>
      <c r="D1595">
        <v>4</v>
      </c>
      <c r="E1595">
        <v>0</v>
      </c>
      <c r="F1595" t="s">
        <v>239</v>
      </c>
      <c r="G1595" t="s">
        <v>16</v>
      </c>
      <c r="H1595">
        <v>2267</v>
      </c>
      <c r="I1595" t="s">
        <v>267</v>
      </c>
    </row>
    <row r="1596" spans="1:9" x14ac:dyDescent="0.25">
      <c r="A1596">
        <v>70370</v>
      </c>
      <c r="B1596" t="s">
        <v>215</v>
      </c>
      <c r="C1596" t="s">
        <v>238</v>
      </c>
      <c r="D1596">
        <v>4</v>
      </c>
      <c r="E1596">
        <v>0</v>
      </c>
      <c r="F1596" t="s">
        <v>239</v>
      </c>
      <c r="G1596" t="s">
        <v>152</v>
      </c>
      <c r="H1596">
        <v>53608</v>
      </c>
      <c r="I1596" t="s">
        <v>258</v>
      </c>
    </row>
    <row r="1597" spans="1:9" x14ac:dyDescent="0.25">
      <c r="A1597">
        <v>70370</v>
      </c>
      <c r="B1597" t="s">
        <v>215</v>
      </c>
      <c r="C1597" t="s">
        <v>238</v>
      </c>
      <c r="D1597">
        <v>4</v>
      </c>
      <c r="E1597">
        <v>0</v>
      </c>
      <c r="F1597" t="s">
        <v>239</v>
      </c>
      <c r="G1597" t="s">
        <v>154</v>
      </c>
      <c r="H1597">
        <v>0</v>
      </c>
      <c r="I1597" t="s">
        <v>330</v>
      </c>
    </row>
    <row r="1598" spans="1:9" x14ac:dyDescent="0.25">
      <c r="A1598">
        <v>70370</v>
      </c>
      <c r="B1598" t="s">
        <v>215</v>
      </c>
      <c r="C1598" t="s">
        <v>238</v>
      </c>
      <c r="D1598">
        <v>4</v>
      </c>
      <c r="E1598">
        <v>0</v>
      </c>
      <c r="F1598" t="s">
        <v>239</v>
      </c>
      <c r="G1598" t="s">
        <v>16</v>
      </c>
      <c r="H1598">
        <v>2965</v>
      </c>
      <c r="I1598" t="s">
        <v>259</v>
      </c>
    </row>
    <row r="1599" spans="1:9" x14ac:dyDescent="0.25">
      <c r="A1599">
        <v>70370</v>
      </c>
      <c r="B1599" t="s">
        <v>215</v>
      </c>
      <c r="C1599" t="s">
        <v>238</v>
      </c>
      <c r="D1599">
        <v>4</v>
      </c>
      <c r="E1599">
        <v>0</v>
      </c>
      <c r="F1599" t="s">
        <v>239</v>
      </c>
      <c r="G1599" t="s">
        <v>19</v>
      </c>
      <c r="H1599">
        <v>48306</v>
      </c>
      <c r="I1599" t="s">
        <v>260</v>
      </c>
    </row>
    <row r="1600" spans="1:9" x14ac:dyDescent="0.25">
      <c r="A1600">
        <v>70370</v>
      </c>
      <c r="B1600" t="s">
        <v>215</v>
      </c>
      <c r="C1600" t="s">
        <v>238</v>
      </c>
      <c r="D1600">
        <v>4</v>
      </c>
      <c r="E1600">
        <v>0</v>
      </c>
      <c r="F1600" t="s">
        <v>239</v>
      </c>
      <c r="G1600" t="s">
        <v>19</v>
      </c>
      <c r="H1600">
        <v>0</v>
      </c>
      <c r="I1600" t="s">
        <v>270</v>
      </c>
    </row>
    <row r="1601" spans="1:9" x14ac:dyDescent="0.25">
      <c r="A1601">
        <v>70370</v>
      </c>
      <c r="B1601" t="s">
        <v>215</v>
      </c>
      <c r="C1601" t="s">
        <v>238</v>
      </c>
      <c r="D1601">
        <v>4</v>
      </c>
      <c r="E1601">
        <v>0</v>
      </c>
      <c r="F1601" t="s">
        <v>241</v>
      </c>
      <c r="G1601" t="s">
        <v>139</v>
      </c>
      <c r="H1601">
        <v>0</v>
      </c>
      <c r="I1601" t="s">
        <v>331</v>
      </c>
    </row>
    <row r="1602" spans="1:9" x14ac:dyDescent="0.25">
      <c r="A1602">
        <v>70370</v>
      </c>
      <c r="B1602" t="s">
        <v>215</v>
      </c>
      <c r="C1602" t="s">
        <v>238</v>
      </c>
      <c r="D1602">
        <v>4</v>
      </c>
      <c r="E1602">
        <v>0</v>
      </c>
      <c r="F1602" t="s">
        <v>261</v>
      </c>
      <c r="G1602" t="s">
        <v>261</v>
      </c>
      <c r="H1602">
        <v>7018204</v>
      </c>
      <c r="I1602" t="s">
        <v>262</v>
      </c>
    </row>
    <row r="1603" spans="1:9" x14ac:dyDescent="0.25">
      <c r="A1603">
        <v>70370</v>
      </c>
      <c r="B1603" t="s">
        <v>215</v>
      </c>
      <c r="C1603" t="s">
        <v>238</v>
      </c>
      <c r="D1603">
        <v>4</v>
      </c>
      <c r="E1603">
        <v>0</v>
      </c>
      <c r="F1603" t="s">
        <v>239</v>
      </c>
      <c r="G1603" t="s">
        <v>19</v>
      </c>
      <c r="H1603">
        <v>344259</v>
      </c>
      <c r="I1603" t="s">
        <v>263</v>
      </c>
    </row>
    <row r="1604" spans="1:9" x14ac:dyDescent="0.25">
      <c r="A1604">
        <v>70370</v>
      </c>
      <c r="B1604" t="s">
        <v>215</v>
      </c>
      <c r="C1604" t="s">
        <v>238</v>
      </c>
      <c r="D1604">
        <v>4</v>
      </c>
      <c r="E1604">
        <v>0</v>
      </c>
      <c r="F1604" t="s">
        <v>239</v>
      </c>
      <c r="G1604" t="s">
        <v>16</v>
      </c>
      <c r="H1604">
        <v>1403</v>
      </c>
      <c r="I1604" t="s">
        <v>240</v>
      </c>
    </row>
    <row r="1605" spans="1:9" x14ac:dyDescent="0.25">
      <c r="A1605">
        <v>70370</v>
      </c>
      <c r="B1605" t="s">
        <v>215</v>
      </c>
      <c r="C1605" t="s">
        <v>238</v>
      </c>
      <c r="D1605">
        <v>4</v>
      </c>
      <c r="E1605">
        <v>0</v>
      </c>
      <c r="F1605" t="s">
        <v>239</v>
      </c>
      <c r="G1605" t="s">
        <v>19</v>
      </c>
      <c r="H1605">
        <v>45792</v>
      </c>
      <c r="I1605" t="s">
        <v>264</v>
      </c>
    </row>
    <row r="1606" spans="1:9" x14ac:dyDescent="0.25">
      <c r="A1606">
        <v>70370</v>
      </c>
      <c r="B1606" t="s">
        <v>215</v>
      </c>
      <c r="C1606" t="s">
        <v>238</v>
      </c>
      <c r="D1606">
        <v>4</v>
      </c>
      <c r="E1606">
        <v>0</v>
      </c>
      <c r="F1606" t="s">
        <v>241</v>
      </c>
      <c r="G1606" t="s">
        <v>158</v>
      </c>
      <c r="H1606">
        <v>43747</v>
      </c>
      <c r="I1606" t="s">
        <v>265</v>
      </c>
    </row>
    <row r="1607" spans="1:9" x14ac:dyDescent="0.25">
      <c r="A1607">
        <v>70370</v>
      </c>
      <c r="B1607" t="s">
        <v>215</v>
      </c>
      <c r="C1607" t="s">
        <v>238</v>
      </c>
      <c r="D1607">
        <v>4</v>
      </c>
      <c r="E1607">
        <v>0</v>
      </c>
      <c r="F1607" t="s">
        <v>239</v>
      </c>
      <c r="G1607" t="s">
        <v>19</v>
      </c>
      <c r="H1607">
        <v>0</v>
      </c>
      <c r="I1607" t="s">
        <v>271</v>
      </c>
    </row>
    <row r="1608" spans="1:9" x14ac:dyDescent="0.25">
      <c r="A1608">
        <v>70370</v>
      </c>
      <c r="B1608" t="s">
        <v>215</v>
      </c>
      <c r="C1608" t="s">
        <v>238</v>
      </c>
      <c r="D1608">
        <v>4</v>
      </c>
      <c r="E1608">
        <v>0</v>
      </c>
      <c r="F1608" t="s">
        <v>239</v>
      </c>
      <c r="G1608" t="s">
        <v>19</v>
      </c>
      <c r="H1608">
        <v>97813</v>
      </c>
      <c r="I1608" t="s">
        <v>266</v>
      </c>
    </row>
    <row r="1609" spans="1:9" x14ac:dyDescent="0.25">
      <c r="A1609">
        <v>70370</v>
      </c>
      <c r="B1609" t="s">
        <v>215</v>
      </c>
      <c r="C1609" t="s">
        <v>238</v>
      </c>
      <c r="D1609">
        <v>4</v>
      </c>
      <c r="E1609">
        <v>0</v>
      </c>
      <c r="F1609" t="s">
        <v>241</v>
      </c>
      <c r="G1609" t="s">
        <v>143</v>
      </c>
      <c r="H1609">
        <v>0</v>
      </c>
      <c r="I1609" t="s">
        <v>332</v>
      </c>
    </row>
    <row r="1610" spans="1:9" x14ac:dyDescent="0.25">
      <c r="A1610">
        <v>70370</v>
      </c>
      <c r="B1610" t="s">
        <v>215</v>
      </c>
      <c r="C1610" t="s">
        <v>238</v>
      </c>
      <c r="D1610">
        <v>4</v>
      </c>
      <c r="E1610">
        <v>0</v>
      </c>
      <c r="F1610" t="s">
        <v>241</v>
      </c>
      <c r="G1610" t="s">
        <v>138</v>
      </c>
      <c r="H1610">
        <v>0</v>
      </c>
      <c r="I1610" t="s">
        <v>333</v>
      </c>
    </row>
    <row r="1611" spans="1:9" x14ac:dyDescent="0.25">
      <c r="A1611">
        <v>70370</v>
      </c>
      <c r="B1611" t="s">
        <v>215</v>
      </c>
      <c r="C1611" t="s">
        <v>238</v>
      </c>
      <c r="D1611">
        <v>4</v>
      </c>
      <c r="E1611">
        <v>0</v>
      </c>
      <c r="F1611" t="s">
        <v>241</v>
      </c>
      <c r="G1611" t="s">
        <v>138</v>
      </c>
      <c r="H1611">
        <v>0</v>
      </c>
      <c r="I1611" t="s">
        <v>334</v>
      </c>
    </row>
    <row r="1612" spans="1:9" x14ac:dyDescent="0.25">
      <c r="A1612">
        <v>70370</v>
      </c>
      <c r="B1612" t="s">
        <v>215</v>
      </c>
      <c r="C1612" t="s">
        <v>238</v>
      </c>
      <c r="D1612">
        <v>4</v>
      </c>
      <c r="E1612">
        <v>0</v>
      </c>
      <c r="F1612" t="s">
        <v>241</v>
      </c>
      <c r="G1612" t="s">
        <v>138</v>
      </c>
      <c r="H1612">
        <v>73705</v>
      </c>
      <c r="I1612" t="s">
        <v>268</v>
      </c>
    </row>
    <row r="1613" spans="1:9" x14ac:dyDescent="0.25">
      <c r="A1613">
        <v>70370</v>
      </c>
      <c r="B1613" t="s">
        <v>215</v>
      </c>
      <c r="C1613" t="s">
        <v>238</v>
      </c>
      <c r="D1613">
        <v>4</v>
      </c>
      <c r="E1613">
        <v>0</v>
      </c>
      <c r="F1613" t="s">
        <v>241</v>
      </c>
      <c r="G1613" t="s">
        <v>139</v>
      </c>
      <c r="H1613">
        <v>0</v>
      </c>
      <c r="I1613" t="s">
        <v>336</v>
      </c>
    </row>
    <row r="1614" spans="1:9" x14ac:dyDescent="0.25">
      <c r="A1614">
        <v>70370</v>
      </c>
      <c r="B1614" t="s">
        <v>215</v>
      </c>
      <c r="C1614" t="s">
        <v>238</v>
      </c>
      <c r="D1614">
        <v>4</v>
      </c>
      <c r="E1614">
        <v>0</v>
      </c>
      <c r="F1614" t="s">
        <v>241</v>
      </c>
      <c r="G1614" t="s">
        <v>139</v>
      </c>
      <c r="H1614">
        <v>0</v>
      </c>
      <c r="I1614" t="s">
        <v>337</v>
      </c>
    </row>
    <row r="1615" spans="1:9" x14ac:dyDescent="0.25">
      <c r="A1615">
        <v>70370</v>
      </c>
      <c r="B1615" t="s">
        <v>215</v>
      </c>
      <c r="C1615" t="s">
        <v>238</v>
      </c>
      <c r="D1615">
        <v>4</v>
      </c>
      <c r="E1615">
        <v>0</v>
      </c>
      <c r="F1615" t="s">
        <v>241</v>
      </c>
      <c r="G1615" t="s">
        <v>139</v>
      </c>
      <c r="H1615">
        <v>0</v>
      </c>
      <c r="I1615" t="s">
        <v>335</v>
      </c>
    </row>
    <row r="1616" spans="1:9" x14ac:dyDescent="0.25">
      <c r="A1616">
        <v>70370</v>
      </c>
      <c r="B1616" t="s">
        <v>215</v>
      </c>
      <c r="C1616" t="s">
        <v>238</v>
      </c>
      <c r="D1616">
        <v>4</v>
      </c>
      <c r="E1616">
        <v>0</v>
      </c>
      <c r="F1616" t="s">
        <v>241</v>
      </c>
      <c r="G1616" t="s">
        <v>24</v>
      </c>
      <c r="H1616">
        <v>0</v>
      </c>
      <c r="I1616" t="s">
        <v>338</v>
      </c>
    </row>
    <row r="1617" spans="1:9" x14ac:dyDescent="0.25">
      <c r="A1617">
        <v>70370</v>
      </c>
      <c r="B1617" t="s">
        <v>215</v>
      </c>
      <c r="C1617" t="s">
        <v>238</v>
      </c>
      <c r="D1617">
        <v>4</v>
      </c>
      <c r="E1617">
        <v>0</v>
      </c>
      <c r="F1617" t="s">
        <v>241</v>
      </c>
      <c r="G1617" t="s">
        <v>24</v>
      </c>
      <c r="H1617">
        <v>0</v>
      </c>
      <c r="I1617" t="s">
        <v>339</v>
      </c>
    </row>
    <row r="1618" spans="1:9" x14ac:dyDescent="0.25">
      <c r="A1618">
        <v>70370</v>
      </c>
      <c r="B1618" t="s">
        <v>215</v>
      </c>
      <c r="C1618" t="s">
        <v>238</v>
      </c>
      <c r="D1618">
        <v>4</v>
      </c>
      <c r="E1618">
        <v>0</v>
      </c>
      <c r="F1618" t="s">
        <v>241</v>
      </c>
      <c r="G1618" t="s">
        <v>24</v>
      </c>
      <c r="H1618">
        <v>0</v>
      </c>
      <c r="I1618" t="s">
        <v>340</v>
      </c>
    </row>
    <row r="1619" spans="1:9" x14ac:dyDescent="0.25">
      <c r="A1619">
        <v>70370</v>
      </c>
      <c r="B1619" t="s">
        <v>215</v>
      </c>
      <c r="C1619" t="s">
        <v>238</v>
      </c>
      <c r="D1619">
        <v>4</v>
      </c>
      <c r="E1619">
        <v>0</v>
      </c>
      <c r="F1619" t="s">
        <v>241</v>
      </c>
      <c r="G1619" t="s">
        <v>137</v>
      </c>
      <c r="H1619">
        <v>0</v>
      </c>
      <c r="I1619" t="s">
        <v>273</v>
      </c>
    </row>
    <row r="1620" spans="1:9" x14ac:dyDescent="0.25">
      <c r="A1620">
        <v>70370</v>
      </c>
      <c r="B1620" t="s">
        <v>215</v>
      </c>
      <c r="C1620" t="s">
        <v>238</v>
      </c>
      <c r="D1620">
        <v>4</v>
      </c>
      <c r="E1620">
        <v>0</v>
      </c>
      <c r="F1620" t="s">
        <v>241</v>
      </c>
      <c r="G1620" t="s">
        <v>137</v>
      </c>
      <c r="H1620">
        <v>0</v>
      </c>
      <c r="I1620" t="s">
        <v>341</v>
      </c>
    </row>
    <row r="1621" spans="1:9" x14ac:dyDescent="0.25">
      <c r="A1621">
        <v>70370</v>
      </c>
      <c r="B1621" t="s">
        <v>215</v>
      </c>
      <c r="C1621" t="s">
        <v>238</v>
      </c>
      <c r="D1621">
        <v>4</v>
      </c>
      <c r="E1621">
        <v>0</v>
      </c>
      <c r="F1621" t="s">
        <v>241</v>
      </c>
      <c r="G1621" t="s">
        <v>137</v>
      </c>
      <c r="H1621">
        <v>0</v>
      </c>
      <c r="I1621" t="s">
        <v>342</v>
      </c>
    </row>
    <row r="1622" spans="1:9" x14ac:dyDescent="0.25">
      <c r="A1622">
        <v>70370</v>
      </c>
      <c r="B1622" t="s">
        <v>215</v>
      </c>
      <c r="C1622" t="s">
        <v>238</v>
      </c>
      <c r="D1622">
        <v>4</v>
      </c>
      <c r="E1622">
        <v>0</v>
      </c>
      <c r="F1622" t="s">
        <v>241</v>
      </c>
      <c r="G1622" t="s">
        <v>137</v>
      </c>
      <c r="H1622">
        <v>0</v>
      </c>
      <c r="I1622" t="s">
        <v>343</v>
      </c>
    </row>
    <row r="1623" spans="1:9" x14ac:dyDescent="0.25">
      <c r="A1623">
        <v>70370</v>
      </c>
      <c r="B1623" t="s">
        <v>215</v>
      </c>
      <c r="C1623" t="s">
        <v>238</v>
      </c>
      <c r="D1623">
        <v>4</v>
      </c>
      <c r="E1623">
        <v>0</v>
      </c>
      <c r="F1623" t="s">
        <v>241</v>
      </c>
      <c r="G1623" t="s">
        <v>143</v>
      </c>
      <c r="H1623">
        <v>0</v>
      </c>
      <c r="I1623" t="s">
        <v>344</v>
      </c>
    </row>
    <row r="1624" spans="1:9" x14ac:dyDescent="0.25">
      <c r="A1624">
        <v>70370</v>
      </c>
      <c r="B1624" t="s">
        <v>215</v>
      </c>
      <c r="C1624" t="s">
        <v>238</v>
      </c>
      <c r="D1624">
        <v>4</v>
      </c>
      <c r="E1624">
        <v>0</v>
      </c>
      <c r="F1624" t="s">
        <v>241</v>
      </c>
      <c r="G1624" t="s">
        <v>143</v>
      </c>
      <c r="H1624">
        <v>0</v>
      </c>
      <c r="I1624" t="s">
        <v>345</v>
      </c>
    </row>
    <row r="1625" spans="1:9" x14ac:dyDescent="0.25">
      <c r="A1625">
        <v>70370</v>
      </c>
      <c r="B1625" t="s">
        <v>215</v>
      </c>
      <c r="C1625" t="s">
        <v>238</v>
      </c>
      <c r="D1625">
        <v>4</v>
      </c>
      <c r="E1625">
        <v>0</v>
      </c>
      <c r="F1625" t="s">
        <v>241</v>
      </c>
      <c r="G1625" t="s">
        <v>143</v>
      </c>
      <c r="H1625">
        <v>0</v>
      </c>
      <c r="I1625" t="s">
        <v>346</v>
      </c>
    </row>
    <row r="1626" spans="1:9" x14ac:dyDescent="0.25">
      <c r="A1626">
        <v>70370</v>
      </c>
      <c r="B1626" t="s">
        <v>215</v>
      </c>
      <c r="C1626" t="s">
        <v>238</v>
      </c>
      <c r="D1626">
        <v>4</v>
      </c>
      <c r="E1626">
        <v>0</v>
      </c>
      <c r="F1626" t="s">
        <v>241</v>
      </c>
      <c r="G1626" t="s">
        <v>138</v>
      </c>
      <c r="H1626">
        <v>0</v>
      </c>
      <c r="I1626" t="s">
        <v>347</v>
      </c>
    </row>
    <row r="1627" spans="1:9" x14ac:dyDescent="0.25">
      <c r="A1627">
        <v>70371</v>
      </c>
      <c r="B1627" t="s">
        <v>217</v>
      </c>
      <c r="C1627" t="s">
        <v>238</v>
      </c>
      <c r="D1627">
        <v>4</v>
      </c>
      <c r="E1627">
        <v>0</v>
      </c>
      <c r="F1627" t="s">
        <v>239</v>
      </c>
      <c r="G1627" t="s">
        <v>153</v>
      </c>
      <c r="H1627">
        <v>0</v>
      </c>
      <c r="I1627" t="s">
        <v>351</v>
      </c>
    </row>
    <row r="1628" spans="1:9" x14ac:dyDescent="0.25">
      <c r="A1628">
        <v>70371</v>
      </c>
      <c r="B1628" t="s">
        <v>217</v>
      </c>
      <c r="C1628" t="s">
        <v>238</v>
      </c>
      <c r="D1628">
        <v>4</v>
      </c>
      <c r="E1628">
        <v>0</v>
      </c>
      <c r="F1628" t="s">
        <v>239</v>
      </c>
      <c r="G1628" t="s">
        <v>152</v>
      </c>
      <c r="H1628">
        <v>0</v>
      </c>
      <c r="I1628" t="s">
        <v>352</v>
      </c>
    </row>
    <row r="1629" spans="1:9" x14ac:dyDescent="0.25">
      <c r="A1629">
        <v>70371</v>
      </c>
      <c r="B1629" t="s">
        <v>217</v>
      </c>
      <c r="C1629" t="s">
        <v>238</v>
      </c>
      <c r="D1629">
        <v>4</v>
      </c>
      <c r="E1629">
        <v>0</v>
      </c>
      <c r="F1629" t="s">
        <v>239</v>
      </c>
      <c r="G1629" t="s">
        <v>154</v>
      </c>
      <c r="H1629">
        <v>0</v>
      </c>
      <c r="I1629" t="s">
        <v>349</v>
      </c>
    </row>
    <row r="1630" spans="1:9" x14ac:dyDescent="0.25">
      <c r="A1630">
        <v>70371</v>
      </c>
      <c r="B1630" t="s">
        <v>217</v>
      </c>
      <c r="C1630" t="s">
        <v>238</v>
      </c>
      <c r="D1630">
        <v>4</v>
      </c>
      <c r="E1630">
        <v>0</v>
      </c>
      <c r="F1630" t="s">
        <v>241</v>
      </c>
      <c r="G1630" t="s">
        <v>26</v>
      </c>
      <c r="H1630">
        <v>0</v>
      </c>
      <c r="I1630" t="s">
        <v>350</v>
      </c>
    </row>
    <row r="1631" spans="1:9" x14ac:dyDescent="0.25">
      <c r="A1631">
        <v>70371</v>
      </c>
      <c r="B1631" t="s">
        <v>217</v>
      </c>
      <c r="C1631" t="s">
        <v>238</v>
      </c>
      <c r="D1631">
        <v>4</v>
      </c>
      <c r="E1631">
        <v>0</v>
      </c>
      <c r="F1631" t="s">
        <v>241</v>
      </c>
      <c r="G1631" t="s">
        <v>23</v>
      </c>
      <c r="H1631">
        <v>0</v>
      </c>
      <c r="I1631" t="s">
        <v>269</v>
      </c>
    </row>
    <row r="1632" spans="1:9" x14ac:dyDescent="0.25">
      <c r="A1632">
        <v>70371</v>
      </c>
      <c r="B1632" t="s">
        <v>217</v>
      </c>
      <c r="C1632" t="s">
        <v>238</v>
      </c>
      <c r="D1632">
        <v>4</v>
      </c>
      <c r="E1632">
        <v>0</v>
      </c>
      <c r="F1632" t="s">
        <v>241</v>
      </c>
      <c r="G1632" t="s">
        <v>26</v>
      </c>
      <c r="H1632">
        <v>0</v>
      </c>
      <c r="I1632" t="s">
        <v>353</v>
      </c>
    </row>
    <row r="1633" spans="1:9" x14ac:dyDescent="0.25">
      <c r="A1633">
        <v>70371</v>
      </c>
      <c r="B1633" t="s">
        <v>217</v>
      </c>
      <c r="C1633" t="s">
        <v>238</v>
      </c>
      <c r="D1633">
        <v>4</v>
      </c>
      <c r="E1633">
        <v>0</v>
      </c>
      <c r="F1633" t="s">
        <v>241</v>
      </c>
      <c r="G1633" t="s">
        <v>157</v>
      </c>
      <c r="H1633">
        <v>0</v>
      </c>
      <c r="I1633" t="s">
        <v>348</v>
      </c>
    </row>
    <row r="1634" spans="1:9" x14ac:dyDescent="0.25">
      <c r="A1634">
        <v>70371</v>
      </c>
      <c r="B1634" t="s">
        <v>217</v>
      </c>
      <c r="C1634" t="s">
        <v>238</v>
      </c>
      <c r="D1634">
        <v>4</v>
      </c>
      <c r="E1634">
        <v>0</v>
      </c>
      <c r="F1634" t="s">
        <v>261</v>
      </c>
      <c r="G1634" t="s">
        <v>261</v>
      </c>
      <c r="H1634">
        <v>-770</v>
      </c>
      <c r="I1634" t="s">
        <v>272</v>
      </c>
    </row>
    <row r="1635" spans="1:9" x14ac:dyDescent="0.25">
      <c r="A1635">
        <v>70371</v>
      </c>
      <c r="B1635" t="s">
        <v>217</v>
      </c>
      <c r="C1635" t="s">
        <v>238</v>
      </c>
      <c r="D1635">
        <v>4</v>
      </c>
      <c r="E1635">
        <v>0</v>
      </c>
      <c r="F1635" t="s">
        <v>261</v>
      </c>
      <c r="G1635" t="s">
        <v>261</v>
      </c>
      <c r="H1635">
        <v>0</v>
      </c>
      <c r="I1635" t="s">
        <v>354</v>
      </c>
    </row>
    <row r="1636" spans="1:9" x14ac:dyDescent="0.25">
      <c r="A1636">
        <v>70371</v>
      </c>
      <c r="B1636" t="s">
        <v>217</v>
      </c>
      <c r="C1636" t="s">
        <v>238</v>
      </c>
      <c r="D1636">
        <v>4</v>
      </c>
      <c r="E1636">
        <v>0</v>
      </c>
      <c r="F1636" t="s">
        <v>247</v>
      </c>
      <c r="G1636" t="s">
        <v>12</v>
      </c>
      <c r="H1636">
        <v>-1603192</v>
      </c>
      <c r="I1636" t="s">
        <v>248</v>
      </c>
    </row>
    <row r="1637" spans="1:9" x14ac:dyDescent="0.25">
      <c r="A1637">
        <v>70371</v>
      </c>
      <c r="B1637" t="s">
        <v>217</v>
      </c>
      <c r="C1637" t="s">
        <v>238</v>
      </c>
      <c r="D1637">
        <v>4</v>
      </c>
      <c r="E1637">
        <v>0</v>
      </c>
      <c r="F1637" t="s">
        <v>247</v>
      </c>
      <c r="G1637" t="s">
        <v>13</v>
      </c>
      <c r="H1637">
        <v>7320156</v>
      </c>
      <c r="I1637" t="s">
        <v>249</v>
      </c>
    </row>
    <row r="1638" spans="1:9" x14ac:dyDescent="0.25">
      <c r="A1638">
        <v>70371</v>
      </c>
      <c r="B1638" t="s">
        <v>217</v>
      </c>
      <c r="C1638" t="s">
        <v>238</v>
      </c>
      <c r="D1638">
        <v>4</v>
      </c>
      <c r="E1638">
        <v>0</v>
      </c>
      <c r="F1638" t="s">
        <v>241</v>
      </c>
      <c r="G1638" t="s">
        <v>25</v>
      </c>
      <c r="H1638">
        <v>11113</v>
      </c>
      <c r="I1638" t="s">
        <v>250</v>
      </c>
    </row>
    <row r="1639" spans="1:9" x14ac:dyDescent="0.25">
      <c r="A1639">
        <v>70371</v>
      </c>
      <c r="B1639" t="s">
        <v>217</v>
      </c>
      <c r="C1639" t="s">
        <v>238</v>
      </c>
      <c r="D1639">
        <v>4</v>
      </c>
      <c r="E1639">
        <v>0</v>
      </c>
      <c r="F1639" t="s">
        <v>241</v>
      </c>
      <c r="G1639" t="s">
        <v>26</v>
      </c>
      <c r="H1639">
        <v>0</v>
      </c>
      <c r="I1639" t="s">
        <v>251</v>
      </c>
    </row>
    <row r="1640" spans="1:9" x14ac:dyDescent="0.25">
      <c r="A1640">
        <v>70371</v>
      </c>
      <c r="B1640" t="s">
        <v>217</v>
      </c>
      <c r="C1640" t="s">
        <v>238</v>
      </c>
      <c r="D1640">
        <v>4</v>
      </c>
      <c r="E1640">
        <v>0</v>
      </c>
      <c r="F1640" t="s">
        <v>239</v>
      </c>
      <c r="G1640" t="s">
        <v>18</v>
      </c>
      <c r="H1640">
        <v>242053</v>
      </c>
      <c r="I1640" t="s">
        <v>252</v>
      </c>
    </row>
    <row r="1641" spans="1:9" x14ac:dyDescent="0.25">
      <c r="A1641">
        <v>70371</v>
      </c>
      <c r="B1641" t="s">
        <v>217</v>
      </c>
      <c r="C1641" t="s">
        <v>238</v>
      </c>
      <c r="D1641">
        <v>4</v>
      </c>
      <c r="E1641">
        <v>0</v>
      </c>
      <c r="F1641" t="s">
        <v>241</v>
      </c>
      <c r="G1641" t="s">
        <v>26</v>
      </c>
      <c r="H1641">
        <v>55020</v>
      </c>
      <c r="I1641" t="s">
        <v>253</v>
      </c>
    </row>
    <row r="1642" spans="1:9" x14ac:dyDescent="0.25">
      <c r="A1642">
        <v>70371</v>
      </c>
      <c r="B1642" t="s">
        <v>217</v>
      </c>
      <c r="C1642" t="s">
        <v>238</v>
      </c>
      <c r="D1642">
        <v>4</v>
      </c>
      <c r="E1642">
        <v>0</v>
      </c>
      <c r="F1642" t="s">
        <v>247</v>
      </c>
      <c r="G1642" t="s">
        <v>15</v>
      </c>
      <c r="H1642">
        <v>256597</v>
      </c>
      <c r="I1642" t="s">
        <v>254</v>
      </c>
    </row>
    <row r="1643" spans="1:9" x14ac:dyDescent="0.25">
      <c r="A1643">
        <v>70371</v>
      </c>
      <c r="B1643" t="s">
        <v>217</v>
      </c>
      <c r="C1643" t="s">
        <v>238</v>
      </c>
      <c r="D1643">
        <v>4</v>
      </c>
      <c r="E1643">
        <v>0</v>
      </c>
      <c r="F1643" t="s">
        <v>247</v>
      </c>
      <c r="G1643" t="s">
        <v>14</v>
      </c>
      <c r="H1643">
        <v>0</v>
      </c>
      <c r="I1643" t="s">
        <v>355</v>
      </c>
    </row>
    <row r="1644" spans="1:9" x14ac:dyDescent="0.25">
      <c r="A1644">
        <v>70371</v>
      </c>
      <c r="B1644" t="s">
        <v>217</v>
      </c>
      <c r="C1644" t="s">
        <v>238</v>
      </c>
      <c r="D1644">
        <v>4</v>
      </c>
      <c r="E1644">
        <v>0</v>
      </c>
      <c r="F1644" t="s">
        <v>241</v>
      </c>
      <c r="G1644" t="s">
        <v>23</v>
      </c>
      <c r="H1644">
        <v>49024</v>
      </c>
      <c r="I1644" t="s">
        <v>242</v>
      </c>
    </row>
    <row r="1645" spans="1:9" x14ac:dyDescent="0.25">
      <c r="A1645">
        <v>70371</v>
      </c>
      <c r="B1645" t="s">
        <v>217</v>
      </c>
      <c r="C1645" t="s">
        <v>238</v>
      </c>
      <c r="D1645">
        <v>4</v>
      </c>
      <c r="E1645">
        <v>0</v>
      </c>
      <c r="F1645" t="s">
        <v>241</v>
      </c>
      <c r="G1645" t="s">
        <v>24</v>
      </c>
      <c r="H1645">
        <v>89741</v>
      </c>
      <c r="I1645" t="s">
        <v>243</v>
      </c>
    </row>
    <row r="1646" spans="1:9" x14ac:dyDescent="0.25">
      <c r="A1646">
        <v>70371</v>
      </c>
      <c r="B1646" t="s">
        <v>217</v>
      </c>
      <c r="C1646" t="s">
        <v>238</v>
      </c>
      <c r="D1646">
        <v>4</v>
      </c>
      <c r="E1646">
        <v>0</v>
      </c>
      <c r="F1646" t="s">
        <v>241</v>
      </c>
      <c r="G1646" t="s">
        <v>21</v>
      </c>
      <c r="H1646">
        <v>0</v>
      </c>
      <c r="I1646" t="s">
        <v>356</v>
      </c>
    </row>
    <row r="1647" spans="1:9" x14ac:dyDescent="0.25">
      <c r="A1647">
        <v>70371</v>
      </c>
      <c r="B1647" t="s">
        <v>217</v>
      </c>
      <c r="C1647" t="s">
        <v>238</v>
      </c>
      <c r="D1647">
        <v>4</v>
      </c>
      <c r="E1647">
        <v>0</v>
      </c>
      <c r="F1647" t="s">
        <v>239</v>
      </c>
      <c r="G1647" t="s">
        <v>20</v>
      </c>
      <c r="H1647">
        <v>-3108</v>
      </c>
      <c r="I1647" t="s">
        <v>244</v>
      </c>
    </row>
    <row r="1648" spans="1:9" x14ac:dyDescent="0.25">
      <c r="A1648">
        <v>70371</v>
      </c>
      <c r="B1648" t="s">
        <v>217</v>
      </c>
      <c r="C1648" t="s">
        <v>238</v>
      </c>
      <c r="D1648">
        <v>4</v>
      </c>
      <c r="E1648">
        <v>0</v>
      </c>
      <c r="F1648" t="s">
        <v>241</v>
      </c>
      <c r="G1648" t="s">
        <v>22</v>
      </c>
      <c r="H1648">
        <v>232</v>
      </c>
      <c r="I1648" t="s">
        <v>245</v>
      </c>
    </row>
    <row r="1649" spans="1:9" x14ac:dyDescent="0.25">
      <c r="A1649">
        <v>70371</v>
      </c>
      <c r="B1649" t="s">
        <v>217</v>
      </c>
      <c r="C1649" t="s">
        <v>238</v>
      </c>
      <c r="D1649">
        <v>4</v>
      </c>
      <c r="E1649">
        <v>0</v>
      </c>
      <c r="F1649" t="s">
        <v>241</v>
      </c>
      <c r="G1649" t="s">
        <v>26</v>
      </c>
      <c r="H1649">
        <v>1834</v>
      </c>
      <c r="I1649" t="s">
        <v>246</v>
      </c>
    </row>
    <row r="1650" spans="1:9" x14ac:dyDescent="0.25">
      <c r="A1650">
        <v>70371</v>
      </c>
      <c r="B1650" t="s">
        <v>217</v>
      </c>
      <c r="C1650" t="s">
        <v>238</v>
      </c>
      <c r="D1650">
        <v>4</v>
      </c>
      <c r="E1650">
        <v>0</v>
      </c>
      <c r="F1650" t="s">
        <v>239</v>
      </c>
      <c r="G1650" t="s">
        <v>17</v>
      </c>
      <c r="H1650">
        <v>0</v>
      </c>
      <c r="I1650" t="s">
        <v>357</v>
      </c>
    </row>
    <row r="1651" spans="1:9" x14ac:dyDescent="0.25">
      <c r="A1651">
        <v>70371</v>
      </c>
      <c r="B1651" t="s">
        <v>217</v>
      </c>
      <c r="C1651" t="s">
        <v>238</v>
      </c>
      <c r="D1651">
        <v>4</v>
      </c>
      <c r="E1651">
        <v>0</v>
      </c>
      <c r="F1651" t="s">
        <v>241</v>
      </c>
      <c r="G1651" t="s">
        <v>24</v>
      </c>
      <c r="H1651">
        <v>0</v>
      </c>
      <c r="I1651" t="s">
        <v>358</v>
      </c>
    </row>
    <row r="1652" spans="1:9" x14ac:dyDescent="0.25">
      <c r="A1652">
        <v>70371</v>
      </c>
      <c r="B1652" t="s">
        <v>217</v>
      </c>
      <c r="C1652" t="s">
        <v>238</v>
      </c>
      <c r="D1652">
        <v>4</v>
      </c>
      <c r="E1652">
        <v>0</v>
      </c>
      <c r="F1652" t="s">
        <v>241</v>
      </c>
      <c r="G1652" t="s">
        <v>27</v>
      </c>
      <c r="H1652">
        <v>0</v>
      </c>
      <c r="I1652" t="s">
        <v>359</v>
      </c>
    </row>
    <row r="1653" spans="1:9" x14ac:dyDescent="0.25">
      <c r="A1653">
        <v>70371</v>
      </c>
      <c r="B1653" t="s">
        <v>217</v>
      </c>
      <c r="C1653" t="s">
        <v>238</v>
      </c>
      <c r="D1653">
        <v>4</v>
      </c>
      <c r="E1653">
        <v>0</v>
      </c>
      <c r="F1653" t="s">
        <v>239</v>
      </c>
      <c r="G1653" t="s">
        <v>19</v>
      </c>
      <c r="H1653">
        <v>0</v>
      </c>
      <c r="I1653" t="s">
        <v>360</v>
      </c>
    </row>
    <row r="1654" spans="1:9" x14ac:dyDescent="0.25">
      <c r="A1654">
        <v>70371</v>
      </c>
      <c r="B1654" t="s">
        <v>217</v>
      </c>
      <c r="C1654" t="s">
        <v>238</v>
      </c>
      <c r="D1654">
        <v>4</v>
      </c>
      <c r="E1654">
        <v>0</v>
      </c>
      <c r="F1654" t="s">
        <v>239</v>
      </c>
      <c r="G1654" t="s">
        <v>20</v>
      </c>
      <c r="H1654">
        <v>73886</v>
      </c>
      <c r="I1654" t="s">
        <v>255</v>
      </c>
    </row>
    <row r="1655" spans="1:9" x14ac:dyDescent="0.25">
      <c r="A1655">
        <v>70371</v>
      </c>
      <c r="B1655" t="s">
        <v>217</v>
      </c>
      <c r="C1655" t="s">
        <v>238</v>
      </c>
      <c r="D1655">
        <v>4</v>
      </c>
      <c r="E1655">
        <v>0</v>
      </c>
      <c r="F1655" t="s">
        <v>247</v>
      </c>
      <c r="G1655" t="s">
        <v>148</v>
      </c>
      <c r="H1655">
        <v>776886</v>
      </c>
      <c r="I1655" t="s">
        <v>256</v>
      </c>
    </row>
    <row r="1656" spans="1:9" x14ac:dyDescent="0.25">
      <c r="A1656">
        <v>70371</v>
      </c>
      <c r="B1656" t="s">
        <v>217</v>
      </c>
      <c r="C1656" t="s">
        <v>238</v>
      </c>
      <c r="D1656">
        <v>4</v>
      </c>
      <c r="E1656">
        <v>0</v>
      </c>
      <c r="F1656" t="s">
        <v>241</v>
      </c>
      <c r="G1656" t="s">
        <v>27</v>
      </c>
      <c r="H1656">
        <v>6614964</v>
      </c>
      <c r="I1656" t="s">
        <v>257</v>
      </c>
    </row>
    <row r="1657" spans="1:9" x14ac:dyDescent="0.25">
      <c r="A1657">
        <v>70371</v>
      </c>
      <c r="B1657" t="s">
        <v>217</v>
      </c>
      <c r="C1657" t="s">
        <v>238</v>
      </c>
      <c r="D1657">
        <v>4</v>
      </c>
      <c r="E1657">
        <v>0</v>
      </c>
      <c r="F1657" t="s">
        <v>241</v>
      </c>
      <c r="G1657" t="s">
        <v>27</v>
      </c>
      <c r="H1657">
        <v>0</v>
      </c>
      <c r="I1657" t="s">
        <v>361</v>
      </c>
    </row>
    <row r="1658" spans="1:9" x14ac:dyDescent="0.25">
      <c r="A1658">
        <v>70371</v>
      </c>
      <c r="B1658" t="s">
        <v>217</v>
      </c>
      <c r="C1658" t="s">
        <v>238</v>
      </c>
      <c r="D1658">
        <v>4</v>
      </c>
      <c r="E1658">
        <v>0</v>
      </c>
      <c r="F1658" t="s">
        <v>241</v>
      </c>
      <c r="G1658" t="s">
        <v>27</v>
      </c>
      <c r="H1658">
        <v>0</v>
      </c>
      <c r="I1658" t="s">
        <v>362</v>
      </c>
    </row>
    <row r="1659" spans="1:9" x14ac:dyDescent="0.25">
      <c r="A1659">
        <v>70371</v>
      </c>
      <c r="B1659" t="s">
        <v>217</v>
      </c>
      <c r="C1659" t="s">
        <v>238</v>
      </c>
      <c r="D1659">
        <v>4</v>
      </c>
      <c r="E1659">
        <v>0</v>
      </c>
      <c r="F1659" t="s">
        <v>241</v>
      </c>
      <c r="G1659" t="s">
        <v>27</v>
      </c>
      <c r="H1659">
        <v>0</v>
      </c>
      <c r="I1659" t="s">
        <v>363</v>
      </c>
    </row>
    <row r="1660" spans="1:9" x14ac:dyDescent="0.25">
      <c r="A1660">
        <v>70371</v>
      </c>
      <c r="B1660" t="s">
        <v>217</v>
      </c>
      <c r="C1660" t="s">
        <v>238</v>
      </c>
      <c r="D1660">
        <v>4</v>
      </c>
      <c r="E1660">
        <v>0</v>
      </c>
      <c r="F1660" t="s">
        <v>239</v>
      </c>
      <c r="G1660" t="s">
        <v>16</v>
      </c>
      <c r="H1660">
        <v>0</v>
      </c>
      <c r="I1660" t="s">
        <v>267</v>
      </c>
    </row>
    <row r="1661" spans="1:9" x14ac:dyDescent="0.25">
      <c r="A1661">
        <v>70371</v>
      </c>
      <c r="B1661" t="s">
        <v>217</v>
      </c>
      <c r="C1661" t="s">
        <v>238</v>
      </c>
      <c r="D1661">
        <v>4</v>
      </c>
      <c r="E1661">
        <v>0</v>
      </c>
      <c r="F1661" t="s">
        <v>239</v>
      </c>
      <c r="G1661" t="s">
        <v>152</v>
      </c>
      <c r="H1661">
        <v>39806</v>
      </c>
      <c r="I1661" t="s">
        <v>258</v>
      </c>
    </row>
    <row r="1662" spans="1:9" x14ac:dyDescent="0.25">
      <c r="A1662">
        <v>70371</v>
      </c>
      <c r="B1662" t="s">
        <v>217</v>
      </c>
      <c r="C1662" t="s">
        <v>238</v>
      </c>
      <c r="D1662">
        <v>4</v>
      </c>
      <c r="E1662">
        <v>0</v>
      </c>
      <c r="F1662" t="s">
        <v>239</v>
      </c>
      <c r="G1662" t="s">
        <v>154</v>
      </c>
      <c r="H1662">
        <v>0</v>
      </c>
      <c r="I1662" t="s">
        <v>330</v>
      </c>
    </row>
    <row r="1663" spans="1:9" x14ac:dyDescent="0.25">
      <c r="A1663">
        <v>70371</v>
      </c>
      <c r="B1663" t="s">
        <v>217</v>
      </c>
      <c r="C1663" t="s">
        <v>238</v>
      </c>
      <c r="D1663">
        <v>4</v>
      </c>
      <c r="E1663">
        <v>0</v>
      </c>
      <c r="F1663" t="s">
        <v>239</v>
      </c>
      <c r="G1663" t="s">
        <v>16</v>
      </c>
      <c r="H1663">
        <v>2971</v>
      </c>
      <c r="I1663" t="s">
        <v>259</v>
      </c>
    </row>
    <row r="1664" spans="1:9" x14ac:dyDescent="0.25">
      <c r="A1664">
        <v>70371</v>
      </c>
      <c r="B1664" t="s">
        <v>217</v>
      </c>
      <c r="C1664" t="s">
        <v>238</v>
      </c>
      <c r="D1664">
        <v>4</v>
      </c>
      <c r="E1664">
        <v>0</v>
      </c>
      <c r="F1664" t="s">
        <v>239</v>
      </c>
      <c r="G1664" t="s">
        <v>19</v>
      </c>
      <c r="H1664">
        <v>28494</v>
      </c>
      <c r="I1664" t="s">
        <v>260</v>
      </c>
    </row>
    <row r="1665" spans="1:9" x14ac:dyDescent="0.25">
      <c r="A1665">
        <v>70371</v>
      </c>
      <c r="B1665" t="s">
        <v>217</v>
      </c>
      <c r="C1665" t="s">
        <v>238</v>
      </c>
      <c r="D1665">
        <v>4</v>
      </c>
      <c r="E1665">
        <v>0</v>
      </c>
      <c r="F1665" t="s">
        <v>239</v>
      </c>
      <c r="G1665" t="s">
        <v>19</v>
      </c>
      <c r="H1665">
        <v>-134254</v>
      </c>
      <c r="I1665" t="s">
        <v>270</v>
      </c>
    </row>
    <row r="1666" spans="1:9" x14ac:dyDescent="0.25">
      <c r="A1666">
        <v>70371</v>
      </c>
      <c r="B1666" t="s">
        <v>217</v>
      </c>
      <c r="C1666" t="s">
        <v>238</v>
      </c>
      <c r="D1666">
        <v>4</v>
      </c>
      <c r="E1666">
        <v>0</v>
      </c>
      <c r="F1666" t="s">
        <v>241</v>
      </c>
      <c r="G1666" t="s">
        <v>139</v>
      </c>
      <c r="H1666">
        <v>0</v>
      </c>
      <c r="I1666" t="s">
        <v>331</v>
      </c>
    </row>
    <row r="1667" spans="1:9" x14ac:dyDescent="0.25">
      <c r="A1667">
        <v>70371</v>
      </c>
      <c r="B1667" t="s">
        <v>217</v>
      </c>
      <c r="C1667" t="s">
        <v>238</v>
      </c>
      <c r="D1667">
        <v>4</v>
      </c>
      <c r="E1667">
        <v>0</v>
      </c>
      <c r="F1667" t="s">
        <v>261</v>
      </c>
      <c r="G1667" t="s">
        <v>261</v>
      </c>
      <c r="H1667">
        <v>1039536</v>
      </c>
      <c r="I1667" t="s">
        <v>262</v>
      </c>
    </row>
    <row r="1668" spans="1:9" x14ac:dyDescent="0.25">
      <c r="A1668">
        <v>70371</v>
      </c>
      <c r="B1668" t="s">
        <v>217</v>
      </c>
      <c r="C1668" t="s">
        <v>238</v>
      </c>
      <c r="D1668">
        <v>4</v>
      </c>
      <c r="E1668">
        <v>0</v>
      </c>
      <c r="F1668" t="s">
        <v>239</v>
      </c>
      <c r="G1668" t="s">
        <v>19</v>
      </c>
      <c r="H1668">
        <v>232929</v>
      </c>
      <c r="I1668" t="s">
        <v>263</v>
      </c>
    </row>
    <row r="1669" spans="1:9" x14ac:dyDescent="0.25">
      <c r="A1669">
        <v>70371</v>
      </c>
      <c r="B1669" t="s">
        <v>217</v>
      </c>
      <c r="C1669" t="s">
        <v>238</v>
      </c>
      <c r="D1669">
        <v>4</v>
      </c>
      <c r="E1669">
        <v>0</v>
      </c>
      <c r="F1669" t="s">
        <v>239</v>
      </c>
      <c r="G1669" t="s">
        <v>16</v>
      </c>
      <c r="H1669">
        <v>-31</v>
      </c>
      <c r="I1669" t="s">
        <v>240</v>
      </c>
    </row>
    <row r="1670" spans="1:9" x14ac:dyDescent="0.25">
      <c r="A1670">
        <v>70371</v>
      </c>
      <c r="B1670" t="s">
        <v>217</v>
      </c>
      <c r="C1670" t="s">
        <v>238</v>
      </c>
      <c r="D1670">
        <v>4</v>
      </c>
      <c r="E1670">
        <v>0</v>
      </c>
      <c r="F1670" t="s">
        <v>239</v>
      </c>
      <c r="G1670" t="s">
        <v>19</v>
      </c>
      <c r="H1670">
        <v>50759</v>
      </c>
      <c r="I1670" t="s">
        <v>264</v>
      </c>
    </row>
    <row r="1671" spans="1:9" x14ac:dyDescent="0.25">
      <c r="A1671">
        <v>70371</v>
      </c>
      <c r="B1671" t="s">
        <v>217</v>
      </c>
      <c r="C1671" t="s">
        <v>238</v>
      </c>
      <c r="D1671">
        <v>4</v>
      </c>
      <c r="E1671">
        <v>0</v>
      </c>
      <c r="F1671" t="s">
        <v>241</v>
      </c>
      <c r="G1671" t="s">
        <v>158</v>
      </c>
      <c r="H1671">
        <v>48552</v>
      </c>
      <c r="I1671" t="s">
        <v>265</v>
      </c>
    </row>
    <row r="1672" spans="1:9" x14ac:dyDescent="0.25">
      <c r="A1672">
        <v>70371</v>
      </c>
      <c r="B1672" t="s">
        <v>217</v>
      </c>
      <c r="C1672" t="s">
        <v>238</v>
      </c>
      <c r="D1672">
        <v>4</v>
      </c>
      <c r="E1672">
        <v>0</v>
      </c>
      <c r="F1672" t="s">
        <v>239</v>
      </c>
      <c r="G1672" t="s">
        <v>19</v>
      </c>
      <c r="H1672">
        <v>134254</v>
      </c>
      <c r="I1672" t="s">
        <v>271</v>
      </c>
    </row>
    <row r="1673" spans="1:9" x14ac:dyDescent="0.25">
      <c r="A1673">
        <v>70371</v>
      </c>
      <c r="B1673" t="s">
        <v>217</v>
      </c>
      <c r="C1673" t="s">
        <v>238</v>
      </c>
      <c r="D1673">
        <v>4</v>
      </c>
      <c r="E1673">
        <v>0</v>
      </c>
      <c r="F1673" t="s">
        <v>239</v>
      </c>
      <c r="G1673" t="s">
        <v>19</v>
      </c>
      <c r="H1673">
        <v>186543</v>
      </c>
      <c r="I1673" t="s">
        <v>266</v>
      </c>
    </row>
    <row r="1674" spans="1:9" x14ac:dyDescent="0.25">
      <c r="A1674">
        <v>70371</v>
      </c>
      <c r="B1674" t="s">
        <v>217</v>
      </c>
      <c r="C1674" t="s">
        <v>238</v>
      </c>
      <c r="D1674">
        <v>4</v>
      </c>
      <c r="E1674">
        <v>0</v>
      </c>
      <c r="F1674" t="s">
        <v>241</v>
      </c>
      <c r="G1674" t="s">
        <v>143</v>
      </c>
      <c r="H1674">
        <v>0</v>
      </c>
      <c r="I1674" t="s">
        <v>332</v>
      </c>
    </row>
    <row r="1675" spans="1:9" x14ac:dyDescent="0.25">
      <c r="A1675">
        <v>70371</v>
      </c>
      <c r="B1675" t="s">
        <v>217</v>
      </c>
      <c r="C1675" t="s">
        <v>238</v>
      </c>
      <c r="D1675">
        <v>4</v>
      </c>
      <c r="E1675">
        <v>0</v>
      </c>
      <c r="F1675" t="s">
        <v>241</v>
      </c>
      <c r="G1675" t="s">
        <v>138</v>
      </c>
      <c r="H1675">
        <v>0</v>
      </c>
      <c r="I1675" t="s">
        <v>333</v>
      </c>
    </row>
    <row r="1676" spans="1:9" x14ac:dyDescent="0.25">
      <c r="A1676">
        <v>70371</v>
      </c>
      <c r="B1676" t="s">
        <v>217</v>
      </c>
      <c r="C1676" t="s">
        <v>238</v>
      </c>
      <c r="D1676">
        <v>4</v>
      </c>
      <c r="E1676">
        <v>0</v>
      </c>
      <c r="F1676" t="s">
        <v>241</v>
      </c>
      <c r="G1676" t="s">
        <v>138</v>
      </c>
      <c r="H1676">
        <v>0</v>
      </c>
      <c r="I1676" t="s">
        <v>334</v>
      </c>
    </row>
    <row r="1677" spans="1:9" x14ac:dyDescent="0.25">
      <c r="A1677">
        <v>70371</v>
      </c>
      <c r="B1677" t="s">
        <v>217</v>
      </c>
      <c r="C1677" t="s">
        <v>238</v>
      </c>
      <c r="D1677">
        <v>4</v>
      </c>
      <c r="E1677">
        <v>0</v>
      </c>
      <c r="F1677" t="s">
        <v>241</v>
      </c>
      <c r="G1677" t="s">
        <v>138</v>
      </c>
      <c r="H1677">
        <v>-165308</v>
      </c>
      <c r="I1677" t="s">
        <v>268</v>
      </c>
    </row>
    <row r="1678" spans="1:9" x14ac:dyDescent="0.25">
      <c r="A1678">
        <v>70371</v>
      </c>
      <c r="B1678" t="s">
        <v>217</v>
      </c>
      <c r="C1678" t="s">
        <v>238</v>
      </c>
      <c r="D1678">
        <v>4</v>
      </c>
      <c r="E1678">
        <v>0</v>
      </c>
      <c r="F1678" t="s">
        <v>241</v>
      </c>
      <c r="G1678" t="s">
        <v>139</v>
      </c>
      <c r="H1678">
        <v>0</v>
      </c>
      <c r="I1678" t="s">
        <v>336</v>
      </c>
    </row>
    <row r="1679" spans="1:9" x14ac:dyDescent="0.25">
      <c r="A1679">
        <v>70371</v>
      </c>
      <c r="B1679" t="s">
        <v>217</v>
      </c>
      <c r="C1679" t="s">
        <v>238</v>
      </c>
      <c r="D1679">
        <v>4</v>
      </c>
      <c r="E1679">
        <v>0</v>
      </c>
      <c r="F1679" t="s">
        <v>241</v>
      </c>
      <c r="G1679" t="s">
        <v>139</v>
      </c>
      <c r="H1679">
        <v>0</v>
      </c>
      <c r="I1679" t="s">
        <v>337</v>
      </c>
    </row>
    <row r="1680" spans="1:9" x14ac:dyDescent="0.25">
      <c r="A1680">
        <v>70371</v>
      </c>
      <c r="B1680" t="s">
        <v>217</v>
      </c>
      <c r="C1680" t="s">
        <v>238</v>
      </c>
      <c r="D1680">
        <v>4</v>
      </c>
      <c r="E1680">
        <v>0</v>
      </c>
      <c r="F1680" t="s">
        <v>241</v>
      </c>
      <c r="G1680" t="s">
        <v>139</v>
      </c>
      <c r="H1680">
        <v>0</v>
      </c>
      <c r="I1680" t="s">
        <v>335</v>
      </c>
    </row>
    <row r="1681" spans="1:9" x14ac:dyDescent="0.25">
      <c r="A1681">
        <v>70371</v>
      </c>
      <c r="B1681" t="s">
        <v>217</v>
      </c>
      <c r="C1681" t="s">
        <v>238</v>
      </c>
      <c r="D1681">
        <v>4</v>
      </c>
      <c r="E1681">
        <v>0</v>
      </c>
      <c r="F1681" t="s">
        <v>241</v>
      </c>
      <c r="G1681" t="s">
        <v>24</v>
      </c>
      <c r="H1681">
        <v>0</v>
      </c>
      <c r="I1681" t="s">
        <v>338</v>
      </c>
    </row>
    <row r="1682" spans="1:9" x14ac:dyDescent="0.25">
      <c r="A1682">
        <v>70371</v>
      </c>
      <c r="B1682" t="s">
        <v>217</v>
      </c>
      <c r="C1682" t="s">
        <v>238</v>
      </c>
      <c r="D1682">
        <v>4</v>
      </c>
      <c r="E1682">
        <v>0</v>
      </c>
      <c r="F1682" t="s">
        <v>241</v>
      </c>
      <c r="G1682" t="s">
        <v>24</v>
      </c>
      <c r="H1682">
        <v>0</v>
      </c>
      <c r="I1682" t="s">
        <v>339</v>
      </c>
    </row>
    <row r="1683" spans="1:9" x14ac:dyDescent="0.25">
      <c r="A1683">
        <v>70371</v>
      </c>
      <c r="B1683" t="s">
        <v>217</v>
      </c>
      <c r="C1683" t="s">
        <v>238</v>
      </c>
      <c r="D1683">
        <v>4</v>
      </c>
      <c r="E1683">
        <v>0</v>
      </c>
      <c r="F1683" t="s">
        <v>241</v>
      </c>
      <c r="G1683" t="s">
        <v>24</v>
      </c>
      <c r="H1683">
        <v>0</v>
      </c>
      <c r="I1683" t="s">
        <v>340</v>
      </c>
    </row>
    <row r="1684" spans="1:9" x14ac:dyDescent="0.25">
      <c r="A1684">
        <v>70371</v>
      </c>
      <c r="B1684" t="s">
        <v>217</v>
      </c>
      <c r="C1684" t="s">
        <v>238</v>
      </c>
      <c r="D1684">
        <v>4</v>
      </c>
      <c r="E1684">
        <v>0</v>
      </c>
      <c r="F1684" t="s">
        <v>241</v>
      </c>
      <c r="G1684" t="s">
        <v>137</v>
      </c>
      <c r="H1684">
        <v>37587</v>
      </c>
      <c r="I1684" t="s">
        <v>273</v>
      </c>
    </row>
    <row r="1685" spans="1:9" x14ac:dyDescent="0.25">
      <c r="A1685">
        <v>70371</v>
      </c>
      <c r="B1685" t="s">
        <v>217</v>
      </c>
      <c r="C1685" t="s">
        <v>238</v>
      </c>
      <c r="D1685">
        <v>4</v>
      </c>
      <c r="E1685">
        <v>0</v>
      </c>
      <c r="F1685" t="s">
        <v>241</v>
      </c>
      <c r="G1685" t="s">
        <v>137</v>
      </c>
      <c r="H1685">
        <v>0</v>
      </c>
      <c r="I1685" t="s">
        <v>341</v>
      </c>
    </row>
    <row r="1686" spans="1:9" x14ac:dyDescent="0.25">
      <c r="A1686">
        <v>70371</v>
      </c>
      <c r="B1686" t="s">
        <v>217</v>
      </c>
      <c r="C1686" t="s">
        <v>238</v>
      </c>
      <c r="D1686">
        <v>4</v>
      </c>
      <c r="E1686">
        <v>0</v>
      </c>
      <c r="F1686" t="s">
        <v>241</v>
      </c>
      <c r="G1686" t="s">
        <v>137</v>
      </c>
      <c r="H1686">
        <v>0</v>
      </c>
      <c r="I1686" t="s">
        <v>342</v>
      </c>
    </row>
    <row r="1687" spans="1:9" x14ac:dyDescent="0.25">
      <c r="A1687">
        <v>70371</v>
      </c>
      <c r="B1687" t="s">
        <v>217</v>
      </c>
      <c r="C1687" t="s">
        <v>238</v>
      </c>
      <c r="D1687">
        <v>4</v>
      </c>
      <c r="E1687">
        <v>0</v>
      </c>
      <c r="F1687" t="s">
        <v>241</v>
      </c>
      <c r="G1687" t="s">
        <v>137</v>
      </c>
      <c r="H1687">
        <v>0</v>
      </c>
      <c r="I1687" t="s">
        <v>343</v>
      </c>
    </row>
    <row r="1688" spans="1:9" x14ac:dyDescent="0.25">
      <c r="A1688">
        <v>70371</v>
      </c>
      <c r="B1688" t="s">
        <v>217</v>
      </c>
      <c r="C1688" t="s">
        <v>238</v>
      </c>
      <c r="D1688">
        <v>4</v>
      </c>
      <c r="E1688">
        <v>0</v>
      </c>
      <c r="F1688" t="s">
        <v>241</v>
      </c>
      <c r="G1688" t="s">
        <v>143</v>
      </c>
      <c r="H1688">
        <v>0</v>
      </c>
      <c r="I1688" t="s">
        <v>344</v>
      </c>
    </row>
    <row r="1689" spans="1:9" x14ac:dyDescent="0.25">
      <c r="A1689">
        <v>70371</v>
      </c>
      <c r="B1689" t="s">
        <v>217</v>
      </c>
      <c r="C1689" t="s">
        <v>238</v>
      </c>
      <c r="D1689">
        <v>4</v>
      </c>
      <c r="E1689">
        <v>0</v>
      </c>
      <c r="F1689" t="s">
        <v>241</v>
      </c>
      <c r="G1689" t="s">
        <v>143</v>
      </c>
      <c r="H1689">
        <v>0</v>
      </c>
      <c r="I1689" t="s">
        <v>345</v>
      </c>
    </row>
    <row r="1690" spans="1:9" x14ac:dyDescent="0.25">
      <c r="A1690">
        <v>70371</v>
      </c>
      <c r="B1690" t="s">
        <v>217</v>
      </c>
      <c r="C1690" t="s">
        <v>238</v>
      </c>
      <c r="D1690">
        <v>4</v>
      </c>
      <c r="E1690">
        <v>0</v>
      </c>
      <c r="F1690" t="s">
        <v>241</v>
      </c>
      <c r="G1690" t="s">
        <v>143</v>
      </c>
      <c r="H1690">
        <v>0</v>
      </c>
      <c r="I1690" t="s">
        <v>346</v>
      </c>
    </row>
    <row r="1691" spans="1:9" x14ac:dyDescent="0.25">
      <c r="A1691">
        <v>70371</v>
      </c>
      <c r="B1691" t="s">
        <v>217</v>
      </c>
      <c r="C1691" t="s">
        <v>238</v>
      </c>
      <c r="D1691">
        <v>4</v>
      </c>
      <c r="E1691">
        <v>0</v>
      </c>
      <c r="F1691" t="s">
        <v>241</v>
      </c>
      <c r="G1691" t="s">
        <v>138</v>
      </c>
      <c r="H1691">
        <v>0</v>
      </c>
      <c r="I1691" t="s">
        <v>347</v>
      </c>
    </row>
    <row r="1692" spans="1:9" x14ac:dyDescent="0.25">
      <c r="A1692">
        <v>70372</v>
      </c>
      <c r="B1692" t="s">
        <v>219</v>
      </c>
      <c r="C1692" t="s">
        <v>238</v>
      </c>
      <c r="D1692">
        <v>4</v>
      </c>
      <c r="E1692">
        <v>0</v>
      </c>
      <c r="F1692" t="s">
        <v>239</v>
      </c>
      <c r="G1692" t="s">
        <v>153</v>
      </c>
      <c r="H1692">
        <v>0</v>
      </c>
      <c r="I1692" t="s">
        <v>351</v>
      </c>
    </row>
    <row r="1693" spans="1:9" x14ac:dyDescent="0.25">
      <c r="A1693">
        <v>70372</v>
      </c>
      <c r="B1693" t="s">
        <v>219</v>
      </c>
      <c r="C1693" t="s">
        <v>238</v>
      </c>
      <c r="D1693">
        <v>4</v>
      </c>
      <c r="E1693">
        <v>0</v>
      </c>
      <c r="F1693" t="s">
        <v>239</v>
      </c>
      <c r="G1693" t="s">
        <v>152</v>
      </c>
      <c r="H1693">
        <v>0</v>
      </c>
      <c r="I1693" t="s">
        <v>352</v>
      </c>
    </row>
    <row r="1694" spans="1:9" x14ac:dyDescent="0.25">
      <c r="A1694">
        <v>70372</v>
      </c>
      <c r="B1694" t="s">
        <v>219</v>
      </c>
      <c r="C1694" t="s">
        <v>238</v>
      </c>
      <c r="D1694">
        <v>4</v>
      </c>
      <c r="E1694">
        <v>0</v>
      </c>
      <c r="F1694" t="s">
        <v>239</v>
      </c>
      <c r="G1694" t="s">
        <v>154</v>
      </c>
      <c r="H1694">
        <v>0</v>
      </c>
      <c r="I1694" t="s">
        <v>349</v>
      </c>
    </row>
    <row r="1695" spans="1:9" x14ac:dyDescent="0.25">
      <c r="A1695">
        <v>70372</v>
      </c>
      <c r="B1695" t="s">
        <v>219</v>
      </c>
      <c r="C1695" t="s">
        <v>238</v>
      </c>
      <c r="D1695">
        <v>4</v>
      </c>
      <c r="E1695">
        <v>0</v>
      </c>
      <c r="F1695" t="s">
        <v>241</v>
      </c>
      <c r="G1695" t="s">
        <v>26</v>
      </c>
      <c r="H1695">
        <v>0</v>
      </c>
      <c r="I1695" t="s">
        <v>350</v>
      </c>
    </row>
    <row r="1696" spans="1:9" x14ac:dyDescent="0.25">
      <c r="A1696">
        <v>70372</v>
      </c>
      <c r="B1696" t="s">
        <v>219</v>
      </c>
      <c r="C1696" t="s">
        <v>238</v>
      </c>
      <c r="D1696">
        <v>4</v>
      </c>
      <c r="E1696">
        <v>0</v>
      </c>
      <c r="F1696" t="s">
        <v>241</v>
      </c>
      <c r="G1696" t="s">
        <v>23</v>
      </c>
      <c r="H1696">
        <v>0</v>
      </c>
      <c r="I1696" t="s">
        <v>269</v>
      </c>
    </row>
    <row r="1697" spans="1:9" x14ac:dyDescent="0.25">
      <c r="A1697">
        <v>70372</v>
      </c>
      <c r="B1697" t="s">
        <v>219</v>
      </c>
      <c r="C1697" t="s">
        <v>238</v>
      </c>
      <c r="D1697">
        <v>4</v>
      </c>
      <c r="E1697">
        <v>0</v>
      </c>
      <c r="F1697" t="s">
        <v>241</v>
      </c>
      <c r="G1697" t="s">
        <v>26</v>
      </c>
      <c r="H1697">
        <v>0</v>
      </c>
      <c r="I1697" t="s">
        <v>353</v>
      </c>
    </row>
    <row r="1698" spans="1:9" x14ac:dyDescent="0.25">
      <c r="A1698">
        <v>70372</v>
      </c>
      <c r="B1698" t="s">
        <v>219</v>
      </c>
      <c r="C1698" t="s">
        <v>238</v>
      </c>
      <c r="D1698">
        <v>4</v>
      </c>
      <c r="E1698">
        <v>0</v>
      </c>
      <c r="F1698" t="s">
        <v>241</v>
      </c>
      <c r="G1698" t="s">
        <v>157</v>
      </c>
      <c r="H1698">
        <v>0</v>
      </c>
      <c r="I1698" t="s">
        <v>348</v>
      </c>
    </row>
    <row r="1699" spans="1:9" x14ac:dyDescent="0.25">
      <c r="A1699">
        <v>70372</v>
      </c>
      <c r="B1699" t="s">
        <v>219</v>
      </c>
      <c r="C1699" t="s">
        <v>238</v>
      </c>
      <c r="D1699">
        <v>4</v>
      </c>
      <c r="E1699">
        <v>0</v>
      </c>
      <c r="F1699" t="s">
        <v>261</v>
      </c>
      <c r="G1699" t="s">
        <v>261</v>
      </c>
      <c r="H1699">
        <v>0</v>
      </c>
      <c r="I1699" t="s">
        <v>272</v>
      </c>
    </row>
    <row r="1700" spans="1:9" x14ac:dyDescent="0.25">
      <c r="A1700">
        <v>70372</v>
      </c>
      <c r="B1700" t="s">
        <v>219</v>
      </c>
      <c r="C1700" t="s">
        <v>238</v>
      </c>
      <c r="D1700">
        <v>4</v>
      </c>
      <c r="E1700">
        <v>0</v>
      </c>
      <c r="F1700" t="s">
        <v>261</v>
      </c>
      <c r="G1700" t="s">
        <v>261</v>
      </c>
      <c r="H1700">
        <v>0</v>
      </c>
      <c r="I1700" t="s">
        <v>354</v>
      </c>
    </row>
    <row r="1701" spans="1:9" x14ac:dyDescent="0.25">
      <c r="A1701">
        <v>70372</v>
      </c>
      <c r="B1701" t="s">
        <v>219</v>
      </c>
      <c r="C1701" t="s">
        <v>238</v>
      </c>
      <c r="D1701">
        <v>4</v>
      </c>
      <c r="E1701">
        <v>0</v>
      </c>
      <c r="F1701" t="s">
        <v>247</v>
      </c>
      <c r="G1701" t="s">
        <v>12</v>
      </c>
      <c r="H1701">
        <v>-2431343</v>
      </c>
      <c r="I1701" t="s">
        <v>248</v>
      </c>
    </row>
    <row r="1702" spans="1:9" x14ac:dyDescent="0.25">
      <c r="A1702">
        <v>70372</v>
      </c>
      <c r="B1702" t="s">
        <v>219</v>
      </c>
      <c r="C1702" t="s">
        <v>238</v>
      </c>
      <c r="D1702">
        <v>4</v>
      </c>
      <c r="E1702">
        <v>0</v>
      </c>
      <c r="F1702" t="s">
        <v>247</v>
      </c>
      <c r="G1702" t="s">
        <v>13</v>
      </c>
      <c r="H1702">
        <v>7809239</v>
      </c>
      <c r="I1702" t="s">
        <v>249</v>
      </c>
    </row>
    <row r="1703" spans="1:9" x14ac:dyDescent="0.25">
      <c r="A1703">
        <v>70372</v>
      </c>
      <c r="B1703" t="s">
        <v>219</v>
      </c>
      <c r="C1703" t="s">
        <v>238</v>
      </c>
      <c r="D1703">
        <v>4</v>
      </c>
      <c r="E1703">
        <v>0</v>
      </c>
      <c r="F1703" t="s">
        <v>241</v>
      </c>
      <c r="G1703" t="s">
        <v>25</v>
      </c>
      <c r="H1703">
        <v>6991</v>
      </c>
      <c r="I1703" t="s">
        <v>250</v>
      </c>
    </row>
    <row r="1704" spans="1:9" x14ac:dyDescent="0.25">
      <c r="A1704">
        <v>70372</v>
      </c>
      <c r="B1704" t="s">
        <v>219</v>
      </c>
      <c r="C1704" t="s">
        <v>238</v>
      </c>
      <c r="D1704">
        <v>4</v>
      </c>
      <c r="E1704">
        <v>0</v>
      </c>
      <c r="F1704" t="s">
        <v>241</v>
      </c>
      <c r="G1704" t="s">
        <v>26</v>
      </c>
      <c r="H1704">
        <v>0</v>
      </c>
      <c r="I1704" t="s">
        <v>251</v>
      </c>
    </row>
    <row r="1705" spans="1:9" x14ac:dyDescent="0.25">
      <c r="A1705">
        <v>70372</v>
      </c>
      <c r="B1705" t="s">
        <v>219</v>
      </c>
      <c r="C1705" t="s">
        <v>238</v>
      </c>
      <c r="D1705">
        <v>4</v>
      </c>
      <c r="E1705">
        <v>0</v>
      </c>
      <c r="F1705" t="s">
        <v>239</v>
      </c>
      <c r="G1705" t="s">
        <v>18</v>
      </c>
      <c r="H1705">
        <v>148805</v>
      </c>
      <c r="I1705" t="s">
        <v>252</v>
      </c>
    </row>
    <row r="1706" spans="1:9" x14ac:dyDescent="0.25">
      <c r="A1706">
        <v>70372</v>
      </c>
      <c r="B1706" t="s">
        <v>219</v>
      </c>
      <c r="C1706" t="s">
        <v>238</v>
      </c>
      <c r="D1706">
        <v>4</v>
      </c>
      <c r="E1706">
        <v>0</v>
      </c>
      <c r="F1706" t="s">
        <v>241</v>
      </c>
      <c r="G1706" t="s">
        <v>26</v>
      </c>
      <c r="H1706">
        <v>45391</v>
      </c>
      <c r="I1706" t="s">
        <v>253</v>
      </c>
    </row>
    <row r="1707" spans="1:9" x14ac:dyDescent="0.25">
      <c r="A1707">
        <v>70372</v>
      </c>
      <c r="B1707" t="s">
        <v>219</v>
      </c>
      <c r="C1707" t="s">
        <v>238</v>
      </c>
      <c r="D1707">
        <v>4</v>
      </c>
      <c r="E1707">
        <v>0</v>
      </c>
      <c r="F1707" t="s">
        <v>247</v>
      </c>
      <c r="G1707" t="s">
        <v>15</v>
      </c>
      <c r="H1707">
        <v>483015</v>
      </c>
      <c r="I1707" t="s">
        <v>254</v>
      </c>
    </row>
    <row r="1708" spans="1:9" x14ac:dyDescent="0.25">
      <c r="A1708">
        <v>70372</v>
      </c>
      <c r="B1708" t="s">
        <v>219</v>
      </c>
      <c r="C1708" t="s">
        <v>238</v>
      </c>
      <c r="D1708">
        <v>4</v>
      </c>
      <c r="E1708">
        <v>0</v>
      </c>
      <c r="F1708" t="s">
        <v>247</v>
      </c>
      <c r="G1708" t="s">
        <v>14</v>
      </c>
      <c r="H1708">
        <v>0</v>
      </c>
      <c r="I1708" t="s">
        <v>355</v>
      </c>
    </row>
    <row r="1709" spans="1:9" x14ac:dyDescent="0.25">
      <c r="A1709">
        <v>70372</v>
      </c>
      <c r="B1709" t="s">
        <v>219</v>
      </c>
      <c r="C1709" t="s">
        <v>238</v>
      </c>
      <c r="D1709">
        <v>4</v>
      </c>
      <c r="E1709">
        <v>0</v>
      </c>
      <c r="F1709" t="s">
        <v>241</v>
      </c>
      <c r="G1709" t="s">
        <v>23</v>
      </c>
      <c r="H1709">
        <v>39902</v>
      </c>
      <c r="I1709" t="s">
        <v>242</v>
      </c>
    </row>
    <row r="1710" spans="1:9" x14ac:dyDescent="0.25">
      <c r="A1710">
        <v>70372</v>
      </c>
      <c r="B1710" t="s">
        <v>219</v>
      </c>
      <c r="C1710" t="s">
        <v>238</v>
      </c>
      <c r="D1710">
        <v>4</v>
      </c>
      <c r="E1710">
        <v>0</v>
      </c>
      <c r="F1710" t="s">
        <v>241</v>
      </c>
      <c r="G1710" t="s">
        <v>24</v>
      </c>
      <c r="H1710">
        <v>74173</v>
      </c>
      <c r="I1710" t="s">
        <v>243</v>
      </c>
    </row>
    <row r="1711" spans="1:9" x14ac:dyDescent="0.25">
      <c r="A1711">
        <v>70372</v>
      </c>
      <c r="B1711" t="s">
        <v>219</v>
      </c>
      <c r="C1711" t="s">
        <v>238</v>
      </c>
      <c r="D1711">
        <v>4</v>
      </c>
      <c r="E1711">
        <v>0</v>
      </c>
      <c r="F1711" t="s">
        <v>241</v>
      </c>
      <c r="G1711" t="s">
        <v>21</v>
      </c>
      <c r="H1711">
        <v>0</v>
      </c>
      <c r="I1711" t="s">
        <v>356</v>
      </c>
    </row>
    <row r="1712" spans="1:9" x14ac:dyDescent="0.25">
      <c r="A1712">
        <v>70372</v>
      </c>
      <c r="B1712" t="s">
        <v>219</v>
      </c>
      <c r="C1712" t="s">
        <v>238</v>
      </c>
      <c r="D1712">
        <v>4</v>
      </c>
      <c r="E1712">
        <v>0</v>
      </c>
      <c r="F1712" t="s">
        <v>239</v>
      </c>
      <c r="G1712" t="s">
        <v>20</v>
      </c>
      <c r="H1712">
        <v>-23262</v>
      </c>
      <c r="I1712" t="s">
        <v>244</v>
      </c>
    </row>
    <row r="1713" spans="1:9" x14ac:dyDescent="0.25">
      <c r="A1713">
        <v>70372</v>
      </c>
      <c r="B1713" t="s">
        <v>219</v>
      </c>
      <c r="C1713" t="s">
        <v>238</v>
      </c>
      <c r="D1713">
        <v>4</v>
      </c>
      <c r="E1713">
        <v>0</v>
      </c>
      <c r="F1713" t="s">
        <v>241</v>
      </c>
      <c r="G1713" t="s">
        <v>22</v>
      </c>
      <c r="H1713">
        <v>0</v>
      </c>
      <c r="I1713" t="s">
        <v>245</v>
      </c>
    </row>
    <row r="1714" spans="1:9" x14ac:dyDescent="0.25">
      <c r="A1714">
        <v>70372</v>
      </c>
      <c r="B1714" t="s">
        <v>219</v>
      </c>
      <c r="C1714" t="s">
        <v>238</v>
      </c>
      <c r="D1714">
        <v>4</v>
      </c>
      <c r="E1714">
        <v>0</v>
      </c>
      <c r="F1714" t="s">
        <v>241</v>
      </c>
      <c r="G1714" t="s">
        <v>26</v>
      </c>
      <c r="H1714">
        <v>2754</v>
      </c>
      <c r="I1714" t="s">
        <v>246</v>
      </c>
    </row>
    <row r="1715" spans="1:9" x14ac:dyDescent="0.25">
      <c r="A1715">
        <v>70372</v>
      </c>
      <c r="B1715" t="s">
        <v>219</v>
      </c>
      <c r="C1715" t="s">
        <v>238</v>
      </c>
      <c r="D1715">
        <v>4</v>
      </c>
      <c r="E1715">
        <v>0</v>
      </c>
      <c r="F1715" t="s">
        <v>239</v>
      </c>
      <c r="G1715" t="s">
        <v>17</v>
      </c>
      <c r="H1715">
        <v>0</v>
      </c>
      <c r="I1715" t="s">
        <v>357</v>
      </c>
    </row>
    <row r="1716" spans="1:9" x14ac:dyDescent="0.25">
      <c r="A1716">
        <v>70372</v>
      </c>
      <c r="B1716" t="s">
        <v>219</v>
      </c>
      <c r="C1716" t="s">
        <v>238</v>
      </c>
      <c r="D1716">
        <v>4</v>
      </c>
      <c r="E1716">
        <v>0</v>
      </c>
      <c r="F1716" t="s">
        <v>241</v>
      </c>
      <c r="G1716" t="s">
        <v>24</v>
      </c>
      <c r="H1716">
        <v>0</v>
      </c>
      <c r="I1716" t="s">
        <v>358</v>
      </c>
    </row>
    <row r="1717" spans="1:9" x14ac:dyDescent="0.25">
      <c r="A1717">
        <v>70372</v>
      </c>
      <c r="B1717" t="s">
        <v>219</v>
      </c>
      <c r="C1717" t="s">
        <v>238</v>
      </c>
      <c r="D1717">
        <v>4</v>
      </c>
      <c r="E1717">
        <v>0</v>
      </c>
      <c r="F1717" t="s">
        <v>241</v>
      </c>
      <c r="G1717" t="s">
        <v>27</v>
      </c>
      <c r="H1717">
        <v>0</v>
      </c>
      <c r="I1717" t="s">
        <v>359</v>
      </c>
    </row>
    <row r="1718" spans="1:9" x14ac:dyDescent="0.25">
      <c r="A1718">
        <v>70372</v>
      </c>
      <c r="B1718" t="s">
        <v>219</v>
      </c>
      <c r="C1718" t="s">
        <v>238</v>
      </c>
      <c r="D1718">
        <v>4</v>
      </c>
      <c r="E1718">
        <v>0</v>
      </c>
      <c r="F1718" t="s">
        <v>239</v>
      </c>
      <c r="G1718" t="s">
        <v>19</v>
      </c>
      <c r="H1718">
        <v>0</v>
      </c>
      <c r="I1718" t="s">
        <v>360</v>
      </c>
    </row>
    <row r="1719" spans="1:9" x14ac:dyDescent="0.25">
      <c r="A1719">
        <v>70372</v>
      </c>
      <c r="B1719" t="s">
        <v>219</v>
      </c>
      <c r="C1719" t="s">
        <v>238</v>
      </c>
      <c r="D1719">
        <v>4</v>
      </c>
      <c r="E1719">
        <v>0</v>
      </c>
      <c r="F1719" t="s">
        <v>239</v>
      </c>
      <c r="G1719" t="s">
        <v>20</v>
      </c>
      <c r="H1719">
        <v>160378</v>
      </c>
      <c r="I1719" t="s">
        <v>255</v>
      </c>
    </row>
    <row r="1720" spans="1:9" x14ac:dyDescent="0.25">
      <c r="A1720">
        <v>70372</v>
      </c>
      <c r="B1720" t="s">
        <v>219</v>
      </c>
      <c r="C1720" t="s">
        <v>238</v>
      </c>
      <c r="D1720">
        <v>4</v>
      </c>
      <c r="E1720">
        <v>0</v>
      </c>
      <c r="F1720" t="s">
        <v>247</v>
      </c>
      <c r="G1720" t="s">
        <v>148</v>
      </c>
      <c r="H1720">
        <v>764647</v>
      </c>
      <c r="I1720" t="s">
        <v>256</v>
      </c>
    </row>
    <row r="1721" spans="1:9" x14ac:dyDescent="0.25">
      <c r="A1721">
        <v>70372</v>
      </c>
      <c r="B1721" t="s">
        <v>219</v>
      </c>
      <c r="C1721" t="s">
        <v>238</v>
      </c>
      <c r="D1721">
        <v>4</v>
      </c>
      <c r="E1721">
        <v>0</v>
      </c>
      <c r="F1721" t="s">
        <v>241</v>
      </c>
      <c r="G1721" t="s">
        <v>27</v>
      </c>
      <c r="H1721">
        <v>1360139</v>
      </c>
      <c r="I1721" t="s">
        <v>257</v>
      </c>
    </row>
    <row r="1722" spans="1:9" x14ac:dyDescent="0.25">
      <c r="A1722">
        <v>70372</v>
      </c>
      <c r="B1722" t="s">
        <v>219</v>
      </c>
      <c r="C1722" t="s">
        <v>238</v>
      </c>
      <c r="D1722">
        <v>4</v>
      </c>
      <c r="E1722">
        <v>0</v>
      </c>
      <c r="F1722" t="s">
        <v>241</v>
      </c>
      <c r="G1722" t="s">
        <v>27</v>
      </c>
      <c r="H1722">
        <v>0</v>
      </c>
      <c r="I1722" t="s">
        <v>361</v>
      </c>
    </row>
    <row r="1723" spans="1:9" x14ac:dyDescent="0.25">
      <c r="A1723">
        <v>70372</v>
      </c>
      <c r="B1723" t="s">
        <v>219</v>
      </c>
      <c r="C1723" t="s">
        <v>238</v>
      </c>
      <c r="D1723">
        <v>4</v>
      </c>
      <c r="E1723">
        <v>0</v>
      </c>
      <c r="F1723" t="s">
        <v>241</v>
      </c>
      <c r="G1723" t="s">
        <v>27</v>
      </c>
      <c r="H1723">
        <v>0</v>
      </c>
      <c r="I1723" t="s">
        <v>362</v>
      </c>
    </row>
    <row r="1724" spans="1:9" x14ac:dyDescent="0.25">
      <c r="A1724">
        <v>70372</v>
      </c>
      <c r="B1724" t="s">
        <v>219</v>
      </c>
      <c r="C1724" t="s">
        <v>238</v>
      </c>
      <c r="D1724">
        <v>4</v>
      </c>
      <c r="E1724">
        <v>0</v>
      </c>
      <c r="F1724" t="s">
        <v>241</v>
      </c>
      <c r="G1724" t="s">
        <v>27</v>
      </c>
      <c r="H1724">
        <v>0</v>
      </c>
      <c r="I1724" t="s">
        <v>363</v>
      </c>
    </row>
    <row r="1725" spans="1:9" x14ac:dyDescent="0.25">
      <c r="A1725">
        <v>70372</v>
      </c>
      <c r="B1725" t="s">
        <v>219</v>
      </c>
      <c r="C1725" t="s">
        <v>238</v>
      </c>
      <c r="D1725">
        <v>4</v>
      </c>
      <c r="E1725">
        <v>0</v>
      </c>
      <c r="F1725" t="s">
        <v>239</v>
      </c>
      <c r="G1725" t="s">
        <v>16</v>
      </c>
      <c r="H1725">
        <v>1199</v>
      </c>
      <c r="I1725" t="s">
        <v>267</v>
      </c>
    </row>
    <row r="1726" spans="1:9" x14ac:dyDescent="0.25">
      <c r="A1726">
        <v>70372</v>
      </c>
      <c r="B1726" t="s">
        <v>219</v>
      </c>
      <c r="C1726" t="s">
        <v>238</v>
      </c>
      <c r="D1726">
        <v>4</v>
      </c>
      <c r="E1726">
        <v>0</v>
      </c>
      <c r="F1726" t="s">
        <v>239</v>
      </c>
      <c r="G1726" t="s">
        <v>152</v>
      </c>
      <c r="H1726">
        <v>29617</v>
      </c>
      <c r="I1726" t="s">
        <v>258</v>
      </c>
    </row>
    <row r="1727" spans="1:9" x14ac:dyDescent="0.25">
      <c r="A1727">
        <v>70372</v>
      </c>
      <c r="B1727" t="s">
        <v>219</v>
      </c>
      <c r="C1727" t="s">
        <v>238</v>
      </c>
      <c r="D1727">
        <v>4</v>
      </c>
      <c r="E1727">
        <v>0</v>
      </c>
      <c r="F1727" t="s">
        <v>239</v>
      </c>
      <c r="G1727" t="s">
        <v>154</v>
      </c>
      <c r="H1727">
        <v>0</v>
      </c>
      <c r="I1727" t="s">
        <v>330</v>
      </c>
    </row>
    <row r="1728" spans="1:9" x14ac:dyDescent="0.25">
      <c r="A1728">
        <v>70372</v>
      </c>
      <c r="B1728" t="s">
        <v>219</v>
      </c>
      <c r="C1728" t="s">
        <v>238</v>
      </c>
      <c r="D1728">
        <v>4</v>
      </c>
      <c r="E1728">
        <v>0</v>
      </c>
      <c r="F1728" t="s">
        <v>239</v>
      </c>
      <c r="G1728" t="s">
        <v>16</v>
      </c>
      <c r="H1728">
        <v>2651</v>
      </c>
      <c r="I1728" t="s">
        <v>259</v>
      </c>
    </row>
    <row r="1729" spans="1:9" x14ac:dyDescent="0.25">
      <c r="A1729">
        <v>70372</v>
      </c>
      <c r="B1729" t="s">
        <v>219</v>
      </c>
      <c r="C1729" t="s">
        <v>238</v>
      </c>
      <c r="D1729">
        <v>4</v>
      </c>
      <c r="E1729">
        <v>0</v>
      </c>
      <c r="F1729" t="s">
        <v>239</v>
      </c>
      <c r="G1729" t="s">
        <v>19</v>
      </c>
      <c r="H1729">
        <v>29115</v>
      </c>
      <c r="I1729" t="s">
        <v>260</v>
      </c>
    </row>
    <row r="1730" spans="1:9" x14ac:dyDescent="0.25">
      <c r="A1730">
        <v>70372</v>
      </c>
      <c r="B1730" t="s">
        <v>219</v>
      </c>
      <c r="C1730" t="s">
        <v>238</v>
      </c>
      <c r="D1730">
        <v>4</v>
      </c>
      <c r="E1730">
        <v>0</v>
      </c>
      <c r="F1730" t="s">
        <v>239</v>
      </c>
      <c r="G1730" t="s">
        <v>19</v>
      </c>
      <c r="H1730">
        <v>0</v>
      </c>
      <c r="I1730" t="s">
        <v>270</v>
      </c>
    </row>
    <row r="1731" spans="1:9" x14ac:dyDescent="0.25">
      <c r="A1731">
        <v>70372</v>
      </c>
      <c r="B1731" t="s">
        <v>219</v>
      </c>
      <c r="C1731" t="s">
        <v>238</v>
      </c>
      <c r="D1731">
        <v>4</v>
      </c>
      <c r="E1731">
        <v>0</v>
      </c>
      <c r="F1731" t="s">
        <v>241</v>
      </c>
      <c r="G1731" t="s">
        <v>139</v>
      </c>
      <c r="H1731">
        <v>0</v>
      </c>
      <c r="I1731" t="s">
        <v>331</v>
      </c>
    </row>
    <row r="1732" spans="1:9" x14ac:dyDescent="0.25">
      <c r="A1732">
        <v>70372</v>
      </c>
      <c r="B1732" t="s">
        <v>219</v>
      </c>
      <c r="C1732" t="s">
        <v>238</v>
      </c>
      <c r="D1732">
        <v>4</v>
      </c>
      <c r="E1732">
        <v>0</v>
      </c>
      <c r="F1732" t="s">
        <v>261</v>
      </c>
      <c r="G1732" t="s">
        <v>261</v>
      </c>
      <c r="H1732">
        <v>6014568</v>
      </c>
      <c r="I1732" t="s">
        <v>262</v>
      </c>
    </row>
    <row r="1733" spans="1:9" x14ac:dyDescent="0.25">
      <c r="A1733">
        <v>70372</v>
      </c>
      <c r="B1733" t="s">
        <v>219</v>
      </c>
      <c r="C1733" t="s">
        <v>238</v>
      </c>
      <c r="D1733">
        <v>4</v>
      </c>
      <c r="E1733">
        <v>0</v>
      </c>
      <c r="F1733" t="s">
        <v>239</v>
      </c>
      <c r="G1733" t="s">
        <v>19</v>
      </c>
      <c r="H1733">
        <v>199940</v>
      </c>
      <c r="I1733" t="s">
        <v>263</v>
      </c>
    </row>
    <row r="1734" spans="1:9" x14ac:dyDescent="0.25">
      <c r="A1734">
        <v>70372</v>
      </c>
      <c r="B1734" t="s">
        <v>219</v>
      </c>
      <c r="C1734" t="s">
        <v>238</v>
      </c>
      <c r="D1734">
        <v>4</v>
      </c>
      <c r="E1734">
        <v>0</v>
      </c>
      <c r="F1734" t="s">
        <v>239</v>
      </c>
      <c r="G1734" t="s">
        <v>16</v>
      </c>
      <c r="H1734">
        <v>402</v>
      </c>
      <c r="I1734" t="s">
        <v>240</v>
      </c>
    </row>
    <row r="1735" spans="1:9" x14ac:dyDescent="0.25">
      <c r="A1735">
        <v>70372</v>
      </c>
      <c r="B1735" t="s">
        <v>219</v>
      </c>
      <c r="C1735" t="s">
        <v>238</v>
      </c>
      <c r="D1735">
        <v>4</v>
      </c>
      <c r="E1735">
        <v>0</v>
      </c>
      <c r="F1735" t="s">
        <v>239</v>
      </c>
      <c r="G1735" t="s">
        <v>19</v>
      </c>
      <c r="H1735">
        <v>41784</v>
      </c>
      <c r="I1735" t="s">
        <v>264</v>
      </c>
    </row>
    <row r="1736" spans="1:9" x14ac:dyDescent="0.25">
      <c r="A1736">
        <v>70372</v>
      </c>
      <c r="B1736" t="s">
        <v>219</v>
      </c>
      <c r="C1736" t="s">
        <v>238</v>
      </c>
      <c r="D1736">
        <v>4</v>
      </c>
      <c r="E1736">
        <v>0</v>
      </c>
      <c r="F1736" t="s">
        <v>241</v>
      </c>
      <c r="G1736" t="s">
        <v>158</v>
      </c>
      <c r="H1736">
        <v>39640</v>
      </c>
      <c r="I1736" t="s">
        <v>265</v>
      </c>
    </row>
    <row r="1737" spans="1:9" x14ac:dyDescent="0.25">
      <c r="A1737">
        <v>70372</v>
      </c>
      <c r="B1737" t="s">
        <v>219</v>
      </c>
      <c r="C1737" t="s">
        <v>238</v>
      </c>
      <c r="D1737">
        <v>4</v>
      </c>
      <c r="E1737">
        <v>0</v>
      </c>
      <c r="F1737" t="s">
        <v>239</v>
      </c>
      <c r="G1737" t="s">
        <v>19</v>
      </c>
      <c r="H1737">
        <v>0</v>
      </c>
      <c r="I1737" t="s">
        <v>271</v>
      </c>
    </row>
    <row r="1738" spans="1:9" x14ac:dyDescent="0.25">
      <c r="A1738">
        <v>70372</v>
      </c>
      <c r="B1738" t="s">
        <v>219</v>
      </c>
      <c r="C1738" t="s">
        <v>238</v>
      </c>
      <c r="D1738">
        <v>4</v>
      </c>
      <c r="E1738">
        <v>0</v>
      </c>
      <c r="F1738" t="s">
        <v>239</v>
      </c>
      <c r="G1738" t="s">
        <v>19</v>
      </c>
      <c r="H1738">
        <v>240704</v>
      </c>
      <c r="I1738" t="s">
        <v>266</v>
      </c>
    </row>
    <row r="1739" spans="1:9" x14ac:dyDescent="0.25">
      <c r="A1739">
        <v>70372</v>
      </c>
      <c r="B1739" t="s">
        <v>219</v>
      </c>
      <c r="C1739" t="s">
        <v>238</v>
      </c>
      <c r="D1739">
        <v>4</v>
      </c>
      <c r="E1739">
        <v>0</v>
      </c>
      <c r="F1739" t="s">
        <v>241</v>
      </c>
      <c r="G1739" t="s">
        <v>143</v>
      </c>
      <c r="H1739">
        <v>0</v>
      </c>
      <c r="I1739" t="s">
        <v>332</v>
      </c>
    </row>
    <row r="1740" spans="1:9" x14ac:dyDescent="0.25">
      <c r="A1740">
        <v>70372</v>
      </c>
      <c r="B1740" t="s">
        <v>219</v>
      </c>
      <c r="C1740" t="s">
        <v>238</v>
      </c>
      <c r="D1740">
        <v>4</v>
      </c>
      <c r="E1740">
        <v>0</v>
      </c>
      <c r="F1740" t="s">
        <v>241</v>
      </c>
      <c r="G1740" t="s">
        <v>138</v>
      </c>
      <c r="H1740">
        <v>0</v>
      </c>
      <c r="I1740" t="s">
        <v>333</v>
      </c>
    </row>
    <row r="1741" spans="1:9" x14ac:dyDescent="0.25">
      <c r="A1741">
        <v>70372</v>
      </c>
      <c r="B1741" t="s">
        <v>219</v>
      </c>
      <c r="C1741" t="s">
        <v>238</v>
      </c>
      <c r="D1741">
        <v>4</v>
      </c>
      <c r="E1741">
        <v>0</v>
      </c>
      <c r="F1741" t="s">
        <v>241</v>
      </c>
      <c r="G1741" t="s">
        <v>138</v>
      </c>
      <c r="H1741">
        <v>0</v>
      </c>
      <c r="I1741" t="s">
        <v>334</v>
      </c>
    </row>
    <row r="1742" spans="1:9" x14ac:dyDescent="0.25">
      <c r="A1742">
        <v>70372</v>
      </c>
      <c r="B1742" t="s">
        <v>219</v>
      </c>
      <c r="C1742" t="s">
        <v>238</v>
      </c>
      <c r="D1742">
        <v>4</v>
      </c>
      <c r="E1742">
        <v>0</v>
      </c>
      <c r="F1742" t="s">
        <v>241</v>
      </c>
      <c r="G1742" t="s">
        <v>138</v>
      </c>
      <c r="H1742">
        <v>84185</v>
      </c>
      <c r="I1742" t="s">
        <v>268</v>
      </c>
    </row>
    <row r="1743" spans="1:9" x14ac:dyDescent="0.25">
      <c r="A1743">
        <v>70372</v>
      </c>
      <c r="B1743" t="s">
        <v>219</v>
      </c>
      <c r="C1743" t="s">
        <v>238</v>
      </c>
      <c r="D1743">
        <v>4</v>
      </c>
      <c r="E1743">
        <v>0</v>
      </c>
      <c r="F1743" t="s">
        <v>241</v>
      </c>
      <c r="G1743" t="s">
        <v>139</v>
      </c>
      <c r="H1743">
        <v>0</v>
      </c>
      <c r="I1743" t="s">
        <v>336</v>
      </c>
    </row>
    <row r="1744" spans="1:9" x14ac:dyDescent="0.25">
      <c r="A1744">
        <v>70372</v>
      </c>
      <c r="B1744" t="s">
        <v>219</v>
      </c>
      <c r="C1744" t="s">
        <v>238</v>
      </c>
      <c r="D1744">
        <v>4</v>
      </c>
      <c r="E1744">
        <v>0</v>
      </c>
      <c r="F1744" t="s">
        <v>241</v>
      </c>
      <c r="G1744" t="s">
        <v>139</v>
      </c>
      <c r="H1744">
        <v>0</v>
      </c>
      <c r="I1744" t="s">
        <v>337</v>
      </c>
    </row>
    <row r="1745" spans="1:9" x14ac:dyDescent="0.25">
      <c r="A1745">
        <v>70372</v>
      </c>
      <c r="B1745" t="s">
        <v>219</v>
      </c>
      <c r="C1745" t="s">
        <v>238</v>
      </c>
      <c r="D1745">
        <v>4</v>
      </c>
      <c r="E1745">
        <v>0</v>
      </c>
      <c r="F1745" t="s">
        <v>241</v>
      </c>
      <c r="G1745" t="s">
        <v>139</v>
      </c>
      <c r="H1745">
        <v>0</v>
      </c>
      <c r="I1745" t="s">
        <v>335</v>
      </c>
    </row>
    <row r="1746" spans="1:9" x14ac:dyDescent="0.25">
      <c r="A1746">
        <v>70372</v>
      </c>
      <c r="B1746" t="s">
        <v>219</v>
      </c>
      <c r="C1746" t="s">
        <v>238</v>
      </c>
      <c r="D1746">
        <v>4</v>
      </c>
      <c r="E1746">
        <v>0</v>
      </c>
      <c r="F1746" t="s">
        <v>241</v>
      </c>
      <c r="G1746" t="s">
        <v>24</v>
      </c>
      <c r="H1746">
        <v>0</v>
      </c>
      <c r="I1746" t="s">
        <v>338</v>
      </c>
    </row>
    <row r="1747" spans="1:9" x14ac:dyDescent="0.25">
      <c r="A1747">
        <v>70372</v>
      </c>
      <c r="B1747" t="s">
        <v>219</v>
      </c>
      <c r="C1747" t="s">
        <v>238</v>
      </c>
      <c r="D1747">
        <v>4</v>
      </c>
      <c r="E1747">
        <v>0</v>
      </c>
      <c r="F1747" t="s">
        <v>241</v>
      </c>
      <c r="G1747" t="s">
        <v>24</v>
      </c>
      <c r="H1747">
        <v>0</v>
      </c>
      <c r="I1747" t="s">
        <v>339</v>
      </c>
    </row>
    <row r="1748" spans="1:9" x14ac:dyDescent="0.25">
      <c r="A1748">
        <v>70372</v>
      </c>
      <c r="B1748" t="s">
        <v>219</v>
      </c>
      <c r="C1748" t="s">
        <v>238</v>
      </c>
      <c r="D1748">
        <v>4</v>
      </c>
      <c r="E1748">
        <v>0</v>
      </c>
      <c r="F1748" t="s">
        <v>241</v>
      </c>
      <c r="G1748" t="s">
        <v>24</v>
      </c>
      <c r="H1748">
        <v>0</v>
      </c>
      <c r="I1748" t="s">
        <v>340</v>
      </c>
    </row>
    <row r="1749" spans="1:9" x14ac:dyDescent="0.25">
      <c r="A1749">
        <v>70372</v>
      </c>
      <c r="B1749" t="s">
        <v>219</v>
      </c>
      <c r="C1749" t="s">
        <v>238</v>
      </c>
      <c r="D1749">
        <v>4</v>
      </c>
      <c r="E1749">
        <v>0</v>
      </c>
      <c r="F1749" t="s">
        <v>241</v>
      </c>
      <c r="G1749" t="s">
        <v>137</v>
      </c>
      <c r="H1749">
        <v>0</v>
      </c>
      <c r="I1749" t="s">
        <v>273</v>
      </c>
    </row>
    <row r="1750" spans="1:9" x14ac:dyDescent="0.25">
      <c r="A1750">
        <v>70372</v>
      </c>
      <c r="B1750" t="s">
        <v>219</v>
      </c>
      <c r="C1750" t="s">
        <v>238</v>
      </c>
      <c r="D1750">
        <v>4</v>
      </c>
      <c r="E1750">
        <v>0</v>
      </c>
      <c r="F1750" t="s">
        <v>241</v>
      </c>
      <c r="G1750" t="s">
        <v>137</v>
      </c>
      <c r="H1750">
        <v>0</v>
      </c>
      <c r="I1750" t="s">
        <v>341</v>
      </c>
    </row>
    <row r="1751" spans="1:9" x14ac:dyDescent="0.25">
      <c r="A1751">
        <v>70372</v>
      </c>
      <c r="B1751" t="s">
        <v>219</v>
      </c>
      <c r="C1751" t="s">
        <v>238</v>
      </c>
      <c r="D1751">
        <v>4</v>
      </c>
      <c r="E1751">
        <v>0</v>
      </c>
      <c r="F1751" t="s">
        <v>241</v>
      </c>
      <c r="G1751" t="s">
        <v>137</v>
      </c>
      <c r="H1751">
        <v>0</v>
      </c>
      <c r="I1751" t="s">
        <v>342</v>
      </c>
    </row>
    <row r="1752" spans="1:9" x14ac:dyDescent="0.25">
      <c r="A1752">
        <v>70372</v>
      </c>
      <c r="B1752" t="s">
        <v>219</v>
      </c>
      <c r="C1752" t="s">
        <v>238</v>
      </c>
      <c r="D1752">
        <v>4</v>
      </c>
      <c r="E1752">
        <v>0</v>
      </c>
      <c r="F1752" t="s">
        <v>241</v>
      </c>
      <c r="G1752" t="s">
        <v>137</v>
      </c>
      <c r="H1752">
        <v>0</v>
      </c>
      <c r="I1752" t="s">
        <v>343</v>
      </c>
    </row>
    <row r="1753" spans="1:9" x14ac:dyDescent="0.25">
      <c r="A1753">
        <v>70372</v>
      </c>
      <c r="B1753" t="s">
        <v>219</v>
      </c>
      <c r="C1753" t="s">
        <v>238</v>
      </c>
      <c r="D1753">
        <v>4</v>
      </c>
      <c r="E1753">
        <v>0</v>
      </c>
      <c r="F1753" t="s">
        <v>241</v>
      </c>
      <c r="G1753" t="s">
        <v>143</v>
      </c>
      <c r="H1753">
        <v>0</v>
      </c>
      <c r="I1753" t="s">
        <v>344</v>
      </c>
    </row>
    <row r="1754" spans="1:9" x14ac:dyDescent="0.25">
      <c r="A1754">
        <v>70372</v>
      </c>
      <c r="B1754" t="s">
        <v>219</v>
      </c>
      <c r="C1754" t="s">
        <v>238</v>
      </c>
      <c r="D1754">
        <v>4</v>
      </c>
      <c r="E1754">
        <v>0</v>
      </c>
      <c r="F1754" t="s">
        <v>241</v>
      </c>
      <c r="G1754" t="s">
        <v>143</v>
      </c>
      <c r="H1754">
        <v>0</v>
      </c>
      <c r="I1754" t="s">
        <v>345</v>
      </c>
    </row>
    <row r="1755" spans="1:9" x14ac:dyDescent="0.25">
      <c r="A1755">
        <v>70372</v>
      </c>
      <c r="B1755" t="s">
        <v>219</v>
      </c>
      <c r="C1755" t="s">
        <v>238</v>
      </c>
      <c r="D1755">
        <v>4</v>
      </c>
      <c r="E1755">
        <v>0</v>
      </c>
      <c r="F1755" t="s">
        <v>241</v>
      </c>
      <c r="G1755" t="s">
        <v>143</v>
      </c>
      <c r="H1755">
        <v>0</v>
      </c>
      <c r="I1755" t="s">
        <v>346</v>
      </c>
    </row>
    <row r="1756" spans="1:9" x14ac:dyDescent="0.25">
      <c r="A1756">
        <v>70372</v>
      </c>
      <c r="B1756" t="s">
        <v>219</v>
      </c>
      <c r="C1756" t="s">
        <v>238</v>
      </c>
      <c r="D1756">
        <v>4</v>
      </c>
      <c r="E1756">
        <v>0</v>
      </c>
      <c r="F1756" t="s">
        <v>241</v>
      </c>
      <c r="G1756" t="s">
        <v>138</v>
      </c>
      <c r="H1756">
        <v>0</v>
      </c>
      <c r="I1756" t="s">
        <v>347</v>
      </c>
    </row>
    <row r="1757" spans="1:9" x14ac:dyDescent="0.25">
      <c r="A1757">
        <v>70373</v>
      </c>
      <c r="B1757" t="s">
        <v>221</v>
      </c>
      <c r="C1757" t="s">
        <v>238</v>
      </c>
      <c r="D1757">
        <v>4</v>
      </c>
      <c r="E1757">
        <v>0</v>
      </c>
      <c r="F1757" t="s">
        <v>239</v>
      </c>
      <c r="G1757" t="s">
        <v>153</v>
      </c>
      <c r="H1757">
        <v>0</v>
      </c>
      <c r="I1757" t="s">
        <v>351</v>
      </c>
    </row>
    <row r="1758" spans="1:9" x14ac:dyDescent="0.25">
      <c r="A1758">
        <v>70373</v>
      </c>
      <c r="B1758" t="s">
        <v>221</v>
      </c>
      <c r="C1758" t="s">
        <v>238</v>
      </c>
      <c r="D1758">
        <v>4</v>
      </c>
      <c r="E1758">
        <v>0</v>
      </c>
      <c r="F1758" t="s">
        <v>239</v>
      </c>
      <c r="G1758" t="s">
        <v>152</v>
      </c>
      <c r="H1758">
        <v>0</v>
      </c>
      <c r="I1758" t="s">
        <v>352</v>
      </c>
    </row>
    <row r="1759" spans="1:9" x14ac:dyDescent="0.25">
      <c r="A1759">
        <v>70373</v>
      </c>
      <c r="B1759" t="s">
        <v>221</v>
      </c>
      <c r="C1759" t="s">
        <v>238</v>
      </c>
      <c r="D1759">
        <v>4</v>
      </c>
      <c r="E1759">
        <v>0</v>
      </c>
      <c r="F1759" t="s">
        <v>239</v>
      </c>
      <c r="G1759" t="s">
        <v>154</v>
      </c>
      <c r="H1759">
        <v>0</v>
      </c>
      <c r="I1759" t="s">
        <v>349</v>
      </c>
    </row>
    <row r="1760" spans="1:9" x14ac:dyDescent="0.25">
      <c r="A1760">
        <v>70373</v>
      </c>
      <c r="B1760" t="s">
        <v>221</v>
      </c>
      <c r="C1760" t="s">
        <v>238</v>
      </c>
      <c r="D1760">
        <v>4</v>
      </c>
      <c r="E1760">
        <v>0</v>
      </c>
      <c r="F1760" t="s">
        <v>241</v>
      </c>
      <c r="G1760" t="s">
        <v>26</v>
      </c>
      <c r="H1760">
        <v>0</v>
      </c>
      <c r="I1760" t="s">
        <v>350</v>
      </c>
    </row>
    <row r="1761" spans="1:9" x14ac:dyDescent="0.25">
      <c r="A1761">
        <v>70373</v>
      </c>
      <c r="B1761" t="s">
        <v>221</v>
      </c>
      <c r="C1761" t="s">
        <v>238</v>
      </c>
      <c r="D1761">
        <v>4</v>
      </c>
      <c r="E1761">
        <v>0</v>
      </c>
      <c r="F1761" t="s">
        <v>241</v>
      </c>
      <c r="G1761" t="s">
        <v>23</v>
      </c>
      <c r="H1761">
        <v>0</v>
      </c>
      <c r="I1761" t="s">
        <v>269</v>
      </c>
    </row>
    <row r="1762" spans="1:9" x14ac:dyDescent="0.25">
      <c r="A1762">
        <v>70373</v>
      </c>
      <c r="B1762" t="s">
        <v>221</v>
      </c>
      <c r="C1762" t="s">
        <v>238</v>
      </c>
      <c r="D1762">
        <v>4</v>
      </c>
      <c r="E1762">
        <v>0</v>
      </c>
      <c r="F1762" t="s">
        <v>241</v>
      </c>
      <c r="G1762" t="s">
        <v>26</v>
      </c>
      <c r="H1762">
        <v>0</v>
      </c>
      <c r="I1762" t="s">
        <v>353</v>
      </c>
    </row>
    <row r="1763" spans="1:9" x14ac:dyDescent="0.25">
      <c r="A1763">
        <v>70373</v>
      </c>
      <c r="B1763" t="s">
        <v>221</v>
      </c>
      <c r="C1763" t="s">
        <v>238</v>
      </c>
      <c r="D1763">
        <v>4</v>
      </c>
      <c r="E1763">
        <v>0</v>
      </c>
      <c r="F1763" t="s">
        <v>241</v>
      </c>
      <c r="G1763" t="s">
        <v>157</v>
      </c>
      <c r="H1763">
        <v>0</v>
      </c>
      <c r="I1763" t="s">
        <v>348</v>
      </c>
    </row>
    <row r="1764" spans="1:9" x14ac:dyDescent="0.25">
      <c r="A1764">
        <v>70373</v>
      </c>
      <c r="B1764" t="s">
        <v>221</v>
      </c>
      <c r="C1764" t="s">
        <v>238</v>
      </c>
      <c r="D1764">
        <v>4</v>
      </c>
      <c r="E1764">
        <v>0</v>
      </c>
      <c r="F1764" t="s">
        <v>261</v>
      </c>
      <c r="G1764" t="s">
        <v>261</v>
      </c>
      <c r="H1764">
        <v>0</v>
      </c>
      <c r="I1764" t="s">
        <v>272</v>
      </c>
    </row>
    <row r="1765" spans="1:9" x14ac:dyDescent="0.25">
      <c r="A1765">
        <v>70373</v>
      </c>
      <c r="B1765" t="s">
        <v>221</v>
      </c>
      <c r="C1765" t="s">
        <v>238</v>
      </c>
      <c r="D1765">
        <v>4</v>
      </c>
      <c r="E1765">
        <v>0</v>
      </c>
      <c r="F1765" t="s">
        <v>261</v>
      </c>
      <c r="G1765" t="s">
        <v>261</v>
      </c>
      <c r="H1765">
        <v>0</v>
      </c>
      <c r="I1765" t="s">
        <v>354</v>
      </c>
    </row>
    <row r="1766" spans="1:9" x14ac:dyDescent="0.25">
      <c r="A1766">
        <v>70373</v>
      </c>
      <c r="B1766" t="s">
        <v>221</v>
      </c>
      <c r="C1766" t="s">
        <v>238</v>
      </c>
      <c r="D1766">
        <v>4</v>
      </c>
      <c r="E1766">
        <v>0</v>
      </c>
      <c r="F1766" t="s">
        <v>247</v>
      </c>
      <c r="G1766" t="s">
        <v>12</v>
      </c>
      <c r="H1766">
        <v>-4676987</v>
      </c>
      <c r="I1766" t="s">
        <v>248</v>
      </c>
    </row>
    <row r="1767" spans="1:9" x14ac:dyDescent="0.25">
      <c r="A1767">
        <v>70373</v>
      </c>
      <c r="B1767" t="s">
        <v>221</v>
      </c>
      <c r="C1767" t="s">
        <v>238</v>
      </c>
      <c r="D1767">
        <v>4</v>
      </c>
      <c r="E1767">
        <v>0</v>
      </c>
      <c r="F1767" t="s">
        <v>247</v>
      </c>
      <c r="G1767" t="s">
        <v>13</v>
      </c>
      <c r="H1767">
        <v>7468257</v>
      </c>
      <c r="I1767" t="s">
        <v>249</v>
      </c>
    </row>
    <row r="1768" spans="1:9" x14ac:dyDescent="0.25">
      <c r="A1768">
        <v>70373</v>
      </c>
      <c r="B1768" t="s">
        <v>221</v>
      </c>
      <c r="C1768" t="s">
        <v>238</v>
      </c>
      <c r="D1768">
        <v>4</v>
      </c>
      <c r="E1768">
        <v>0</v>
      </c>
      <c r="F1768" t="s">
        <v>241</v>
      </c>
      <c r="G1768" t="s">
        <v>25</v>
      </c>
      <c r="H1768">
        <v>8786</v>
      </c>
      <c r="I1768" t="s">
        <v>250</v>
      </c>
    </row>
    <row r="1769" spans="1:9" x14ac:dyDescent="0.25">
      <c r="A1769">
        <v>70373</v>
      </c>
      <c r="B1769" t="s">
        <v>221</v>
      </c>
      <c r="C1769" t="s">
        <v>238</v>
      </c>
      <c r="D1769">
        <v>4</v>
      </c>
      <c r="E1769">
        <v>0</v>
      </c>
      <c r="F1769" t="s">
        <v>241</v>
      </c>
      <c r="G1769" t="s">
        <v>26</v>
      </c>
      <c r="H1769">
        <v>0</v>
      </c>
      <c r="I1769" t="s">
        <v>251</v>
      </c>
    </row>
    <row r="1770" spans="1:9" x14ac:dyDescent="0.25">
      <c r="A1770">
        <v>70373</v>
      </c>
      <c r="B1770" t="s">
        <v>221</v>
      </c>
      <c r="C1770" t="s">
        <v>238</v>
      </c>
      <c r="D1770">
        <v>4</v>
      </c>
      <c r="E1770">
        <v>0</v>
      </c>
      <c r="F1770" t="s">
        <v>239</v>
      </c>
      <c r="G1770" t="s">
        <v>18</v>
      </c>
      <c r="H1770">
        <v>344359</v>
      </c>
      <c r="I1770" t="s">
        <v>252</v>
      </c>
    </row>
    <row r="1771" spans="1:9" x14ac:dyDescent="0.25">
      <c r="A1771">
        <v>70373</v>
      </c>
      <c r="B1771" t="s">
        <v>221</v>
      </c>
      <c r="C1771" t="s">
        <v>238</v>
      </c>
      <c r="D1771">
        <v>4</v>
      </c>
      <c r="E1771">
        <v>0</v>
      </c>
      <c r="F1771" t="s">
        <v>241</v>
      </c>
      <c r="G1771" t="s">
        <v>26</v>
      </c>
      <c r="H1771">
        <v>0</v>
      </c>
      <c r="I1771" t="s">
        <v>253</v>
      </c>
    </row>
    <row r="1772" spans="1:9" x14ac:dyDescent="0.25">
      <c r="A1772">
        <v>70373</v>
      </c>
      <c r="B1772" t="s">
        <v>221</v>
      </c>
      <c r="C1772" t="s">
        <v>238</v>
      </c>
      <c r="D1772">
        <v>4</v>
      </c>
      <c r="E1772">
        <v>0</v>
      </c>
      <c r="F1772" t="s">
        <v>247</v>
      </c>
      <c r="G1772" t="s">
        <v>15</v>
      </c>
      <c r="H1772">
        <v>246073</v>
      </c>
      <c r="I1772" t="s">
        <v>254</v>
      </c>
    </row>
    <row r="1773" spans="1:9" x14ac:dyDescent="0.25">
      <c r="A1773">
        <v>70373</v>
      </c>
      <c r="B1773" t="s">
        <v>221</v>
      </c>
      <c r="C1773" t="s">
        <v>238</v>
      </c>
      <c r="D1773">
        <v>4</v>
      </c>
      <c r="E1773">
        <v>0</v>
      </c>
      <c r="F1773" t="s">
        <v>247</v>
      </c>
      <c r="G1773" t="s">
        <v>14</v>
      </c>
      <c r="H1773">
        <v>107</v>
      </c>
      <c r="I1773" t="s">
        <v>355</v>
      </c>
    </row>
    <row r="1774" spans="1:9" x14ac:dyDescent="0.25">
      <c r="A1774">
        <v>70373</v>
      </c>
      <c r="B1774" t="s">
        <v>221</v>
      </c>
      <c r="C1774" t="s">
        <v>238</v>
      </c>
      <c r="D1774">
        <v>4</v>
      </c>
      <c r="E1774">
        <v>0</v>
      </c>
      <c r="F1774" t="s">
        <v>241</v>
      </c>
      <c r="G1774" t="s">
        <v>23</v>
      </c>
      <c r="H1774">
        <v>113716</v>
      </c>
      <c r="I1774" t="s">
        <v>242</v>
      </c>
    </row>
    <row r="1775" spans="1:9" x14ac:dyDescent="0.25">
      <c r="A1775">
        <v>70373</v>
      </c>
      <c r="B1775" t="s">
        <v>221</v>
      </c>
      <c r="C1775" t="s">
        <v>238</v>
      </c>
      <c r="D1775">
        <v>4</v>
      </c>
      <c r="E1775">
        <v>0</v>
      </c>
      <c r="F1775" t="s">
        <v>241</v>
      </c>
      <c r="G1775" t="s">
        <v>24</v>
      </c>
      <c r="H1775">
        <v>38593</v>
      </c>
      <c r="I1775" t="s">
        <v>243</v>
      </c>
    </row>
    <row r="1776" spans="1:9" x14ac:dyDescent="0.25">
      <c r="A1776">
        <v>70373</v>
      </c>
      <c r="B1776" t="s">
        <v>221</v>
      </c>
      <c r="C1776" t="s">
        <v>238</v>
      </c>
      <c r="D1776">
        <v>4</v>
      </c>
      <c r="E1776">
        <v>0</v>
      </c>
      <c r="F1776" t="s">
        <v>241</v>
      </c>
      <c r="G1776" t="s">
        <v>21</v>
      </c>
      <c r="H1776">
        <v>0</v>
      </c>
      <c r="I1776" t="s">
        <v>356</v>
      </c>
    </row>
    <row r="1777" spans="1:9" x14ac:dyDescent="0.25">
      <c r="A1777">
        <v>70373</v>
      </c>
      <c r="B1777" t="s">
        <v>221</v>
      </c>
      <c r="C1777" t="s">
        <v>238</v>
      </c>
      <c r="D1777">
        <v>4</v>
      </c>
      <c r="E1777">
        <v>0</v>
      </c>
      <c r="F1777" t="s">
        <v>239</v>
      </c>
      <c r="G1777" t="s">
        <v>20</v>
      </c>
      <c r="H1777">
        <v>-217438</v>
      </c>
      <c r="I1777" t="s">
        <v>244</v>
      </c>
    </row>
    <row r="1778" spans="1:9" x14ac:dyDescent="0.25">
      <c r="A1778">
        <v>70373</v>
      </c>
      <c r="B1778" t="s">
        <v>221</v>
      </c>
      <c r="C1778" t="s">
        <v>238</v>
      </c>
      <c r="D1778">
        <v>4</v>
      </c>
      <c r="E1778">
        <v>0</v>
      </c>
      <c r="F1778" t="s">
        <v>241</v>
      </c>
      <c r="G1778" t="s">
        <v>22</v>
      </c>
      <c r="H1778">
        <v>3719</v>
      </c>
      <c r="I1778" t="s">
        <v>245</v>
      </c>
    </row>
    <row r="1779" spans="1:9" x14ac:dyDescent="0.25">
      <c r="A1779">
        <v>70373</v>
      </c>
      <c r="B1779" t="s">
        <v>221</v>
      </c>
      <c r="C1779" t="s">
        <v>238</v>
      </c>
      <c r="D1779">
        <v>4</v>
      </c>
      <c r="E1779">
        <v>0</v>
      </c>
      <c r="F1779" t="s">
        <v>241</v>
      </c>
      <c r="G1779" t="s">
        <v>26</v>
      </c>
      <c r="H1779">
        <v>1815</v>
      </c>
      <c r="I1779" t="s">
        <v>246</v>
      </c>
    </row>
    <row r="1780" spans="1:9" x14ac:dyDescent="0.25">
      <c r="A1780">
        <v>70373</v>
      </c>
      <c r="B1780" t="s">
        <v>221</v>
      </c>
      <c r="C1780" t="s">
        <v>238</v>
      </c>
      <c r="D1780">
        <v>4</v>
      </c>
      <c r="E1780">
        <v>0</v>
      </c>
      <c r="F1780" t="s">
        <v>239</v>
      </c>
      <c r="G1780" t="s">
        <v>17</v>
      </c>
      <c r="H1780">
        <v>0</v>
      </c>
      <c r="I1780" t="s">
        <v>357</v>
      </c>
    </row>
    <row r="1781" spans="1:9" x14ac:dyDescent="0.25">
      <c r="A1781">
        <v>70373</v>
      </c>
      <c r="B1781" t="s">
        <v>221</v>
      </c>
      <c r="C1781" t="s">
        <v>238</v>
      </c>
      <c r="D1781">
        <v>4</v>
      </c>
      <c r="E1781">
        <v>0</v>
      </c>
      <c r="F1781" t="s">
        <v>241</v>
      </c>
      <c r="G1781" t="s">
        <v>24</v>
      </c>
      <c r="H1781">
        <v>0</v>
      </c>
      <c r="I1781" t="s">
        <v>358</v>
      </c>
    </row>
    <row r="1782" spans="1:9" x14ac:dyDescent="0.25">
      <c r="A1782">
        <v>70373</v>
      </c>
      <c r="B1782" t="s">
        <v>221</v>
      </c>
      <c r="C1782" t="s">
        <v>238</v>
      </c>
      <c r="D1782">
        <v>4</v>
      </c>
      <c r="E1782">
        <v>0</v>
      </c>
      <c r="F1782" t="s">
        <v>241</v>
      </c>
      <c r="G1782" t="s">
        <v>27</v>
      </c>
      <c r="H1782">
        <v>0</v>
      </c>
      <c r="I1782" t="s">
        <v>359</v>
      </c>
    </row>
    <row r="1783" spans="1:9" x14ac:dyDescent="0.25">
      <c r="A1783">
        <v>70373</v>
      </c>
      <c r="B1783" t="s">
        <v>221</v>
      </c>
      <c r="C1783" t="s">
        <v>238</v>
      </c>
      <c r="D1783">
        <v>4</v>
      </c>
      <c r="E1783">
        <v>0</v>
      </c>
      <c r="F1783" t="s">
        <v>239</v>
      </c>
      <c r="G1783" t="s">
        <v>19</v>
      </c>
      <c r="H1783">
        <v>0</v>
      </c>
      <c r="I1783" t="s">
        <v>360</v>
      </c>
    </row>
    <row r="1784" spans="1:9" x14ac:dyDescent="0.25">
      <c r="A1784">
        <v>70373</v>
      </c>
      <c r="B1784" t="s">
        <v>221</v>
      </c>
      <c r="C1784" t="s">
        <v>238</v>
      </c>
      <c r="D1784">
        <v>4</v>
      </c>
      <c r="E1784">
        <v>0</v>
      </c>
      <c r="F1784" t="s">
        <v>239</v>
      </c>
      <c r="G1784" t="s">
        <v>20</v>
      </c>
      <c r="H1784">
        <v>386183</v>
      </c>
      <c r="I1784" t="s">
        <v>255</v>
      </c>
    </row>
    <row r="1785" spans="1:9" x14ac:dyDescent="0.25">
      <c r="A1785">
        <v>70373</v>
      </c>
      <c r="B1785" t="s">
        <v>221</v>
      </c>
      <c r="C1785" t="s">
        <v>238</v>
      </c>
      <c r="D1785">
        <v>4</v>
      </c>
      <c r="E1785">
        <v>0</v>
      </c>
      <c r="F1785" t="s">
        <v>247</v>
      </c>
      <c r="G1785" t="s">
        <v>148</v>
      </c>
      <c r="H1785">
        <v>6063</v>
      </c>
      <c r="I1785" t="s">
        <v>256</v>
      </c>
    </row>
    <row r="1786" spans="1:9" x14ac:dyDescent="0.25">
      <c r="A1786">
        <v>70373</v>
      </c>
      <c r="B1786" t="s">
        <v>221</v>
      </c>
      <c r="C1786" t="s">
        <v>238</v>
      </c>
      <c r="D1786">
        <v>4</v>
      </c>
      <c r="E1786">
        <v>0</v>
      </c>
      <c r="F1786" t="s">
        <v>241</v>
      </c>
      <c r="G1786" t="s">
        <v>27</v>
      </c>
      <c r="H1786">
        <v>4493523</v>
      </c>
      <c r="I1786" t="s">
        <v>257</v>
      </c>
    </row>
    <row r="1787" spans="1:9" x14ac:dyDescent="0.25">
      <c r="A1787">
        <v>70373</v>
      </c>
      <c r="B1787" t="s">
        <v>221</v>
      </c>
      <c r="C1787" t="s">
        <v>238</v>
      </c>
      <c r="D1787">
        <v>4</v>
      </c>
      <c r="E1787">
        <v>0</v>
      </c>
      <c r="F1787" t="s">
        <v>241</v>
      </c>
      <c r="G1787" t="s">
        <v>27</v>
      </c>
      <c r="H1787">
        <v>987047</v>
      </c>
      <c r="I1787" t="s">
        <v>361</v>
      </c>
    </row>
    <row r="1788" spans="1:9" x14ac:dyDescent="0.25">
      <c r="A1788">
        <v>70373</v>
      </c>
      <c r="B1788" t="s">
        <v>221</v>
      </c>
      <c r="C1788" t="s">
        <v>238</v>
      </c>
      <c r="D1788">
        <v>4</v>
      </c>
      <c r="E1788">
        <v>0</v>
      </c>
      <c r="F1788" t="s">
        <v>241</v>
      </c>
      <c r="G1788" t="s">
        <v>27</v>
      </c>
      <c r="H1788">
        <v>0</v>
      </c>
      <c r="I1788" t="s">
        <v>362</v>
      </c>
    </row>
    <row r="1789" spans="1:9" x14ac:dyDescent="0.25">
      <c r="A1789">
        <v>70373</v>
      </c>
      <c r="B1789" t="s">
        <v>221</v>
      </c>
      <c r="C1789" t="s">
        <v>238</v>
      </c>
      <c r="D1789">
        <v>4</v>
      </c>
      <c r="E1789">
        <v>0</v>
      </c>
      <c r="F1789" t="s">
        <v>241</v>
      </c>
      <c r="G1789" t="s">
        <v>27</v>
      </c>
      <c r="H1789">
        <v>0</v>
      </c>
      <c r="I1789" t="s">
        <v>363</v>
      </c>
    </row>
    <row r="1790" spans="1:9" x14ac:dyDescent="0.25">
      <c r="A1790">
        <v>70373</v>
      </c>
      <c r="B1790" t="s">
        <v>221</v>
      </c>
      <c r="C1790" t="s">
        <v>238</v>
      </c>
      <c r="D1790">
        <v>4</v>
      </c>
      <c r="E1790">
        <v>0</v>
      </c>
      <c r="F1790" t="s">
        <v>239</v>
      </c>
      <c r="G1790" t="s">
        <v>16</v>
      </c>
      <c r="H1790">
        <v>0</v>
      </c>
      <c r="I1790" t="s">
        <v>267</v>
      </c>
    </row>
    <row r="1791" spans="1:9" x14ac:dyDescent="0.25">
      <c r="A1791">
        <v>70373</v>
      </c>
      <c r="B1791" t="s">
        <v>221</v>
      </c>
      <c r="C1791" t="s">
        <v>238</v>
      </c>
      <c r="D1791">
        <v>4</v>
      </c>
      <c r="E1791">
        <v>0</v>
      </c>
      <c r="F1791" t="s">
        <v>239</v>
      </c>
      <c r="G1791" t="s">
        <v>152</v>
      </c>
      <c r="H1791">
        <v>20623</v>
      </c>
      <c r="I1791" t="s">
        <v>258</v>
      </c>
    </row>
    <row r="1792" spans="1:9" x14ac:dyDescent="0.25">
      <c r="A1792">
        <v>70373</v>
      </c>
      <c r="B1792" t="s">
        <v>221</v>
      </c>
      <c r="C1792" t="s">
        <v>238</v>
      </c>
      <c r="D1792">
        <v>4</v>
      </c>
      <c r="E1792">
        <v>0</v>
      </c>
      <c r="F1792" t="s">
        <v>239</v>
      </c>
      <c r="G1792" t="s">
        <v>154</v>
      </c>
      <c r="H1792">
        <v>0</v>
      </c>
      <c r="I1792" t="s">
        <v>330</v>
      </c>
    </row>
    <row r="1793" spans="1:9" x14ac:dyDescent="0.25">
      <c r="A1793">
        <v>70373</v>
      </c>
      <c r="B1793" t="s">
        <v>221</v>
      </c>
      <c r="C1793" t="s">
        <v>238</v>
      </c>
      <c r="D1793">
        <v>4</v>
      </c>
      <c r="E1793">
        <v>0</v>
      </c>
      <c r="F1793" t="s">
        <v>239</v>
      </c>
      <c r="G1793" t="s">
        <v>16</v>
      </c>
      <c r="H1793">
        <v>958</v>
      </c>
      <c r="I1793" t="s">
        <v>259</v>
      </c>
    </row>
    <row r="1794" spans="1:9" x14ac:dyDescent="0.25">
      <c r="A1794">
        <v>70373</v>
      </c>
      <c r="B1794" t="s">
        <v>221</v>
      </c>
      <c r="C1794" t="s">
        <v>238</v>
      </c>
      <c r="D1794">
        <v>4</v>
      </c>
      <c r="E1794">
        <v>0</v>
      </c>
      <c r="F1794" t="s">
        <v>239</v>
      </c>
      <c r="G1794" t="s">
        <v>19</v>
      </c>
      <c r="H1794">
        <v>56230</v>
      </c>
      <c r="I1794" t="s">
        <v>260</v>
      </c>
    </row>
    <row r="1795" spans="1:9" x14ac:dyDescent="0.25">
      <c r="A1795">
        <v>70373</v>
      </c>
      <c r="B1795" t="s">
        <v>221</v>
      </c>
      <c r="C1795" t="s">
        <v>238</v>
      </c>
      <c r="D1795">
        <v>4</v>
      </c>
      <c r="E1795">
        <v>0</v>
      </c>
      <c r="F1795" t="s">
        <v>239</v>
      </c>
      <c r="G1795" t="s">
        <v>19</v>
      </c>
      <c r="H1795">
        <v>0</v>
      </c>
      <c r="I1795" t="s">
        <v>270</v>
      </c>
    </row>
    <row r="1796" spans="1:9" x14ac:dyDescent="0.25">
      <c r="A1796">
        <v>70373</v>
      </c>
      <c r="B1796" t="s">
        <v>221</v>
      </c>
      <c r="C1796" t="s">
        <v>238</v>
      </c>
      <c r="D1796">
        <v>4</v>
      </c>
      <c r="E1796">
        <v>0</v>
      </c>
      <c r="F1796" t="s">
        <v>241</v>
      </c>
      <c r="G1796" t="s">
        <v>139</v>
      </c>
      <c r="H1796">
        <v>0</v>
      </c>
      <c r="I1796" t="s">
        <v>331</v>
      </c>
    </row>
    <row r="1797" spans="1:9" x14ac:dyDescent="0.25">
      <c r="A1797">
        <v>70373</v>
      </c>
      <c r="B1797" t="s">
        <v>221</v>
      </c>
      <c r="C1797" t="s">
        <v>238</v>
      </c>
      <c r="D1797">
        <v>4</v>
      </c>
      <c r="E1797">
        <v>0</v>
      </c>
      <c r="F1797" t="s">
        <v>261</v>
      </c>
      <c r="G1797" t="s">
        <v>261</v>
      </c>
      <c r="H1797">
        <v>-1801057</v>
      </c>
      <c r="I1797" t="s">
        <v>262</v>
      </c>
    </row>
    <row r="1798" spans="1:9" x14ac:dyDescent="0.25">
      <c r="A1798">
        <v>70373</v>
      </c>
      <c r="B1798" t="s">
        <v>221</v>
      </c>
      <c r="C1798" t="s">
        <v>238</v>
      </c>
      <c r="D1798">
        <v>4</v>
      </c>
      <c r="E1798">
        <v>0</v>
      </c>
      <c r="F1798" t="s">
        <v>239</v>
      </c>
      <c r="G1798" t="s">
        <v>19</v>
      </c>
      <c r="H1798">
        <v>87291</v>
      </c>
      <c r="I1798" t="s">
        <v>263</v>
      </c>
    </row>
    <row r="1799" spans="1:9" x14ac:dyDescent="0.25">
      <c r="A1799">
        <v>70373</v>
      </c>
      <c r="B1799" t="s">
        <v>221</v>
      </c>
      <c r="C1799" t="s">
        <v>238</v>
      </c>
      <c r="D1799">
        <v>4</v>
      </c>
      <c r="E1799">
        <v>0</v>
      </c>
      <c r="F1799" t="s">
        <v>239</v>
      </c>
      <c r="G1799" t="s">
        <v>16</v>
      </c>
      <c r="H1799">
        <v>1191</v>
      </c>
      <c r="I1799" t="s">
        <v>240</v>
      </c>
    </row>
    <row r="1800" spans="1:9" x14ac:dyDescent="0.25">
      <c r="A1800">
        <v>70373</v>
      </c>
      <c r="B1800" t="s">
        <v>221</v>
      </c>
      <c r="C1800" t="s">
        <v>238</v>
      </c>
      <c r="D1800">
        <v>4</v>
      </c>
      <c r="E1800">
        <v>0</v>
      </c>
      <c r="F1800" t="s">
        <v>239</v>
      </c>
      <c r="G1800" t="s">
        <v>19</v>
      </c>
      <c r="H1800">
        <v>50648</v>
      </c>
      <c r="I1800" t="s">
        <v>264</v>
      </c>
    </row>
    <row r="1801" spans="1:9" x14ac:dyDescent="0.25">
      <c r="A1801">
        <v>70373</v>
      </c>
      <c r="B1801" t="s">
        <v>221</v>
      </c>
      <c r="C1801" t="s">
        <v>238</v>
      </c>
      <c r="D1801">
        <v>4</v>
      </c>
      <c r="E1801">
        <v>0</v>
      </c>
      <c r="F1801" t="s">
        <v>241</v>
      </c>
      <c r="G1801" t="s">
        <v>158</v>
      </c>
      <c r="H1801">
        <v>47558</v>
      </c>
      <c r="I1801" t="s">
        <v>265</v>
      </c>
    </row>
    <row r="1802" spans="1:9" x14ac:dyDescent="0.25">
      <c r="A1802">
        <v>70373</v>
      </c>
      <c r="B1802" t="s">
        <v>221</v>
      </c>
      <c r="C1802" t="s">
        <v>238</v>
      </c>
      <c r="D1802">
        <v>4</v>
      </c>
      <c r="E1802">
        <v>0</v>
      </c>
      <c r="F1802" t="s">
        <v>239</v>
      </c>
      <c r="G1802" t="s">
        <v>19</v>
      </c>
      <c r="H1802">
        <v>0</v>
      </c>
      <c r="I1802" t="s">
        <v>271</v>
      </c>
    </row>
    <row r="1803" spans="1:9" x14ac:dyDescent="0.25">
      <c r="A1803">
        <v>70373</v>
      </c>
      <c r="B1803" t="s">
        <v>221</v>
      </c>
      <c r="C1803" t="s">
        <v>238</v>
      </c>
      <c r="D1803">
        <v>4</v>
      </c>
      <c r="E1803">
        <v>0</v>
      </c>
      <c r="F1803" t="s">
        <v>239</v>
      </c>
      <c r="G1803" t="s">
        <v>19</v>
      </c>
      <c r="H1803">
        <v>0</v>
      </c>
      <c r="I1803" t="s">
        <v>266</v>
      </c>
    </row>
    <row r="1804" spans="1:9" x14ac:dyDescent="0.25">
      <c r="A1804">
        <v>70373</v>
      </c>
      <c r="B1804" t="s">
        <v>221</v>
      </c>
      <c r="C1804" t="s">
        <v>238</v>
      </c>
      <c r="D1804">
        <v>4</v>
      </c>
      <c r="E1804">
        <v>0</v>
      </c>
      <c r="F1804" t="s">
        <v>241</v>
      </c>
      <c r="G1804" t="s">
        <v>143</v>
      </c>
      <c r="H1804">
        <v>0</v>
      </c>
      <c r="I1804" t="s">
        <v>332</v>
      </c>
    </row>
    <row r="1805" spans="1:9" x14ac:dyDescent="0.25">
      <c r="A1805">
        <v>70373</v>
      </c>
      <c r="B1805" t="s">
        <v>221</v>
      </c>
      <c r="C1805" t="s">
        <v>238</v>
      </c>
      <c r="D1805">
        <v>4</v>
      </c>
      <c r="E1805">
        <v>0</v>
      </c>
      <c r="F1805" t="s">
        <v>241</v>
      </c>
      <c r="G1805" t="s">
        <v>138</v>
      </c>
      <c r="H1805">
        <v>0</v>
      </c>
      <c r="I1805" t="s">
        <v>333</v>
      </c>
    </row>
    <row r="1806" spans="1:9" x14ac:dyDescent="0.25">
      <c r="A1806">
        <v>70373</v>
      </c>
      <c r="B1806" t="s">
        <v>221</v>
      </c>
      <c r="C1806" t="s">
        <v>238</v>
      </c>
      <c r="D1806">
        <v>4</v>
      </c>
      <c r="E1806">
        <v>0</v>
      </c>
      <c r="F1806" t="s">
        <v>241</v>
      </c>
      <c r="G1806" t="s">
        <v>138</v>
      </c>
      <c r="H1806">
        <v>0</v>
      </c>
      <c r="I1806" t="s">
        <v>334</v>
      </c>
    </row>
    <row r="1807" spans="1:9" x14ac:dyDescent="0.25">
      <c r="A1807">
        <v>70373</v>
      </c>
      <c r="B1807" t="s">
        <v>221</v>
      </c>
      <c r="C1807" t="s">
        <v>238</v>
      </c>
      <c r="D1807">
        <v>4</v>
      </c>
      <c r="E1807">
        <v>0</v>
      </c>
      <c r="F1807" t="s">
        <v>241</v>
      </c>
      <c r="G1807" t="s">
        <v>138</v>
      </c>
      <c r="H1807">
        <v>0</v>
      </c>
      <c r="I1807" t="s">
        <v>268</v>
      </c>
    </row>
    <row r="1808" spans="1:9" x14ac:dyDescent="0.25">
      <c r="A1808">
        <v>70373</v>
      </c>
      <c r="B1808" t="s">
        <v>221</v>
      </c>
      <c r="C1808" t="s">
        <v>238</v>
      </c>
      <c r="D1808">
        <v>4</v>
      </c>
      <c r="E1808">
        <v>0</v>
      </c>
      <c r="F1808" t="s">
        <v>241</v>
      </c>
      <c r="G1808" t="s">
        <v>139</v>
      </c>
      <c r="H1808">
        <v>0</v>
      </c>
      <c r="I1808" t="s">
        <v>336</v>
      </c>
    </row>
    <row r="1809" spans="1:9" x14ac:dyDescent="0.25">
      <c r="A1809">
        <v>70373</v>
      </c>
      <c r="B1809" t="s">
        <v>221</v>
      </c>
      <c r="C1809" t="s">
        <v>238</v>
      </c>
      <c r="D1809">
        <v>4</v>
      </c>
      <c r="E1809">
        <v>0</v>
      </c>
      <c r="F1809" t="s">
        <v>241</v>
      </c>
      <c r="G1809" t="s">
        <v>139</v>
      </c>
      <c r="H1809">
        <v>0</v>
      </c>
      <c r="I1809" t="s">
        <v>337</v>
      </c>
    </row>
    <row r="1810" spans="1:9" x14ac:dyDescent="0.25">
      <c r="A1810">
        <v>70373</v>
      </c>
      <c r="B1810" t="s">
        <v>221</v>
      </c>
      <c r="C1810" t="s">
        <v>238</v>
      </c>
      <c r="D1810">
        <v>4</v>
      </c>
      <c r="E1810">
        <v>0</v>
      </c>
      <c r="F1810" t="s">
        <v>241</v>
      </c>
      <c r="G1810" t="s">
        <v>139</v>
      </c>
      <c r="H1810">
        <v>0</v>
      </c>
      <c r="I1810" t="s">
        <v>335</v>
      </c>
    </row>
    <row r="1811" spans="1:9" x14ac:dyDescent="0.25">
      <c r="A1811">
        <v>70373</v>
      </c>
      <c r="B1811" t="s">
        <v>221</v>
      </c>
      <c r="C1811" t="s">
        <v>238</v>
      </c>
      <c r="D1811">
        <v>4</v>
      </c>
      <c r="E1811">
        <v>0</v>
      </c>
      <c r="F1811" t="s">
        <v>241</v>
      </c>
      <c r="G1811" t="s">
        <v>24</v>
      </c>
      <c r="H1811">
        <v>0</v>
      </c>
      <c r="I1811" t="s">
        <v>338</v>
      </c>
    </row>
    <row r="1812" spans="1:9" x14ac:dyDescent="0.25">
      <c r="A1812">
        <v>70373</v>
      </c>
      <c r="B1812" t="s">
        <v>221</v>
      </c>
      <c r="C1812" t="s">
        <v>238</v>
      </c>
      <c r="D1812">
        <v>4</v>
      </c>
      <c r="E1812">
        <v>0</v>
      </c>
      <c r="F1812" t="s">
        <v>241</v>
      </c>
      <c r="G1812" t="s">
        <v>24</v>
      </c>
      <c r="H1812">
        <v>0</v>
      </c>
      <c r="I1812" t="s">
        <v>339</v>
      </c>
    </row>
    <row r="1813" spans="1:9" x14ac:dyDescent="0.25">
      <c r="A1813">
        <v>70373</v>
      </c>
      <c r="B1813" t="s">
        <v>221</v>
      </c>
      <c r="C1813" t="s">
        <v>238</v>
      </c>
      <c r="D1813">
        <v>4</v>
      </c>
      <c r="E1813">
        <v>0</v>
      </c>
      <c r="F1813" t="s">
        <v>241</v>
      </c>
      <c r="G1813" t="s">
        <v>24</v>
      </c>
      <c r="H1813">
        <v>0</v>
      </c>
      <c r="I1813" t="s">
        <v>340</v>
      </c>
    </row>
    <row r="1814" spans="1:9" x14ac:dyDescent="0.25">
      <c r="A1814">
        <v>70373</v>
      </c>
      <c r="B1814" t="s">
        <v>221</v>
      </c>
      <c r="C1814" t="s">
        <v>238</v>
      </c>
      <c r="D1814">
        <v>4</v>
      </c>
      <c r="E1814">
        <v>0</v>
      </c>
      <c r="F1814" t="s">
        <v>241</v>
      </c>
      <c r="G1814" t="s">
        <v>137</v>
      </c>
      <c r="H1814">
        <v>0</v>
      </c>
      <c r="I1814" t="s">
        <v>273</v>
      </c>
    </row>
    <row r="1815" spans="1:9" x14ac:dyDescent="0.25">
      <c r="A1815">
        <v>70373</v>
      </c>
      <c r="B1815" t="s">
        <v>221</v>
      </c>
      <c r="C1815" t="s">
        <v>238</v>
      </c>
      <c r="D1815">
        <v>4</v>
      </c>
      <c r="E1815">
        <v>0</v>
      </c>
      <c r="F1815" t="s">
        <v>241</v>
      </c>
      <c r="G1815" t="s">
        <v>137</v>
      </c>
      <c r="H1815">
        <v>0</v>
      </c>
      <c r="I1815" t="s">
        <v>341</v>
      </c>
    </row>
    <row r="1816" spans="1:9" x14ac:dyDescent="0.25">
      <c r="A1816">
        <v>70373</v>
      </c>
      <c r="B1816" t="s">
        <v>221</v>
      </c>
      <c r="C1816" t="s">
        <v>238</v>
      </c>
      <c r="D1816">
        <v>4</v>
      </c>
      <c r="E1816">
        <v>0</v>
      </c>
      <c r="F1816" t="s">
        <v>241</v>
      </c>
      <c r="G1816" t="s">
        <v>137</v>
      </c>
      <c r="H1816">
        <v>0</v>
      </c>
      <c r="I1816" t="s">
        <v>342</v>
      </c>
    </row>
    <row r="1817" spans="1:9" x14ac:dyDescent="0.25">
      <c r="A1817">
        <v>70373</v>
      </c>
      <c r="B1817" t="s">
        <v>221</v>
      </c>
      <c r="C1817" t="s">
        <v>238</v>
      </c>
      <c r="D1817">
        <v>4</v>
      </c>
      <c r="E1817">
        <v>0</v>
      </c>
      <c r="F1817" t="s">
        <v>241</v>
      </c>
      <c r="G1817" t="s">
        <v>137</v>
      </c>
      <c r="H1817">
        <v>0</v>
      </c>
      <c r="I1817" t="s">
        <v>343</v>
      </c>
    </row>
    <row r="1818" spans="1:9" x14ac:dyDescent="0.25">
      <c r="A1818">
        <v>70373</v>
      </c>
      <c r="B1818" t="s">
        <v>221</v>
      </c>
      <c r="C1818" t="s">
        <v>238</v>
      </c>
      <c r="D1818">
        <v>4</v>
      </c>
      <c r="E1818">
        <v>0</v>
      </c>
      <c r="F1818" t="s">
        <v>241</v>
      </c>
      <c r="G1818" t="s">
        <v>143</v>
      </c>
      <c r="H1818">
        <v>0</v>
      </c>
      <c r="I1818" t="s">
        <v>344</v>
      </c>
    </row>
    <row r="1819" spans="1:9" x14ac:dyDescent="0.25">
      <c r="A1819">
        <v>70373</v>
      </c>
      <c r="B1819" t="s">
        <v>221</v>
      </c>
      <c r="C1819" t="s">
        <v>238</v>
      </c>
      <c r="D1819">
        <v>4</v>
      </c>
      <c r="E1819">
        <v>0</v>
      </c>
      <c r="F1819" t="s">
        <v>241</v>
      </c>
      <c r="G1819" t="s">
        <v>143</v>
      </c>
      <c r="H1819">
        <v>0</v>
      </c>
      <c r="I1819" t="s">
        <v>345</v>
      </c>
    </row>
    <row r="1820" spans="1:9" x14ac:dyDescent="0.25">
      <c r="A1820">
        <v>70373</v>
      </c>
      <c r="B1820" t="s">
        <v>221</v>
      </c>
      <c r="C1820" t="s">
        <v>238</v>
      </c>
      <c r="D1820">
        <v>4</v>
      </c>
      <c r="E1820">
        <v>0</v>
      </c>
      <c r="F1820" t="s">
        <v>241</v>
      </c>
      <c r="G1820" t="s">
        <v>143</v>
      </c>
      <c r="H1820">
        <v>0</v>
      </c>
      <c r="I1820" t="s">
        <v>346</v>
      </c>
    </row>
    <row r="1821" spans="1:9" x14ac:dyDescent="0.25">
      <c r="A1821">
        <v>70373</v>
      </c>
      <c r="B1821" t="s">
        <v>221</v>
      </c>
      <c r="C1821" t="s">
        <v>238</v>
      </c>
      <c r="D1821">
        <v>4</v>
      </c>
      <c r="E1821">
        <v>0</v>
      </c>
      <c r="F1821" t="s">
        <v>241</v>
      </c>
      <c r="G1821" t="s">
        <v>138</v>
      </c>
      <c r="H1821">
        <v>0</v>
      </c>
      <c r="I1821" t="s">
        <v>347</v>
      </c>
    </row>
    <row r="1822" spans="1:9" x14ac:dyDescent="0.25">
      <c r="A1822">
        <v>70374</v>
      </c>
      <c r="B1822" t="s">
        <v>223</v>
      </c>
      <c r="C1822" t="s">
        <v>238</v>
      </c>
      <c r="D1822">
        <v>4</v>
      </c>
      <c r="E1822">
        <v>0</v>
      </c>
      <c r="F1822" t="s">
        <v>239</v>
      </c>
      <c r="G1822" t="s">
        <v>153</v>
      </c>
      <c r="H1822">
        <v>0</v>
      </c>
      <c r="I1822" t="s">
        <v>351</v>
      </c>
    </row>
    <row r="1823" spans="1:9" x14ac:dyDescent="0.25">
      <c r="A1823">
        <v>70374</v>
      </c>
      <c r="B1823" t="s">
        <v>223</v>
      </c>
      <c r="C1823" t="s">
        <v>238</v>
      </c>
      <c r="D1823">
        <v>4</v>
      </c>
      <c r="E1823">
        <v>0</v>
      </c>
      <c r="F1823" t="s">
        <v>239</v>
      </c>
      <c r="G1823" t="s">
        <v>152</v>
      </c>
      <c r="H1823">
        <v>0</v>
      </c>
      <c r="I1823" t="s">
        <v>352</v>
      </c>
    </row>
    <row r="1824" spans="1:9" x14ac:dyDescent="0.25">
      <c r="A1824">
        <v>70374</v>
      </c>
      <c r="B1824" t="s">
        <v>223</v>
      </c>
      <c r="C1824" t="s">
        <v>238</v>
      </c>
      <c r="D1824">
        <v>4</v>
      </c>
      <c r="E1824">
        <v>0</v>
      </c>
      <c r="F1824" t="s">
        <v>239</v>
      </c>
      <c r="G1824" t="s">
        <v>154</v>
      </c>
      <c r="H1824">
        <v>0</v>
      </c>
      <c r="I1824" t="s">
        <v>349</v>
      </c>
    </row>
    <row r="1825" spans="1:9" x14ac:dyDescent="0.25">
      <c r="A1825">
        <v>70374</v>
      </c>
      <c r="B1825" t="s">
        <v>223</v>
      </c>
      <c r="C1825" t="s">
        <v>238</v>
      </c>
      <c r="D1825">
        <v>4</v>
      </c>
      <c r="E1825">
        <v>0</v>
      </c>
      <c r="F1825" t="s">
        <v>241</v>
      </c>
      <c r="G1825" t="s">
        <v>26</v>
      </c>
      <c r="H1825">
        <v>0</v>
      </c>
      <c r="I1825" t="s">
        <v>350</v>
      </c>
    </row>
    <row r="1826" spans="1:9" x14ac:dyDescent="0.25">
      <c r="A1826">
        <v>70374</v>
      </c>
      <c r="B1826" t="s">
        <v>223</v>
      </c>
      <c r="C1826" t="s">
        <v>238</v>
      </c>
      <c r="D1826">
        <v>4</v>
      </c>
      <c r="E1826">
        <v>0</v>
      </c>
      <c r="F1826" t="s">
        <v>241</v>
      </c>
      <c r="G1826" t="s">
        <v>23</v>
      </c>
      <c r="H1826">
        <v>19664</v>
      </c>
      <c r="I1826" t="s">
        <v>269</v>
      </c>
    </row>
    <row r="1827" spans="1:9" x14ac:dyDescent="0.25">
      <c r="A1827">
        <v>70374</v>
      </c>
      <c r="B1827" t="s">
        <v>223</v>
      </c>
      <c r="C1827" t="s">
        <v>238</v>
      </c>
      <c r="D1827">
        <v>4</v>
      </c>
      <c r="E1827">
        <v>0</v>
      </c>
      <c r="F1827" t="s">
        <v>241</v>
      </c>
      <c r="G1827" t="s">
        <v>26</v>
      </c>
      <c r="H1827">
        <v>0</v>
      </c>
      <c r="I1827" t="s">
        <v>353</v>
      </c>
    </row>
    <row r="1828" spans="1:9" x14ac:dyDescent="0.25">
      <c r="A1828">
        <v>70374</v>
      </c>
      <c r="B1828" t="s">
        <v>223</v>
      </c>
      <c r="C1828" t="s">
        <v>238</v>
      </c>
      <c r="D1828">
        <v>4</v>
      </c>
      <c r="E1828">
        <v>0</v>
      </c>
      <c r="F1828" t="s">
        <v>241</v>
      </c>
      <c r="G1828" t="s">
        <v>157</v>
      </c>
      <c r="H1828">
        <v>0</v>
      </c>
      <c r="I1828" t="s">
        <v>348</v>
      </c>
    </row>
    <row r="1829" spans="1:9" x14ac:dyDescent="0.25">
      <c r="A1829">
        <v>70374</v>
      </c>
      <c r="B1829" t="s">
        <v>223</v>
      </c>
      <c r="C1829" t="s">
        <v>238</v>
      </c>
      <c r="D1829">
        <v>4</v>
      </c>
      <c r="E1829">
        <v>0</v>
      </c>
      <c r="F1829" t="s">
        <v>261</v>
      </c>
      <c r="G1829" t="s">
        <v>261</v>
      </c>
      <c r="H1829">
        <v>0</v>
      </c>
      <c r="I1829" t="s">
        <v>272</v>
      </c>
    </row>
    <row r="1830" spans="1:9" x14ac:dyDescent="0.25">
      <c r="A1830">
        <v>70374</v>
      </c>
      <c r="B1830" t="s">
        <v>223</v>
      </c>
      <c r="C1830" t="s">
        <v>238</v>
      </c>
      <c r="D1830">
        <v>4</v>
      </c>
      <c r="E1830">
        <v>0</v>
      </c>
      <c r="F1830" t="s">
        <v>261</v>
      </c>
      <c r="G1830" t="s">
        <v>261</v>
      </c>
      <c r="H1830">
        <v>0</v>
      </c>
      <c r="I1830" t="s">
        <v>354</v>
      </c>
    </row>
    <row r="1831" spans="1:9" x14ac:dyDescent="0.25">
      <c r="A1831">
        <v>70374</v>
      </c>
      <c r="B1831" t="s">
        <v>223</v>
      </c>
      <c r="C1831" t="s">
        <v>238</v>
      </c>
      <c r="D1831">
        <v>4</v>
      </c>
      <c r="E1831">
        <v>0</v>
      </c>
      <c r="F1831" t="s">
        <v>247</v>
      </c>
      <c r="G1831" t="s">
        <v>12</v>
      </c>
      <c r="H1831">
        <v>-3024112</v>
      </c>
      <c r="I1831" t="s">
        <v>248</v>
      </c>
    </row>
    <row r="1832" spans="1:9" x14ac:dyDescent="0.25">
      <c r="A1832">
        <v>70374</v>
      </c>
      <c r="B1832" t="s">
        <v>223</v>
      </c>
      <c r="C1832" t="s">
        <v>238</v>
      </c>
      <c r="D1832">
        <v>4</v>
      </c>
      <c r="E1832">
        <v>0</v>
      </c>
      <c r="F1832" t="s">
        <v>247</v>
      </c>
      <c r="G1832" t="s">
        <v>13</v>
      </c>
      <c r="H1832">
        <v>6694612</v>
      </c>
      <c r="I1832" t="s">
        <v>249</v>
      </c>
    </row>
    <row r="1833" spans="1:9" x14ac:dyDescent="0.25">
      <c r="A1833">
        <v>70374</v>
      </c>
      <c r="B1833" t="s">
        <v>223</v>
      </c>
      <c r="C1833" t="s">
        <v>238</v>
      </c>
      <c r="D1833">
        <v>4</v>
      </c>
      <c r="E1833">
        <v>0</v>
      </c>
      <c r="F1833" t="s">
        <v>241</v>
      </c>
      <c r="G1833" t="s">
        <v>25</v>
      </c>
      <c r="H1833">
        <v>8572</v>
      </c>
      <c r="I1833" t="s">
        <v>250</v>
      </c>
    </row>
    <row r="1834" spans="1:9" x14ac:dyDescent="0.25">
      <c r="A1834">
        <v>70374</v>
      </c>
      <c r="B1834" t="s">
        <v>223</v>
      </c>
      <c r="C1834" t="s">
        <v>238</v>
      </c>
      <c r="D1834">
        <v>4</v>
      </c>
      <c r="E1834">
        <v>0</v>
      </c>
      <c r="F1834" t="s">
        <v>241</v>
      </c>
      <c r="G1834" t="s">
        <v>26</v>
      </c>
      <c r="H1834">
        <v>0</v>
      </c>
      <c r="I1834" t="s">
        <v>251</v>
      </c>
    </row>
    <row r="1835" spans="1:9" x14ac:dyDescent="0.25">
      <c r="A1835">
        <v>70374</v>
      </c>
      <c r="B1835" t="s">
        <v>223</v>
      </c>
      <c r="C1835" t="s">
        <v>238</v>
      </c>
      <c r="D1835">
        <v>4</v>
      </c>
      <c r="E1835">
        <v>0</v>
      </c>
      <c r="F1835" t="s">
        <v>239</v>
      </c>
      <c r="G1835" t="s">
        <v>18</v>
      </c>
      <c r="H1835">
        <v>371963</v>
      </c>
      <c r="I1835" t="s">
        <v>252</v>
      </c>
    </row>
    <row r="1836" spans="1:9" x14ac:dyDescent="0.25">
      <c r="A1836">
        <v>70374</v>
      </c>
      <c r="B1836" t="s">
        <v>223</v>
      </c>
      <c r="C1836" t="s">
        <v>238</v>
      </c>
      <c r="D1836">
        <v>4</v>
      </c>
      <c r="E1836">
        <v>0</v>
      </c>
      <c r="F1836" t="s">
        <v>241</v>
      </c>
      <c r="G1836" t="s">
        <v>26</v>
      </c>
      <c r="H1836">
        <v>0</v>
      </c>
      <c r="I1836" t="s">
        <v>253</v>
      </c>
    </row>
    <row r="1837" spans="1:9" x14ac:dyDescent="0.25">
      <c r="A1837">
        <v>70374</v>
      </c>
      <c r="B1837" t="s">
        <v>223</v>
      </c>
      <c r="C1837" t="s">
        <v>238</v>
      </c>
      <c r="D1837">
        <v>4</v>
      </c>
      <c r="E1837">
        <v>0</v>
      </c>
      <c r="F1837" t="s">
        <v>247</v>
      </c>
      <c r="G1837" t="s">
        <v>15</v>
      </c>
      <c r="H1837">
        <v>361944</v>
      </c>
      <c r="I1837" t="s">
        <v>254</v>
      </c>
    </row>
    <row r="1838" spans="1:9" x14ac:dyDescent="0.25">
      <c r="A1838">
        <v>70374</v>
      </c>
      <c r="B1838" t="s">
        <v>223</v>
      </c>
      <c r="C1838" t="s">
        <v>238</v>
      </c>
      <c r="D1838">
        <v>4</v>
      </c>
      <c r="E1838">
        <v>0</v>
      </c>
      <c r="F1838" t="s">
        <v>247</v>
      </c>
      <c r="G1838" t="s">
        <v>14</v>
      </c>
      <c r="H1838">
        <v>0</v>
      </c>
      <c r="I1838" t="s">
        <v>355</v>
      </c>
    </row>
    <row r="1839" spans="1:9" x14ac:dyDescent="0.25">
      <c r="A1839">
        <v>70374</v>
      </c>
      <c r="B1839" t="s">
        <v>223</v>
      </c>
      <c r="C1839" t="s">
        <v>238</v>
      </c>
      <c r="D1839">
        <v>4</v>
      </c>
      <c r="E1839">
        <v>0</v>
      </c>
      <c r="F1839" t="s">
        <v>241</v>
      </c>
      <c r="G1839" t="s">
        <v>23</v>
      </c>
      <c r="H1839">
        <v>53556</v>
      </c>
      <c r="I1839" t="s">
        <v>242</v>
      </c>
    </row>
    <row r="1840" spans="1:9" x14ac:dyDescent="0.25">
      <c r="A1840">
        <v>70374</v>
      </c>
      <c r="B1840" t="s">
        <v>223</v>
      </c>
      <c r="C1840" t="s">
        <v>238</v>
      </c>
      <c r="D1840">
        <v>4</v>
      </c>
      <c r="E1840">
        <v>0</v>
      </c>
      <c r="F1840" t="s">
        <v>241</v>
      </c>
      <c r="G1840" t="s">
        <v>24</v>
      </c>
      <c r="H1840">
        <v>52422</v>
      </c>
      <c r="I1840" t="s">
        <v>243</v>
      </c>
    </row>
    <row r="1841" spans="1:9" x14ac:dyDescent="0.25">
      <c r="A1841">
        <v>70374</v>
      </c>
      <c r="B1841" t="s">
        <v>223</v>
      </c>
      <c r="C1841" t="s">
        <v>238</v>
      </c>
      <c r="D1841">
        <v>4</v>
      </c>
      <c r="E1841">
        <v>0</v>
      </c>
      <c r="F1841" t="s">
        <v>241</v>
      </c>
      <c r="G1841" t="s">
        <v>21</v>
      </c>
      <c r="H1841">
        <v>0</v>
      </c>
      <c r="I1841" t="s">
        <v>356</v>
      </c>
    </row>
    <row r="1842" spans="1:9" x14ac:dyDescent="0.25">
      <c r="A1842">
        <v>70374</v>
      </c>
      <c r="B1842" t="s">
        <v>223</v>
      </c>
      <c r="C1842" t="s">
        <v>238</v>
      </c>
      <c r="D1842">
        <v>4</v>
      </c>
      <c r="E1842">
        <v>0</v>
      </c>
      <c r="F1842" t="s">
        <v>239</v>
      </c>
      <c r="G1842" t="s">
        <v>20</v>
      </c>
      <c r="H1842">
        <v>-15751</v>
      </c>
      <c r="I1842" t="s">
        <v>244</v>
      </c>
    </row>
    <row r="1843" spans="1:9" x14ac:dyDescent="0.25">
      <c r="A1843">
        <v>70374</v>
      </c>
      <c r="B1843" t="s">
        <v>223</v>
      </c>
      <c r="C1843" t="s">
        <v>238</v>
      </c>
      <c r="D1843">
        <v>4</v>
      </c>
      <c r="E1843">
        <v>0</v>
      </c>
      <c r="F1843" t="s">
        <v>241</v>
      </c>
      <c r="G1843" t="s">
        <v>22</v>
      </c>
      <c r="H1843">
        <v>0</v>
      </c>
      <c r="I1843" t="s">
        <v>245</v>
      </c>
    </row>
    <row r="1844" spans="1:9" x14ac:dyDescent="0.25">
      <c r="A1844">
        <v>70374</v>
      </c>
      <c r="B1844" t="s">
        <v>223</v>
      </c>
      <c r="C1844" t="s">
        <v>238</v>
      </c>
      <c r="D1844">
        <v>4</v>
      </c>
      <c r="E1844">
        <v>0</v>
      </c>
      <c r="F1844" t="s">
        <v>241</v>
      </c>
      <c r="G1844" t="s">
        <v>26</v>
      </c>
      <c r="H1844">
        <v>1532</v>
      </c>
      <c r="I1844" t="s">
        <v>246</v>
      </c>
    </row>
    <row r="1845" spans="1:9" x14ac:dyDescent="0.25">
      <c r="A1845">
        <v>70374</v>
      </c>
      <c r="B1845" t="s">
        <v>223</v>
      </c>
      <c r="C1845" t="s">
        <v>238</v>
      </c>
      <c r="D1845">
        <v>4</v>
      </c>
      <c r="E1845">
        <v>0</v>
      </c>
      <c r="F1845" t="s">
        <v>239</v>
      </c>
      <c r="G1845" t="s">
        <v>17</v>
      </c>
      <c r="H1845">
        <v>0</v>
      </c>
      <c r="I1845" t="s">
        <v>357</v>
      </c>
    </row>
    <row r="1846" spans="1:9" x14ac:dyDescent="0.25">
      <c r="A1846">
        <v>70374</v>
      </c>
      <c r="B1846" t="s">
        <v>223</v>
      </c>
      <c r="C1846" t="s">
        <v>238</v>
      </c>
      <c r="D1846">
        <v>4</v>
      </c>
      <c r="E1846">
        <v>0</v>
      </c>
      <c r="F1846" t="s">
        <v>241</v>
      </c>
      <c r="G1846" t="s">
        <v>24</v>
      </c>
      <c r="H1846">
        <v>0</v>
      </c>
      <c r="I1846" t="s">
        <v>358</v>
      </c>
    </row>
    <row r="1847" spans="1:9" x14ac:dyDescent="0.25">
      <c r="A1847">
        <v>70374</v>
      </c>
      <c r="B1847" t="s">
        <v>223</v>
      </c>
      <c r="C1847" t="s">
        <v>238</v>
      </c>
      <c r="D1847">
        <v>4</v>
      </c>
      <c r="E1847">
        <v>0</v>
      </c>
      <c r="F1847" t="s">
        <v>241</v>
      </c>
      <c r="G1847" t="s">
        <v>27</v>
      </c>
      <c r="H1847">
        <v>0</v>
      </c>
      <c r="I1847" t="s">
        <v>359</v>
      </c>
    </row>
    <row r="1848" spans="1:9" x14ac:dyDescent="0.25">
      <c r="A1848">
        <v>70374</v>
      </c>
      <c r="B1848" t="s">
        <v>223</v>
      </c>
      <c r="C1848" t="s">
        <v>238</v>
      </c>
      <c r="D1848">
        <v>4</v>
      </c>
      <c r="E1848">
        <v>0</v>
      </c>
      <c r="F1848" t="s">
        <v>239</v>
      </c>
      <c r="G1848" t="s">
        <v>19</v>
      </c>
      <c r="H1848">
        <v>0</v>
      </c>
      <c r="I1848" t="s">
        <v>360</v>
      </c>
    </row>
    <row r="1849" spans="1:9" x14ac:dyDescent="0.25">
      <c r="A1849">
        <v>70374</v>
      </c>
      <c r="B1849" t="s">
        <v>223</v>
      </c>
      <c r="C1849" t="s">
        <v>238</v>
      </c>
      <c r="D1849">
        <v>4</v>
      </c>
      <c r="E1849">
        <v>0</v>
      </c>
      <c r="F1849" t="s">
        <v>239</v>
      </c>
      <c r="G1849" t="s">
        <v>20</v>
      </c>
      <c r="H1849">
        <v>176630</v>
      </c>
      <c r="I1849" t="s">
        <v>255</v>
      </c>
    </row>
    <row r="1850" spans="1:9" x14ac:dyDescent="0.25">
      <c r="A1850">
        <v>70374</v>
      </c>
      <c r="B1850" t="s">
        <v>223</v>
      </c>
      <c r="C1850" t="s">
        <v>238</v>
      </c>
      <c r="D1850">
        <v>4</v>
      </c>
      <c r="E1850">
        <v>0</v>
      </c>
      <c r="F1850" t="s">
        <v>247</v>
      </c>
      <c r="G1850" t="s">
        <v>148</v>
      </c>
      <c r="H1850">
        <v>400612</v>
      </c>
      <c r="I1850" t="s">
        <v>256</v>
      </c>
    </row>
    <row r="1851" spans="1:9" x14ac:dyDescent="0.25">
      <c r="A1851">
        <v>70374</v>
      </c>
      <c r="B1851" t="s">
        <v>223</v>
      </c>
      <c r="C1851" t="s">
        <v>238</v>
      </c>
      <c r="D1851">
        <v>4</v>
      </c>
      <c r="E1851">
        <v>0</v>
      </c>
      <c r="F1851" t="s">
        <v>241</v>
      </c>
      <c r="G1851" t="s">
        <v>27</v>
      </c>
      <c r="H1851">
        <v>8561925</v>
      </c>
      <c r="I1851" t="s">
        <v>257</v>
      </c>
    </row>
    <row r="1852" spans="1:9" x14ac:dyDescent="0.25">
      <c r="A1852">
        <v>70374</v>
      </c>
      <c r="B1852" t="s">
        <v>223</v>
      </c>
      <c r="C1852" t="s">
        <v>238</v>
      </c>
      <c r="D1852">
        <v>4</v>
      </c>
      <c r="E1852">
        <v>0</v>
      </c>
      <c r="F1852" t="s">
        <v>241</v>
      </c>
      <c r="G1852" t="s">
        <v>27</v>
      </c>
      <c r="H1852">
        <v>0</v>
      </c>
      <c r="I1852" t="s">
        <v>361</v>
      </c>
    </row>
    <row r="1853" spans="1:9" x14ac:dyDescent="0.25">
      <c r="A1853">
        <v>70374</v>
      </c>
      <c r="B1853" t="s">
        <v>223</v>
      </c>
      <c r="C1853" t="s">
        <v>238</v>
      </c>
      <c r="D1853">
        <v>4</v>
      </c>
      <c r="E1853">
        <v>0</v>
      </c>
      <c r="F1853" t="s">
        <v>241</v>
      </c>
      <c r="G1853" t="s">
        <v>27</v>
      </c>
      <c r="H1853">
        <v>0</v>
      </c>
      <c r="I1853" t="s">
        <v>362</v>
      </c>
    </row>
    <row r="1854" spans="1:9" x14ac:dyDescent="0.25">
      <c r="A1854">
        <v>70374</v>
      </c>
      <c r="B1854" t="s">
        <v>223</v>
      </c>
      <c r="C1854" t="s">
        <v>238</v>
      </c>
      <c r="D1854">
        <v>4</v>
      </c>
      <c r="E1854">
        <v>0</v>
      </c>
      <c r="F1854" t="s">
        <v>241</v>
      </c>
      <c r="G1854" t="s">
        <v>27</v>
      </c>
      <c r="H1854">
        <v>0</v>
      </c>
      <c r="I1854" t="s">
        <v>363</v>
      </c>
    </row>
    <row r="1855" spans="1:9" x14ac:dyDescent="0.25">
      <c r="A1855">
        <v>70374</v>
      </c>
      <c r="B1855" t="s">
        <v>223</v>
      </c>
      <c r="C1855" t="s">
        <v>238</v>
      </c>
      <c r="D1855">
        <v>4</v>
      </c>
      <c r="E1855">
        <v>0</v>
      </c>
      <c r="F1855" t="s">
        <v>239</v>
      </c>
      <c r="G1855" t="s">
        <v>16</v>
      </c>
      <c r="H1855">
        <v>0</v>
      </c>
      <c r="I1855" t="s">
        <v>267</v>
      </c>
    </row>
    <row r="1856" spans="1:9" x14ac:dyDescent="0.25">
      <c r="A1856">
        <v>70374</v>
      </c>
      <c r="B1856" t="s">
        <v>223</v>
      </c>
      <c r="C1856" t="s">
        <v>238</v>
      </c>
      <c r="D1856">
        <v>4</v>
      </c>
      <c r="E1856">
        <v>0</v>
      </c>
      <c r="F1856" t="s">
        <v>239</v>
      </c>
      <c r="G1856" t="s">
        <v>152</v>
      </c>
      <c r="H1856">
        <v>25067</v>
      </c>
      <c r="I1856" t="s">
        <v>258</v>
      </c>
    </row>
    <row r="1857" spans="1:9" x14ac:dyDescent="0.25">
      <c r="A1857">
        <v>70374</v>
      </c>
      <c r="B1857" t="s">
        <v>223</v>
      </c>
      <c r="C1857" t="s">
        <v>238</v>
      </c>
      <c r="D1857">
        <v>4</v>
      </c>
      <c r="E1857">
        <v>0</v>
      </c>
      <c r="F1857" t="s">
        <v>239</v>
      </c>
      <c r="G1857" t="s">
        <v>154</v>
      </c>
      <c r="H1857">
        <v>0</v>
      </c>
      <c r="I1857" t="s">
        <v>330</v>
      </c>
    </row>
    <row r="1858" spans="1:9" x14ac:dyDescent="0.25">
      <c r="A1858">
        <v>70374</v>
      </c>
      <c r="B1858" t="s">
        <v>223</v>
      </c>
      <c r="C1858" t="s">
        <v>238</v>
      </c>
      <c r="D1858">
        <v>4</v>
      </c>
      <c r="E1858">
        <v>0</v>
      </c>
      <c r="F1858" t="s">
        <v>239</v>
      </c>
      <c r="G1858" t="s">
        <v>16</v>
      </c>
      <c r="H1858">
        <v>0</v>
      </c>
      <c r="I1858" t="s">
        <v>259</v>
      </c>
    </row>
    <row r="1859" spans="1:9" x14ac:dyDescent="0.25">
      <c r="A1859">
        <v>70374</v>
      </c>
      <c r="B1859" t="s">
        <v>223</v>
      </c>
      <c r="C1859" t="s">
        <v>238</v>
      </c>
      <c r="D1859">
        <v>4</v>
      </c>
      <c r="E1859">
        <v>0</v>
      </c>
      <c r="F1859" t="s">
        <v>239</v>
      </c>
      <c r="G1859" t="s">
        <v>19</v>
      </c>
      <c r="H1859">
        <v>18410</v>
      </c>
      <c r="I1859" t="s">
        <v>260</v>
      </c>
    </row>
    <row r="1860" spans="1:9" x14ac:dyDescent="0.25">
      <c r="A1860">
        <v>70374</v>
      </c>
      <c r="B1860" t="s">
        <v>223</v>
      </c>
      <c r="C1860" t="s">
        <v>238</v>
      </c>
      <c r="D1860">
        <v>4</v>
      </c>
      <c r="E1860">
        <v>0</v>
      </c>
      <c r="F1860" t="s">
        <v>239</v>
      </c>
      <c r="G1860" t="s">
        <v>19</v>
      </c>
      <c r="H1860">
        <v>0</v>
      </c>
      <c r="I1860" t="s">
        <v>270</v>
      </c>
    </row>
    <row r="1861" spans="1:9" x14ac:dyDescent="0.25">
      <c r="A1861">
        <v>70374</v>
      </c>
      <c r="B1861" t="s">
        <v>223</v>
      </c>
      <c r="C1861" t="s">
        <v>238</v>
      </c>
      <c r="D1861">
        <v>4</v>
      </c>
      <c r="E1861">
        <v>0</v>
      </c>
      <c r="F1861" t="s">
        <v>241</v>
      </c>
      <c r="G1861" t="s">
        <v>139</v>
      </c>
      <c r="H1861">
        <v>0</v>
      </c>
      <c r="I1861" t="s">
        <v>331</v>
      </c>
    </row>
    <row r="1862" spans="1:9" x14ac:dyDescent="0.25">
      <c r="A1862">
        <v>70374</v>
      </c>
      <c r="B1862" t="s">
        <v>223</v>
      </c>
      <c r="C1862" t="s">
        <v>238</v>
      </c>
      <c r="D1862">
        <v>4</v>
      </c>
      <c r="E1862">
        <v>0</v>
      </c>
      <c r="F1862" t="s">
        <v>261</v>
      </c>
      <c r="G1862" t="s">
        <v>261</v>
      </c>
      <c r="H1862">
        <v>-3500220</v>
      </c>
      <c r="I1862" t="s">
        <v>262</v>
      </c>
    </row>
    <row r="1863" spans="1:9" x14ac:dyDescent="0.25">
      <c r="A1863">
        <v>70374</v>
      </c>
      <c r="B1863" t="s">
        <v>223</v>
      </c>
      <c r="C1863" t="s">
        <v>238</v>
      </c>
      <c r="D1863">
        <v>4</v>
      </c>
      <c r="E1863">
        <v>0</v>
      </c>
      <c r="F1863" t="s">
        <v>239</v>
      </c>
      <c r="G1863" t="s">
        <v>19</v>
      </c>
      <c r="H1863">
        <v>88735</v>
      </c>
      <c r="I1863" t="s">
        <v>263</v>
      </c>
    </row>
    <row r="1864" spans="1:9" x14ac:dyDescent="0.25">
      <c r="A1864">
        <v>70374</v>
      </c>
      <c r="B1864" t="s">
        <v>223</v>
      </c>
      <c r="C1864" t="s">
        <v>238</v>
      </c>
      <c r="D1864">
        <v>4</v>
      </c>
      <c r="E1864">
        <v>0</v>
      </c>
      <c r="F1864" t="s">
        <v>239</v>
      </c>
      <c r="G1864" t="s">
        <v>16</v>
      </c>
      <c r="H1864">
        <v>185</v>
      </c>
      <c r="I1864" t="s">
        <v>240</v>
      </c>
    </row>
    <row r="1865" spans="1:9" x14ac:dyDescent="0.25">
      <c r="A1865">
        <v>70374</v>
      </c>
      <c r="B1865" t="s">
        <v>223</v>
      </c>
      <c r="C1865" t="s">
        <v>238</v>
      </c>
      <c r="D1865">
        <v>4</v>
      </c>
      <c r="E1865">
        <v>0</v>
      </c>
      <c r="F1865" t="s">
        <v>239</v>
      </c>
      <c r="G1865" t="s">
        <v>19</v>
      </c>
      <c r="H1865">
        <v>64091</v>
      </c>
      <c r="I1865" t="s">
        <v>264</v>
      </c>
    </row>
    <row r="1866" spans="1:9" x14ac:dyDescent="0.25">
      <c r="A1866">
        <v>70374</v>
      </c>
      <c r="B1866" t="s">
        <v>223</v>
      </c>
      <c r="C1866" t="s">
        <v>238</v>
      </c>
      <c r="D1866">
        <v>4</v>
      </c>
      <c r="E1866">
        <v>0</v>
      </c>
      <c r="F1866" t="s">
        <v>241</v>
      </c>
      <c r="G1866" t="s">
        <v>158</v>
      </c>
      <c r="H1866">
        <v>61474</v>
      </c>
      <c r="I1866" t="s">
        <v>265</v>
      </c>
    </row>
    <row r="1867" spans="1:9" x14ac:dyDescent="0.25">
      <c r="A1867">
        <v>70374</v>
      </c>
      <c r="B1867" t="s">
        <v>223</v>
      </c>
      <c r="C1867" t="s">
        <v>238</v>
      </c>
      <c r="D1867">
        <v>4</v>
      </c>
      <c r="E1867">
        <v>0</v>
      </c>
      <c r="F1867" t="s">
        <v>239</v>
      </c>
      <c r="G1867" t="s">
        <v>19</v>
      </c>
      <c r="H1867">
        <v>0</v>
      </c>
      <c r="I1867" t="s">
        <v>271</v>
      </c>
    </row>
    <row r="1868" spans="1:9" x14ac:dyDescent="0.25">
      <c r="A1868">
        <v>70374</v>
      </c>
      <c r="B1868" t="s">
        <v>223</v>
      </c>
      <c r="C1868" t="s">
        <v>238</v>
      </c>
      <c r="D1868">
        <v>4</v>
      </c>
      <c r="E1868">
        <v>0</v>
      </c>
      <c r="F1868" t="s">
        <v>239</v>
      </c>
      <c r="G1868" t="s">
        <v>19</v>
      </c>
      <c r="H1868">
        <v>0</v>
      </c>
      <c r="I1868" t="s">
        <v>266</v>
      </c>
    </row>
    <row r="1869" spans="1:9" x14ac:dyDescent="0.25">
      <c r="A1869">
        <v>70374</v>
      </c>
      <c r="B1869" t="s">
        <v>223</v>
      </c>
      <c r="C1869" t="s">
        <v>238</v>
      </c>
      <c r="D1869">
        <v>4</v>
      </c>
      <c r="E1869">
        <v>0</v>
      </c>
      <c r="F1869" t="s">
        <v>241</v>
      </c>
      <c r="G1869" t="s">
        <v>143</v>
      </c>
      <c r="H1869">
        <v>0</v>
      </c>
      <c r="I1869" t="s">
        <v>332</v>
      </c>
    </row>
    <row r="1870" spans="1:9" x14ac:dyDescent="0.25">
      <c r="A1870">
        <v>70374</v>
      </c>
      <c r="B1870" t="s">
        <v>223</v>
      </c>
      <c r="C1870" t="s">
        <v>238</v>
      </c>
      <c r="D1870">
        <v>4</v>
      </c>
      <c r="E1870">
        <v>0</v>
      </c>
      <c r="F1870" t="s">
        <v>241</v>
      </c>
      <c r="G1870" t="s">
        <v>138</v>
      </c>
      <c r="H1870">
        <v>0</v>
      </c>
      <c r="I1870" t="s">
        <v>333</v>
      </c>
    </row>
    <row r="1871" spans="1:9" x14ac:dyDescent="0.25">
      <c r="A1871">
        <v>70374</v>
      </c>
      <c r="B1871" t="s">
        <v>223</v>
      </c>
      <c r="C1871" t="s">
        <v>238</v>
      </c>
      <c r="D1871">
        <v>4</v>
      </c>
      <c r="E1871">
        <v>0</v>
      </c>
      <c r="F1871" t="s">
        <v>241</v>
      </c>
      <c r="G1871" t="s">
        <v>138</v>
      </c>
      <c r="H1871">
        <v>0</v>
      </c>
      <c r="I1871" t="s">
        <v>334</v>
      </c>
    </row>
    <row r="1872" spans="1:9" x14ac:dyDescent="0.25">
      <c r="A1872">
        <v>70374</v>
      </c>
      <c r="B1872" t="s">
        <v>223</v>
      </c>
      <c r="C1872" t="s">
        <v>238</v>
      </c>
      <c r="D1872">
        <v>4</v>
      </c>
      <c r="E1872">
        <v>0</v>
      </c>
      <c r="F1872" t="s">
        <v>241</v>
      </c>
      <c r="G1872" t="s">
        <v>138</v>
      </c>
      <c r="H1872">
        <v>-65513</v>
      </c>
      <c r="I1872" t="s">
        <v>268</v>
      </c>
    </row>
    <row r="1873" spans="1:9" x14ac:dyDescent="0.25">
      <c r="A1873">
        <v>70374</v>
      </c>
      <c r="B1873" t="s">
        <v>223</v>
      </c>
      <c r="C1873" t="s">
        <v>238</v>
      </c>
      <c r="D1873">
        <v>4</v>
      </c>
      <c r="E1873">
        <v>0</v>
      </c>
      <c r="F1873" t="s">
        <v>241</v>
      </c>
      <c r="G1873" t="s">
        <v>139</v>
      </c>
      <c r="H1873">
        <v>0</v>
      </c>
      <c r="I1873" t="s">
        <v>336</v>
      </c>
    </row>
    <row r="1874" spans="1:9" x14ac:dyDescent="0.25">
      <c r="A1874">
        <v>70374</v>
      </c>
      <c r="B1874" t="s">
        <v>223</v>
      </c>
      <c r="C1874" t="s">
        <v>238</v>
      </c>
      <c r="D1874">
        <v>4</v>
      </c>
      <c r="E1874">
        <v>0</v>
      </c>
      <c r="F1874" t="s">
        <v>241</v>
      </c>
      <c r="G1874" t="s">
        <v>139</v>
      </c>
      <c r="H1874">
        <v>0</v>
      </c>
      <c r="I1874" t="s">
        <v>337</v>
      </c>
    </row>
    <row r="1875" spans="1:9" x14ac:dyDescent="0.25">
      <c r="A1875">
        <v>70374</v>
      </c>
      <c r="B1875" t="s">
        <v>223</v>
      </c>
      <c r="C1875" t="s">
        <v>238</v>
      </c>
      <c r="D1875">
        <v>4</v>
      </c>
      <c r="E1875">
        <v>0</v>
      </c>
      <c r="F1875" t="s">
        <v>241</v>
      </c>
      <c r="G1875" t="s">
        <v>139</v>
      </c>
      <c r="H1875">
        <v>0</v>
      </c>
      <c r="I1875" t="s">
        <v>335</v>
      </c>
    </row>
    <row r="1876" spans="1:9" x14ac:dyDescent="0.25">
      <c r="A1876">
        <v>70374</v>
      </c>
      <c r="B1876" t="s">
        <v>223</v>
      </c>
      <c r="C1876" t="s">
        <v>238</v>
      </c>
      <c r="D1876">
        <v>4</v>
      </c>
      <c r="E1876">
        <v>0</v>
      </c>
      <c r="F1876" t="s">
        <v>241</v>
      </c>
      <c r="G1876" t="s">
        <v>24</v>
      </c>
      <c r="H1876">
        <v>0</v>
      </c>
      <c r="I1876" t="s">
        <v>338</v>
      </c>
    </row>
    <row r="1877" spans="1:9" x14ac:dyDescent="0.25">
      <c r="A1877">
        <v>70374</v>
      </c>
      <c r="B1877" t="s">
        <v>223</v>
      </c>
      <c r="C1877" t="s">
        <v>238</v>
      </c>
      <c r="D1877">
        <v>4</v>
      </c>
      <c r="E1877">
        <v>0</v>
      </c>
      <c r="F1877" t="s">
        <v>241</v>
      </c>
      <c r="G1877" t="s">
        <v>24</v>
      </c>
      <c r="H1877">
        <v>0</v>
      </c>
      <c r="I1877" t="s">
        <v>339</v>
      </c>
    </row>
    <row r="1878" spans="1:9" x14ac:dyDescent="0.25">
      <c r="A1878">
        <v>70374</v>
      </c>
      <c r="B1878" t="s">
        <v>223</v>
      </c>
      <c r="C1878" t="s">
        <v>238</v>
      </c>
      <c r="D1878">
        <v>4</v>
      </c>
      <c r="E1878">
        <v>0</v>
      </c>
      <c r="F1878" t="s">
        <v>241</v>
      </c>
      <c r="G1878" t="s">
        <v>24</v>
      </c>
      <c r="H1878">
        <v>0</v>
      </c>
      <c r="I1878" t="s">
        <v>340</v>
      </c>
    </row>
    <row r="1879" spans="1:9" x14ac:dyDescent="0.25">
      <c r="A1879">
        <v>70374</v>
      </c>
      <c r="B1879" t="s">
        <v>223</v>
      </c>
      <c r="C1879" t="s">
        <v>238</v>
      </c>
      <c r="D1879">
        <v>4</v>
      </c>
      <c r="E1879">
        <v>0</v>
      </c>
      <c r="F1879" t="s">
        <v>241</v>
      </c>
      <c r="G1879" t="s">
        <v>137</v>
      </c>
      <c r="H1879">
        <v>0</v>
      </c>
      <c r="I1879" t="s">
        <v>273</v>
      </c>
    </row>
    <row r="1880" spans="1:9" x14ac:dyDescent="0.25">
      <c r="A1880">
        <v>70374</v>
      </c>
      <c r="B1880" t="s">
        <v>223</v>
      </c>
      <c r="C1880" t="s">
        <v>238</v>
      </c>
      <c r="D1880">
        <v>4</v>
      </c>
      <c r="E1880">
        <v>0</v>
      </c>
      <c r="F1880" t="s">
        <v>241</v>
      </c>
      <c r="G1880" t="s">
        <v>137</v>
      </c>
      <c r="H1880">
        <v>0</v>
      </c>
      <c r="I1880" t="s">
        <v>341</v>
      </c>
    </row>
    <row r="1881" spans="1:9" x14ac:dyDescent="0.25">
      <c r="A1881">
        <v>70374</v>
      </c>
      <c r="B1881" t="s">
        <v>223</v>
      </c>
      <c r="C1881" t="s">
        <v>238</v>
      </c>
      <c r="D1881">
        <v>4</v>
      </c>
      <c r="E1881">
        <v>0</v>
      </c>
      <c r="F1881" t="s">
        <v>241</v>
      </c>
      <c r="G1881" t="s">
        <v>137</v>
      </c>
      <c r="H1881">
        <v>0</v>
      </c>
      <c r="I1881" t="s">
        <v>342</v>
      </c>
    </row>
    <row r="1882" spans="1:9" x14ac:dyDescent="0.25">
      <c r="A1882">
        <v>70374</v>
      </c>
      <c r="B1882" t="s">
        <v>223</v>
      </c>
      <c r="C1882" t="s">
        <v>238</v>
      </c>
      <c r="D1882">
        <v>4</v>
      </c>
      <c r="E1882">
        <v>0</v>
      </c>
      <c r="F1882" t="s">
        <v>241</v>
      </c>
      <c r="G1882" t="s">
        <v>137</v>
      </c>
      <c r="H1882">
        <v>0</v>
      </c>
      <c r="I1882" t="s">
        <v>343</v>
      </c>
    </row>
    <row r="1883" spans="1:9" x14ac:dyDescent="0.25">
      <c r="A1883">
        <v>70374</v>
      </c>
      <c r="B1883" t="s">
        <v>223</v>
      </c>
      <c r="C1883" t="s">
        <v>238</v>
      </c>
      <c r="D1883">
        <v>4</v>
      </c>
      <c r="E1883">
        <v>0</v>
      </c>
      <c r="F1883" t="s">
        <v>241</v>
      </c>
      <c r="G1883" t="s">
        <v>143</v>
      </c>
      <c r="H1883">
        <v>0</v>
      </c>
      <c r="I1883" t="s">
        <v>344</v>
      </c>
    </row>
    <row r="1884" spans="1:9" x14ac:dyDescent="0.25">
      <c r="A1884">
        <v>70374</v>
      </c>
      <c r="B1884" t="s">
        <v>223</v>
      </c>
      <c r="C1884" t="s">
        <v>238</v>
      </c>
      <c r="D1884">
        <v>4</v>
      </c>
      <c r="E1884">
        <v>0</v>
      </c>
      <c r="F1884" t="s">
        <v>241</v>
      </c>
      <c r="G1884" t="s">
        <v>143</v>
      </c>
      <c r="H1884">
        <v>0</v>
      </c>
      <c r="I1884" t="s">
        <v>345</v>
      </c>
    </row>
    <row r="1885" spans="1:9" x14ac:dyDescent="0.25">
      <c r="A1885">
        <v>70374</v>
      </c>
      <c r="B1885" t="s">
        <v>223</v>
      </c>
      <c r="C1885" t="s">
        <v>238</v>
      </c>
      <c r="D1885">
        <v>4</v>
      </c>
      <c r="E1885">
        <v>0</v>
      </c>
      <c r="F1885" t="s">
        <v>241</v>
      </c>
      <c r="G1885" t="s">
        <v>143</v>
      </c>
      <c r="H1885">
        <v>0</v>
      </c>
      <c r="I1885" t="s">
        <v>346</v>
      </c>
    </row>
    <row r="1886" spans="1:9" x14ac:dyDescent="0.25">
      <c r="A1886">
        <v>70374</v>
      </c>
      <c r="B1886" t="s">
        <v>223</v>
      </c>
      <c r="C1886" t="s">
        <v>238</v>
      </c>
      <c r="D1886">
        <v>4</v>
      </c>
      <c r="E1886">
        <v>0</v>
      </c>
      <c r="F1886" t="s">
        <v>241</v>
      </c>
      <c r="G1886" t="s">
        <v>138</v>
      </c>
      <c r="H1886">
        <v>0</v>
      </c>
      <c r="I1886" t="s">
        <v>347</v>
      </c>
    </row>
    <row r="1887" spans="1:9" x14ac:dyDescent="0.25">
      <c r="A1887">
        <v>70375</v>
      </c>
      <c r="B1887" t="s">
        <v>226</v>
      </c>
      <c r="C1887" t="s">
        <v>238</v>
      </c>
      <c r="D1887">
        <v>4</v>
      </c>
      <c r="E1887">
        <v>0</v>
      </c>
      <c r="F1887" t="s">
        <v>239</v>
      </c>
      <c r="G1887" t="s">
        <v>153</v>
      </c>
      <c r="H1887">
        <v>0</v>
      </c>
      <c r="I1887" t="s">
        <v>351</v>
      </c>
    </row>
    <row r="1888" spans="1:9" x14ac:dyDescent="0.25">
      <c r="A1888">
        <v>70375</v>
      </c>
      <c r="B1888" t="s">
        <v>226</v>
      </c>
      <c r="C1888" t="s">
        <v>238</v>
      </c>
      <c r="D1888">
        <v>4</v>
      </c>
      <c r="E1888">
        <v>0</v>
      </c>
      <c r="F1888" t="s">
        <v>239</v>
      </c>
      <c r="G1888" t="s">
        <v>152</v>
      </c>
      <c r="H1888">
        <v>0</v>
      </c>
      <c r="I1888" t="s">
        <v>352</v>
      </c>
    </row>
    <row r="1889" spans="1:9" x14ac:dyDescent="0.25">
      <c r="A1889">
        <v>70375</v>
      </c>
      <c r="B1889" t="s">
        <v>226</v>
      </c>
      <c r="C1889" t="s">
        <v>238</v>
      </c>
      <c r="D1889">
        <v>4</v>
      </c>
      <c r="E1889">
        <v>0</v>
      </c>
      <c r="F1889" t="s">
        <v>239</v>
      </c>
      <c r="G1889" t="s">
        <v>154</v>
      </c>
      <c r="H1889">
        <v>0</v>
      </c>
      <c r="I1889" t="s">
        <v>349</v>
      </c>
    </row>
    <row r="1890" spans="1:9" x14ac:dyDescent="0.25">
      <c r="A1890">
        <v>70375</v>
      </c>
      <c r="B1890" t="s">
        <v>226</v>
      </c>
      <c r="C1890" t="s">
        <v>238</v>
      </c>
      <c r="D1890">
        <v>4</v>
      </c>
      <c r="E1890">
        <v>0</v>
      </c>
      <c r="F1890" t="s">
        <v>241</v>
      </c>
      <c r="G1890" t="s">
        <v>26</v>
      </c>
      <c r="H1890">
        <v>0</v>
      </c>
      <c r="I1890" t="s">
        <v>350</v>
      </c>
    </row>
    <row r="1891" spans="1:9" x14ac:dyDescent="0.25">
      <c r="A1891">
        <v>70375</v>
      </c>
      <c r="B1891" t="s">
        <v>226</v>
      </c>
      <c r="C1891" t="s">
        <v>238</v>
      </c>
      <c r="D1891">
        <v>4</v>
      </c>
      <c r="E1891">
        <v>0</v>
      </c>
      <c r="F1891" t="s">
        <v>241</v>
      </c>
      <c r="G1891" t="s">
        <v>23</v>
      </c>
      <c r="H1891">
        <v>19664</v>
      </c>
      <c r="I1891" t="s">
        <v>269</v>
      </c>
    </row>
    <row r="1892" spans="1:9" x14ac:dyDescent="0.25">
      <c r="A1892">
        <v>70375</v>
      </c>
      <c r="B1892" t="s">
        <v>226</v>
      </c>
      <c r="C1892" t="s">
        <v>238</v>
      </c>
      <c r="D1892">
        <v>4</v>
      </c>
      <c r="E1892">
        <v>0</v>
      </c>
      <c r="F1892" t="s">
        <v>241</v>
      </c>
      <c r="G1892" t="s">
        <v>26</v>
      </c>
      <c r="H1892">
        <v>0</v>
      </c>
      <c r="I1892" t="s">
        <v>353</v>
      </c>
    </row>
    <row r="1893" spans="1:9" x14ac:dyDescent="0.25">
      <c r="A1893">
        <v>70375</v>
      </c>
      <c r="B1893" t="s">
        <v>226</v>
      </c>
      <c r="C1893" t="s">
        <v>238</v>
      </c>
      <c r="D1893">
        <v>4</v>
      </c>
      <c r="E1893">
        <v>0</v>
      </c>
      <c r="F1893" t="s">
        <v>241</v>
      </c>
      <c r="G1893" t="s">
        <v>157</v>
      </c>
      <c r="H1893">
        <v>0</v>
      </c>
      <c r="I1893" t="s">
        <v>348</v>
      </c>
    </row>
    <row r="1894" spans="1:9" x14ac:dyDescent="0.25">
      <c r="A1894">
        <v>70375</v>
      </c>
      <c r="B1894" t="s">
        <v>226</v>
      </c>
      <c r="C1894" t="s">
        <v>238</v>
      </c>
      <c r="D1894">
        <v>4</v>
      </c>
      <c r="E1894">
        <v>0</v>
      </c>
      <c r="F1894" t="s">
        <v>261</v>
      </c>
      <c r="G1894" t="s">
        <v>261</v>
      </c>
      <c r="H1894">
        <v>0</v>
      </c>
      <c r="I1894" t="s">
        <v>272</v>
      </c>
    </row>
    <row r="1895" spans="1:9" x14ac:dyDescent="0.25">
      <c r="A1895">
        <v>70375</v>
      </c>
      <c r="B1895" t="s">
        <v>226</v>
      </c>
      <c r="C1895" t="s">
        <v>238</v>
      </c>
      <c r="D1895">
        <v>4</v>
      </c>
      <c r="E1895">
        <v>0</v>
      </c>
      <c r="F1895" t="s">
        <v>261</v>
      </c>
      <c r="G1895" t="s">
        <v>261</v>
      </c>
      <c r="H1895">
        <v>0</v>
      </c>
      <c r="I1895" t="s">
        <v>354</v>
      </c>
    </row>
    <row r="1896" spans="1:9" x14ac:dyDescent="0.25">
      <c r="A1896">
        <v>70375</v>
      </c>
      <c r="B1896" t="s">
        <v>226</v>
      </c>
      <c r="C1896" t="s">
        <v>238</v>
      </c>
      <c r="D1896">
        <v>4</v>
      </c>
      <c r="E1896">
        <v>0</v>
      </c>
      <c r="F1896" t="s">
        <v>247</v>
      </c>
      <c r="G1896" t="s">
        <v>12</v>
      </c>
      <c r="H1896">
        <v>-3238740</v>
      </c>
      <c r="I1896" t="s">
        <v>248</v>
      </c>
    </row>
    <row r="1897" spans="1:9" x14ac:dyDescent="0.25">
      <c r="A1897">
        <v>70375</v>
      </c>
      <c r="B1897" t="s">
        <v>226</v>
      </c>
      <c r="C1897" t="s">
        <v>238</v>
      </c>
      <c r="D1897">
        <v>4</v>
      </c>
      <c r="E1897">
        <v>0</v>
      </c>
      <c r="F1897" t="s">
        <v>247</v>
      </c>
      <c r="G1897" t="s">
        <v>13</v>
      </c>
      <c r="H1897">
        <v>6454815</v>
      </c>
      <c r="I1897" t="s">
        <v>249</v>
      </c>
    </row>
    <row r="1898" spans="1:9" x14ac:dyDescent="0.25">
      <c r="A1898">
        <v>70375</v>
      </c>
      <c r="B1898" t="s">
        <v>226</v>
      </c>
      <c r="C1898" t="s">
        <v>238</v>
      </c>
      <c r="D1898">
        <v>4</v>
      </c>
      <c r="E1898">
        <v>0</v>
      </c>
      <c r="F1898" t="s">
        <v>241</v>
      </c>
      <c r="G1898" t="s">
        <v>25</v>
      </c>
      <c r="H1898">
        <v>7956</v>
      </c>
      <c r="I1898" t="s">
        <v>250</v>
      </c>
    </row>
    <row r="1899" spans="1:9" x14ac:dyDescent="0.25">
      <c r="A1899">
        <v>70375</v>
      </c>
      <c r="B1899" t="s">
        <v>226</v>
      </c>
      <c r="C1899" t="s">
        <v>238</v>
      </c>
      <c r="D1899">
        <v>4</v>
      </c>
      <c r="E1899">
        <v>0</v>
      </c>
      <c r="F1899" t="s">
        <v>241</v>
      </c>
      <c r="G1899" t="s">
        <v>26</v>
      </c>
      <c r="H1899">
        <v>0</v>
      </c>
      <c r="I1899" t="s">
        <v>251</v>
      </c>
    </row>
    <row r="1900" spans="1:9" x14ac:dyDescent="0.25">
      <c r="A1900">
        <v>70375</v>
      </c>
      <c r="B1900" t="s">
        <v>226</v>
      </c>
      <c r="C1900" t="s">
        <v>238</v>
      </c>
      <c r="D1900">
        <v>4</v>
      </c>
      <c r="E1900">
        <v>0</v>
      </c>
      <c r="F1900" t="s">
        <v>239</v>
      </c>
      <c r="G1900" t="s">
        <v>18</v>
      </c>
      <c r="H1900">
        <v>383471</v>
      </c>
      <c r="I1900" t="s">
        <v>252</v>
      </c>
    </row>
    <row r="1901" spans="1:9" x14ac:dyDescent="0.25">
      <c r="A1901">
        <v>70375</v>
      </c>
      <c r="B1901" t="s">
        <v>226</v>
      </c>
      <c r="C1901" t="s">
        <v>238</v>
      </c>
      <c r="D1901">
        <v>4</v>
      </c>
      <c r="E1901">
        <v>0</v>
      </c>
      <c r="F1901" t="s">
        <v>241</v>
      </c>
      <c r="G1901" t="s">
        <v>26</v>
      </c>
      <c r="H1901">
        <v>0</v>
      </c>
      <c r="I1901" t="s">
        <v>253</v>
      </c>
    </row>
    <row r="1902" spans="1:9" x14ac:dyDescent="0.25">
      <c r="A1902">
        <v>70375</v>
      </c>
      <c r="B1902" t="s">
        <v>226</v>
      </c>
      <c r="C1902" t="s">
        <v>238</v>
      </c>
      <c r="D1902">
        <v>4</v>
      </c>
      <c r="E1902">
        <v>0</v>
      </c>
      <c r="F1902" t="s">
        <v>247</v>
      </c>
      <c r="G1902" t="s">
        <v>15</v>
      </c>
      <c r="H1902">
        <v>332418</v>
      </c>
      <c r="I1902" t="s">
        <v>254</v>
      </c>
    </row>
    <row r="1903" spans="1:9" x14ac:dyDescent="0.25">
      <c r="A1903">
        <v>70375</v>
      </c>
      <c r="B1903" t="s">
        <v>226</v>
      </c>
      <c r="C1903" t="s">
        <v>238</v>
      </c>
      <c r="D1903">
        <v>4</v>
      </c>
      <c r="E1903">
        <v>0</v>
      </c>
      <c r="F1903" t="s">
        <v>247</v>
      </c>
      <c r="G1903" t="s">
        <v>14</v>
      </c>
      <c r="H1903">
        <v>0</v>
      </c>
      <c r="I1903" t="s">
        <v>355</v>
      </c>
    </row>
    <row r="1904" spans="1:9" x14ac:dyDescent="0.25">
      <c r="A1904">
        <v>70375</v>
      </c>
      <c r="B1904" t="s">
        <v>226</v>
      </c>
      <c r="C1904" t="s">
        <v>238</v>
      </c>
      <c r="D1904">
        <v>4</v>
      </c>
      <c r="E1904">
        <v>0</v>
      </c>
      <c r="F1904" t="s">
        <v>241</v>
      </c>
      <c r="G1904" t="s">
        <v>23</v>
      </c>
      <c r="H1904">
        <v>70531</v>
      </c>
      <c r="I1904" t="s">
        <v>242</v>
      </c>
    </row>
    <row r="1905" spans="1:9" x14ac:dyDescent="0.25">
      <c r="A1905">
        <v>70375</v>
      </c>
      <c r="B1905" t="s">
        <v>226</v>
      </c>
      <c r="C1905" t="s">
        <v>238</v>
      </c>
      <c r="D1905">
        <v>4</v>
      </c>
      <c r="E1905">
        <v>0</v>
      </c>
      <c r="F1905" t="s">
        <v>241</v>
      </c>
      <c r="G1905" t="s">
        <v>24</v>
      </c>
      <c r="H1905">
        <v>57050</v>
      </c>
      <c r="I1905" t="s">
        <v>243</v>
      </c>
    </row>
    <row r="1906" spans="1:9" x14ac:dyDescent="0.25">
      <c r="A1906">
        <v>70375</v>
      </c>
      <c r="B1906" t="s">
        <v>226</v>
      </c>
      <c r="C1906" t="s">
        <v>238</v>
      </c>
      <c r="D1906">
        <v>4</v>
      </c>
      <c r="E1906">
        <v>0</v>
      </c>
      <c r="F1906" t="s">
        <v>241</v>
      </c>
      <c r="G1906" t="s">
        <v>21</v>
      </c>
      <c r="H1906">
        <v>0</v>
      </c>
      <c r="I1906" t="s">
        <v>356</v>
      </c>
    </row>
    <row r="1907" spans="1:9" x14ac:dyDescent="0.25">
      <c r="A1907">
        <v>70375</v>
      </c>
      <c r="B1907" t="s">
        <v>226</v>
      </c>
      <c r="C1907" t="s">
        <v>238</v>
      </c>
      <c r="D1907">
        <v>4</v>
      </c>
      <c r="E1907">
        <v>0</v>
      </c>
      <c r="F1907" t="s">
        <v>239</v>
      </c>
      <c r="G1907" t="s">
        <v>20</v>
      </c>
      <c r="H1907">
        <v>-16324</v>
      </c>
      <c r="I1907" t="s">
        <v>244</v>
      </c>
    </row>
    <row r="1908" spans="1:9" x14ac:dyDescent="0.25">
      <c r="A1908">
        <v>70375</v>
      </c>
      <c r="B1908" t="s">
        <v>226</v>
      </c>
      <c r="C1908" t="s">
        <v>238</v>
      </c>
      <c r="D1908">
        <v>4</v>
      </c>
      <c r="E1908">
        <v>0</v>
      </c>
      <c r="F1908" t="s">
        <v>241</v>
      </c>
      <c r="G1908" t="s">
        <v>22</v>
      </c>
      <c r="H1908">
        <v>0</v>
      </c>
      <c r="I1908" t="s">
        <v>245</v>
      </c>
    </row>
    <row r="1909" spans="1:9" x14ac:dyDescent="0.25">
      <c r="A1909">
        <v>70375</v>
      </c>
      <c r="B1909" t="s">
        <v>226</v>
      </c>
      <c r="C1909" t="s">
        <v>238</v>
      </c>
      <c r="D1909">
        <v>4</v>
      </c>
      <c r="E1909">
        <v>0</v>
      </c>
      <c r="F1909" t="s">
        <v>241</v>
      </c>
      <c r="G1909" t="s">
        <v>26</v>
      </c>
      <c r="H1909">
        <v>1309</v>
      </c>
      <c r="I1909" t="s">
        <v>246</v>
      </c>
    </row>
    <row r="1910" spans="1:9" x14ac:dyDescent="0.25">
      <c r="A1910">
        <v>70375</v>
      </c>
      <c r="B1910" t="s">
        <v>226</v>
      </c>
      <c r="C1910" t="s">
        <v>238</v>
      </c>
      <c r="D1910">
        <v>4</v>
      </c>
      <c r="E1910">
        <v>0</v>
      </c>
      <c r="F1910" t="s">
        <v>239</v>
      </c>
      <c r="G1910" t="s">
        <v>17</v>
      </c>
      <c r="H1910">
        <v>0</v>
      </c>
      <c r="I1910" t="s">
        <v>357</v>
      </c>
    </row>
    <row r="1911" spans="1:9" x14ac:dyDescent="0.25">
      <c r="A1911">
        <v>70375</v>
      </c>
      <c r="B1911" t="s">
        <v>226</v>
      </c>
      <c r="C1911" t="s">
        <v>238</v>
      </c>
      <c r="D1911">
        <v>4</v>
      </c>
      <c r="E1911">
        <v>0</v>
      </c>
      <c r="F1911" t="s">
        <v>241</v>
      </c>
      <c r="G1911" t="s">
        <v>24</v>
      </c>
      <c r="H1911">
        <v>0</v>
      </c>
      <c r="I1911" t="s">
        <v>358</v>
      </c>
    </row>
    <row r="1912" spans="1:9" x14ac:dyDescent="0.25">
      <c r="A1912">
        <v>70375</v>
      </c>
      <c r="B1912" t="s">
        <v>226</v>
      </c>
      <c r="C1912" t="s">
        <v>238</v>
      </c>
      <c r="D1912">
        <v>4</v>
      </c>
      <c r="E1912">
        <v>0</v>
      </c>
      <c r="F1912" t="s">
        <v>241</v>
      </c>
      <c r="G1912" t="s">
        <v>27</v>
      </c>
      <c r="H1912">
        <v>0</v>
      </c>
      <c r="I1912" t="s">
        <v>359</v>
      </c>
    </row>
    <row r="1913" spans="1:9" x14ac:dyDescent="0.25">
      <c r="A1913">
        <v>70375</v>
      </c>
      <c r="B1913" t="s">
        <v>226</v>
      </c>
      <c r="C1913" t="s">
        <v>238</v>
      </c>
      <c r="D1913">
        <v>4</v>
      </c>
      <c r="E1913">
        <v>0</v>
      </c>
      <c r="F1913" t="s">
        <v>239</v>
      </c>
      <c r="G1913" t="s">
        <v>19</v>
      </c>
      <c r="H1913">
        <v>0</v>
      </c>
      <c r="I1913" t="s">
        <v>360</v>
      </c>
    </row>
    <row r="1914" spans="1:9" x14ac:dyDescent="0.25">
      <c r="A1914">
        <v>70375</v>
      </c>
      <c r="B1914" t="s">
        <v>226</v>
      </c>
      <c r="C1914" t="s">
        <v>238</v>
      </c>
      <c r="D1914">
        <v>4</v>
      </c>
      <c r="E1914">
        <v>0</v>
      </c>
      <c r="F1914" t="s">
        <v>239</v>
      </c>
      <c r="G1914" t="s">
        <v>20</v>
      </c>
      <c r="H1914">
        <v>146912</v>
      </c>
      <c r="I1914" t="s">
        <v>255</v>
      </c>
    </row>
    <row r="1915" spans="1:9" x14ac:dyDescent="0.25">
      <c r="A1915">
        <v>70375</v>
      </c>
      <c r="B1915" t="s">
        <v>226</v>
      </c>
      <c r="C1915" t="s">
        <v>238</v>
      </c>
      <c r="D1915">
        <v>4</v>
      </c>
      <c r="E1915">
        <v>0</v>
      </c>
      <c r="F1915" t="s">
        <v>247</v>
      </c>
      <c r="G1915" t="s">
        <v>148</v>
      </c>
      <c r="H1915">
        <v>210936</v>
      </c>
      <c r="I1915" t="s">
        <v>256</v>
      </c>
    </row>
    <row r="1916" spans="1:9" x14ac:dyDescent="0.25">
      <c r="A1916">
        <v>70375</v>
      </c>
      <c r="B1916" t="s">
        <v>226</v>
      </c>
      <c r="C1916" t="s">
        <v>238</v>
      </c>
      <c r="D1916">
        <v>4</v>
      </c>
      <c r="E1916">
        <v>0</v>
      </c>
      <c r="F1916" t="s">
        <v>241</v>
      </c>
      <c r="G1916" t="s">
        <v>27</v>
      </c>
      <c r="H1916">
        <v>6448559</v>
      </c>
      <c r="I1916" t="s">
        <v>257</v>
      </c>
    </row>
    <row r="1917" spans="1:9" x14ac:dyDescent="0.25">
      <c r="A1917">
        <v>70375</v>
      </c>
      <c r="B1917" t="s">
        <v>226</v>
      </c>
      <c r="C1917" t="s">
        <v>238</v>
      </c>
      <c r="D1917">
        <v>4</v>
      </c>
      <c r="E1917">
        <v>0</v>
      </c>
      <c r="F1917" t="s">
        <v>241</v>
      </c>
      <c r="G1917" t="s">
        <v>27</v>
      </c>
      <c r="H1917">
        <v>0</v>
      </c>
      <c r="I1917" t="s">
        <v>361</v>
      </c>
    </row>
    <row r="1918" spans="1:9" x14ac:dyDescent="0.25">
      <c r="A1918">
        <v>70375</v>
      </c>
      <c r="B1918" t="s">
        <v>226</v>
      </c>
      <c r="C1918" t="s">
        <v>238</v>
      </c>
      <c r="D1918">
        <v>4</v>
      </c>
      <c r="E1918">
        <v>0</v>
      </c>
      <c r="F1918" t="s">
        <v>241</v>
      </c>
      <c r="G1918" t="s">
        <v>27</v>
      </c>
      <c r="H1918">
        <v>0</v>
      </c>
      <c r="I1918" t="s">
        <v>362</v>
      </c>
    </row>
    <row r="1919" spans="1:9" x14ac:dyDescent="0.25">
      <c r="A1919">
        <v>70375</v>
      </c>
      <c r="B1919" t="s">
        <v>226</v>
      </c>
      <c r="C1919" t="s">
        <v>238</v>
      </c>
      <c r="D1919">
        <v>4</v>
      </c>
      <c r="E1919">
        <v>0</v>
      </c>
      <c r="F1919" t="s">
        <v>241</v>
      </c>
      <c r="G1919" t="s">
        <v>27</v>
      </c>
      <c r="H1919">
        <v>0</v>
      </c>
      <c r="I1919" t="s">
        <v>363</v>
      </c>
    </row>
    <row r="1920" spans="1:9" x14ac:dyDescent="0.25">
      <c r="A1920">
        <v>70375</v>
      </c>
      <c r="B1920" t="s">
        <v>226</v>
      </c>
      <c r="C1920" t="s">
        <v>238</v>
      </c>
      <c r="D1920">
        <v>4</v>
      </c>
      <c r="E1920">
        <v>0</v>
      </c>
      <c r="F1920" t="s">
        <v>239</v>
      </c>
      <c r="G1920" t="s">
        <v>16</v>
      </c>
      <c r="H1920">
        <v>0</v>
      </c>
      <c r="I1920" t="s">
        <v>267</v>
      </c>
    </row>
    <row r="1921" spans="1:9" x14ac:dyDescent="0.25">
      <c r="A1921">
        <v>70375</v>
      </c>
      <c r="B1921" t="s">
        <v>226</v>
      </c>
      <c r="C1921" t="s">
        <v>238</v>
      </c>
      <c r="D1921">
        <v>4</v>
      </c>
      <c r="E1921">
        <v>0</v>
      </c>
      <c r="F1921" t="s">
        <v>239</v>
      </c>
      <c r="G1921" t="s">
        <v>152</v>
      </c>
      <c r="H1921">
        <v>27728</v>
      </c>
      <c r="I1921" t="s">
        <v>258</v>
      </c>
    </row>
    <row r="1922" spans="1:9" x14ac:dyDescent="0.25">
      <c r="A1922">
        <v>70375</v>
      </c>
      <c r="B1922" t="s">
        <v>226</v>
      </c>
      <c r="C1922" t="s">
        <v>238</v>
      </c>
      <c r="D1922">
        <v>4</v>
      </c>
      <c r="E1922">
        <v>0</v>
      </c>
      <c r="F1922" t="s">
        <v>239</v>
      </c>
      <c r="G1922" t="s">
        <v>154</v>
      </c>
      <c r="H1922">
        <v>0</v>
      </c>
      <c r="I1922" t="s">
        <v>330</v>
      </c>
    </row>
    <row r="1923" spans="1:9" x14ac:dyDescent="0.25">
      <c r="A1923">
        <v>70375</v>
      </c>
      <c r="B1923" t="s">
        <v>226</v>
      </c>
      <c r="C1923" t="s">
        <v>238</v>
      </c>
      <c r="D1923">
        <v>4</v>
      </c>
      <c r="E1923">
        <v>0</v>
      </c>
      <c r="F1923" t="s">
        <v>239</v>
      </c>
      <c r="G1923" t="s">
        <v>16</v>
      </c>
      <c r="H1923">
        <v>0</v>
      </c>
      <c r="I1923" t="s">
        <v>259</v>
      </c>
    </row>
    <row r="1924" spans="1:9" x14ac:dyDescent="0.25">
      <c r="A1924">
        <v>70375</v>
      </c>
      <c r="B1924" t="s">
        <v>226</v>
      </c>
      <c r="C1924" t="s">
        <v>238</v>
      </c>
      <c r="D1924">
        <v>4</v>
      </c>
      <c r="E1924">
        <v>0</v>
      </c>
      <c r="F1924" t="s">
        <v>239</v>
      </c>
      <c r="G1924" t="s">
        <v>19</v>
      </c>
      <c r="H1924">
        <v>10028</v>
      </c>
      <c r="I1924" t="s">
        <v>260</v>
      </c>
    </row>
    <row r="1925" spans="1:9" x14ac:dyDescent="0.25">
      <c r="A1925">
        <v>70375</v>
      </c>
      <c r="B1925" t="s">
        <v>226</v>
      </c>
      <c r="C1925" t="s">
        <v>238</v>
      </c>
      <c r="D1925">
        <v>4</v>
      </c>
      <c r="E1925">
        <v>0</v>
      </c>
      <c r="F1925" t="s">
        <v>239</v>
      </c>
      <c r="G1925" t="s">
        <v>19</v>
      </c>
      <c r="H1925">
        <v>0</v>
      </c>
      <c r="I1925" t="s">
        <v>270</v>
      </c>
    </row>
    <row r="1926" spans="1:9" x14ac:dyDescent="0.25">
      <c r="A1926">
        <v>70375</v>
      </c>
      <c r="B1926" t="s">
        <v>226</v>
      </c>
      <c r="C1926" t="s">
        <v>238</v>
      </c>
      <c r="D1926">
        <v>4</v>
      </c>
      <c r="E1926">
        <v>0</v>
      </c>
      <c r="F1926" t="s">
        <v>241</v>
      </c>
      <c r="G1926" t="s">
        <v>139</v>
      </c>
      <c r="H1926">
        <v>0</v>
      </c>
      <c r="I1926" t="s">
        <v>331</v>
      </c>
    </row>
    <row r="1927" spans="1:9" x14ac:dyDescent="0.25">
      <c r="A1927">
        <v>70375</v>
      </c>
      <c r="B1927" t="s">
        <v>226</v>
      </c>
      <c r="C1927" t="s">
        <v>238</v>
      </c>
      <c r="D1927">
        <v>4</v>
      </c>
      <c r="E1927">
        <v>0</v>
      </c>
      <c r="F1927" t="s">
        <v>261</v>
      </c>
      <c r="G1927" t="s">
        <v>261</v>
      </c>
      <c r="H1927">
        <v>-2363599</v>
      </c>
      <c r="I1927" t="s">
        <v>262</v>
      </c>
    </row>
    <row r="1928" spans="1:9" x14ac:dyDescent="0.25">
      <c r="A1928">
        <v>70375</v>
      </c>
      <c r="B1928" t="s">
        <v>226</v>
      </c>
      <c r="C1928" t="s">
        <v>238</v>
      </c>
      <c r="D1928">
        <v>4</v>
      </c>
      <c r="E1928">
        <v>0</v>
      </c>
      <c r="F1928" t="s">
        <v>239</v>
      </c>
      <c r="G1928" t="s">
        <v>19</v>
      </c>
      <c r="H1928">
        <v>88925</v>
      </c>
      <c r="I1928" t="s">
        <v>263</v>
      </c>
    </row>
    <row r="1929" spans="1:9" x14ac:dyDescent="0.25">
      <c r="A1929">
        <v>70375</v>
      </c>
      <c r="B1929" t="s">
        <v>226</v>
      </c>
      <c r="C1929" t="s">
        <v>238</v>
      </c>
      <c r="D1929">
        <v>4</v>
      </c>
      <c r="E1929">
        <v>0</v>
      </c>
      <c r="F1929" t="s">
        <v>239</v>
      </c>
      <c r="G1929" t="s">
        <v>16</v>
      </c>
      <c r="H1929">
        <v>819</v>
      </c>
      <c r="I1929" t="s">
        <v>240</v>
      </c>
    </row>
    <row r="1930" spans="1:9" x14ac:dyDescent="0.25">
      <c r="A1930">
        <v>70375</v>
      </c>
      <c r="B1930" t="s">
        <v>226</v>
      </c>
      <c r="C1930" t="s">
        <v>238</v>
      </c>
      <c r="D1930">
        <v>4</v>
      </c>
      <c r="E1930">
        <v>0</v>
      </c>
      <c r="F1930" t="s">
        <v>239</v>
      </c>
      <c r="G1930" t="s">
        <v>19</v>
      </c>
      <c r="H1930">
        <v>60873</v>
      </c>
      <c r="I1930" t="s">
        <v>264</v>
      </c>
    </row>
    <row r="1931" spans="1:9" x14ac:dyDescent="0.25">
      <c r="A1931">
        <v>70375</v>
      </c>
      <c r="B1931" t="s">
        <v>226</v>
      </c>
      <c r="C1931" t="s">
        <v>238</v>
      </c>
      <c r="D1931">
        <v>4</v>
      </c>
      <c r="E1931">
        <v>0</v>
      </c>
      <c r="F1931" t="s">
        <v>241</v>
      </c>
      <c r="G1931" t="s">
        <v>158</v>
      </c>
      <c r="H1931">
        <v>56721</v>
      </c>
      <c r="I1931" t="s">
        <v>265</v>
      </c>
    </row>
    <row r="1932" spans="1:9" x14ac:dyDescent="0.25">
      <c r="A1932">
        <v>70375</v>
      </c>
      <c r="B1932" t="s">
        <v>226</v>
      </c>
      <c r="C1932" t="s">
        <v>238</v>
      </c>
      <c r="D1932">
        <v>4</v>
      </c>
      <c r="E1932">
        <v>0</v>
      </c>
      <c r="F1932" t="s">
        <v>239</v>
      </c>
      <c r="G1932" t="s">
        <v>19</v>
      </c>
      <c r="H1932">
        <v>0</v>
      </c>
      <c r="I1932" t="s">
        <v>271</v>
      </c>
    </row>
    <row r="1933" spans="1:9" x14ac:dyDescent="0.25">
      <c r="A1933">
        <v>70375</v>
      </c>
      <c r="B1933" t="s">
        <v>226</v>
      </c>
      <c r="C1933" t="s">
        <v>238</v>
      </c>
      <c r="D1933">
        <v>4</v>
      </c>
      <c r="E1933">
        <v>0</v>
      </c>
      <c r="F1933" t="s">
        <v>239</v>
      </c>
      <c r="G1933" t="s">
        <v>19</v>
      </c>
      <c r="H1933">
        <v>0</v>
      </c>
      <c r="I1933" t="s">
        <v>266</v>
      </c>
    </row>
    <row r="1934" spans="1:9" x14ac:dyDescent="0.25">
      <c r="A1934">
        <v>70375</v>
      </c>
      <c r="B1934" t="s">
        <v>226</v>
      </c>
      <c r="C1934" t="s">
        <v>238</v>
      </c>
      <c r="D1934">
        <v>4</v>
      </c>
      <c r="E1934">
        <v>0</v>
      </c>
      <c r="F1934" t="s">
        <v>241</v>
      </c>
      <c r="G1934" t="s">
        <v>143</v>
      </c>
      <c r="H1934">
        <v>0</v>
      </c>
      <c r="I1934" t="s">
        <v>332</v>
      </c>
    </row>
    <row r="1935" spans="1:9" x14ac:dyDescent="0.25">
      <c r="A1935">
        <v>70375</v>
      </c>
      <c r="B1935" t="s">
        <v>226</v>
      </c>
      <c r="C1935" t="s">
        <v>238</v>
      </c>
      <c r="D1935">
        <v>4</v>
      </c>
      <c r="E1935">
        <v>0</v>
      </c>
      <c r="F1935" t="s">
        <v>241</v>
      </c>
      <c r="G1935" t="s">
        <v>138</v>
      </c>
      <c r="H1935">
        <v>0</v>
      </c>
      <c r="I1935" t="s">
        <v>333</v>
      </c>
    </row>
    <row r="1936" spans="1:9" x14ac:dyDescent="0.25">
      <c r="A1936">
        <v>70375</v>
      </c>
      <c r="B1936" t="s">
        <v>226</v>
      </c>
      <c r="C1936" t="s">
        <v>238</v>
      </c>
      <c r="D1936">
        <v>4</v>
      </c>
      <c r="E1936">
        <v>0</v>
      </c>
      <c r="F1936" t="s">
        <v>241</v>
      </c>
      <c r="G1936" t="s">
        <v>138</v>
      </c>
      <c r="H1936">
        <v>0</v>
      </c>
      <c r="I1936" t="s">
        <v>334</v>
      </c>
    </row>
    <row r="1937" spans="1:9" x14ac:dyDescent="0.25">
      <c r="A1937">
        <v>70375</v>
      </c>
      <c r="B1937" t="s">
        <v>226</v>
      </c>
      <c r="C1937" t="s">
        <v>238</v>
      </c>
      <c r="D1937">
        <v>4</v>
      </c>
      <c r="E1937">
        <v>0</v>
      </c>
      <c r="F1937" t="s">
        <v>241</v>
      </c>
      <c r="G1937" t="s">
        <v>138</v>
      </c>
      <c r="H1937">
        <v>-32906</v>
      </c>
      <c r="I1937" t="s">
        <v>268</v>
      </c>
    </row>
    <row r="1938" spans="1:9" x14ac:dyDescent="0.25">
      <c r="A1938">
        <v>70375</v>
      </c>
      <c r="B1938" t="s">
        <v>226</v>
      </c>
      <c r="C1938" t="s">
        <v>238</v>
      </c>
      <c r="D1938">
        <v>4</v>
      </c>
      <c r="E1938">
        <v>0</v>
      </c>
      <c r="F1938" t="s">
        <v>241</v>
      </c>
      <c r="G1938" t="s">
        <v>139</v>
      </c>
      <c r="H1938">
        <v>0</v>
      </c>
      <c r="I1938" t="s">
        <v>336</v>
      </c>
    </row>
    <row r="1939" spans="1:9" x14ac:dyDescent="0.25">
      <c r="A1939">
        <v>70375</v>
      </c>
      <c r="B1939" t="s">
        <v>226</v>
      </c>
      <c r="C1939" t="s">
        <v>238</v>
      </c>
      <c r="D1939">
        <v>4</v>
      </c>
      <c r="E1939">
        <v>0</v>
      </c>
      <c r="F1939" t="s">
        <v>241</v>
      </c>
      <c r="G1939" t="s">
        <v>139</v>
      </c>
      <c r="H1939">
        <v>0</v>
      </c>
      <c r="I1939" t="s">
        <v>337</v>
      </c>
    </row>
    <row r="1940" spans="1:9" x14ac:dyDescent="0.25">
      <c r="A1940">
        <v>70375</v>
      </c>
      <c r="B1940" t="s">
        <v>226</v>
      </c>
      <c r="C1940" t="s">
        <v>238</v>
      </c>
      <c r="D1940">
        <v>4</v>
      </c>
      <c r="E1940">
        <v>0</v>
      </c>
      <c r="F1940" t="s">
        <v>241</v>
      </c>
      <c r="G1940" t="s">
        <v>139</v>
      </c>
      <c r="H1940">
        <v>0</v>
      </c>
      <c r="I1940" t="s">
        <v>335</v>
      </c>
    </row>
    <row r="1941" spans="1:9" x14ac:dyDescent="0.25">
      <c r="A1941">
        <v>70375</v>
      </c>
      <c r="B1941" t="s">
        <v>226</v>
      </c>
      <c r="C1941" t="s">
        <v>238</v>
      </c>
      <c r="D1941">
        <v>4</v>
      </c>
      <c r="E1941">
        <v>0</v>
      </c>
      <c r="F1941" t="s">
        <v>241</v>
      </c>
      <c r="G1941" t="s">
        <v>24</v>
      </c>
      <c r="H1941">
        <v>0</v>
      </c>
      <c r="I1941" t="s">
        <v>338</v>
      </c>
    </row>
    <row r="1942" spans="1:9" x14ac:dyDescent="0.25">
      <c r="A1942">
        <v>70375</v>
      </c>
      <c r="B1942" t="s">
        <v>226</v>
      </c>
      <c r="C1942" t="s">
        <v>238</v>
      </c>
      <c r="D1942">
        <v>4</v>
      </c>
      <c r="E1942">
        <v>0</v>
      </c>
      <c r="F1942" t="s">
        <v>241</v>
      </c>
      <c r="G1942" t="s">
        <v>24</v>
      </c>
      <c r="H1942">
        <v>0</v>
      </c>
      <c r="I1942" t="s">
        <v>339</v>
      </c>
    </row>
    <row r="1943" spans="1:9" x14ac:dyDescent="0.25">
      <c r="A1943">
        <v>70375</v>
      </c>
      <c r="B1943" t="s">
        <v>226</v>
      </c>
      <c r="C1943" t="s">
        <v>238</v>
      </c>
      <c r="D1943">
        <v>4</v>
      </c>
      <c r="E1943">
        <v>0</v>
      </c>
      <c r="F1943" t="s">
        <v>241</v>
      </c>
      <c r="G1943" t="s">
        <v>24</v>
      </c>
      <c r="H1943">
        <v>0</v>
      </c>
      <c r="I1943" t="s">
        <v>340</v>
      </c>
    </row>
    <row r="1944" spans="1:9" x14ac:dyDescent="0.25">
      <c r="A1944">
        <v>70375</v>
      </c>
      <c r="B1944" t="s">
        <v>226</v>
      </c>
      <c r="C1944" t="s">
        <v>238</v>
      </c>
      <c r="D1944">
        <v>4</v>
      </c>
      <c r="E1944">
        <v>0</v>
      </c>
      <c r="F1944" t="s">
        <v>241</v>
      </c>
      <c r="G1944" t="s">
        <v>137</v>
      </c>
      <c r="H1944">
        <v>0</v>
      </c>
      <c r="I1944" t="s">
        <v>273</v>
      </c>
    </row>
    <row r="1945" spans="1:9" x14ac:dyDescent="0.25">
      <c r="A1945">
        <v>70375</v>
      </c>
      <c r="B1945" t="s">
        <v>226</v>
      </c>
      <c r="C1945" t="s">
        <v>238</v>
      </c>
      <c r="D1945">
        <v>4</v>
      </c>
      <c r="E1945">
        <v>0</v>
      </c>
      <c r="F1945" t="s">
        <v>241</v>
      </c>
      <c r="G1945" t="s">
        <v>137</v>
      </c>
      <c r="H1945">
        <v>0</v>
      </c>
      <c r="I1945" t="s">
        <v>341</v>
      </c>
    </row>
    <row r="1946" spans="1:9" x14ac:dyDescent="0.25">
      <c r="A1946">
        <v>70375</v>
      </c>
      <c r="B1946" t="s">
        <v>226</v>
      </c>
      <c r="C1946" t="s">
        <v>238</v>
      </c>
      <c r="D1946">
        <v>4</v>
      </c>
      <c r="E1946">
        <v>0</v>
      </c>
      <c r="F1946" t="s">
        <v>241</v>
      </c>
      <c r="G1946" t="s">
        <v>137</v>
      </c>
      <c r="H1946">
        <v>0</v>
      </c>
      <c r="I1946" t="s">
        <v>342</v>
      </c>
    </row>
    <row r="1947" spans="1:9" x14ac:dyDescent="0.25">
      <c r="A1947">
        <v>70375</v>
      </c>
      <c r="B1947" t="s">
        <v>226</v>
      </c>
      <c r="C1947" t="s">
        <v>238</v>
      </c>
      <c r="D1947">
        <v>4</v>
      </c>
      <c r="E1947">
        <v>0</v>
      </c>
      <c r="F1947" t="s">
        <v>241</v>
      </c>
      <c r="G1947" t="s">
        <v>137</v>
      </c>
      <c r="H1947">
        <v>0</v>
      </c>
      <c r="I1947" t="s">
        <v>343</v>
      </c>
    </row>
    <row r="1948" spans="1:9" x14ac:dyDescent="0.25">
      <c r="A1948">
        <v>70375</v>
      </c>
      <c r="B1948" t="s">
        <v>226</v>
      </c>
      <c r="C1948" t="s">
        <v>238</v>
      </c>
      <c r="D1948">
        <v>4</v>
      </c>
      <c r="E1948">
        <v>0</v>
      </c>
      <c r="F1948" t="s">
        <v>241</v>
      </c>
      <c r="G1948" t="s">
        <v>143</v>
      </c>
      <c r="H1948">
        <v>0</v>
      </c>
      <c r="I1948" t="s">
        <v>344</v>
      </c>
    </row>
    <row r="1949" spans="1:9" x14ac:dyDescent="0.25">
      <c r="A1949">
        <v>70375</v>
      </c>
      <c r="B1949" t="s">
        <v>226</v>
      </c>
      <c r="C1949" t="s">
        <v>238</v>
      </c>
      <c r="D1949">
        <v>4</v>
      </c>
      <c r="E1949">
        <v>0</v>
      </c>
      <c r="F1949" t="s">
        <v>241</v>
      </c>
      <c r="G1949" t="s">
        <v>143</v>
      </c>
      <c r="H1949">
        <v>0</v>
      </c>
      <c r="I1949" t="s">
        <v>345</v>
      </c>
    </row>
    <row r="1950" spans="1:9" x14ac:dyDescent="0.25">
      <c r="A1950">
        <v>70375</v>
      </c>
      <c r="B1950" t="s">
        <v>226</v>
      </c>
      <c r="C1950" t="s">
        <v>238</v>
      </c>
      <c r="D1950">
        <v>4</v>
      </c>
      <c r="E1950">
        <v>0</v>
      </c>
      <c r="F1950" t="s">
        <v>241</v>
      </c>
      <c r="G1950" t="s">
        <v>143</v>
      </c>
      <c r="H1950">
        <v>0</v>
      </c>
      <c r="I1950" t="s">
        <v>346</v>
      </c>
    </row>
    <row r="1951" spans="1:9" x14ac:dyDescent="0.25">
      <c r="A1951">
        <v>70375</v>
      </c>
      <c r="B1951" t="s">
        <v>226</v>
      </c>
      <c r="C1951" t="s">
        <v>238</v>
      </c>
      <c r="D1951">
        <v>4</v>
      </c>
      <c r="E1951">
        <v>0</v>
      </c>
      <c r="F1951" t="s">
        <v>241</v>
      </c>
      <c r="G1951" t="s">
        <v>138</v>
      </c>
      <c r="H1951">
        <v>0</v>
      </c>
      <c r="I1951" t="s">
        <v>347</v>
      </c>
    </row>
    <row r="1952" spans="1:9" x14ac:dyDescent="0.25">
      <c r="A1952">
        <v>70376</v>
      </c>
      <c r="B1952" t="s">
        <v>228</v>
      </c>
      <c r="C1952" t="s">
        <v>238</v>
      </c>
      <c r="D1952">
        <v>4</v>
      </c>
      <c r="E1952">
        <v>0</v>
      </c>
      <c r="F1952" t="s">
        <v>239</v>
      </c>
      <c r="G1952" t="s">
        <v>153</v>
      </c>
      <c r="H1952">
        <v>0</v>
      </c>
      <c r="I1952" t="s">
        <v>351</v>
      </c>
    </row>
    <row r="1953" spans="1:9" x14ac:dyDescent="0.25">
      <c r="A1953">
        <v>70376</v>
      </c>
      <c r="B1953" t="s">
        <v>228</v>
      </c>
      <c r="C1953" t="s">
        <v>238</v>
      </c>
      <c r="D1953">
        <v>4</v>
      </c>
      <c r="E1953">
        <v>0</v>
      </c>
      <c r="F1953" t="s">
        <v>239</v>
      </c>
      <c r="G1953" t="s">
        <v>152</v>
      </c>
      <c r="H1953">
        <v>0</v>
      </c>
      <c r="I1953" t="s">
        <v>352</v>
      </c>
    </row>
    <row r="1954" spans="1:9" x14ac:dyDescent="0.25">
      <c r="A1954">
        <v>70376</v>
      </c>
      <c r="B1954" t="s">
        <v>228</v>
      </c>
      <c r="C1954" t="s">
        <v>238</v>
      </c>
      <c r="D1954">
        <v>4</v>
      </c>
      <c r="E1954">
        <v>0</v>
      </c>
      <c r="F1954" t="s">
        <v>239</v>
      </c>
      <c r="G1954" t="s">
        <v>154</v>
      </c>
      <c r="H1954">
        <v>0</v>
      </c>
      <c r="I1954" t="s">
        <v>349</v>
      </c>
    </row>
    <row r="1955" spans="1:9" x14ac:dyDescent="0.25">
      <c r="A1955">
        <v>70376</v>
      </c>
      <c r="B1955" t="s">
        <v>228</v>
      </c>
      <c r="C1955" t="s">
        <v>238</v>
      </c>
      <c r="D1955">
        <v>4</v>
      </c>
      <c r="E1955">
        <v>0</v>
      </c>
      <c r="F1955" t="s">
        <v>241</v>
      </c>
      <c r="G1955" t="s">
        <v>26</v>
      </c>
      <c r="H1955">
        <v>0</v>
      </c>
      <c r="I1955" t="s">
        <v>350</v>
      </c>
    </row>
    <row r="1956" spans="1:9" x14ac:dyDescent="0.25">
      <c r="A1956">
        <v>70376</v>
      </c>
      <c r="B1956" t="s">
        <v>228</v>
      </c>
      <c r="C1956" t="s">
        <v>238</v>
      </c>
      <c r="D1956">
        <v>4</v>
      </c>
      <c r="E1956">
        <v>0</v>
      </c>
      <c r="F1956" t="s">
        <v>241</v>
      </c>
      <c r="G1956" t="s">
        <v>23</v>
      </c>
      <c r="H1956">
        <v>0</v>
      </c>
      <c r="I1956" t="s">
        <v>269</v>
      </c>
    </row>
    <row r="1957" spans="1:9" x14ac:dyDescent="0.25">
      <c r="A1957">
        <v>70376</v>
      </c>
      <c r="B1957" t="s">
        <v>228</v>
      </c>
      <c r="C1957" t="s">
        <v>238</v>
      </c>
      <c r="D1957">
        <v>4</v>
      </c>
      <c r="E1957">
        <v>0</v>
      </c>
      <c r="F1957" t="s">
        <v>241</v>
      </c>
      <c r="G1957" t="s">
        <v>26</v>
      </c>
      <c r="H1957">
        <v>0</v>
      </c>
      <c r="I1957" t="s">
        <v>353</v>
      </c>
    </row>
    <row r="1958" spans="1:9" x14ac:dyDescent="0.25">
      <c r="A1958">
        <v>70376</v>
      </c>
      <c r="B1958" t="s">
        <v>228</v>
      </c>
      <c r="C1958" t="s">
        <v>238</v>
      </c>
      <c r="D1958">
        <v>4</v>
      </c>
      <c r="E1958">
        <v>0</v>
      </c>
      <c r="F1958" t="s">
        <v>241</v>
      </c>
      <c r="G1958" t="s">
        <v>157</v>
      </c>
      <c r="H1958">
        <v>0</v>
      </c>
      <c r="I1958" t="s">
        <v>348</v>
      </c>
    </row>
    <row r="1959" spans="1:9" x14ac:dyDescent="0.25">
      <c r="A1959">
        <v>70376</v>
      </c>
      <c r="B1959" t="s">
        <v>228</v>
      </c>
      <c r="C1959" t="s">
        <v>238</v>
      </c>
      <c r="D1959">
        <v>4</v>
      </c>
      <c r="E1959">
        <v>0</v>
      </c>
      <c r="F1959" t="s">
        <v>261</v>
      </c>
      <c r="G1959" t="s">
        <v>261</v>
      </c>
      <c r="H1959">
        <v>0</v>
      </c>
      <c r="I1959" t="s">
        <v>272</v>
      </c>
    </row>
    <row r="1960" spans="1:9" x14ac:dyDescent="0.25">
      <c r="A1960">
        <v>70376</v>
      </c>
      <c r="B1960" t="s">
        <v>228</v>
      </c>
      <c r="C1960" t="s">
        <v>238</v>
      </c>
      <c r="D1960">
        <v>4</v>
      </c>
      <c r="E1960">
        <v>0</v>
      </c>
      <c r="F1960" t="s">
        <v>261</v>
      </c>
      <c r="G1960" t="s">
        <v>261</v>
      </c>
      <c r="H1960">
        <v>0</v>
      </c>
      <c r="I1960" t="s">
        <v>354</v>
      </c>
    </row>
    <row r="1961" spans="1:9" x14ac:dyDescent="0.25">
      <c r="A1961">
        <v>70376</v>
      </c>
      <c r="B1961" t="s">
        <v>228</v>
      </c>
      <c r="C1961" t="s">
        <v>238</v>
      </c>
      <c r="D1961">
        <v>4</v>
      </c>
      <c r="E1961">
        <v>0</v>
      </c>
      <c r="F1961" t="s">
        <v>247</v>
      </c>
      <c r="G1961" t="s">
        <v>12</v>
      </c>
      <c r="H1961">
        <v>-3668132</v>
      </c>
      <c r="I1961" t="s">
        <v>248</v>
      </c>
    </row>
    <row r="1962" spans="1:9" x14ac:dyDescent="0.25">
      <c r="A1962">
        <v>70376</v>
      </c>
      <c r="B1962" t="s">
        <v>228</v>
      </c>
      <c r="C1962" t="s">
        <v>238</v>
      </c>
      <c r="D1962">
        <v>4</v>
      </c>
      <c r="E1962">
        <v>0</v>
      </c>
      <c r="F1962" t="s">
        <v>247</v>
      </c>
      <c r="G1962" t="s">
        <v>13</v>
      </c>
      <c r="H1962">
        <v>7748341</v>
      </c>
      <c r="I1962" t="s">
        <v>249</v>
      </c>
    </row>
    <row r="1963" spans="1:9" x14ac:dyDescent="0.25">
      <c r="A1963">
        <v>70376</v>
      </c>
      <c r="B1963" t="s">
        <v>228</v>
      </c>
      <c r="C1963" t="s">
        <v>238</v>
      </c>
      <c r="D1963">
        <v>4</v>
      </c>
      <c r="E1963">
        <v>0</v>
      </c>
      <c r="F1963" t="s">
        <v>241</v>
      </c>
      <c r="G1963" t="s">
        <v>25</v>
      </c>
      <c r="H1963">
        <v>8299</v>
      </c>
      <c r="I1963" t="s">
        <v>250</v>
      </c>
    </row>
    <row r="1964" spans="1:9" x14ac:dyDescent="0.25">
      <c r="A1964">
        <v>70376</v>
      </c>
      <c r="B1964" t="s">
        <v>228</v>
      </c>
      <c r="C1964" t="s">
        <v>238</v>
      </c>
      <c r="D1964">
        <v>4</v>
      </c>
      <c r="E1964">
        <v>0</v>
      </c>
      <c r="F1964" t="s">
        <v>241</v>
      </c>
      <c r="G1964" t="s">
        <v>26</v>
      </c>
      <c r="H1964">
        <v>0</v>
      </c>
      <c r="I1964" t="s">
        <v>251</v>
      </c>
    </row>
    <row r="1965" spans="1:9" x14ac:dyDescent="0.25">
      <c r="A1965">
        <v>70376</v>
      </c>
      <c r="B1965" t="s">
        <v>228</v>
      </c>
      <c r="C1965" t="s">
        <v>238</v>
      </c>
      <c r="D1965">
        <v>4</v>
      </c>
      <c r="E1965">
        <v>0</v>
      </c>
      <c r="F1965" t="s">
        <v>239</v>
      </c>
      <c r="G1965" t="s">
        <v>18</v>
      </c>
      <c r="H1965">
        <v>366043</v>
      </c>
      <c r="I1965" t="s">
        <v>252</v>
      </c>
    </row>
    <row r="1966" spans="1:9" x14ac:dyDescent="0.25">
      <c r="A1966">
        <v>70376</v>
      </c>
      <c r="B1966" t="s">
        <v>228</v>
      </c>
      <c r="C1966" t="s">
        <v>238</v>
      </c>
      <c r="D1966">
        <v>4</v>
      </c>
      <c r="E1966">
        <v>0</v>
      </c>
      <c r="F1966" t="s">
        <v>241</v>
      </c>
      <c r="G1966" t="s">
        <v>26</v>
      </c>
      <c r="H1966">
        <v>71228</v>
      </c>
      <c r="I1966" t="s">
        <v>253</v>
      </c>
    </row>
    <row r="1967" spans="1:9" x14ac:dyDescent="0.25">
      <c r="A1967">
        <v>70376</v>
      </c>
      <c r="B1967" t="s">
        <v>228</v>
      </c>
      <c r="C1967" t="s">
        <v>238</v>
      </c>
      <c r="D1967">
        <v>4</v>
      </c>
      <c r="E1967">
        <v>0</v>
      </c>
      <c r="F1967" t="s">
        <v>247</v>
      </c>
      <c r="G1967" t="s">
        <v>15</v>
      </c>
      <c r="H1967">
        <v>288912</v>
      </c>
      <c r="I1967" t="s">
        <v>254</v>
      </c>
    </row>
    <row r="1968" spans="1:9" x14ac:dyDescent="0.25">
      <c r="A1968">
        <v>70376</v>
      </c>
      <c r="B1968" t="s">
        <v>228</v>
      </c>
      <c r="C1968" t="s">
        <v>238</v>
      </c>
      <c r="D1968">
        <v>4</v>
      </c>
      <c r="E1968">
        <v>0</v>
      </c>
      <c r="F1968" t="s">
        <v>247</v>
      </c>
      <c r="G1968" t="s">
        <v>14</v>
      </c>
      <c r="H1968">
        <v>0</v>
      </c>
      <c r="I1968" t="s">
        <v>355</v>
      </c>
    </row>
    <row r="1969" spans="1:9" x14ac:dyDescent="0.25">
      <c r="A1969">
        <v>70376</v>
      </c>
      <c r="B1969" t="s">
        <v>228</v>
      </c>
      <c r="C1969" t="s">
        <v>238</v>
      </c>
      <c r="D1969">
        <v>4</v>
      </c>
      <c r="E1969">
        <v>0</v>
      </c>
      <c r="F1969" t="s">
        <v>241</v>
      </c>
      <c r="G1969" t="s">
        <v>23</v>
      </c>
      <c r="H1969">
        <v>60667</v>
      </c>
      <c r="I1969" t="s">
        <v>242</v>
      </c>
    </row>
    <row r="1970" spans="1:9" x14ac:dyDescent="0.25">
      <c r="A1970">
        <v>70376</v>
      </c>
      <c r="B1970" t="s">
        <v>228</v>
      </c>
      <c r="C1970" t="s">
        <v>238</v>
      </c>
      <c r="D1970">
        <v>4</v>
      </c>
      <c r="E1970">
        <v>0</v>
      </c>
      <c r="F1970" t="s">
        <v>241</v>
      </c>
      <c r="G1970" t="s">
        <v>24</v>
      </c>
      <c r="H1970">
        <v>56317</v>
      </c>
      <c r="I1970" t="s">
        <v>243</v>
      </c>
    </row>
    <row r="1971" spans="1:9" x14ac:dyDescent="0.25">
      <c r="A1971">
        <v>70376</v>
      </c>
      <c r="B1971" t="s">
        <v>228</v>
      </c>
      <c r="C1971" t="s">
        <v>238</v>
      </c>
      <c r="D1971">
        <v>4</v>
      </c>
      <c r="E1971">
        <v>0</v>
      </c>
      <c r="F1971" t="s">
        <v>241</v>
      </c>
      <c r="G1971" t="s">
        <v>21</v>
      </c>
      <c r="H1971">
        <v>0</v>
      </c>
      <c r="I1971" t="s">
        <v>356</v>
      </c>
    </row>
    <row r="1972" spans="1:9" x14ac:dyDescent="0.25">
      <c r="A1972">
        <v>70376</v>
      </c>
      <c r="B1972" t="s">
        <v>228</v>
      </c>
      <c r="C1972" t="s">
        <v>238</v>
      </c>
      <c r="D1972">
        <v>4</v>
      </c>
      <c r="E1972">
        <v>0</v>
      </c>
      <c r="F1972" t="s">
        <v>239</v>
      </c>
      <c r="G1972" t="s">
        <v>20</v>
      </c>
      <c r="H1972">
        <v>0</v>
      </c>
      <c r="I1972" t="s">
        <v>244</v>
      </c>
    </row>
    <row r="1973" spans="1:9" x14ac:dyDescent="0.25">
      <c r="A1973">
        <v>70376</v>
      </c>
      <c r="B1973" t="s">
        <v>228</v>
      </c>
      <c r="C1973" t="s">
        <v>238</v>
      </c>
      <c r="D1973">
        <v>4</v>
      </c>
      <c r="E1973">
        <v>0</v>
      </c>
      <c r="F1973" t="s">
        <v>241</v>
      </c>
      <c r="G1973" t="s">
        <v>22</v>
      </c>
      <c r="H1973">
        <v>2231</v>
      </c>
      <c r="I1973" t="s">
        <v>245</v>
      </c>
    </row>
    <row r="1974" spans="1:9" x14ac:dyDescent="0.25">
      <c r="A1974">
        <v>70376</v>
      </c>
      <c r="B1974" t="s">
        <v>228</v>
      </c>
      <c r="C1974" t="s">
        <v>238</v>
      </c>
      <c r="D1974">
        <v>4</v>
      </c>
      <c r="E1974">
        <v>0</v>
      </c>
      <c r="F1974" t="s">
        <v>241</v>
      </c>
      <c r="G1974" t="s">
        <v>26</v>
      </c>
      <c r="H1974">
        <v>1605</v>
      </c>
      <c r="I1974" t="s">
        <v>246</v>
      </c>
    </row>
    <row r="1975" spans="1:9" x14ac:dyDescent="0.25">
      <c r="A1975">
        <v>70376</v>
      </c>
      <c r="B1975" t="s">
        <v>228</v>
      </c>
      <c r="C1975" t="s">
        <v>238</v>
      </c>
      <c r="D1975">
        <v>4</v>
      </c>
      <c r="E1975">
        <v>0</v>
      </c>
      <c r="F1975" t="s">
        <v>239</v>
      </c>
      <c r="G1975" t="s">
        <v>17</v>
      </c>
      <c r="H1975">
        <v>0</v>
      </c>
      <c r="I1975" t="s">
        <v>357</v>
      </c>
    </row>
    <row r="1976" spans="1:9" x14ac:dyDescent="0.25">
      <c r="A1976">
        <v>70376</v>
      </c>
      <c r="B1976" t="s">
        <v>228</v>
      </c>
      <c r="C1976" t="s">
        <v>238</v>
      </c>
      <c r="D1976">
        <v>4</v>
      </c>
      <c r="E1976">
        <v>0</v>
      </c>
      <c r="F1976" t="s">
        <v>241</v>
      </c>
      <c r="G1976" t="s">
        <v>24</v>
      </c>
      <c r="H1976">
        <v>0</v>
      </c>
      <c r="I1976" t="s">
        <v>358</v>
      </c>
    </row>
    <row r="1977" spans="1:9" x14ac:dyDescent="0.25">
      <c r="A1977">
        <v>70376</v>
      </c>
      <c r="B1977" t="s">
        <v>228</v>
      </c>
      <c r="C1977" t="s">
        <v>238</v>
      </c>
      <c r="D1977">
        <v>4</v>
      </c>
      <c r="E1977">
        <v>0</v>
      </c>
      <c r="F1977" t="s">
        <v>241</v>
      </c>
      <c r="G1977" t="s">
        <v>27</v>
      </c>
      <c r="H1977">
        <v>0</v>
      </c>
      <c r="I1977" t="s">
        <v>359</v>
      </c>
    </row>
    <row r="1978" spans="1:9" x14ac:dyDescent="0.25">
      <c r="A1978">
        <v>70376</v>
      </c>
      <c r="B1978" t="s">
        <v>228</v>
      </c>
      <c r="C1978" t="s">
        <v>238</v>
      </c>
      <c r="D1978">
        <v>4</v>
      </c>
      <c r="E1978">
        <v>0</v>
      </c>
      <c r="F1978" t="s">
        <v>239</v>
      </c>
      <c r="G1978" t="s">
        <v>19</v>
      </c>
      <c r="H1978">
        <v>0</v>
      </c>
      <c r="I1978" t="s">
        <v>360</v>
      </c>
    </row>
    <row r="1979" spans="1:9" x14ac:dyDescent="0.25">
      <c r="A1979">
        <v>70376</v>
      </c>
      <c r="B1979" t="s">
        <v>228</v>
      </c>
      <c r="C1979" t="s">
        <v>238</v>
      </c>
      <c r="D1979">
        <v>4</v>
      </c>
      <c r="E1979">
        <v>0</v>
      </c>
      <c r="F1979" t="s">
        <v>239</v>
      </c>
      <c r="G1979" t="s">
        <v>20</v>
      </c>
      <c r="H1979">
        <v>128820</v>
      </c>
      <c r="I1979" t="s">
        <v>255</v>
      </c>
    </row>
    <row r="1980" spans="1:9" x14ac:dyDescent="0.25">
      <c r="A1980">
        <v>70376</v>
      </c>
      <c r="B1980" t="s">
        <v>228</v>
      </c>
      <c r="C1980" t="s">
        <v>238</v>
      </c>
      <c r="D1980">
        <v>4</v>
      </c>
      <c r="E1980">
        <v>0</v>
      </c>
      <c r="F1980" t="s">
        <v>247</v>
      </c>
      <c r="G1980" t="s">
        <v>148</v>
      </c>
      <c r="H1980">
        <v>654265</v>
      </c>
      <c r="I1980" t="s">
        <v>256</v>
      </c>
    </row>
    <row r="1981" spans="1:9" x14ac:dyDescent="0.25">
      <c r="A1981">
        <v>70376</v>
      </c>
      <c r="B1981" t="s">
        <v>228</v>
      </c>
      <c r="C1981" t="s">
        <v>238</v>
      </c>
      <c r="D1981">
        <v>4</v>
      </c>
      <c r="E1981">
        <v>0</v>
      </c>
      <c r="F1981" t="s">
        <v>241</v>
      </c>
      <c r="G1981" t="s">
        <v>27</v>
      </c>
      <c r="H1981">
        <v>3295608</v>
      </c>
      <c r="I1981" t="s">
        <v>257</v>
      </c>
    </row>
    <row r="1982" spans="1:9" x14ac:dyDescent="0.25">
      <c r="A1982">
        <v>70376</v>
      </c>
      <c r="B1982" t="s">
        <v>228</v>
      </c>
      <c r="C1982" t="s">
        <v>238</v>
      </c>
      <c r="D1982">
        <v>4</v>
      </c>
      <c r="E1982">
        <v>0</v>
      </c>
      <c r="F1982" t="s">
        <v>241</v>
      </c>
      <c r="G1982" t="s">
        <v>27</v>
      </c>
      <c r="H1982">
        <v>0</v>
      </c>
      <c r="I1982" t="s">
        <v>361</v>
      </c>
    </row>
    <row r="1983" spans="1:9" x14ac:dyDescent="0.25">
      <c r="A1983">
        <v>70376</v>
      </c>
      <c r="B1983" t="s">
        <v>228</v>
      </c>
      <c r="C1983" t="s">
        <v>238</v>
      </c>
      <c r="D1983">
        <v>4</v>
      </c>
      <c r="E1983">
        <v>0</v>
      </c>
      <c r="F1983" t="s">
        <v>241</v>
      </c>
      <c r="G1983" t="s">
        <v>27</v>
      </c>
      <c r="H1983">
        <v>0</v>
      </c>
      <c r="I1983" t="s">
        <v>362</v>
      </c>
    </row>
    <row r="1984" spans="1:9" x14ac:dyDescent="0.25">
      <c r="A1984">
        <v>70376</v>
      </c>
      <c r="B1984" t="s">
        <v>228</v>
      </c>
      <c r="C1984" t="s">
        <v>238</v>
      </c>
      <c r="D1984">
        <v>4</v>
      </c>
      <c r="E1984">
        <v>0</v>
      </c>
      <c r="F1984" t="s">
        <v>241</v>
      </c>
      <c r="G1984" t="s">
        <v>27</v>
      </c>
      <c r="H1984">
        <v>0</v>
      </c>
      <c r="I1984" t="s">
        <v>363</v>
      </c>
    </row>
    <row r="1985" spans="1:9" x14ac:dyDescent="0.25">
      <c r="A1985">
        <v>70376</v>
      </c>
      <c r="B1985" t="s">
        <v>228</v>
      </c>
      <c r="C1985" t="s">
        <v>238</v>
      </c>
      <c r="D1985">
        <v>4</v>
      </c>
      <c r="E1985">
        <v>0</v>
      </c>
      <c r="F1985" t="s">
        <v>239</v>
      </c>
      <c r="G1985" t="s">
        <v>16</v>
      </c>
      <c r="H1985">
        <v>1</v>
      </c>
      <c r="I1985" t="s">
        <v>267</v>
      </c>
    </row>
    <row r="1986" spans="1:9" x14ac:dyDescent="0.25">
      <c r="A1986">
        <v>70376</v>
      </c>
      <c r="B1986" t="s">
        <v>228</v>
      </c>
      <c r="C1986" t="s">
        <v>238</v>
      </c>
      <c r="D1986">
        <v>4</v>
      </c>
      <c r="E1986">
        <v>0</v>
      </c>
      <c r="F1986" t="s">
        <v>239</v>
      </c>
      <c r="G1986" t="s">
        <v>152</v>
      </c>
      <c r="H1986">
        <v>29744</v>
      </c>
      <c r="I1986" t="s">
        <v>258</v>
      </c>
    </row>
    <row r="1987" spans="1:9" x14ac:dyDescent="0.25">
      <c r="A1987">
        <v>70376</v>
      </c>
      <c r="B1987" t="s">
        <v>228</v>
      </c>
      <c r="C1987" t="s">
        <v>238</v>
      </c>
      <c r="D1987">
        <v>4</v>
      </c>
      <c r="E1987">
        <v>0</v>
      </c>
      <c r="F1987" t="s">
        <v>239</v>
      </c>
      <c r="G1987" t="s">
        <v>154</v>
      </c>
      <c r="H1987">
        <v>0</v>
      </c>
      <c r="I1987" t="s">
        <v>330</v>
      </c>
    </row>
    <row r="1988" spans="1:9" x14ac:dyDescent="0.25">
      <c r="A1988">
        <v>70376</v>
      </c>
      <c r="B1988" t="s">
        <v>228</v>
      </c>
      <c r="C1988" t="s">
        <v>238</v>
      </c>
      <c r="D1988">
        <v>4</v>
      </c>
      <c r="E1988">
        <v>0</v>
      </c>
      <c r="F1988" t="s">
        <v>239</v>
      </c>
      <c r="G1988" t="s">
        <v>16</v>
      </c>
      <c r="H1988">
        <v>3566</v>
      </c>
      <c r="I1988" t="s">
        <v>259</v>
      </c>
    </row>
    <row r="1989" spans="1:9" x14ac:dyDescent="0.25">
      <c r="A1989">
        <v>70376</v>
      </c>
      <c r="B1989" t="s">
        <v>228</v>
      </c>
      <c r="C1989" t="s">
        <v>238</v>
      </c>
      <c r="D1989">
        <v>4</v>
      </c>
      <c r="E1989">
        <v>0</v>
      </c>
      <c r="F1989" t="s">
        <v>239</v>
      </c>
      <c r="G1989" t="s">
        <v>19</v>
      </c>
      <c r="H1989">
        <v>11150</v>
      </c>
      <c r="I1989" t="s">
        <v>260</v>
      </c>
    </row>
    <row r="1990" spans="1:9" x14ac:dyDescent="0.25">
      <c r="A1990">
        <v>70376</v>
      </c>
      <c r="B1990" t="s">
        <v>228</v>
      </c>
      <c r="C1990" t="s">
        <v>238</v>
      </c>
      <c r="D1990">
        <v>4</v>
      </c>
      <c r="E1990">
        <v>0</v>
      </c>
      <c r="F1990" t="s">
        <v>239</v>
      </c>
      <c r="G1990" t="s">
        <v>19</v>
      </c>
      <c r="H1990">
        <v>0</v>
      </c>
      <c r="I1990" t="s">
        <v>270</v>
      </c>
    </row>
    <row r="1991" spans="1:9" x14ac:dyDescent="0.25">
      <c r="A1991">
        <v>70376</v>
      </c>
      <c r="B1991" t="s">
        <v>228</v>
      </c>
      <c r="C1991" t="s">
        <v>238</v>
      </c>
      <c r="D1991">
        <v>4</v>
      </c>
      <c r="E1991">
        <v>0</v>
      </c>
      <c r="F1991" t="s">
        <v>241</v>
      </c>
      <c r="G1991" t="s">
        <v>139</v>
      </c>
      <c r="H1991">
        <v>0</v>
      </c>
      <c r="I1991" t="s">
        <v>331</v>
      </c>
    </row>
    <row r="1992" spans="1:9" x14ac:dyDescent="0.25">
      <c r="A1992">
        <v>70376</v>
      </c>
      <c r="B1992" t="s">
        <v>228</v>
      </c>
      <c r="C1992" t="s">
        <v>238</v>
      </c>
      <c r="D1992">
        <v>4</v>
      </c>
      <c r="E1992">
        <v>0</v>
      </c>
      <c r="F1992" t="s">
        <v>261</v>
      </c>
      <c r="G1992" t="s">
        <v>261</v>
      </c>
      <c r="H1992">
        <v>2390909</v>
      </c>
      <c r="I1992" t="s">
        <v>262</v>
      </c>
    </row>
    <row r="1993" spans="1:9" x14ac:dyDescent="0.25">
      <c r="A1993">
        <v>70376</v>
      </c>
      <c r="B1993" t="s">
        <v>228</v>
      </c>
      <c r="C1993" t="s">
        <v>238</v>
      </c>
      <c r="D1993">
        <v>4</v>
      </c>
      <c r="E1993">
        <v>0</v>
      </c>
      <c r="F1993" t="s">
        <v>239</v>
      </c>
      <c r="G1993" t="s">
        <v>19</v>
      </c>
      <c r="H1993">
        <v>196190</v>
      </c>
      <c r="I1993" t="s">
        <v>263</v>
      </c>
    </row>
    <row r="1994" spans="1:9" x14ac:dyDescent="0.25">
      <c r="A1994">
        <v>70376</v>
      </c>
      <c r="B1994" t="s">
        <v>228</v>
      </c>
      <c r="C1994" t="s">
        <v>238</v>
      </c>
      <c r="D1994">
        <v>4</v>
      </c>
      <c r="E1994">
        <v>0</v>
      </c>
      <c r="F1994" t="s">
        <v>239</v>
      </c>
      <c r="G1994" t="s">
        <v>16</v>
      </c>
      <c r="H1994">
        <v>674</v>
      </c>
      <c r="I1994" t="s">
        <v>240</v>
      </c>
    </row>
    <row r="1995" spans="1:9" x14ac:dyDescent="0.25">
      <c r="A1995">
        <v>70376</v>
      </c>
      <c r="B1995" t="s">
        <v>228</v>
      </c>
      <c r="C1995" t="s">
        <v>238</v>
      </c>
      <c r="D1995">
        <v>4</v>
      </c>
      <c r="E1995">
        <v>0</v>
      </c>
      <c r="F1995" t="s">
        <v>239</v>
      </c>
      <c r="G1995" t="s">
        <v>19</v>
      </c>
      <c r="H1995">
        <v>65757</v>
      </c>
      <c r="I1995" t="s">
        <v>264</v>
      </c>
    </row>
    <row r="1996" spans="1:9" x14ac:dyDescent="0.25">
      <c r="A1996">
        <v>70376</v>
      </c>
      <c r="B1996" t="s">
        <v>228</v>
      </c>
      <c r="C1996" t="s">
        <v>238</v>
      </c>
      <c r="D1996">
        <v>4</v>
      </c>
      <c r="E1996">
        <v>0</v>
      </c>
      <c r="F1996" t="s">
        <v>241</v>
      </c>
      <c r="G1996" t="s">
        <v>158</v>
      </c>
      <c r="H1996">
        <v>64152</v>
      </c>
      <c r="I1996" t="s">
        <v>265</v>
      </c>
    </row>
    <row r="1997" spans="1:9" x14ac:dyDescent="0.25">
      <c r="A1997">
        <v>70376</v>
      </c>
      <c r="B1997" t="s">
        <v>228</v>
      </c>
      <c r="C1997" t="s">
        <v>238</v>
      </c>
      <c r="D1997">
        <v>4</v>
      </c>
      <c r="E1997">
        <v>0</v>
      </c>
      <c r="F1997" t="s">
        <v>239</v>
      </c>
      <c r="G1997" t="s">
        <v>19</v>
      </c>
      <c r="H1997">
        <v>0</v>
      </c>
      <c r="I1997" t="s">
        <v>271</v>
      </c>
    </row>
    <row r="1998" spans="1:9" x14ac:dyDescent="0.25">
      <c r="A1998">
        <v>70376</v>
      </c>
      <c r="B1998" t="s">
        <v>228</v>
      </c>
      <c r="C1998" t="s">
        <v>238</v>
      </c>
      <c r="D1998">
        <v>4</v>
      </c>
      <c r="E1998">
        <v>0</v>
      </c>
      <c r="F1998" t="s">
        <v>239</v>
      </c>
      <c r="G1998" t="s">
        <v>19</v>
      </c>
      <c r="H1998">
        <v>110686</v>
      </c>
      <c r="I1998" t="s">
        <v>266</v>
      </c>
    </row>
    <row r="1999" spans="1:9" x14ac:dyDescent="0.25">
      <c r="A1999">
        <v>70376</v>
      </c>
      <c r="B1999" t="s">
        <v>228</v>
      </c>
      <c r="C1999" t="s">
        <v>238</v>
      </c>
      <c r="D1999">
        <v>4</v>
      </c>
      <c r="E1999">
        <v>0</v>
      </c>
      <c r="F1999" t="s">
        <v>241</v>
      </c>
      <c r="G1999" t="s">
        <v>143</v>
      </c>
      <c r="H1999">
        <v>0</v>
      </c>
      <c r="I1999" t="s">
        <v>332</v>
      </c>
    </row>
    <row r="2000" spans="1:9" x14ac:dyDescent="0.25">
      <c r="A2000">
        <v>70376</v>
      </c>
      <c r="B2000" t="s">
        <v>228</v>
      </c>
      <c r="C2000" t="s">
        <v>238</v>
      </c>
      <c r="D2000">
        <v>4</v>
      </c>
      <c r="E2000">
        <v>0</v>
      </c>
      <c r="F2000" t="s">
        <v>241</v>
      </c>
      <c r="G2000" t="s">
        <v>138</v>
      </c>
      <c r="H2000">
        <v>0</v>
      </c>
      <c r="I2000" t="s">
        <v>333</v>
      </c>
    </row>
    <row r="2001" spans="1:9" x14ac:dyDescent="0.25">
      <c r="A2001">
        <v>70376</v>
      </c>
      <c r="B2001" t="s">
        <v>228</v>
      </c>
      <c r="C2001" t="s">
        <v>238</v>
      </c>
      <c r="D2001">
        <v>4</v>
      </c>
      <c r="E2001">
        <v>0</v>
      </c>
      <c r="F2001" t="s">
        <v>241</v>
      </c>
      <c r="G2001" t="s">
        <v>138</v>
      </c>
      <c r="H2001">
        <v>0</v>
      </c>
      <c r="I2001" t="s">
        <v>334</v>
      </c>
    </row>
    <row r="2002" spans="1:9" x14ac:dyDescent="0.25">
      <c r="A2002">
        <v>70376</v>
      </c>
      <c r="B2002" t="s">
        <v>228</v>
      </c>
      <c r="C2002" t="s">
        <v>238</v>
      </c>
      <c r="D2002">
        <v>4</v>
      </c>
      <c r="E2002">
        <v>0</v>
      </c>
      <c r="F2002" t="s">
        <v>241</v>
      </c>
      <c r="G2002" t="s">
        <v>138</v>
      </c>
      <c r="H2002">
        <v>40471</v>
      </c>
      <c r="I2002" t="s">
        <v>268</v>
      </c>
    </row>
    <row r="2003" spans="1:9" x14ac:dyDescent="0.25">
      <c r="A2003">
        <v>70376</v>
      </c>
      <c r="B2003" t="s">
        <v>228</v>
      </c>
      <c r="C2003" t="s">
        <v>238</v>
      </c>
      <c r="D2003">
        <v>4</v>
      </c>
      <c r="E2003">
        <v>0</v>
      </c>
      <c r="F2003" t="s">
        <v>241</v>
      </c>
      <c r="G2003" t="s">
        <v>139</v>
      </c>
      <c r="H2003">
        <v>0</v>
      </c>
      <c r="I2003" t="s">
        <v>336</v>
      </c>
    </row>
    <row r="2004" spans="1:9" x14ac:dyDescent="0.25">
      <c r="A2004">
        <v>70376</v>
      </c>
      <c r="B2004" t="s">
        <v>228</v>
      </c>
      <c r="C2004" t="s">
        <v>238</v>
      </c>
      <c r="D2004">
        <v>4</v>
      </c>
      <c r="E2004">
        <v>0</v>
      </c>
      <c r="F2004" t="s">
        <v>241</v>
      </c>
      <c r="G2004" t="s">
        <v>139</v>
      </c>
      <c r="H2004">
        <v>0</v>
      </c>
      <c r="I2004" t="s">
        <v>337</v>
      </c>
    </row>
    <row r="2005" spans="1:9" x14ac:dyDescent="0.25">
      <c r="A2005">
        <v>70376</v>
      </c>
      <c r="B2005" t="s">
        <v>228</v>
      </c>
      <c r="C2005" t="s">
        <v>238</v>
      </c>
      <c r="D2005">
        <v>4</v>
      </c>
      <c r="E2005">
        <v>0</v>
      </c>
      <c r="F2005" t="s">
        <v>241</v>
      </c>
      <c r="G2005" t="s">
        <v>139</v>
      </c>
      <c r="H2005">
        <v>0</v>
      </c>
      <c r="I2005" t="s">
        <v>335</v>
      </c>
    </row>
    <row r="2006" spans="1:9" x14ac:dyDescent="0.25">
      <c r="A2006">
        <v>70376</v>
      </c>
      <c r="B2006" t="s">
        <v>228</v>
      </c>
      <c r="C2006" t="s">
        <v>238</v>
      </c>
      <c r="D2006">
        <v>4</v>
      </c>
      <c r="E2006">
        <v>0</v>
      </c>
      <c r="F2006" t="s">
        <v>241</v>
      </c>
      <c r="G2006" t="s">
        <v>24</v>
      </c>
      <c r="H2006">
        <v>0</v>
      </c>
      <c r="I2006" t="s">
        <v>338</v>
      </c>
    </row>
    <row r="2007" spans="1:9" x14ac:dyDescent="0.25">
      <c r="A2007">
        <v>70376</v>
      </c>
      <c r="B2007" t="s">
        <v>228</v>
      </c>
      <c r="C2007" t="s">
        <v>238</v>
      </c>
      <c r="D2007">
        <v>4</v>
      </c>
      <c r="E2007">
        <v>0</v>
      </c>
      <c r="F2007" t="s">
        <v>241</v>
      </c>
      <c r="G2007" t="s">
        <v>24</v>
      </c>
      <c r="H2007">
        <v>0</v>
      </c>
      <c r="I2007" t="s">
        <v>339</v>
      </c>
    </row>
    <row r="2008" spans="1:9" x14ac:dyDescent="0.25">
      <c r="A2008">
        <v>70376</v>
      </c>
      <c r="B2008" t="s">
        <v>228</v>
      </c>
      <c r="C2008" t="s">
        <v>238</v>
      </c>
      <c r="D2008">
        <v>4</v>
      </c>
      <c r="E2008">
        <v>0</v>
      </c>
      <c r="F2008" t="s">
        <v>241</v>
      </c>
      <c r="G2008" t="s">
        <v>24</v>
      </c>
      <c r="H2008">
        <v>0</v>
      </c>
      <c r="I2008" t="s">
        <v>340</v>
      </c>
    </row>
    <row r="2009" spans="1:9" x14ac:dyDescent="0.25">
      <c r="A2009">
        <v>70376</v>
      </c>
      <c r="B2009" t="s">
        <v>228</v>
      </c>
      <c r="C2009" t="s">
        <v>238</v>
      </c>
      <c r="D2009">
        <v>4</v>
      </c>
      <c r="E2009">
        <v>0</v>
      </c>
      <c r="F2009" t="s">
        <v>241</v>
      </c>
      <c r="G2009" t="s">
        <v>137</v>
      </c>
      <c r="H2009">
        <v>0</v>
      </c>
      <c r="I2009" t="s">
        <v>273</v>
      </c>
    </row>
    <row r="2010" spans="1:9" x14ac:dyDescent="0.25">
      <c r="A2010">
        <v>70376</v>
      </c>
      <c r="B2010" t="s">
        <v>228</v>
      </c>
      <c r="C2010" t="s">
        <v>238</v>
      </c>
      <c r="D2010">
        <v>4</v>
      </c>
      <c r="E2010">
        <v>0</v>
      </c>
      <c r="F2010" t="s">
        <v>241</v>
      </c>
      <c r="G2010" t="s">
        <v>137</v>
      </c>
      <c r="H2010">
        <v>0</v>
      </c>
      <c r="I2010" t="s">
        <v>341</v>
      </c>
    </row>
    <row r="2011" spans="1:9" x14ac:dyDescent="0.25">
      <c r="A2011">
        <v>70376</v>
      </c>
      <c r="B2011" t="s">
        <v>228</v>
      </c>
      <c r="C2011" t="s">
        <v>238</v>
      </c>
      <c r="D2011">
        <v>4</v>
      </c>
      <c r="E2011">
        <v>0</v>
      </c>
      <c r="F2011" t="s">
        <v>241</v>
      </c>
      <c r="G2011" t="s">
        <v>137</v>
      </c>
      <c r="H2011">
        <v>0</v>
      </c>
      <c r="I2011" t="s">
        <v>342</v>
      </c>
    </row>
    <row r="2012" spans="1:9" x14ac:dyDescent="0.25">
      <c r="A2012">
        <v>70376</v>
      </c>
      <c r="B2012" t="s">
        <v>228</v>
      </c>
      <c r="C2012" t="s">
        <v>238</v>
      </c>
      <c r="D2012">
        <v>4</v>
      </c>
      <c r="E2012">
        <v>0</v>
      </c>
      <c r="F2012" t="s">
        <v>241</v>
      </c>
      <c r="G2012" t="s">
        <v>137</v>
      </c>
      <c r="H2012">
        <v>0</v>
      </c>
      <c r="I2012" t="s">
        <v>343</v>
      </c>
    </row>
    <row r="2013" spans="1:9" x14ac:dyDescent="0.25">
      <c r="A2013">
        <v>70376</v>
      </c>
      <c r="B2013" t="s">
        <v>228</v>
      </c>
      <c r="C2013" t="s">
        <v>238</v>
      </c>
      <c r="D2013">
        <v>4</v>
      </c>
      <c r="E2013">
        <v>0</v>
      </c>
      <c r="F2013" t="s">
        <v>241</v>
      </c>
      <c r="G2013" t="s">
        <v>143</v>
      </c>
      <c r="H2013">
        <v>0</v>
      </c>
      <c r="I2013" t="s">
        <v>344</v>
      </c>
    </row>
    <row r="2014" spans="1:9" x14ac:dyDescent="0.25">
      <c r="A2014">
        <v>70376</v>
      </c>
      <c r="B2014" t="s">
        <v>228</v>
      </c>
      <c r="C2014" t="s">
        <v>238</v>
      </c>
      <c r="D2014">
        <v>4</v>
      </c>
      <c r="E2014">
        <v>0</v>
      </c>
      <c r="F2014" t="s">
        <v>241</v>
      </c>
      <c r="G2014" t="s">
        <v>143</v>
      </c>
      <c r="H2014">
        <v>0</v>
      </c>
      <c r="I2014" t="s">
        <v>345</v>
      </c>
    </row>
    <row r="2015" spans="1:9" x14ac:dyDescent="0.25">
      <c r="A2015">
        <v>70376</v>
      </c>
      <c r="B2015" t="s">
        <v>228</v>
      </c>
      <c r="C2015" t="s">
        <v>238</v>
      </c>
      <c r="D2015">
        <v>4</v>
      </c>
      <c r="E2015">
        <v>0</v>
      </c>
      <c r="F2015" t="s">
        <v>241</v>
      </c>
      <c r="G2015" t="s">
        <v>143</v>
      </c>
      <c r="H2015">
        <v>0</v>
      </c>
      <c r="I2015" t="s">
        <v>346</v>
      </c>
    </row>
    <row r="2016" spans="1:9" x14ac:dyDescent="0.25">
      <c r="A2016">
        <v>70376</v>
      </c>
      <c r="B2016" t="s">
        <v>228</v>
      </c>
      <c r="C2016" t="s">
        <v>238</v>
      </c>
      <c r="D2016">
        <v>4</v>
      </c>
      <c r="E2016">
        <v>0</v>
      </c>
      <c r="F2016" t="s">
        <v>241</v>
      </c>
      <c r="G2016" t="s">
        <v>138</v>
      </c>
      <c r="H2016">
        <v>0</v>
      </c>
      <c r="I2016" t="s">
        <v>347</v>
      </c>
    </row>
    <row r="2017" spans="1:9" x14ac:dyDescent="0.25">
      <c r="A2017">
        <v>70377</v>
      </c>
      <c r="B2017" t="s">
        <v>230</v>
      </c>
      <c r="C2017" t="s">
        <v>238</v>
      </c>
      <c r="D2017">
        <v>4</v>
      </c>
      <c r="E2017">
        <v>0</v>
      </c>
      <c r="F2017" t="s">
        <v>239</v>
      </c>
      <c r="G2017" t="s">
        <v>153</v>
      </c>
      <c r="H2017">
        <v>0</v>
      </c>
      <c r="I2017" t="s">
        <v>351</v>
      </c>
    </row>
    <row r="2018" spans="1:9" x14ac:dyDescent="0.25">
      <c r="A2018">
        <v>70377</v>
      </c>
      <c r="B2018" t="s">
        <v>230</v>
      </c>
      <c r="C2018" t="s">
        <v>238</v>
      </c>
      <c r="D2018">
        <v>4</v>
      </c>
      <c r="E2018">
        <v>0</v>
      </c>
      <c r="F2018" t="s">
        <v>239</v>
      </c>
      <c r="G2018" t="s">
        <v>152</v>
      </c>
      <c r="H2018">
        <v>0</v>
      </c>
      <c r="I2018" t="s">
        <v>352</v>
      </c>
    </row>
    <row r="2019" spans="1:9" x14ac:dyDescent="0.25">
      <c r="A2019">
        <v>70377</v>
      </c>
      <c r="B2019" t="s">
        <v>230</v>
      </c>
      <c r="C2019" t="s">
        <v>238</v>
      </c>
      <c r="D2019">
        <v>4</v>
      </c>
      <c r="E2019">
        <v>0</v>
      </c>
      <c r="F2019" t="s">
        <v>239</v>
      </c>
      <c r="G2019" t="s">
        <v>154</v>
      </c>
      <c r="H2019">
        <v>0</v>
      </c>
      <c r="I2019" t="s">
        <v>349</v>
      </c>
    </row>
    <row r="2020" spans="1:9" x14ac:dyDescent="0.25">
      <c r="A2020">
        <v>70377</v>
      </c>
      <c r="B2020" t="s">
        <v>230</v>
      </c>
      <c r="C2020" t="s">
        <v>238</v>
      </c>
      <c r="D2020">
        <v>4</v>
      </c>
      <c r="E2020">
        <v>0</v>
      </c>
      <c r="F2020" t="s">
        <v>241</v>
      </c>
      <c r="G2020" t="s">
        <v>26</v>
      </c>
      <c r="H2020">
        <v>0</v>
      </c>
      <c r="I2020" t="s">
        <v>350</v>
      </c>
    </row>
    <row r="2021" spans="1:9" x14ac:dyDescent="0.25">
      <c r="A2021">
        <v>70377</v>
      </c>
      <c r="B2021" t="s">
        <v>230</v>
      </c>
      <c r="C2021" t="s">
        <v>238</v>
      </c>
      <c r="D2021">
        <v>4</v>
      </c>
      <c r="E2021">
        <v>0</v>
      </c>
      <c r="F2021" t="s">
        <v>241</v>
      </c>
      <c r="G2021" t="s">
        <v>23</v>
      </c>
      <c r="H2021">
        <v>0</v>
      </c>
      <c r="I2021" t="s">
        <v>269</v>
      </c>
    </row>
    <row r="2022" spans="1:9" x14ac:dyDescent="0.25">
      <c r="A2022">
        <v>70377</v>
      </c>
      <c r="B2022" t="s">
        <v>230</v>
      </c>
      <c r="C2022" t="s">
        <v>238</v>
      </c>
      <c r="D2022">
        <v>4</v>
      </c>
      <c r="E2022">
        <v>0</v>
      </c>
      <c r="F2022" t="s">
        <v>241</v>
      </c>
      <c r="G2022" t="s">
        <v>26</v>
      </c>
      <c r="H2022">
        <v>0</v>
      </c>
      <c r="I2022" t="s">
        <v>353</v>
      </c>
    </row>
    <row r="2023" spans="1:9" x14ac:dyDescent="0.25">
      <c r="A2023">
        <v>70377</v>
      </c>
      <c r="B2023" t="s">
        <v>230</v>
      </c>
      <c r="C2023" t="s">
        <v>238</v>
      </c>
      <c r="D2023">
        <v>4</v>
      </c>
      <c r="E2023">
        <v>0</v>
      </c>
      <c r="F2023" t="s">
        <v>241</v>
      </c>
      <c r="G2023" t="s">
        <v>157</v>
      </c>
      <c r="H2023">
        <v>0</v>
      </c>
      <c r="I2023" t="s">
        <v>348</v>
      </c>
    </row>
    <row r="2024" spans="1:9" x14ac:dyDescent="0.25">
      <c r="A2024">
        <v>70377</v>
      </c>
      <c r="B2024" t="s">
        <v>230</v>
      </c>
      <c r="C2024" t="s">
        <v>238</v>
      </c>
      <c r="D2024">
        <v>4</v>
      </c>
      <c r="E2024">
        <v>0</v>
      </c>
      <c r="F2024" t="s">
        <v>261</v>
      </c>
      <c r="G2024" t="s">
        <v>261</v>
      </c>
      <c r="H2024">
        <v>0</v>
      </c>
      <c r="I2024" t="s">
        <v>272</v>
      </c>
    </row>
    <row r="2025" spans="1:9" x14ac:dyDescent="0.25">
      <c r="A2025">
        <v>70377</v>
      </c>
      <c r="B2025" t="s">
        <v>230</v>
      </c>
      <c r="C2025" t="s">
        <v>238</v>
      </c>
      <c r="D2025">
        <v>4</v>
      </c>
      <c r="E2025">
        <v>0</v>
      </c>
      <c r="F2025" t="s">
        <v>261</v>
      </c>
      <c r="G2025" t="s">
        <v>261</v>
      </c>
      <c r="H2025">
        <v>0</v>
      </c>
      <c r="I2025" t="s">
        <v>354</v>
      </c>
    </row>
    <row r="2026" spans="1:9" x14ac:dyDescent="0.25">
      <c r="A2026">
        <v>70377</v>
      </c>
      <c r="B2026" t="s">
        <v>230</v>
      </c>
      <c r="C2026" t="s">
        <v>238</v>
      </c>
      <c r="D2026">
        <v>4</v>
      </c>
      <c r="E2026">
        <v>0</v>
      </c>
      <c r="F2026" t="s">
        <v>247</v>
      </c>
      <c r="G2026" t="s">
        <v>12</v>
      </c>
      <c r="H2026">
        <v>-1568580</v>
      </c>
      <c r="I2026" t="s">
        <v>248</v>
      </c>
    </row>
    <row r="2027" spans="1:9" x14ac:dyDescent="0.25">
      <c r="A2027">
        <v>70377</v>
      </c>
      <c r="B2027" t="s">
        <v>230</v>
      </c>
      <c r="C2027" t="s">
        <v>238</v>
      </c>
      <c r="D2027">
        <v>4</v>
      </c>
      <c r="E2027">
        <v>0</v>
      </c>
      <c r="F2027" t="s">
        <v>247</v>
      </c>
      <c r="G2027" t="s">
        <v>13</v>
      </c>
      <c r="H2027">
        <v>7737100</v>
      </c>
      <c r="I2027" t="s">
        <v>249</v>
      </c>
    </row>
    <row r="2028" spans="1:9" x14ac:dyDescent="0.25">
      <c r="A2028">
        <v>70377</v>
      </c>
      <c r="B2028" t="s">
        <v>230</v>
      </c>
      <c r="C2028" t="s">
        <v>238</v>
      </c>
      <c r="D2028">
        <v>4</v>
      </c>
      <c r="E2028">
        <v>0</v>
      </c>
      <c r="F2028" t="s">
        <v>241</v>
      </c>
      <c r="G2028" t="s">
        <v>25</v>
      </c>
      <c r="H2028">
        <v>17638</v>
      </c>
      <c r="I2028" t="s">
        <v>250</v>
      </c>
    </row>
    <row r="2029" spans="1:9" x14ac:dyDescent="0.25">
      <c r="A2029">
        <v>70377</v>
      </c>
      <c r="B2029" t="s">
        <v>230</v>
      </c>
      <c r="C2029" t="s">
        <v>238</v>
      </c>
      <c r="D2029">
        <v>4</v>
      </c>
      <c r="E2029">
        <v>0</v>
      </c>
      <c r="F2029" t="s">
        <v>241</v>
      </c>
      <c r="G2029" t="s">
        <v>26</v>
      </c>
      <c r="H2029">
        <v>0</v>
      </c>
      <c r="I2029" t="s">
        <v>251</v>
      </c>
    </row>
    <row r="2030" spans="1:9" x14ac:dyDescent="0.25">
      <c r="A2030">
        <v>70377</v>
      </c>
      <c r="B2030" t="s">
        <v>230</v>
      </c>
      <c r="C2030" t="s">
        <v>238</v>
      </c>
      <c r="D2030">
        <v>4</v>
      </c>
      <c r="E2030">
        <v>0</v>
      </c>
      <c r="F2030" t="s">
        <v>239</v>
      </c>
      <c r="G2030" t="s">
        <v>18</v>
      </c>
      <c r="H2030">
        <v>421396</v>
      </c>
      <c r="I2030" t="s">
        <v>252</v>
      </c>
    </row>
    <row r="2031" spans="1:9" x14ac:dyDescent="0.25">
      <c r="A2031">
        <v>70377</v>
      </c>
      <c r="B2031" t="s">
        <v>230</v>
      </c>
      <c r="C2031" t="s">
        <v>238</v>
      </c>
      <c r="D2031">
        <v>4</v>
      </c>
      <c r="E2031">
        <v>0</v>
      </c>
      <c r="F2031" t="s">
        <v>241</v>
      </c>
      <c r="G2031" t="s">
        <v>26</v>
      </c>
      <c r="H2031">
        <v>101791</v>
      </c>
      <c r="I2031" t="s">
        <v>253</v>
      </c>
    </row>
    <row r="2032" spans="1:9" x14ac:dyDescent="0.25">
      <c r="A2032">
        <v>70377</v>
      </c>
      <c r="B2032" t="s">
        <v>230</v>
      </c>
      <c r="C2032" t="s">
        <v>238</v>
      </c>
      <c r="D2032">
        <v>4</v>
      </c>
      <c r="E2032">
        <v>0</v>
      </c>
      <c r="F2032" t="s">
        <v>247</v>
      </c>
      <c r="G2032" t="s">
        <v>15</v>
      </c>
      <c r="H2032">
        <v>300229</v>
      </c>
      <c r="I2032" t="s">
        <v>254</v>
      </c>
    </row>
    <row r="2033" spans="1:9" x14ac:dyDescent="0.25">
      <c r="A2033">
        <v>70377</v>
      </c>
      <c r="B2033" t="s">
        <v>230</v>
      </c>
      <c r="C2033" t="s">
        <v>238</v>
      </c>
      <c r="D2033">
        <v>4</v>
      </c>
      <c r="E2033">
        <v>0</v>
      </c>
      <c r="F2033" t="s">
        <v>247</v>
      </c>
      <c r="G2033" t="s">
        <v>14</v>
      </c>
      <c r="H2033">
        <v>0</v>
      </c>
      <c r="I2033" t="s">
        <v>355</v>
      </c>
    </row>
    <row r="2034" spans="1:9" x14ac:dyDescent="0.25">
      <c r="A2034">
        <v>70377</v>
      </c>
      <c r="B2034" t="s">
        <v>230</v>
      </c>
      <c r="C2034" t="s">
        <v>238</v>
      </c>
      <c r="D2034">
        <v>4</v>
      </c>
      <c r="E2034">
        <v>0</v>
      </c>
      <c r="F2034" t="s">
        <v>241</v>
      </c>
      <c r="G2034" t="s">
        <v>23</v>
      </c>
      <c r="H2034">
        <v>83789</v>
      </c>
      <c r="I2034" t="s">
        <v>242</v>
      </c>
    </row>
    <row r="2035" spans="1:9" x14ac:dyDescent="0.25">
      <c r="A2035">
        <v>70377</v>
      </c>
      <c r="B2035" t="s">
        <v>230</v>
      </c>
      <c r="C2035" t="s">
        <v>238</v>
      </c>
      <c r="D2035">
        <v>4</v>
      </c>
      <c r="E2035">
        <v>0</v>
      </c>
      <c r="F2035" t="s">
        <v>241</v>
      </c>
      <c r="G2035" t="s">
        <v>24</v>
      </c>
      <c r="H2035">
        <v>114556</v>
      </c>
      <c r="I2035" t="s">
        <v>243</v>
      </c>
    </row>
    <row r="2036" spans="1:9" x14ac:dyDescent="0.25">
      <c r="A2036">
        <v>70377</v>
      </c>
      <c r="B2036" t="s">
        <v>230</v>
      </c>
      <c r="C2036" t="s">
        <v>238</v>
      </c>
      <c r="D2036">
        <v>4</v>
      </c>
      <c r="E2036">
        <v>0</v>
      </c>
      <c r="F2036" t="s">
        <v>241</v>
      </c>
      <c r="G2036" t="s">
        <v>21</v>
      </c>
      <c r="H2036">
        <v>0</v>
      </c>
      <c r="I2036" t="s">
        <v>356</v>
      </c>
    </row>
    <row r="2037" spans="1:9" x14ac:dyDescent="0.25">
      <c r="A2037">
        <v>70377</v>
      </c>
      <c r="B2037" t="s">
        <v>230</v>
      </c>
      <c r="C2037" t="s">
        <v>238</v>
      </c>
      <c r="D2037">
        <v>4</v>
      </c>
      <c r="E2037">
        <v>0</v>
      </c>
      <c r="F2037" t="s">
        <v>239</v>
      </c>
      <c r="G2037" t="s">
        <v>20</v>
      </c>
      <c r="H2037">
        <v>-3898</v>
      </c>
      <c r="I2037" t="s">
        <v>244</v>
      </c>
    </row>
    <row r="2038" spans="1:9" x14ac:dyDescent="0.25">
      <c r="A2038">
        <v>70377</v>
      </c>
      <c r="B2038" t="s">
        <v>230</v>
      </c>
      <c r="C2038" t="s">
        <v>238</v>
      </c>
      <c r="D2038">
        <v>4</v>
      </c>
      <c r="E2038">
        <v>0</v>
      </c>
      <c r="F2038" t="s">
        <v>241</v>
      </c>
      <c r="G2038" t="s">
        <v>22</v>
      </c>
      <c r="H2038">
        <v>626</v>
      </c>
      <c r="I2038" t="s">
        <v>245</v>
      </c>
    </row>
    <row r="2039" spans="1:9" x14ac:dyDescent="0.25">
      <c r="A2039">
        <v>70377</v>
      </c>
      <c r="B2039" t="s">
        <v>230</v>
      </c>
      <c r="C2039" t="s">
        <v>238</v>
      </c>
      <c r="D2039">
        <v>4</v>
      </c>
      <c r="E2039">
        <v>0</v>
      </c>
      <c r="F2039" t="s">
        <v>241</v>
      </c>
      <c r="G2039" t="s">
        <v>26</v>
      </c>
      <c r="H2039">
        <v>1979</v>
      </c>
      <c r="I2039" t="s">
        <v>246</v>
      </c>
    </row>
    <row r="2040" spans="1:9" x14ac:dyDescent="0.25">
      <c r="A2040">
        <v>70377</v>
      </c>
      <c r="B2040" t="s">
        <v>230</v>
      </c>
      <c r="C2040" t="s">
        <v>238</v>
      </c>
      <c r="D2040">
        <v>4</v>
      </c>
      <c r="E2040">
        <v>0</v>
      </c>
      <c r="F2040" t="s">
        <v>239</v>
      </c>
      <c r="G2040" t="s">
        <v>17</v>
      </c>
      <c r="H2040">
        <v>0</v>
      </c>
      <c r="I2040" t="s">
        <v>357</v>
      </c>
    </row>
    <row r="2041" spans="1:9" x14ac:dyDescent="0.25">
      <c r="A2041">
        <v>70377</v>
      </c>
      <c r="B2041" t="s">
        <v>230</v>
      </c>
      <c r="C2041" t="s">
        <v>238</v>
      </c>
      <c r="D2041">
        <v>4</v>
      </c>
      <c r="E2041">
        <v>0</v>
      </c>
      <c r="F2041" t="s">
        <v>241</v>
      </c>
      <c r="G2041" t="s">
        <v>24</v>
      </c>
      <c r="H2041">
        <v>0</v>
      </c>
      <c r="I2041" t="s">
        <v>358</v>
      </c>
    </row>
    <row r="2042" spans="1:9" x14ac:dyDescent="0.25">
      <c r="A2042">
        <v>70377</v>
      </c>
      <c r="B2042" t="s">
        <v>230</v>
      </c>
      <c r="C2042" t="s">
        <v>238</v>
      </c>
      <c r="D2042">
        <v>4</v>
      </c>
      <c r="E2042">
        <v>0</v>
      </c>
      <c r="F2042" t="s">
        <v>241</v>
      </c>
      <c r="G2042" t="s">
        <v>27</v>
      </c>
      <c r="H2042">
        <v>0</v>
      </c>
      <c r="I2042" t="s">
        <v>359</v>
      </c>
    </row>
    <row r="2043" spans="1:9" x14ac:dyDescent="0.25">
      <c r="A2043">
        <v>70377</v>
      </c>
      <c r="B2043" t="s">
        <v>230</v>
      </c>
      <c r="C2043" t="s">
        <v>238</v>
      </c>
      <c r="D2043">
        <v>4</v>
      </c>
      <c r="E2043">
        <v>0</v>
      </c>
      <c r="F2043" t="s">
        <v>239</v>
      </c>
      <c r="G2043" t="s">
        <v>19</v>
      </c>
      <c r="H2043">
        <v>0</v>
      </c>
      <c r="I2043" t="s">
        <v>360</v>
      </c>
    </row>
    <row r="2044" spans="1:9" x14ac:dyDescent="0.25">
      <c r="A2044">
        <v>70377</v>
      </c>
      <c r="B2044" t="s">
        <v>230</v>
      </c>
      <c r="C2044" t="s">
        <v>238</v>
      </c>
      <c r="D2044">
        <v>4</v>
      </c>
      <c r="E2044">
        <v>0</v>
      </c>
      <c r="F2044" t="s">
        <v>239</v>
      </c>
      <c r="G2044" t="s">
        <v>20</v>
      </c>
      <c r="H2044">
        <v>78582</v>
      </c>
      <c r="I2044" t="s">
        <v>255</v>
      </c>
    </row>
    <row r="2045" spans="1:9" x14ac:dyDescent="0.25">
      <c r="A2045">
        <v>70377</v>
      </c>
      <c r="B2045" t="s">
        <v>230</v>
      </c>
      <c r="C2045" t="s">
        <v>238</v>
      </c>
      <c r="D2045">
        <v>4</v>
      </c>
      <c r="E2045">
        <v>0</v>
      </c>
      <c r="F2045" t="s">
        <v>247</v>
      </c>
      <c r="G2045" t="s">
        <v>148</v>
      </c>
      <c r="H2045">
        <v>685537</v>
      </c>
      <c r="I2045" t="s">
        <v>256</v>
      </c>
    </row>
    <row r="2046" spans="1:9" x14ac:dyDescent="0.25">
      <c r="A2046">
        <v>70377</v>
      </c>
      <c r="B2046" t="s">
        <v>230</v>
      </c>
      <c r="C2046" t="s">
        <v>238</v>
      </c>
      <c r="D2046">
        <v>4</v>
      </c>
      <c r="E2046">
        <v>0</v>
      </c>
      <c r="F2046" t="s">
        <v>241</v>
      </c>
      <c r="G2046" t="s">
        <v>27</v>
      </c>
      <c r="H2046">
        <v>7179972</v>
      </c>
      <c r="I2046" t="s">
        <v>257</v>
      </c>
    </row>
    <row r="2047" spans="1:9" x14ac:dyDescent="0.25">
      <c r="A2047">
        <v>70377</v>
      </c>
      <c r="B2047" t="s">
        <v>230</v>
      </c>
      <c r="C2047" t="s">
        <v>238</v>
      </c>
      <c r="D2047">
        <v>4</v>
      </c>
      <c r="E2047">
        <v>0</v>
      </c>
      <c r="F2047" t="s">
        <v>241</v>
      </c>
      <c r="G2047" t="s">
        <v>27</v>
      </c>
      <c r="H2047">
        <v>0</v>
      </c>
      <c r="I2047" t="s">
        <v>361</v>
      </c>
    </row>
    <row r="2048" spans="1:9" x14ac:dyDescent="0.25">
      <c r="A2048">
        <v>70377</v>
      </c>
      <c r="B2048" t="s">
        <v>230</v>
      </c>
      <c r="C2048" t="s">
        <v>238</v>
      </c>
      <c r="D2048">
        <v>4</v>
      </c>
      <c r="E2048">
        <v>0</v>
      </c>
      <c r="F2048" t="s">
        <v>241</v>
      </c>
      <c r="G2048" t="s">
        <v>27</v>
      </c>
      <c r="H2048">
        <v>0</v>
      </c>
      <c r="I2048" t="s">
        <v>362</v>
      </c>
    </row>
    <row r="2049" spans="1:9" x14ac:dyDescent="0.25">
      <c r="A2049">
        <v>70377</v>
      </c>
      <c r="B2049" t="s">
        <v>230</v>
      </c>
      <c r="C2049" t="s">
        <v>238</v>
      </c>
      <c r="D2049">
        <v>4</v>
      </c>
      <c r="E2049">
        <v>0</v>
      </c>
      <c r="F2049" t="s">
        <v>241</v>
      </c>
      <c r="G2049" t="s">
        <v>27</v>
      </c>
      <c r="H2049">
        <v>0</v>
      </c>
      <c r="I2049" t="s">
        <v>363</v>
      </c>
    </row>
    <row r="2050" spans="1:9" x14ac:dyDescent="0.25">
      <c r="A2050">
        <v>70377</v>
      </c>
      <c r="B2050" t="s">
        <v>230</v>
      </c>
      <c r="C2050" t="s">
        <v>238</v>
      </c>
      <c r="D2050">
        <v>4</v>
      </c>
      <c r="E2050">
        <v>0</v>
      </c>
      <c r="F2050" t="s">
        <v>239</v>
      </c>
      <c r="G2050" t="s">
        <v>16</v>
      </c>
      <c r="H2050">
        <v>1630</v>
      </c>
      <c r="I2050" t="s">
        <v>267</v>
      </c>
    </row>
    <row r="2051" spans="1:9" x14ac:dyDescent="0.25">
      <c r="A2051">
        <v>70377</v>
      </c>
      <c r="B2051" t="s">
        <v>230</v>
      </c>
      <c r="C2051" t="s">
        <v>238</v>
      </c>
      <c r="D2051">
        <v>4</v>
      </c>
      <c r="E2051">
        <v>0</v>
      </c>
      <c r="F2051" t="s">
        <v>239</v>
      </c>
      <c r="G2051" t="s">
        <v>152</v>
      </c>
      <c r="H2051">
        <v>29226</v>
      </c>
      <c r="I2051" t="s">
        <v>258</v>
      </c>
    </row>
    <row r="2052" spans="1:9" x14ac:dyDescent="0.25">
      <c r="A2052">
        <v>70377</v>
      </c>
      <c r="B2052" t="s">
        <v>230</v>
      </c>
      <c r="C2052" t="s">
        <v>238</v>
      </c>
      <c r="D2052">
        <v>4</v>
      </c>
      <c r="E2052">
        <v>0</v>
      </c>
      <c r="F2052" t="s">
        <v>239</v>
      </c>
      <c r="G2052" t="s">
        <v>154</v>
      </c>
      <c r="H2052">
        <v>0</v>
      </c>
      <c r="I2052" t="s">
        <v>330</v>
      </c>
    </row>
    <row r="2053" spans="1:9" x14ac:dyDescent="0.25">
      <c r="A2053">
        <v>70377</v>
      </c>
      <c r="B2053" t="s">
        <v>230</v>
      </c>
      <c r="C2053" t="s">
        <v>238</v>
      </c>
      <c r="D2053">
        <v>4</v>
      </c>
      <c r="E2053">
        <v>0</v>
      </c>
      <c r="F2053" t="s">
        <v>239</v>
      </c>
      <c r="G2053" t="s">
        <v>16</v>
      </c>
      <c r="H2053">
        <v>4791</v>
      </c>
      <c r="I2053" t="s">
        <v>259</v>
      </c>
    </row>
    <row r="2054" spans="1:9" x14ac:dyDescent="0.25">
      <c r="A2054">
        <v>70377</v>
      </c>
      <c r="B2054" t="s">
        <v>230</v>
      </c>
      <c r="C2054" t="s">
        <v>238</v>
      </c>
      <c r="D2054">
        <v>4</v>
      </c>
      <c r="E2054">
        <v>0</v>
      </c>
      <c r="F2054" t="s">
        <v>239</v>
      </c>
      <c r="G2054" t="s">
        <v>19</v>
      </c>
      <c r="H2054">
        <v>54073</v>
      </c>
      <c r="I2054" t="s">
        <v>260</v>
      </c>
    </row>
    <row r="2055" spans="1:9" x14ac:dyDescent="0.25">
      <c r="A2055">
        <v>70377</v>
      </c>
      <c r="B2055" t="s">
        <v>230</v>
      </c>
      <c r="C2055" t="s">
        <v>238</v>
      </c>
      <c r="D2055">
        <v>4</v>
      </c>
      <c r="E2055">
        <v>0</v>
      </c>
      <c r="F2055" t="s">
        <v>239</v>
      </c>
      <c r="G2055" t="s">
        <v>19</v>
      </c>
      <c r="H2055">
        <v>0</v>
      </c>
      <c r="I2055" t="s">
        <v>270</v>
      </c>
    </row>
    <row r="2056" spans="1:9" x14ac:dyDescent="0.25">
      <c r="A2056">
        <v>70377</v>
      </c>
      <c r="B2056" t="s">
        <v>230</v>
      </c>
      <c r="C2056" t="s">
        <v>238</v>
      </c>
      <c r="D2056">
        <v>4</v>
      </c>
      <c r="E2056">
        <v>0</v>
      </c>
      <c r="F2056" t="s">
        <v>241</v>
      </c>
      <c r="G2056" t="s">
        <v>139</v>
      </c>
      <c r="H2056">
        <v>0</v>
      </c>
      <c r="I2056" t="s">
        <v>331</v>
      </c>
    </row>
    <row r="2057" spans="1:9" x14ac:dyDescent="0.25">
      <c r="A2057">
        <v>70377</v>
      </c>
      <c r="B2057" t="s">
        <v>230</v>
      </c>
      <c r="C2057" t="s">
        <v>238</v>
      </c>
      <c r="D2057">
        <v>4</v>
      </c>
      <c r="E2057">
        <v>0</v>
      </c>
      <c r="F2057" t="s">
        <v>261</v>
      </c>
      <c r="G2057" t="s">
        <v>261</v>
      </c>
      <c r="H2057">
        <v>844326</v>
      </c>
      <c r="I2057" t="s">
        <v>262</v>
      </c>
    </row>
    <row r="2058" spans="1:9" x14ac:dyDescent="0.25">
      <c r="A2058">
        <v>70377</v>
      </c>
      <c r="B2058" t="s">
        <v>230</v>
      </c>
      <c r="C2058" t="s">
        <v>238</v>
      </c>
      <c r="D2058">
        <v>4</v>
      </c>
      <c r="E2058">
        <v>0</v>
      </c>
      <c r="F2058" t="s">
        <v>239</v>
      </c>
      <c r="G2058" t="s">
        <v>19</v>
      </c>
      <c r="H2058">
        <v>256527</v>
      </c>
      <c r="I2058" t="s">
        <v>263</v>
      </c>
    </row>
    <row r="2059" spans="1:9" x14ac:dyDescent="0.25">
      <c r="A2059">
        <v>70377</v>
      </c>
      <c r="B2059" t="s">
        <v>230</v>
      </c>
      <c r="C2059" t="s">
        <v>238</v>
      </c>
      <c r="D2059">
        <v>4</v>
      </c>
      <c r="E2059">
        <v>0</v>
      </c>
      <c r="F2059" t="s">
        <v>239</v>
      </c>
      <c r="G2059" t="s">
        <v>16</v>
      </c>
      <c r="H2059">
        <v>66</v>
      </c>
      <c r="I2059" t="s">
        <v>240</v>
      </c>
    </row>
    <row r="2060" spans="1:9" x14ac:dyDescent="0.25">
      <c r="A2060">
        <v>70377</v>
      </c>
      <c r="B2060" t="s">
        <v>230</v>
      </c>
      <c r="C2060" t="s">
        <v>238</v>
      </c>
      <c r="D2060">
        <v>4</v>
      </c>
      <c r="E2060">
        <v>0</v>
      </c>
      <c r="F2060" t="s">
        <v>239</v>
      </c>
      <c r="G2060" t="s">
        <v>19</v>
      </c>
      <c r="H2060">
        <v>61884</v>
      </c>
      <c r="I2060" t="s">
        <v>264</v>
      </c>
    </row>
    <row r="2061" spans="1:9" x14ac:dyDescent="0.25">
      <c r="A2061">
        <v>70377</v>
      </c>
      <c r="B2061" t="s">
        <v>230</v>
      </c>
      <c r="C2061" t="s">
        <v>238</v>
      </c>
      <c r="D2061">
        <v>4</v>
      </c>
      <c r="E2061">
        <v>0</v>
      </c>
      <c r="F2061" t="s">
        <v>241</v>
      </c>
      <c r="G2061" t="s">
        <v>158</v>
      </c>
      <c r="H2061">
        <v>59428</v>
      </c>
      <c r="I2061" t="s">
        <v>265</v>
      </c>
    </row>
    <row r="2062" spans="1:9" x14ac:dyDescent="0.25">
      <c r="A2062">
        <v>70377</v>
      </c>
      <c r="B2062" t="s">
        <v>230</v>
      </c>
      <c r="C2062" t="s">
        <v>238</v>
      </c>
      <c r="D2062">
        <v>4</v>
      </c>
      <c r="E2062">
        <v>0</v>
      </c>
      <c r="F2062" t="s">
        <v>239</v>
      </c>
      <c r="G2062" t="s">
        <v>19</v>
      </c>
      <c r="H2062">
        <v>0</v>
      </c>
      <c r="I2062" t="s">
        <v>271</v>
      </c>
    </row>
    <row r="2063" spans="1:9" x14ac:dyDescent="0.25">
      <c r="A2063">
        <v>70377</v>
      </c>
      <c r="B2063" t="s">
        <v>230</v>
      </c>
      <c r="C2063" t="s">
        <v>238</v>
      </c>
      <c r="D2063">
        <v>4</v>
      </c>
      <c r="E2063">
        <v>0</v>
      </c>
      <c r="F2063" t="s">
        <v>239</v>
      </c>
      <c r="G2063" t="s">
        <v>19</v>
      </c>
      <c r="H2063">
        <v>206904</v>
      </c>
      <c r="I2063" t="s">
        <v>266</v>
      </c>
    </row>
    <row r="2064" spans="1:9" x14ac:dyDescent="0.25">
      <c r="A2064">
        <v>70377</v>
      </c>
      <c r="B2064" t="s">
        <v>230</v>
      </c>
      <c r="C2064" t="s">
        <v>238</v>
      </c>
      <c r="D2064">
        <v>4</v>
      </c>
      <c r="E2064">
        <v>0</v>
      </c>
      <c r="F2064" t="s">
        <v>241</v>
      </c>
      <c r="G2064" t="s">
        <v>143</v>
      </c>
      <c r="H2064">
        <v>0</v>
      </c>
      <c r="I2064" t="s">
        <v>332</v>
      </c>
    </row>
    <row r="2065" spans="1:9" x14ac:dyDescent="0.25">
      <c r="A2065">
        <v>70377</v>
      </c>
      <c r="B2065" t="s">
        <v>230</v>
      </c>
      <c r="C2065" t="s">
        <v>238</v>
      </c>
      <c r="D2065">
        <v>4</v>
      </c>
      <c r="E2065">
        <v>0</v>
      </c>
      <c r="F2065" t="s">
        <v>241</v>
      </c>
      <c r="G2065" t="s">
        <v>138</v>
      </c>
      <c r="H2065">
        <v>0</v>
      </c>
      <c r="I2065" t="s">
        <v>333</v>
      </c>
    </row>
    <row r="2066" spans="1:9" x14ac:dyDescent="0.25">
      <c r="A2066">
        <v>70377</v>
      </c>
      <c r="B2066" t="s">
        <v>230</v>
      </c>
      <c r="C2066" t="s">
        <v>238</v>
      </c>
      <c r="D2066">
        <v>4</v>
      </c>
      <c r="E2066">
        <v>0</v>
      </c>
      <c r="F2066" t="s">
        <v>241</v>
      </c>
      <c r="G2066" t="s">
        <v>138</v>
      </c>
      <c r="H2066">
        <v>0</v>
      </c>
      <c r="I2066" t="s">
        <v>334</v>
      </c>
    </row>
    <row r="2067" spans="1:9" x14ac:dyDescent="0.25">
      <c r="A2067">
        <v>70377</v>
      </c>
      <c r="B2067" t="s">
        <v>230</v>
      </c>
      <c r="C2067" t="s">
        <v>238</v>
      </c>
      <c r="D2067">
        <v>4</v>
      </c>
      <c r="E2067">
        <v>0</v>
      </c>
      <c r="F2067" t="s">
        <v>241</v>
      </c>
      <c r="G2067" t="s">
        <v>138</v>
      </c>
      <c r="H2067">
        <v>-165489</v>
      </c>
      <c r="I2067" t="s">
        <v>268</v>
      </c>
    </row>
    <row r="2068" spans="1:9" x14ac:dyDescent="0.25">
      <c r="A2068">
        <v>70377</v>
      </c>
      <c r="B2068" t="s">
        <v>230</v>
      </c>
      <c r="C2068" t="s">
        <v>238</v>
      </c>
      <c r="D2068">
        <v>4</v>
      </c>
      <c r="E2068">
        <v>0</v>
      </c>
      <c r="F2068" t="s">
        <v>241</v>
      </c>
      <c r="G2068" t="s">
        <v>139</v>
      </c>
      <c r="H2068">
        <v>0</v>
      </c>
      <c r="I2068" t="s">
        <v>336</v>
      </c>
    </row>
    <row r="2069" spans="1:9" x14ac:dyDescent="0.25">
      <c r="A2069">
        <v>70377</v>
      </c>
      <c r="B2069" t="s">
        <v>230</v>
      </c>
      <c r="C2069" t="s">
        <v>238</v>
      </c>
      <c r="D2069">
        <v>4</v>
      </c>
      <c r="E2069">
        <v>0</v>
      </c>
      <c r="F2069" t="s">
        <v>241</v>
      </c>
      <c r="G2069" t="s">
        <v>139</v>
      </c>
      <c r="H2069">
        <v>0</v>
      </c>
      <c r="I2069" t="s">
        <v>337</v>
      </c>
    </row>
    <row r="2070" spans="1:9" x14ac:dyDescent="0.25">
      <c r="A2070">
        <v>70377</v>
      </c>
      <c r="B2070" t="s">
        <v>230</v>
      </c>
      <c r="C2070" t="s">
        <v>238</v>
      </c>
      <c r="D2070">
        <v>4</v>
      </c>
      <c r="E2070">
        <v>0</v>
      </c>
      <c r="F2070" t="s">
        <v>241</v>
      </c>
      <c r="G2070" t="s">
        <v>139</v>
      </c>
      <c r="H2070">
        <v>0</v>
      </c>
      <c r="I2070" t="s">
        <v>335</v>
      </c>
    </row>
    <row r="2071" spans="1:9" x14ac:dyDescent="0.25">
      <c r="A2071">
        <v>70377</v>
      </c>
      <c r="B2071" t="s">
        <v>230</v>
      </c>
      <c r="C2071" t="s">
        <v>238</v>
      </c>
      <c r="D2071">
        <v>4</v>
      </c>
      <c r="E2071">
        <v>0</v>
      </c>
      <c r="F2071" t="s">
        <v>241</v>
      </c>
      <c r="G2071" t="s">
        <v>24</v>
      </c>
      <c r="H2071">
        <v>0</v>
      </c>
      <c r="I2071" t="s">
        <v>338</v>
      </c>
    </row>
    <row r="2072" spans="1:9" x14ac:dyDescent="0.25">
      <c r="A2072">
        <v>70377</v>
      </c>
      <c r="B2072" t="s">
        <v>230</v>
      </c>
      <c r="C2072" t="s">
        <v>238</v>
      </c>
      <c r="D2072">
        <v>4</v>
      </c>
      <c r="E2072">
        <v>0</v>
      </c>
      <c r="F2072" t="s">
        <v>241</v>
      </c>
      <c r="G2072" t="s">
        <v>24</v>
      </c>
      <c r="H2072">
        <v>0</v>
      </c>
      <c r="I2072" t="s">
        <v>339</v>
      </c>
    </row>
    <row r="2073" spans="1:9" x14ac:dyDescent="0.25">
      <c r="A2073">
        <v>70377</v>
      </c>
      <c r="B2073" t="s">
        <v>230</v>
      </c>
      <c r="C2073" t="s">
        <v>238</v>
      </c>
      <c r="D2073">
        <v>4</v>
      </c>
      <c r="E2073">
        <v>0</v>
      </c>
      <c r="F2073" t="s">
        <v>241</v>
      </c>
      <c r="G2073" t="s">
        <v>24</v>
      </c>
      <c r="H2073">
        <v>0</v>
      </c>
      <c r="I2073" t="s">
        <v>340</v>
      </c>
    </row>
    <row r="2074" spans="1:9" x14ac:dyDescent="0.25">
      <c r="A2074">
        <v>70377</v>
      </c>
      <c r="B2074" t="s">
        <v>230</v>
      </c>
      <c r="C2074" t="s">
        <v>238</v>
      </c>
      <c r="D2074">
        <v>4</v>
      </c>
      <c r="E2074">
        <v>0</v>
      </c>
      <c r="F2074" t="s">
        <v>241</v>
      </c>
      <c r="G2074" t="s">
        <v>137</v>
      </c>
      <c r="H2074">
        <v>31622</v>
      </c>
      <c r="I2074" t="s">
        <v>273</v>
      </c>
    </row>
    <row r="2075" spans="1:9" x14ac:dyDescent="0.25">
      <c r="A2075">
        <v>70377</v>
      </c>
      <c r="B2075" t="s">
        <v>230</v>
      </c>
      <c r="C2075" t="s">
        <v>238</v>
      </c>
      <c r="D2075">
        <v>4</v>
      </c>
      <c r="E2075">
        <v>0</v>
      </c>
      <c r="F2075" t="s">
        <v>241</v>
      </c>
      <c r="G2075" t="s">
        <v>137</v>
      </c>
      <c r="H2075">
        <v>0</v>
      </c>
      <c r="I2075" t="s">
        <v>341</v>
      </c>
    </row>
    <row r="2076" spans="1:9" x14ac:dyDescent="0.25">
      <c r="A2076">
        <v>70377</v>
      </c>
      <c r="B2076" t="s">
        <v>230</v>
      </c>
      <c r="C2076" t="s">
        <v>238</v>
      </c>
      <c r="D2076">
        <v>4</v>
      </c>
      <c r="E2076">
        <v>0</v>
      </c>
      <c r="F2076" t="s">
        <v>241</v>
      </c>
      <c r="G2076" t="s">
        <v>137</v>
      </c>
      <c r="H2076">
        <v>0</v>
      </c>
      <c r="I2076" t="s">
        <v>342</v>
      </c>
    </row>
    <row r="2077" spans="1:9" x14ac:dyDescent="0.25">
      <c r="A2077">
        <v>70377</v>
      </c>
      <c r="B2077" t="s">
        <v>230</v>
      </c>
      <c r="C2077" t="s">
        <v>238</v>
      </c>
      <c r="D2077">
        <v>4</v>
      </c>
      <c r="E2077">
        <v>0</v>
      </c>
      <c r="F2077" t="s">
        <v>241</v>
      </c>
      <c r="G2077" t="s">
        <v>137</v>
      </c>
      <c r="H2077">
        <v>0</v>
      </c>
      <c r="I2077" t="s">
        <v>343</v>
      </c>
    </row>
    <row r="2078" spans="1:9" x14ac:dyDescent="0.25">
      <c r="A2078">
        <v>70377</v>
      </c>
      <c r="B2078" t="s">
        <v>230</v>
      </c>
      <c r="C2078" t="s">
        <v>238</v>
      </c>
      <c r="D2078">
        <v>4</v>
      </c>
      <c r="E2078">
        <v>0</v>
      </c>
      <c r="F2078" t="s">
        <v>241</v>
      </c>
      <c r="G2078" t="s">
        <v>143</v>
      </c>
      <c r="H2078">
        <v>0</v>
      </c>
      <c r="I2078" t="s">
        <v>344</v>
      </c>
    </row>
    <row r="2079" spans="1:9" x14ac:dyDescent="0.25">
      <c r="A2079">
        <v>70377</v>
      </c>
      <c r="B2079" t="s">
        <v>230</v>
      </c>
      <c r="C2079" t="s">
        <v>238</v>
      </c>
      <c r="D2079">
        <v>4</v>
      </c>
      <c r="E2079">
        <v>0</v>
      </c>
      <c r="F2079" t="s">
        <v>241</v>
      </c>
      <c r="G2079" t="s">
        <v>143</v>
      </c>
      <c r="H2079">
        <v>0</v>
      </c>
      <c r="I2079" t="s">
        <v>345</v>
      </c>
    </row>
    <row r="2080" spans="1:9" x14ac:dyDescent="0.25">
      <c r="A2080">
        <v>70377</v>
      </c>
      <c r="B2080" t="s">
        <v>230</v>
      </c>
      <c r="C2080" t="s">
        <v>238</v>
      </c>
      <c r="D2080">
        <v>4</v>
      </c>
      <c r="E2080">
        <v>0</v>
      </c>
      <c r="F2080" t="s">
        <v>241</v>
      </c>
      <c r="G2080" t="s">
        <v>143</v>
      </c>
      <c r="H2080">
        <v>0</v>
      </c>
      <c r="I2080" t="s">
        <v>346</v>
      </c>
    </row>
    <row r="2081" spans="1:9" x14ac:dyDescent="0.25">
      <c r="A2081">
        <v>70377</v>
      </c>
      <c r="B2081" t="s">
        <v>230</v>
      </c>
      <c r="C2081" t="s">
        <v>238</v>
      </c>
      <c r="D2081">
        <v>4</v>
      </c>
      <c r="E2081">
        <v>0</v>
      </c>
      <c r="F2081" t="s">
        <v>241</v>
      </c>
      <c r="G2081" t="s">
        <v>138</v>
      </c>
      <c r="H2081">
        <v>0</v>
      </c>
      <c r="I2081" t="s">
        <v>347</v>
      </c>
    </row>
    <row r="2082" spans="1:9" x14ac:dyDescent="0.25">
      <c r="A2082">
        <v>70378</v>
      </c>
      <c r="B2082" t="s">
        <v>232</v>
      </c>
      <c r="C2082" t="s">
        <v>238</v>
      </c>
      <c r="D2082">
        <v>4</v>
      </c>
      <c r="E2082">
        <v>0</v>
      </c>
      <c r="F2082" t="s">
        <v>239</v>
      </c>
      <c r="G2082" t="s">
        <v>153</v>
      </c>
      <c r="H2082">
        <v>0</v>
      </c>
      <c r="I2082" t="s">
        <v>351</v>
      </c>
    </row>
    <row r="2083" spans="1:9" x14ac:dyDescent="0.25">
      <c r="A2083">
        <v>70378</v>
      </c>
      <c r="B2083" t="s">
        <v>232</v>
      </c>
      <c r="C2083" t="s">
        <v>238</v>
      </c>
      <c r="D2083">
        <v>4</v>
      </c>
      <c r="E2083">
        <v>0</v>
      </c>
      <c r="F2083" t="s">
        <v>239</v>
      </c>
      <c r="G2083" t="s">
        <v>152</v>
      </c>
      <c r="H2083">
        <v>0</v>
      </c>
      <c r="I2083" t="s">
        <v>352</v>
      </c>
    </row>
    <row r="2084" spans="1:9" x14ac:dyDescent="0.25">
      <c r="A2084">
        <v>70378</v>
      </c>
      <c r="B2084" t="s">
        <v>232</v>
      </c>
      <c r="C2084" t="s">
        <v>238</v>
      </c>
      <c r="D2084">
        <v>4</v>
      </c>
      <c r="E2084">
        <v>0</v>
      </c>
      <c r="F2084" t="s">
        <v>239</v>
      </c>
      <c r="G2084" t="s">
        <v>154</v>
      </c>
      <c r="H2084">
        <v>0</v>
      </c>
      <c r="I2084" t="s">
        <v>349</v>
      </c>
    </row>
    <row r="2085" spans="1:9" x14ac:dyDescent="0.25">
      <c r="A2085">
        <v>70378</v>
      </c>
      <c r="B2085" t="s">
        <v>232</v>
      </c>
      <c r="C2085" t="s">
        <v>238</v>
      </c>
      <c r="D2085">
        <v>4</v>
      </c>
      <c r="E2085">
        <v>0</v>
      </c>
      <c r="F2085" t="s">
        <v>241</v>
      </c>
      <c r="G2085" t="s">
        <v>26</v>
      </c>
      <c r="H2085">
        <v>0</v>
      </c>
      <c r="I2085" t="s">
        <v>350</v>
      </c>
    </row>
    <row r="2086" spans="1:9" x14ac:dyDescent="0.25">
      <c r="A2086">
        <v>70378</v>
      </c>
      <c r="B2086" t="s">
        <v>232</v>
      </c>
      <c r="C2086" t="s">
        <v>238</v>
      </c>
      <c r="D2086">
        <v>4</v>
      </c>
      <c r="E2086">
        <v>0</v>
      </c>
      <c r="F2086" t="s">
        <v>241</v>
      </c>
      <c r="G2086" t="s">
        <v>23</v>
      </c>
      <c r="H2086">
        <v>0</v>
      </c>
      <c r="I2086" t="s">
        <v>269</v>
      </c>
    </row>
    <row r="2087" spans="1:9" x14ac:dyDescent="0.25">
      <c r="A2087">
        <v>70378</v>
      </c>
      <c r="B2087" t="s">
        <v>232</v>
      </c>
      <c r="C2087" t="s">
        <v>238</v>
      </c>
      <c r="D2087">
        <v>4</v>
      </c>
      <c r="E2087">
        <v>0</v>
      </c>
      <c r="F2087" t="s">
        <v>241</v>
      </c>
      <c r="G2087" t="s">
        <v>26</v>
      </c>
      <c r="H2087">
        <v>0</v>
      </c>
      <c r="I2087" t="s">
        <v>353</v>
      </c>
    </row>
    <row r="2088" spans="1:9" x14ac:dyDescent="0.25">
      <c r="A2088">
        <v>70378</v>
      </c>
      <c r="B2088" t="s">
        <v>232</v>
      </c>
      <c r="C2088" t="s">
        <v>238</v>
      </c>
      <c r="D2088">
        <v>4</v>
      </c>
      <c r="E2088">
        <v>0</v>
      </c>
      <c r="F2088" t="s">
        <v>241</v>
      </c>
      <c r="G2088" t="s">
        <v>157</v>
      </c>
      <c r="H2088">
        <v>0</v>
      </c>
      <c r="I2088" t="s">
        <v>348</v>
      </c>
    </row>
    <row r="2089" spans="1:9" x14ac:dyDescent="0.25">
      <c r="A2089">
        <v>70378</v>
      </c>
      <c r="B2089" t="s">
        <v>232</v>
      </c>
      <c r="C2089" t="s">
        <v>238</v>
      </c>
      <c r="D2089">
        <v>4</v>
      </c>
      <c r="E2089">
        <v>0</v>
      </c>
      <c r="F2089" t="s">
        <v>261</v>
      </c>
      <c r="G2089" t="s">
        <v>261</v>
      </c>
      <c r="H2089">
        <v>0</v>
      </c>
      <c r="I2089" t="s">
        <v>272</v>
      </c>
    </row>
    <row r="2090" spans="1:9" x14ac:dyDescent="0.25">
      <c r="A2090">
        <v>70378</v>
      </c>
      <c r="B2090" t="s">
        <v>232</v>
      </c>
      <c r="C2090" t="s">
        <v>238</v>
      </c>
      <c r="D2090">
        <v>4</v>
      </c>
      <c r="E2090">
        <v>0</v>
      </c>
      <c r="F2090" t="s">
        <v>261</v>
      </c>
      <c r="G2090" t="s">
        <v>261</v>
      </c>
      <c r="H2090">
        <v>0</v>
      </c>
      <c r="I2090" t="s">
        <v>354</v>
      </c>
    </row>
    <row r="2091" spans="1:9" x14ac:dyDescent="0.25">
      <c r="A2091">
        <v>70378</v>
      </c>
      <c r="B2091" t="s">
        <v>232</v>
      </c>
      <c r="C2091" t="s">
        <v>238</v>
      </c>
      <c r="D2091">
        <v>4</v>
      </c>
      <c r="E2091">
        <v>0</v>
      </c>
      <c r="F2091" t="s">
        <v>247</v>
      </c>
      <c r="G2091" t="s">
        <v>12</v>
      </c>
      <c r="H2091">
        <v>-1468797</v>
      </c>
      <c r="I2091" t="s">
        <v>248</v>
      </c>
    </row>
    <row r="2092" spans="1:9" x14ac:dyDescent="0.25">
      <c r="A2092">
        <v>70378</v>
      </c>
      <c r="B2092" t="s">
        <v>232</v>
      </c>
      <c r="C2092" t="s">
        <v>238</v>
      </c>
      <c r="D2092">
        <v>4</v>
      </c>
      <c r="E2092">
        <v>0</v>
      </c>
      <c r="F2092" t="s">
        <v>247</v>
      </c>
      <c r="G2092" t="s">
        <v>13</v>
      </c>
      <c r="H2092">
        <v>8059726</v>
      </c>
      <c r="I2092" t="s">
        <v>249</v>
      </c>
    </row>
    <row r="2093" spans="1:9" x14ac:dyDescent="0.25">
      <c r="A2093">
        <v>70378</v>
      </c>
      <c r="B2093" t="s">
        <v>232</v>
      </c>
      <c r="C2093" t="s">
        <v>238</v>
      </c>
      <c r="D2093">
        <v>4</v>
      </c>
      <c r="E2093">
        <v>0</v>
      </c>
      <c r="F2093" t="s">
        <v>241</v>
      </c>
      <c r="G2093" t="s">
        <v>25</v>
      </c>
      <c r="H2093">
        <v>9685</v>
      </c>
      <c r="I2093" t="s">
        <v>250</v>
      </c>
    </row>
    <row r="2094" spans="1:9" x14ac:dyDescent="0.25">
      <c r="A2094">
        <v>70378</v>
      </c>
      <c r="B2094" t="s">
        <v>232</v>
      </c>
      <c r="C2094" t="s">
        <v>238</v>
      </c>
      <c r="D2094">
        <v>4</v>
      </c>
      <c r="E2094">
        <v>0</v>
      </c>
      <c r="F2094" t="s">
        <v>241</v>
      </c>
      <c r="G2094" t="s">
        <v>26</v>
      </c>
      <c r="H2094">
        <v>0</v>
      </c>
      <c r="I2094" t="s">
        <v>251</v>
      </c>
    </row>
    <row r="2095" spans="1:9" x14ac:dyDescent="0.25">
      <c r="A2095">
        <v>70378</v>
      </c>
      <c r="B2095" t="s">
        <v>232</v>
      </c>
      <c r="C2095" t="s">
        <v>238</v>
      </c>
      <c r="D2095">
        <v>4</v>
      </c>
      <c r="E2095">
        <v>0</v>
      </c>
      <c r="F2095" t="s">
        <v>239</v>
      </c>
      <c r="G2095" t="s">
        <v>18</v>
      </c>
      <c r="H2095">
        <v>279942</v>
      </c>
      <c r="I2095" t="s">
        <v>252</v>
      </c>
    </row>
    <row r="2096" spans="1:9" x14ac:dyDescent="0.25">
      <c r="A2096">
        <v>70378</v>
      </c>
      <c r="B2096" t="s">
        <v>232</v>
      </c>
      <c r="C2096" t="s">
        <v>238</v>
      </c>
      <c r="D2096">
        <v>4</v>
      </c>
      <c r="E2096">
        <v>0</v>
      </c>
      <c r="F2096" t="s">
        <v>241</v>
      </c>
      <c r="G2096" t="s">
        <v>26</v>
      </c>
      <c r="H2096">
        <v>39030</v>
      </c>
      <c r="I2096" t="s">
        <v>253</v>
      </c>
    </row>
    <row r="2097" spans="1:9" x14ac:dyDescent="0.25">
      <c r="A2097">
        <v>70378</v>
      </c>
      <c r="B2097" t="s">
        <v>232</v>
      </c>
      <c r="C2097" t="s">
        <v>238</v>
      </c>
      <c r="D2097">
        <v>4</v>
      </c>
      <c r="E2097">
        <v>0</v>
      </c>
      <c r="F2097" t="s">
        <v>247</v>
      </c>
      <c r="G2097" t="s">
        <v>15</v>
      </c>
      <c r="H2097">
        <v>142621</v>
      </c>
      <c r="I2097" t="s">
        <v>254</v>
      </c>
    </row>
    <row r="2098" spans="1:9" x14ac:dyDescent="0.25">
      <c r="A2098">
        <v>70378</v>
      </c>
      <c r="B2098" t="s">
        <v>232</v>
      </c>
      <c r="C2098" t="s">
        <v>238</v>
      </c>
      <c r="D2098">
        <v>4</v>
      </c>
      <c r="E2098">
        <v>0</v>
      </c>
      <c r="F2098" t="s">
        <v>247</v>
      </c>
      <c r="G2098" t="s">
        <v>14</v>
      </c>
      <c r="H2098">
        <v>0</v>
      </c>
      <c r="I2098" t="s">
        <v>355</v>
      </c>
    </row>
    <row r="2099" spans="1:9" x14ac:dyDescent="0.25">
      <c r="A2099">
        <v>70378</v>
      </c>
      <c r="B2099" t="s">
        <v>232</v>
      </c>
      <c r="C2099" t="s">
        <v>238</v>
      </c>
      <c r="D2099">
        <v>4</v>
      </c>
      <c r="E2099">
        <v>0</v>
      </c>
      <c r="F2099" t="s">
        <v>241</v>
      </c>
      <c r="G2099" t="s">
        <v>23</v>
      </c>
      <c r="H2099">
        <v>63361</v>
      </c>
      <c r="I2099" t="s">
        <v>242</v>
      </c>
    </row>
    <row r="2100" spans="1:9" x14ac:dyDescent="0.25">
      <c r="A2100">
        <v>70378</v>
      </c>
      <c r="B2100" t="s">
        <v>232</v>
      </c>
      <c r="C2100" t="s">
        <v>238</v>
      </c>
      <c r="D2100">
        <v>4</v>
      </c>
      <c r="E2100">
        <v>0</v>
      </c>
      <c r="F2100" t="s">
        <v>241</v>
      </c>
      <c r="G2100" t="s">
        <v>24</v>
      </c>
      <c r="H2100">
        <v>145302</v>
      </c>
      <c r="I2100" t="s">
        <v>243</v>
      </c>
    </row>
    <row r="2101" spans="1:9" x14ac:dyDescent="0.25">
      <c r="A2101">
        <v>70378</v>
      </c>
      <c r="B2101" t="s">
        <v>232</v>
      </c>
      <c r="C2101" t="s">
        <v>238</v>
      </c>
      <c r="D2101">
        <v>4</v>
      </c>
      <c r="E2101">
        <v>0</v>
      </c>
      <c r="F2101" t="s">
        <v>241</v>
      </c>
      <c r="G2101" t="s">
        <v>21</v>
      </c>
      <c r="H2101">
        <v>0</v>
      </c>
      <c r="I2101" t="s">
        <v>356</v>
      </c>
    </row>
    <row r="2102" spans="1:9" x14ac:dyDescent="0.25">
      <c r="A2102">
        <v>70378</v>
      </c>
      <c r="B2102" t="s">
        <v>232</v>
      </c>
      <c r="C2102" t="s">
        <v>238</v>
      </c>
      <c r="D2102">
        <v>4</v>
      </c>
      <c r="E2102">
        <v>0</v>
      </c>
      <c r="F2102" t="s">
        <v>239</v>
      </c>
      <c r="G2102" t="s">
        <v>20</v>
      </c>
      <c r="H2102">
        <v>-4156</v>
      </c>
      <c r="I2102" t="s">
        <v>244</v>
      </c>
    </row>
    <row r="2103" spans="1:9" x14ac:dyDescent="0.25">
      <c r="A2103">
        <v>70378</v>
      </c>
      <c r="B2103" t="s">
        <v>232</v>
      </c>
      <c r="C2103" t="s">
        <v>238</v>
      </c>
      <c r="D2103">
        <v>4</v>
      </c>
      <c r="E2103">
        <v>0</v>
      </c>
      <c r="F2103" t="s">
        <v>241</v>
      </c>
      <c r="G2103" t="s">
        <v>22</v>
      </c>
      <c r="H2103">
        <v>0</v>
      </c>
      <c r="I2103" t="s">
        <v>245</v>
      </c>
    </row>
    <row r="2104" spans="1:9" x14ac:dyDescent="0.25">
      <c r="A2104">
        <v>70378</v>
      </c>
      <c r="B2104" t="s">
        <v>232</v>
      </c>
      <c r="C2104" t="s">
        <v>238</v>
      </c>
      <c r="D2104">
        <v>4</v>
      </c>
      <c r="E2104">
        <v>0</v>
      </c>
      <c r="F2104" t="s">
        <v>241</v>
      </c>
      <c r="G2104" t="s">
        <v>26</v>
      </c>
      <c r="H2104">
        <v>2521</v>
      </c>
      <c r="I2104" t="s">
        <v>246</v>
      </c>
    </row>
    <row r="2105" spans="1:9" x14ac:dyDescent="0.25">
      <c r="A2105">
        <v>70378</v>
      </c>
      <c r="B2105" t="s">
        <v>232</v>
      </c>
      <c r="C2105" t="s">
        <v>238</v>
      </c>
      <c r="D2105">
        <v>4</v>
      </c>
      <c r="E2105">
        <v>0</v>
      </c>
      <c r="F2105" t="s">
        <v>239</v>
      </c>
      <c r="G2105" t="s">
        <v>17</v>
      </c>
      <c r="H2105">
        <v>0</v>
      </c>
      <c r="I2105" t="s">
        <v>357</v>
      </c>
    </row>
    <row r="2106" spans="1:9" x14ac:dyDescent="0.25">
      <c r="A2106">
        <v>70378</v>
      </c>
      <c r="B2106" t="s">
        <v>232</v>
      </c>
      <c r="C2106" t="s">
        <v>238</v>
      </c>
      <c r="D2106">
        <v>4</v>
      </c>
      <c r="E2106">
        <v>0</v>
      </c>
      <c r="F2106" t="s">
        <v>241</v>
      </c>
      <c r="G2106" t="s">
        <v>24</v>
      </c>
      <c r="H2106">
        <v>0</v>
      </c>
      <c r="I2106" t="s">
        <v>358</v>
      </c>
    </row>
    <row r="2107" spans="1:9" x14ac:dyDescent="0.25">
      <c r="A2107">
        <v>70378</v>
      </c>
      <c r="B2107" t="s">
        <v>232</v>
      </c>
      <c r="C2107" t="s">
        <v>238</v>
      </c>
      <c r="D2107">
        <v>4</v>
      </c>
      <c r="E2107">
        <v>0</v>
      </c>
      <c r="F2107" t="s">
        <v>241</v>
      </c>
      <c r="G2107" t="s">
        <v>27</v>
      </c>
      <c r="H2107">
        <v>0</v>
      </c>
      <c r="I2107" t="s">
        <v>359</v>
      </c>
    </row>
    <row r="2108" spans="1:9" x14ac:dyDescent="0.25">
      <c r="A2108">
        <v>70378</v>
      </c>
      <c r="B2108" t="s">
        <v>232</v>
      </c>
      <c r="C2108" t="s">
        <v>238</v>
      </c>
      <c r="D2108">
        <v>4</v>
      </c>
      <c r="E2108">
        <v>0</v>
      </c>
      <c r="F2108" t="s">
        <v>239</v>
      </c>
      <c r="G2108" t="s">
        <v>19</v>
      </c>
      <c r="H2108">
        <v>0</v>
      </c>
      <c r="I2108" t="s">
        <v>360</v>
      </c>
    </row>
    <row r="2109" spans="1:9" x14ac:dyDescent="0.25">
      <c r="A2109">
        <v>70378</v>
      </c>
      <c r="B2109" t="s">
        <v>232</v>
      </c>
      <c r="C2109" t="s">
        <v>238</v>
      </c>
      <c r="D2109">
        <v>4</v>
      </c>
      <c r="E2109">
        <v>0</v>
      </c>
      <c r="F2109" t="s">
        <v>239</v>
      </c>
      <c r="G2109" t="s">
        <v>20</v>
      </c>
      <c r="H2109">
        <v>73145</v>
      </c>
      <c r="I2109" t="s">
        <v>255</v>
      </c>
    </row>
    <row r="2110" spans="1:9" x14ac:dyDescent="0.25">
      <c r="A2110">
        <v>70378</v>
      </c>
      <c r="B2110" t="s">
        <v>232</v>
      </c>
      <c r="C2110" t="s">
        <v>238</v>
      </c>
      <c r="D2110">
        <v>4</v>
      </c>
      <c r="E2110">
        <v>0</v>
      </c>
      <c r="F2110" t="s">
        <v>247</v>
      </c>
      <c r="G2110" t="s">
        <v>148</v>
      </c>
      <c r="H2110">
        <v>901719</v>
      </c>
      <c r="I2110" t="s">
        <v>256</v>
      </c>
    </row>
    <row r="2111" spans="1:9" x14ac:dyDescent="0.25">
      <c r="A2111">
        <v>70378</v>
      </c>
      <c r="B2111" t="s">
        <v>232</v>
      </c>
      <c r="C2111" t="s">
        <v>238</v>
      </c>
      <c r="D2111">
        <v>4</v>
      </c>
      <c r="E2111">
        <v>0</v>
      </c>
      <c r="F2111" t="s">
        <v>241</v>
      </c>
      <c r="G2111" t="s">
        <v>27</v>
      </c>
      <c r="H2111">
        <v>7447514</v>
      </c>
      <c r="I2111" t="s">
        <v>257</v>
      </c>
    </row>
    <row r="2112" spans="1:9" x14ac:dyDescent="0.25">
      <c r="A2112">
        <v>70378</v>
      </c>
      <c r="B2112" t="s">
        <v>232</v>
      </c>
      <c r="C2112" t="s">
        <v>238</v>
      </c>
      <c r="D2112">
        <v>4</v>
      </c>
      <c r="E2112">
        <v>0</v>
      </c>
      <c r="F2112" t="s">
        <v>241</v>
      </c>
      <c r="G2112" t="s">
        <v>27</v>
      </c>
      <c r="H2112">
        <v>0</v>
      </c>
      <c r="I2112" t="s">
        <v>361</v>
      </c>
    </row>
    <row r="2113" spans="1:9" x14ac:dyDescent="0.25">
      <c r="A2113">
        <v>70378</v>
      </c>
      <c r="B2113" t="s">
        <v>232</v>
      </c>
      <c r="C2113" t="s">
        <v>238</v>
      </c>
      <c r="D2113">
        <v>4</v>
      </c>
      <c r="E2113">
        <v>0</v>
      </c>
      <c r="F2113" t="s">
        <v>241</v>
      </c>
      <c r="G2113" t="s">
        <v>27</v>
      </c>
      <c r="H2113">
        <v>0</v>
      </c>
      <c r="I2113" t="s">
        <v>362</v>
      </c>
    </row>
    <row r="2114" spans="1:9" x14ac:dyDescent="0.25">
      <c r="A2114">
        <v>70378</v>
      </c>
      <c r="B2114" t="s">
        <v>232</v>
      </c>
      <c r="C2114" t="s">
        <v>238</v>
      </c>
      <c r="D2114">
        <v>4</v>
      </c>
      <c r="E2114">
        <v>0</v>
      </c>
      <c r="F2114" t="s">
        <v>241</v>
      </c>
      <c r="G2114" t="s">
        <v>27</v>
      </c>
      <c r="H2114">
        <v>0</v>
      </c>
      <c r="I2114" t="s">
        <v>363</v>
      </c>
    </row>
    <row r="2115" spans="1:9" x14ac:dyDescent="0.25">
      <c r="A2115">
        <v>70378</v>
      </c>
      <c r="B2115" t="s">
        <v>232</v>
      </c>
      <c r="C2115" t="s">
        <v>238</v>
      </c>
      <c r="D2115">
        <v>4</v>
      </c>
      <c r="E2115">
        <v>0</v>
      </c>
      <c r="F2115" t="s">
        <v>239</v>
      </c>
      <c r="G2115" t="s">
        <v>16</v>
      </c>
      <c r="H2115">
        <v>0</v>
      </c>
      <c r="I2115" t="s">
        <v>267</v>
      </c>
    </row>
    <row r="2116" spans="1:9" x14ac:dyDescent="0.25">
      <c r="A2116">
        <v>70378</v>
      </c>
      <c r="B2116" t="s">
        <v>232</v>
      </c>
      <c r="C2116" t="s">
        <v>238</v>
      </c>
      <c r="D2116">
        <v>4</v>
      </c>
      <c r="E2116">
        <v>0</v>
      </c>
      <c r="F2116" t="s">
        <v>239</v>
      </c>
      <c r="G2116" t="s">
        <v>152</v>
      </c>
      <c r="H2116">
        <v>24613</v>
      </c>
      <c r="I2116" t="s">
        <v>258</v>
      </c>
    </row>
    <row r="2117" spans="1:9" x14ac:dyDescent="0.25">
      <c r="A2117">
        <v>70378</v>
      </c>
      <c r="B2117" t="s">
        <v>232</v>
      </c>
      <c r="C2117" t="s">
        <v>238</v>
      </c>
      <c r="D2117">
        <v>4</v>
      </c>
      <c r="E2117">
        <v>0</v>
      </c>
      <c r="F2117" t="s">
        <v>239</v>
      </c>
      <c r="G2117" t="s">
        <v>154</v>
      </c>
      <c r="H2117">
        <v>0</v>
      </c>
      <c r="I2117" t="s">
        <v>330</v>
      </c>
    </row>
    <row r="2118" spans="1:9" x14ac:dyDescent="0.25">
      <c r="A2118">
        <v>70378</v>
      </c>
      <c r="B2118" t="s">
        <v>232</v>
      </c>
      <c r="C2118" t="s">
        <v>238</v>
      </c>
      <c r="D2118">
        <v>4</v>
      </c>
      <c r="E2118">
        <v>0</v>
      </c>
      <c r="F2118" t="s">
        <v>239</v>
      </c>
      <c r="G2118" t="s">
        <v>16</v>
      </c>
      <c r="H2118">
        <v>3415</v>
      </c>
      <c r="I2118" t="s">
        <v>259</v>
      </c>
    </row>
    <row r="2119" spans="1:9" x14ac:dyDescent="0.25">
      <c r="A2119">
        <v>70378</v>
      </c>
      <c r="B2119" t="s">
        <v>232</v>
      </c>
      <c r="C2119" t="s">
        <v>238</v>
      </c>
      <c r="D2119">
        <v>4</v>
      </c>
      <c r="E2119">
        <v>0</v>
      </c>
      <c r="F2119" t="s">
        <v>239</v>
      </c>
      <c r="G2119" t="s">
        <v>19</v>
      </c>
      <c r="H2119">
        <v>68107</v>
      </c>
      <c r="I2119" t="s">
        <v>260</v>
      </c>
    </row>
    <row r="2120" spans="1:9" x14ac:dyDescent="0.25">
      <c r="A2120">
        <v>70378</v>
      </c>
      <c r="B2120" t="s">
        <v>232</v>
      </c>
      <c r="C2120" t="s">
        <v>238</v>
      </c>
      <c r="D2120">
        <v>4</v>
      </c>
      <c r="E2120">
        <v>0</v>
      </c>
      <c r="F2120" t="s">
        <v>239</v>
      </c>
      <c r="G2120" t="s">
        <v>19</v>
      </c>
      <c r="H2120">
        <v>-402452</v>
      </c>
      <c r="I2120" t="s">
        <v>270</v>
      </c>
    </row>
    <row r="2121" spans="1:9" x14ac:dyDescent="0.25">
      <c r="A2121">
        <v>70378</v>
      </c>
      <c r="B2121" t="s">
        <v>232</v>
      </c>
      <c r="C2121" t="s">
        <v>238</v>
      </c>
      <c r="D2121">
        <v>4</v>
      </c>
      <c r="E2121">
        <v>0</v>
      </c>
      <c r="F2121" t="s">
        <v>241</v>
      </c>
      <c r="G2121" t="s">
        <v>139</v>
      </c>
      <c r="H2121">
        <v>0</v>
      </c>
      <c r="I2121" t="s">
        <v>331</v>
      </c>
    </row>
    <row r="2122" spans="1:9" x14ac:dyDescent="0.25">
      <c r="A2122">
        <v>70378</v>
      </c>
      <c r="B2122" t="s">
        <v>232</v>
      </c>
      <c r="C2122" t="s">
        <v>238</v>
      </c>
      <c r="D2122">
        <v>4</v>
      </c>
      <c r="E2122">
        <v>0</v>
      </c>
      <c r="F2122" t="s">
        <v>261</v>
      </c>
      <c r="G2122" t="s">
        <v>261</v>
      </c>
      <c r="H2122">
        <v>1020620</v>
      </c>
      <c r="I2122" t="s">
        <v>262</v>
      </c>
    </row>
    <row r="2123" spans="1:9" x14ac:dyDescent="0.25">
      <c r="A2123">
        <v>70378</v>
      </c>
      <c r="B2123" t="s">
        <v>232</v>
      </c>
      <c r="C2123" t="s">
        <v>238</v>
      </c>
      <c r="D2123">
        <v>4</v>
      </c>
      <c r="E2123">
        <v>0</v>
      </c>
      <c r="F2123" t="s">
        <v>239</v>
      </c>
      <c r="G2123" t="s">
        <v>19</v>
      </c>
      <c r="H2123">
        <v>234736</v>
      </c>
      <c r="I2123" t="s">
        <v>263</v>
      </c>
    </row>
    <row r="2124" spans="1:9" x14ac:dyDescent="0.25">
      <c r="A2124">
        <v>70378</v>
      </c>
      <c r="B2124" t="s">
        <v>232</v>
      </c>
      <c r="C2124" t="s">
        <v>238</v>
      </c>
      <c r="D2124">
        <v>4</v>
      </c>
      <c r="E2124">
        <v>0</v>
      </c>
      <c r="F2124" t="s">
        <v>239</v>
      </c>
      <c r="G2124" t="s">
        <v>16</v>
      </c>
      <c r="H2124">
        <v>712</v>
      </c>
      <c r="I2124" t="s">
        <v>240</v>
      </c>
    </row>
    <row r="2125" spans="1:9" x14ac:dyDescent="0.25">
      <c r="A2125">
        <v>70378</v>
      </c>
      <c r="B2125" t="s">
        <v>232</v>
      </c>
      <c r="C2125" t="s">
        <v>238</v>
      </c>
      <c r="D2125">
        <v>4</v>
      </c>
      <c r="E2125">
        <v>0</v>
      </c>
      <c r="F2125" t="s">
        <v>239</v>
      </c>
      <c r="G2125" t="s">
        <v>19</v>
      </c>
      <c r="H2125">
        <v>58913</v>
      </c>
      <c r="I2125" t="s">
        <v>264</v>
      </c>
    </row>
    <row r="2126" spans="1:9" x14ac:dyDescent="0.25">
      <c r="A2126">
        <v>70378</v>
      </c>
      <c r="B2126" t="s">
        <v>232</v>
      </c>
      <c r="C2126" t="s">
        <v>238</v>
      </c>
      <c r="D2126">
        <v>4</v>
      </c>
      <c r="E2126">
        <v>0</v>
      </c>
      <c r="F2126" t="s">
        <v>241</v>
      </c>
      <c r="G2126" t="s">
        <v>158</v>
      </c>
      <c r="H2126">
        <v>57936</v>
      </c>
      <c r="I2126" t="s">
        <v>265</v>
      </c>
    </row>
    <row r="2127" spans="1:9" x14ac:dyDescent="0.25">
      <c r="A2127">
        <v>70378</v>
      </c>
      <c r="B2127" t="s">
        <v>232</v>
      </c>
      <c r="C2127" t="s">
        <v>238</v>
      </c>
      <c r="D2127">
        <v>4</v>
      </c>
      <c r="E2127">
        <v>0</v>
      </c>
      <c r="F2127" t="s">
        <v>239</v>
      </c>
      <c r="G2127" t="s">
        <v>19</v>
      </c>
      <c r="H2127">
        <v>402452</v>
      </c>
      <c r="I2127" t="s">
        <v>271</v>
      </c>
    </row>
    <row r="2128" spans="1:9" x14ac:dyDescent="0.25">
      <c r="A2128">
        <v>70378</v>
      </c>
      <c r="B2128" t="s">
        <v>232</v>
      </c>
      <c r="C2128" t="s">
        <v>238</v>
      </c>
      <c r="D2128">
        <v>4</v>
      </c>
      <c r="E2128">
        <v>0</v>
      </c>
      <c r="F2128" t="s">
        <v>239</v>
      </c>
      <c r="G2128" t="s">
        <v>19</v>
      </c>
      <c r="H2128">
        <v>201851</v>
      </c>
      <c r="I2128" t="s">
        <v>266</v>
      </c>
    </row>
    <row r="2129" spans="1:9" x14ac:dyDescent="0.25">
      <c r="A2129">
        <v>70378</v>
      </c>
      <c r="B2129" t="s">
        <v>232</v>
      </c>
      <c r="C2129" t="s">
        <v>238</v>
      </c>
      <c r="D2129">
        <v>4</v>
      </c>
      <c r="E2129">
        <v>0</v>
      </c>
      <c r="F2129" t="s">
        <v>241</v>
      </c>
      <c r="G2129" t="s">
        <v>143</v>
      </c>
      <c r="H2129">
        <v>0</v>
      </c>
      <c r="I2129" t="s">
        <v>332</v>
      </c>
    </row>
    <row r="2130" spans="1:9" x14ac:dyDescent="0.25">
      <c r="A2130">
        <v>70378</v>
      </c>
      <c r="B2130" t="s">
        <v>232</v>
      </c>
      <c r="C2130" t="s">
        <v>238</v>
      </c>
      <c r="D2130">
        <v>4</v>
      </c>
      <c r="E2130">
        <v>0</v>
      </c>
      <c r="F2130" t="s">
        <v>241</v>
      </c>
      <c r="G2130" t="s">
        <v>138</v>
      </c>
      <c r="H2130">
        <v>0</v>
      </c>
      <c r="I2130" t="s">
        <v>333</v>
      </c>
    </row>
    <row r="2131" spans="1:9" x14ac:dyDescent="0.25">
      <c r="A2131">
        <v>70378</v>
      </c>
      <c r="B2131" t="s">
        <v>232</v>
      </c>
      <c r="C2131" t="s">
        <v>238</v>
      </c>
      <c r="D2131">
        <v>4</v>
      </c>
      <c r="E2131">
        <v>0</v>
      </c>
      <c r="F2131" t="s">
        <v>241</v>
      </c>
      <c r="G2131" t="s">
        <v>138</v>
      </c>
      <c r="H2131">
        <v>0</v>
      </c>
      <c r="I2131" t="s">
        <v>334</v>
      </c>
    </row>
    <row r="2132" spans="1:9" x14ac:dyDescent="0.25">
      <c r="A2132">
        <v>70378</v>
      </c>
      <c r="B2132" t="s">
        <v>232</v>
      </c>
      <c r="C2132" t="s">
        <v>238</v>
      </c>
      <c r="D2132">
        <v>4</v>
      </c>
      <c r="E2132">
        <v>0</v>
      </c>
      <c r="F2132" t="s">
        <v>241</v>
      </c>
      <c r="G2132" t="s">
        <v>138</v>
      </c>
      <c r="H2132">
        <v>-171887</v>
      </c>
      <c r="I2132" t="s">
        <v>268</v>
      </c>
    </row>
    <row r="2133" spans="1:9" x14ac:dyDescent="0.25">
      <c r="A2133">
        <v>70378</v>
      </c>
      <c r="B2133" t="s">
        <v>232</v>
      </c>
      <c r="C2133" t="s">
        <v>238</v>
      </c>
      <c r="D2133">
        <v>4</v>
      </c>
      <c r="E2133">
        <v>0</v>
      </c>
      <c r="F2133" t="s">
        <v>241</v>
      </c>
      <c r="G2133" t="s">
        <v>139</v>
      </c>
      <c r="H2133">
        <v>0</v>
      </c>
      <c r="I2133" t="s">
        <v>336</v>
      </c>
    </row>
    <row r="2134" spans="1:9" x14ac:dyDescent="0.25">
      <c r="A2134">
        <v>70378</v>
      </c>
      <c r="B2134" t="s">
        <v>232</v>
      </c>
      <c r="C2134" t="s">
        <v>238</v>
      </c>
      <c r="D2134">
        <v>4</v>
      </c>
      <c r="E2134">
        <v>0</v>
      </c>
      <c r="F2134" t="s">
        <v>241</v>
      </c>
      <c r="G2134" t="s">
        <v>139</v>
      </c>
      <c r="H2134">
        <v>0</v>
      </c>
      <c r="I2134" t="s">
        <v>337</v>
      </c>
    </row>
    <row r="2135" spans="1:9" x14ac:dyDescent="0.25">
      <c r="A2135">
        <v>70378</v>
      </c>
      <c r="B2135" t="s">
        <v>232</v>
      </c>
      <c r="C2135" t="s">
        <v>238</v>
      </c>
      <c r="D2135">
        <v>4</v>
      </c>
      <c r="E2135">
        <v>0</v>
      </c>
      <c r="F2135" t="s">
        <v>241</v>
      </c>
      <c r="G2135" t="s">
        <v>139</v>
      </c>
      <c r="H2135">
        <v>0</v>
      </c>
      <c r="I2135" t="s">
        <v>335</v>
      </c>
    </row>
    <row r="2136" spans="1:9" x14ac:dyDescent="0.25">
      <c r="A2136">
        <v>70378</v>
      </c>
      <c r="B2136" t="s">
        <v>232</v>
      </c>
      <c r="C2136" t="s">
        <v>238</v>
      </c>
      <c r="D2136">
        <v>4</v>
      </c>
      <c r="E2136">
        <v>0</v>
      </c>
      <c r="F2136" t="s">
        <v>241</v>
      </c>
      <c r="G2136" t="s">
        <v>24</v>
      </c>
      <c r="H2136">
        <v>0</v>
      </c>
      <c r="I2136" t="s">
        <v>338</v>
      </c>
    </row>
    <row r="2137" spans="1:9" x14ac:dyDescent="0.25">
      <c r="A2137">
        <v>70378</v>
      </c>
      <c r="B2137" t="s">
        <v>232</v>
      </c>
      <c r="C2137" t="s">
        <v>238</v>
      </c>
      <c r="D2137">
        <v>4</v>
      </c>
      <c r="E2137">
        <v>0</v>
      </c>
      <c r="F2137" t="s">
        <v>241</v>
      </c>
      <c r="G2137" t="s">
        <v>24</v>
      </c>
      <c r="H2137">
        <v>0</v>
      </c>
      <c r="I2137" t="s">
        <v>339</v>
      </c>
    </row>
    <row r="2138" spans="1:9" x14ac:dyDescent="0.25">
      <c r="A2138">
        <v>70378</v>
      </c>
      <c r="B2138" t="s">
        <v>232</v>
      </c>
      <c r="C2138" t="s">
        <v>238</v>
      </c>
      <c r="D2138">
        <v>4</v>
      </c>
      <c r="E2138">
        <v>0</v>
      </c>
      <c r="F2138" t="s">
        <v>241</v>
      </c>
      <c r="G2138" t="s">
        <v>24</v>
      </c>
      <c r="H2138">
        <v>0</v>
      </c>
      <c r="I2138" t="s">
        <v>340</v>
      </c>
    </row>
    <row r="2139" spans="1:9" x14ac:dyDescent="0.25">
      <c r="A2139">
        <v>70378</v>
      </c>
      <c r="B2139" t="s">
        <v>232</v>
      </c>
      <c r="C2139" t="s">
        <v>238</v>
      </c>
      <c r="D2139">
        <v>4</v>
      </c>
      <c r="E2139">
        <v>0</v>
      </c>
      <c r="F2139" t="s">
        <v>241</v>
      </c>
      <c r="G2139" t="s">
        <v>137</v>
      </c>
      <c r="H2139">
        <v>0</v>
      </c>
      <c r="I2139" t="s">
        <v>273</v>
      </c>
    </row>
    <row r="2140" spans="1:9" x14ac:dyDescent="0.25">
      <c r="A2140">
        <v>70378</v>
      </c>
      <c r="B2140" t="s">
        <v>232</v>
      </c>
      <c r="C2140" t="s">
        <v>238</v>
      </c>
      <c r="D2140">
        <v>4</v>
      </c>
      <c r="E2140">
        <v>0</v>
      </c>
      <c r="F2140" t="s">
        <v>241</v>
      </c>
      <c r="G2140" t="s">
        <v>137</v>
      </c>
      <c r="H2140">
        <v>0</v>
      </c>
      <c r="I2140" t="s">
        <v>341</v>
      </c>
    </row>
    <row r="2141" spans="1:9" x14ac:dyDescent="0.25">
      <c r="A2141">
        <v>70378</v>
      </c>
      <c r="B2141" t="s">
        <v>232</v>
      </c>
      <c r="C2141" t="s">
        <v>238</v>
      </c>
      <c r="D2141">
        <v>4</v>
      </c>
      <c r="E2141">
        <v>0</v>
      </c>
      <c r="F2141" t="s">
        <v>241</v>
      </c>
      <c r="G2141" t="s">
        <v>137</v>
      </c>
      <c r="H2141">
        <v>0</v>
      </c>
      <c r="I2141" t="s">
        <v>342</v>
      </c>
    </row>
    <row r="2142" spans="1:9" x14ac:dyDescent="0.25">
      <c r="A2142">
        <v>70378</v>
      </c>
      <c r="B2142" t="s">
        <v>232</v>
      </c>
      <c r="C2142" t="s">
        <v>238</v>
      </c>
      <c r="D2142">
        <v>4</v>
      </c>
      <c r="E2142">
        <v>0</v>
      </c>
      <c r="F2142" t="s">
        <v>241</v>
      </c>
      <c r="G2142" t="s">
        <v>137</v>
      </c>
      <c r="H2142">
        <v>0</v>
      </c>
      <c r="I2142" t="s">
        <v>343</v>
      </c>
    </row>
    <row r="2143" spans="1:9" x14ac:dyDescent="0.25">
      <c r="A2143">
        <v>70378</v>
      </c>
      <c r="B2143" t="s">
        <v>232</v>
      </c>
      <c r="C2143" t="s">
        <v>238</v>
      </c>
      <c r="D2143">
        <v>4</v>
      </c>
      <c r="E2143">
        <v>0</v>
      </c>
      <c r="F2143" t="s">
        <v>241</v>
      </c>
      <c r="G2143" t="s">
        <v>143</v>
      </c>
      <c r="H2143">
        <v>0</v>
      </c>
      <c r="I2143" t="s">
        <v>344</v>
      </c>
    </row>
    <row r="2144" spans="1:9" x14ac:dyDescent="0.25">
      <c r="A2144">
        <v>70378</v>
      </c>
      <c r="B2144" t="s">
        <v>232</v>
      </c>
      <c r="C2144" t="s">
        <v>238</v>
      </c>
      <c r="D2144">
        <v>4</v>
      </c>
      <c r="E2144">
        <v>0</v>
      </c>
      <c r="F2144" t="s">
        <v>241</v>
      </c>
      <c r="G2144" t="s">
        <v>143</v>
      </c>
      <c r="H2144">
        <v>0</v>
      </c>
      <c r="I2144" t="s">
        <v>345</v>
      </c>
    </row>
    <row r="2145" spans="1:9" x14ac:dyDescent="0.25">
      <c r="A2145">
        <v>70378</v>
      </c>
      <c r="B2145" t="s">
        <v>232</v>
      </c>
      <c r="C2145" t="s">
        <v>238</v>
      </c>
      <c r="D2145">
        <v>4</v>
      </c>
      <c r="E2145">
        <v>0</v>
      </c>
      <c r="F2145" t="s">
        <v>241</v>
      </c>
      <c r="G2145" t="s">
        <v>143</v>
      </c>
      <c r="H2145">
        <v>0</v>
      </c>
      <c r="I2145" t="s">
        <v>346</v>
      </c>
    </row>
    <row r="2146" spans="1:9" x14ac:dyDescent="0.25">
      <c r="A2146">
        <v>70378</v>
      </c>
      <c r="B2146" t="s">
        <v>232</v>
      </c>
      <c r="C2146" t="s">
        <v>238</v>
      </c>
      <c r="D2146">
        <v>4</v>
      </c>
      <c r="E2146">
        <v>0</v>
      </c>
      <c r="F2146" t="s">
        <v>241</v>
      </c>
      <c r="G2146" t="s">
        <v>138</v>
      </c>
      <c r="H2146">
        <v>0</v>
      </c>
      <c r="I2146" t="s">
        <v>347</v>
      </c>
    </row>
    <row r="2147" spans="1:9" x14ac:dyDescent="0.25">
      <c r="A2147">
        <v>70379</v>
      </c>
      <c r="B2147" t="s">
        <v>234</v>
      </c>
      <c r="C2147" t="s">
        <v>238</v>
      </c>
      <c r="D2147">
        <v>4</v>
      </c>
      <c r="E2147">
        <v>0</v>
      </c>
      <c r="F2147" t="s">
        <v>239</v>
      </c>
      <c r="G2147" t="s">
        <v>153</v>
      </c>
      <c r="H2147">
        <v>0</v>
      </c>
      <c r="I2147" t="s">
        <v>351</v>
      </c>
    </row>
    <row r="2148" spans="1:9" x14ac:dyDescent="0.25">
      <c r="A2148">
        <v>70379</v>
      </c>
      <c r="B2148" t="s">
        <v>234</v>
      </c>
      <c r="C2148" t="s">
        <v>238</v>
      </c>
      <c r="D2148">
        <v>4</v>
      </c>
      <c r="E2148">
        <v>0</v>
      </c>
      <c r="F2148" t="s">
        <v>239</v>
      </c>
      <c r="G2148" t="s">
        <v>152</v>
      </c>
      <c r="H2148">
        <v>0</v>
      </c>
      <c r="I2148" t="s">
        <v>352</v>
      </c>
    </row>
    <row r="2149" spans="1:9" x14ac:dyDescent="0.25">
      <c r="A2149">
        <v>70379</v>
      </c>
      <c r="B2149" t="s">
        <v>234</v>
      </c>
      <c r="C2149" t="s">
        <v>238</v>
      </c>
      <c r="D2149">
        <v>4</v>
      </c>
      <c r="E2149">
        <v>0</v>
      </c>
      <c r="F2149" t="s">
        <v>239</v>
      </c>
      <c r="G2149" t="s">
        <v>154</v>
      </c>
      <c r="H2149">
        <v>0</v>
      </c>
      <c r="I2149" t="s">
        <v>349</v>
      </c>
    </row>
    <row r="2150" spans="1:9" x14ac:dyDescent="0.25">
      <c r="A2150">
        <v>70379</v>
      </c>
      <c r="B2150" t="s">
        <v>234</v>
      </c>
      <c r="C2150" t="s">
        <v>238</v>
      </c>
      <c r="D2150">
        <v>4</v>
      </c>
      <c r="E2150">
        <v>0</v>
      </c>
      <c r="F2150" t="s">
        <v>241</v>
      </c>
      <c r="G2150" t="s">
        <v>26</v>
      </c>
      <c r="H2150">
        <v>0</v>
      </c>
      <c r="I2150" t="s">
        <v>350</v>
      </c>
    </row>
    <row r="2151" spans="1:9" x14ac:dyDescent="0.25">
      <c r="A2151">
        <v>70379</v>
      </c>
      <c r="B2151" t="s">
        <v>234</v>
      </c>
      <c r="C2151" t="s">
        <v>238</v>
      </c>
      <c r="D2151">
        <v>4</v>
      </c>
      <c r="E2151">
        <v>0</v>
      </c>
      <c r="F2151" t="s">
        <v>241</v>
      </c>
      <c r="G2151" t="s">
        <v>23</v>
      </c>
      <c r="H2151">
        <v>0</v>
      </c>
      <c r="I2151" t="s">
        <v>269</v>
      </c>
    </row>
    <row r="2152" spans="1:9" x14ac:dyDescent="0.25">
      <c r="A2152">
        <v>70379</v>
      </c>
      <c r="B2152" t="s">
        <v>234</v>
      </c>
      <c r="C2152" t="s">
        <v>238</v>
      </c>
      <c r="D2152">
        <v>4</v>
      </c>
      <c r="E2152">
        <v>0</v>
      </c>
      <c r="F2152" t="s">
        <v>241</v>
      </c>
      <c r="G2152" t="s">
        <v>26</v>
      </c>
      <c r="H2152">
        <v>0</v>
      </c>
      <c r="I2152" t="s">
        <v>353</v>
      </c>
    </row>
    <row r="2153" spans="1:9" x14ac:dyDescent="0.25">
      <c r="A2153">
        <v>70379</v>
      </c>
      <c r="B2153" t="s">
        <v>234</v>
      </c>
      <c r="C2153" t="s">
        <v>238</v>
      </c>
      <c r="D2153">
        <v>4</v>
      </c>
      <c r="E2153">
        <v>0</v>
      </c>
      <c r="F2153" t="s">
        <v>241</v>
      </c>
      <c r="G2153" t="s">
        <v>157</v>
      </c>
      <c r="H2153">
        <v>0</v>
      </c>
      <c r="I2153" t="s">
        <v>348</v>
      </c>
    </row>
    <row r="2154" spans="1:9" x14ac:dyDescent="0.25">
      <c r="A2154">
        <v>70379</v>
      </c>
      <c r="B2154" t="s">
        <v>234</v>
      </c>
      <c r="C2154" t="s">
        <v>238</v>
      </c>
      <c r="D2154">
        <v>4</v>
      </c>
      <c r="E2154">
        <v>0</v>
      </c>
      <c r="F2154" t="s">
        <v>261</v>
      </c>
      <c r="G2154" t="s">
        <v>261</v>
      </c>
      <c r="H2154">
        <v>0</v>
      </c>
      <c r="I2154" t="s">
        <v>272</v>
      </c>
    </row>
    <row r="2155" spans="1:9" x14ac:dyDescent="0.25">
      <c r="A2155">
        <v>70379</v>
      </c>
      <c r="B2155" t="s">
        <v>234</v>
      </c>
      <c r="C2155" t="s">
        <v>238</v>
      </c>
      <c r="D2155">
        <v>4</v>
      </c>
      <c r="E2155">
        <v>0</v>
      </c>
      <c r="F2155" t="s">
        <v>261</v>
      </c>
      <c r="G2155" t="s">
        <v>261</v>
      </c>
      <c r="H2155">
        <v>0</v>
      </c>
      <c r="I2155" t="s">
        <v>354</v>
      </c>
    </row>
    <row r="2156" spans="1:9" x14ac:dyDescent="0.25">
      <c r="A2156">
        <v>70379</v>
      </c>
      <c r="B2156" t="s">
        <v>234</v>
      </c>
      <c r="C2156" t="s">
        <v>238</v>
      </c>
      <c r="D2156">
        <v>4</v>
      </c>
      <c r="E2156">
        <v>0</v>
      </c>
      <c r="F2156" t="s">
        <v>247</v>
      </c>
      <c r="G2156" t="s">
        <v>12</v>
      </c>
      <c r="H2156">
        <v>-1632275</v>
      </c>
      <c r="I2156" t="s">
        <v>248</v>
      </c>
    </row>
    <row r="2157" spans="1:9" x14ac:dyDescent="0.25">
      <c r="A2157">
        <v>70379</v>
      </c>
      <c r="B2157" t="s">
        <v>234</v>
      </c>
      <c r="C2157" t="s">
        <v>238</v>
      </c>
      <c r="D2157">
        <v>4</v>
      </c>
      <c r="E2157">
        <v>0</v>
      </c>
      <c r="F2157" t="s">
        <v>247</v>
      </c>
      <c r="G2157" t="s">
        <v>13</v>
      </c>
      <c r="H2157">
        <v>5548668</v>
      </c>
      <c r="I2157" t="s">
        <v>249</v>
      </c>
    </row>
    <row r="2158" spans="1:9" x14ac:dyDescent="0.25">
      <c r="A2158">
        <v>70379</v>
      </c>
      <c r="B2158" t="s">
        <v>234</v>
      </c>
      <c r="C2158" t="s">
        <v>238</v>
      </c>
      <c r="D2158">
        <v>4</v>
      </c>
      <c r="E2158">
        <v>0</v>
      </c>
      <c r="F2158" t="s">
        <v>241</v>
      </c>
      <c r="G2158" t="s">
        <v>25</v>
      </c>
      <c r="H2158">
        <v>9266</v>
      </c>
      <c r="I2158" t="s">
        <v>250</v>
      </c>
    </row>
    <row r="2159" spans="1:9" x14ac:dyDescent="0.25">
      <c r="A2159">
        <v>70379</v>
      </c>
      <c r="B2159" t="s">
        <v>234</v>
      </c>
      <c r="C2159" t="s">
        <v>238</v>
      </c>
      <c r="D2159">
        <v>4</v>
      </c>
      <c r="E2159">
        <v>0</v>
      </c>
      <c r="F2159" t="s">
        <v>241</v>
      </c>
      <c r="G2159" t="s">
        <v>26</v>
      </c>
      <c r="H2159">
        <v>0</v>
      </c>
      <c r="I2159" t="s">
        <v>251</v>
      </c>
    </row>
    <row r="2160" spans="1:9" x14ac:dyDescent="0.25">
      <c r="A2160">
        <v>70379</v>
      </c>
      <c r="B2160" t="s">
        <v>234</v>
      </c>
      <c r="C2160" t="s">
        <v>238</v>
      </c>
      <c r="D2160">
        <v>4</v>
      </c>
      <c r="E2160">
        <v>0</v>
      </c>
      <c r="F2160" t="s">
        <v>239</v>
      </c>
      <c r="G2160" t="s">
        <v>18</v>
      </c>
      <c r="H2160">
        <v>328183</v>
      </c>
      <c r="I2160" t="s">
        <v>252</v>
      </c>
    </row>
    <row r="2161" spans="1:9" x14ac:dyDescent="0.25">
      <c r="A2161">
        <v>70379</v>
      </c>
      <c r="B2161" t="s">
        <v>234</v>
      </c>
      <c r="C2161" t="s">
        <v>238</v>
      </c>
      <c r="D2161">
        <v>4</v>
      </c>
      <c r="E2161">
        <v>0</v>
      </c>
      <c r="F2161" t="s">
        <v>241</v>
      </c>
      <c r="G2161" t="s">
        <v>26</v>
      </c>
      <c r="H2161">
        <v>6790</v>
      </c>
      <c r="I2161" t="s">
        <v>253</v>
      </c>
    </row>
    <row r="2162" spans="1:9" x14ac:dyDescent="0.25">
      <c r="A2162">
        <v>70379</v>
      </c>
      <c r="B2162" t="s">
        <v>234</v>
      </c>
      <c r="C2162" t="s">
        <v>238</v>
      </c>
      <c r="D2162">
        <v>4</v>
      </c>
      <c r="E2162">
        <v>0</v>
      </c>
      <c r="F2162" t="s">
        <v>247</v>
      </c>
      <c r="G2162" t="s">
        <v>15</v>
      </c>
      <c r="H2162">
        <v>279784</v>
      </c>
      <c r="I2162" t="s">
        <v>254</v>
      </c>
    </row>
    <row r="2163" spans="1:9" x14ac:dyDescent="0.25">
      <c r="A2163">
        <v>70379</v>
      </c>
      <c r="B2163" t="s">
        <v>234</v>
      </c>
      <c r="C2163" t="s">
        <v>238</v>
      </c>
      <c r="D2163">
        <v>4</v>
      </c>
      <c r="E2163">
        <v>0</v>
      </c>
      <c r="F2163" t="s">
        <v>247</v>
      </c>
      <c r="G2163" t="s">
        <v>14</v>
      </c>
      <c r="H2163">
        <v>0</v>
      </c>
      <c r="I2163" t="s">
        <v>355</v>
      </c>
    </row>
    <row r="2164" spans="1:9" x14ac:dyDescent="0.25">
      <c r="A2164">
        <v>70379</v>
      </c>
      <c r="B2164" t="s">
        <v>234</v>
      </c>
      <c r="C2164" t="s">
        <v>238</v>
      </c>
      <c r="D2164">
        <v>4</v>
      </c>
      <c r="E2164">
        <v>0</v>
      </c>
      <c r="F2164" t="s">
        <v>241</v>
      </c>
      <c r="G2164" t="s">
        <v>23</v>
      </c>
      <c r="H2164">
        <v>83972</v>
      </c>
      <c r="I2164" t="s">
        <v>242</v>
      </c>
    </row>
    <row r="2165" spans="1:9" x14ac:dyDescent="0.25">
      <c r="A2165">
        <v>70379</v>
      </c>
      <c r="B2165" t="s">
        <v>234</v>
      </c>
      <c r="C2165" t="s">
        <v>238</v>
      </c>
      <c r="D2165">
        <v>4</v>
      </c>
      <c r="E2165">
        <v>0</v>
      </c>
      <c r="F2165" t="s">
        <v>241</v>
      </c>
      <c r="G2165" t="s">
        <v>24</v>
      </c>
      <c r="H2165">
        <v>30181</v>
      </c>
      <c r="I2165" t="s">
        <v>243</v>
      </c>
    </row>
    <row r="2166" spans="1:9" x14ac:dyDescent="0.25">
      <c r="A2166">
        <v>70379</v>
      </c>
      <c r="B2166" t="s">
        <v>234</v>
      </c>
      <c r="C2166" t="s">
        <v>238</v>
      </c>
      <c r="D2166">
        <v>4</v>
      </c>
      <c r="E2166">
        <v>0</v>
      </c>
      <c r="F2166" t="s">
        <v>241</v>
      </c>
      <c r="G2166" t="s">
        <v>21</v>
      </c>
      <c r="H2166">
        <v>0</v>
      </c>
      <c r="I2166" t="s">
        <v>356</v>
      </c>
    </row>
    <row r="2167" spans="1:9" x14ac:dyDescent="0.25">
      <c r="A2167">
        <v>70379</v>
      </c>
      <c r="B2167" t="s">
        <v>234</v>
      </c>
      <c r="C2167" t="s">
        <v>238</v>
      </c>
      <c r="D2167">
        <v>4</v>
      </c>
      <c r="E2167">
        <v>0</v>
      </c>
      <c r="F2167" t="s">
        <v>239</v>
      </c>
      <c r="G2167" t="s">
        <v>20</v>
      </c>
      <c r="H2167">
        <v>0</v>
      </c>
      <c r="I2167" t="s">
        <v>244</v>
      </c>
    </row>
    <row r="2168" spans="1:9" x14ac:dyDescent="0.25">
      <c r="A2168">
        <v>70379</v>
      </c>
      <c r="B2168" t="s">
        <v>234</v>
      </c>
      <c r="C2168" t="s">
        <v>238</v>
      </c>
      <c r="D2168">
        <v>4</v>
      </c>
      <c r="E2168">
        <v>0</v>
      </c>
      <c r="F2168" t="s">
        <v>241</v>
      </c>
      <c r="G2168" t="s">
        <v>22</v>
      </c>
      <c r="H2168">
        <v>6785</v>
      </c>
      <c r="I2168" t="s">
        <v>245</v>
      </c>
    </row>
    <row r="2169" spans="1:9" x14ac:dyDescent="0.25">
      <c r="A2169">
        <v>70379</v>
      </c>
      <c r="B2169" t="s">
        <v>234</v>
      </c>
      <c r="C2169" t="s">
        <v>238</v>
      </c>
      <c r="D2169">
        <v>4</v>
      </c>
      <c r="E2169">
        <v>0</v>
      </c>
      <c r="F2169" t="s">
        <v>241</v>
      </c>
      <c r="G2169" t="s">
        <v>26</v>
      </c>
      <c r="H2169">
        <v>4308</v>
      </c>
      <c r="I2169" t="s">
        <v>246</v>
      </c>
    </row>
    <row r="2170" spans="1:9" x14ac:dyDescent="0.25">
      <c r="A2170">
        <v>70379</v>
      </c>
      <c r="B2170" t="s">
        <v>234</v>
      </c>
      <c r="C2170" t="s">
        <v>238</v>
      </c>
      <c r="D2170">
        <v>4</v>
      </c>
      <c r="E2170">
        <v>0</v>
      </c>
      <c r="F2170" t="s">
        <v>239</v>
      </c>
      <c r="G2170" t="s">
        <v>17</v>
      </c>
      <c r="H2170">
        <v>0</v>
      </c>
      <c r="I2170" t="s">
        <v>357</v>
      </c>
    </row>
    <row r="2171" spans="1:9" x14ac:dyDescent="0.25">
      <c r="A2171">
        <v>70379</v>
      </c>
      <c r="B2171" t="s">
        <v>234</v>
      </c>
      <c r="C2171" t="s">
        <v>238</v>
      </c>
      <c r="D2171">
        <v>4</v>
      </c>
      <c r="E2171">
        <v>0</v>
      </c>
      <c r="F2171" t="s">
        <v>241</v>
      </c>
      <c r="G2171" t="s">
        <v>24</v>
      </c>
      <c r="H2171">
        <v>0</v>
      </c>
      <c r="I2171" t="s">
        <v>358</v>
      </c>
    </row>
    <row r="2172" spans="1:9" x14ac:dyDescent="0.25">
      <c r="A2172">
        <v>70379</v>
      </c>
      <c r="B2172" t="s">
        <v>234</v>
      </c>
      <c r="C2172" t="s">
        <v>238</v>
      </c>
      <c r="D2172">
        <v>4</v>
      </c>
      <c r="E2172">
        <v>0</v>
      </c>
      <c r="F2172" t="s">
        <v>241</v>
      </c>
      <c r="G2172" t="s">
        <v>27</v>
      </c>
      <c r="H2172">
        <v>0</v>
      </c>
      <c r="I2172" t="s">
        <v>359</v>
      </c>
    </row>
    <row r="2173" spans="1:9" x14ac:dyDescent="0.25">
      <c r="A2173">
        <v>70379</v>
      </c>
      <c r="B2173" t="s">
        <v>234</v>
      </c>
      <c r="C2173" t="s">
        <v>238</v>
      </c>
      <c r="D2173">
        <v>4</v>
      </c>
      <c r="E2173">
        <v>0</v>
      </c>
      <c r="F2173" t="s">
        <v>239</v>
      </c>
      <c r="G2173" t="s">
        <v>19</v>
      </c>
      <c r="H2173">
        <v>0</v>
      </c>
      <c r="I2173" t="s">
        <v>360</v>
      </c>
    </row>
    <row r="2174" spans="1:9" x14ac:dyDescent="0.25">
      <c r="A2174">
        <v>70379</v>
      </c>
      <c r="B2174" t="s">
        <v>234</v>
      </c>
      <c r="C2174" t="s">
        <v>238</v>
      </c>
      <c r="D2174">
        <v>4</v>
      </c>
      <c r="E2174">
        <v>0</v>
      </c>
      <c r="F2174" t="s">
        <v>239</v>
      </c>
      <c r="G2174" t="s">
        <v>20</v>
      </c>
      <c r="H2174">
        <v>245306</v>
      </c>
      <c r="I2174" t="s">
        <v>255</v>
      </c>
    </row>
    <row r="2175" spans="1:9" x14ac:dyDescent="0.25">
      <c r="A2175">
        <v>70379</v>
      </c>
      <c r="B2175" t="s">
        <v>234</v>
      </c>
      <c r="C2175" t="s">
        <v>238</v>
      </c>
      <c r="D2175">
        <v>4</v>
      </c>
      <c r="E2175">
        <v>0</v>
      </c>
      <c r="F2175" t="s">
        <v>247</v>
      </c>
      <c r="G2175" t="s">
        <v>148</v>
      </c>
      <c r="H2175">
        <v>921411</v>
      </c>
      <c r="I2175" t="s">
        <v>256</v>
      </c>
    </row>
    <row r="2176" spans="1:9" x14ac:dyDescent="0.25">
      <c r="A2176">
        <v>70379</v>
      </c>
      <c r="B2176" t="s">
        <v>234</v>
      </c>
      <c r="C2176" t="s">
        <v>238</v>
      </c>
      <c r="D2176">
        <v>4</v>
      </c>
      <c r="E2176">
        <v>0</v>
      </c>
      <c r="F2176" t="s">
        <v>241</v>
      </c>
      <c r="G2176" t="s">
        <v>27</v>
      </c>
      <c r="H2176">
        <v>4460155</v>
      </c>
      <c r="I2176" t="s">
        <v>257</v>
      </c>
    </row>
    <row r="2177" spans="1:9" x14ac:dyDescent="0.25">
      <c r="A2177">
        <v>70379</v>
      </c>
      <c r="B2177" t="s">
        <v>234</v>
      </c>
      <c r="C2177" t="s">
        <v>238</v>
      </c>
      <c r="D2177">
        <v>4</v>
      </c>
      <c r="E2177">
        <v>0</v>
      </c>
      <c r="F2177" t="s">
        <v>241</v>
      </c>
      <c r="G2177" t="s">
        <v>27</v>
      </c>
      <c r="H2177">
        <v>0</v>
      </c>
      <c r="I2177" t="s">
        <v>361</v>
      </c>
    </row>
    <row r="2178" spans="1:9" x14ac:dyDescent="0.25">
      <c r="A2178">
        <v>70379</v>
      </c>
      <c r="B2178" t="s">
        <v>234</v>
      </c>
      <c r="C2178" t="s">
        <v>238</v>
      </c>
      <c r="D2178">
        <v>4</v>
      </c>
      <c r="E2178">
        <v>0</v>
      </c>
      <c r="F2178" t="s">
        <v>241</v>
      </c>
      <c r="G2178" t="s">
        <v>27</v>
      </c>
      <c r="H2178">
        <v>0</v>
      </c>
      <c r="I2178" t="s">
        <v>362</v>
      </c>
    </row>
    <row r="2179" spans="1:9" x14ac:dyDescent="0.25">
      <c r="A2179">
        <v>70379</v>
      </c>
      <c r="B2179" t="s">
        <v>234</v>
      </c>
      <c r="C2179" t="s">
        <v>238</v>
      </c>
      <c r="D2179">
        <v>4</v>
      </c>
      <c r="E2179">
        <v>0</v>
      </c>
      <c r="F2179" t="s">
        <v>241</v>
      </c>
      <c r="G2179" t="s">
        <v>27</v>
      </c>
      <c r="H2179">
        <v>0</v>
      </c>
      <c r="I2179" t="s">
        <v>363</v>
      </c>
    </row>
    <row r="2180" spans="1:9" x14ac:dyDescent="0.25">
      <c r="A2180">
        <v>70379</v>
      </c>
      <c r="B2180" t="s">
        <v>234</v>
      </c>
      <c r="C2180" t="s">
        <v>238</v>
      </c>
      <c r="D2180">
        <v>4</v>
      </c>
      <c r="E2180">
        <v>0</v>
      </c>
      <c r="F2180" t="s">
        <v>239</v>
      </c>
      <c r="G2180" t="s">
        <v>16</v>
      </c>
      <c r="H2180">
        <v>2957</v>
      </c>
      <c r="I2180" t="s">
        <v>267</v>
      </c>
    </row>
    <row r="2181" spans="1:9" x14ac:dyDescent="0.25">
      <c r="A2181">
        <v>70379</v>
      </c>
      <c r="B2181" t="s">
        <v>234</v>
      </c>
      <c r="C2181" t="s">
        <v>238</v>
      </c>
      <c r="D2181">
        <v>4</v>
      </c>
      <c r="E2181">
        <v>0</v>
      </c>
      <c r="F2181" t="s">
        <v>239</v>
      </c>
      <c r="G2181" t="s">
        <v>152</v>
      </c>
      <c r="H2181">
        <v>29080</v>
      </c>
      <c r="I2181" t="s">
        <v>258</v>
      </c>
    </row>
    <row r="2182" spans="1:9" x14ac:dyDescent="0.25">
      <c r="A2182">
        <v>70379</v>
      </c>
      <c r="B2182" t="s">
        <v>234</v>
      </c>
      <c r="C2182" t="s">
        <v>238</v>
      </c>
      <c r="D2182">
        <v>4</v>
      </c>
      <c r="E2182">
        <v>0</v>
      </c>
      <c r="F2182" t="s">
        <v>239</v>
      </c>
      <c r="G2182" t="s">
        <v>154</v>
      </c>
      <c r="H2182">
        <v>0</v>
      </c>
      <c r="I2182" t="s">
        <v>330</v>
      </c>
    </row>
    <row r="2183" spans="1:9" x14ac:dyDescent="0.25">
      <c r="A2183">
        <v>70379</v>
      </c>
      <c r="B2183" t="s">
        <v>234</v>
      </c>
      <c r="C2183" t="s">
        <v>238</v>
      </c>
      <c r="D2183">
        <v>4</v>
      </c>
      <c r="E2183">
        <v>0</v>
      </c>
      <c r="F2183" t="s">
        <v>239</v>
      </c>
      <c r="G2183" t="s">
        <v>16</v>
      </c>
      <c r="H2183">
        <v>15730</v>
      </c>
      <c r="I2183" t="s">
        <v>259</v>
      </c>
    </row>
    <row r="2184" spans="1:9" x14ac:dyDescent="0.25">
      <c r="A2184">
        <v>70379</v>
      </c>
      <c r="B2184" t="s">
        <v>234</v>
      </c>
      <c r="C2184" t="s">
        <v>238</v>
      </c>
      <c r="D2184">
        <v>4</v>
      </c>
      <c r="E2184">
        <v>0</v>
      </c>
      <c r="F2184" t="s">
        <v>239</v>
      </c>
      <c r="G2184" t="s">
        <v>19</v>
      </c>
      <c r="H2184">
        <v>23418</v>
      </c>
      <c r="I2184" t="s">
        <v>260</v>
      </c>
    </row>
    <row r="2185" spans="1:9" x14ac:dyDescent="0.25">
      <c r="A2185">
        <v>70379</v>
      </c>
      <c r="B2185" t="s">
        <v>234</v>
      </c>
      <c r="C2185" t="s">
        <v>238</v>
      </c>
      <c r="D2185">
        <v>4</v>
      </c>
      <c r="E2185">
        <v>0</v>
      </c>
      <c r="F2185" t="s">
        <v>239</v>
      </c>
      <c r="G2185" t="s">
        <v>19</v>
      </c>
      <c r="H2185">
        <v>0</v>
      </c>
      <c r="I2185" t="s">
        <v>270</v>
      </c>
    </row>
    <row r="2186" spans="1:9" x14ac:dyDescent="0.25">
      <c r="A2186">
        <v>70379</v>
      </c>
      <c r="B2186" t="s">
        <v>234</v>
      </c>
      <c r="C2186" t="s">
        <v>238</v>
      </c>
      <c r="D2186">
        <v>4</v>
      </c>
      <c r="E2186">
        <v>0</v>
      </c>
      <c r="F2186" t="s">
        <v>241</v>
      </c>
      <c r="G2186" t="s">
        <v>139</v>
      </c>
      <c r="H2186">
        <v>0</v>
      </c>
      <c r="I2186" t="s">
        <v>331</v>
      </c>
    </row>
    <row r="2187" spans="1:9" x14ac:dyDescent="0.25">
      <c r="A2187">
        <v>70379</v>
      </c>
      <c r="B2187" t="s">
        <v>234</v>
      </c>
      <c r="C2187" t="s">
        <v>238</v>
      </c>
      <c r="D2187">
        <v>4</v>
      </c>
      <c r="E2187">
        <v>0</v>
      </c>
      <c r="F2187" t="s">
        <v>261</v>
      </c>
      <c r="G2187" t="s">
        <v>261</v>
      </c>
      <c r="H2187">
        <v>1289687</v>
      </c>
      <c r="I2187" t="s">
        <v>262</v>
      </c>
    </row>
    <row r="2188" spans="1:9" x14ac:dyDescent="0.25">
      <c r="A2188">
        <v>70379</v>
      </c>
      <c r="B2188" t="s">
        <v>234</v>
      </c>
      <c r="C2188" t="s">
        <v>238</v>
      </c>
      <c r="D2188">
        <v>4</v>
      </c>
      <c r="E2188">
        <v>0</v>
      </c>
      <c r="F2188" t="s">
        <v>239</v>
      </c>
      <c r="G2188" t="s">
        <v>19</v>
      </c>
      <c r="H2188">
        <v>212409</v>
      </c>
      <c r="I2188" t="s">
        <v>263</v>
      </c>
    </row>
    <row r="2189" spans="1:9" x14ac:dyDescent="0.25">
      <c r="A2189">
        <v>70379</v>
      </c>
      <c r="B2189" t="s">
        <v>234</v>
      </c>
      <c r="C2189" t="s">
        <v>238</v>
      </c>
      <c r="D2189">
        <v>4</v>
      </c>
      <c r="E2189">
        <v>0</v>
      </c>
      <c r="F2189" t="s">
        <v>239</v>
      </c>
      <c r="G2189" t="s">
        <v>16</v>
      </c>
      <c r="H2189">
        <v>3037</v>
      </c>
      <c r="I2189" t="s">
        <v>240</v>
      </c>
    </row>
    <row r="2190" spans="1:9" x14ac:dyDescent="0.25">
      <c r="A2190">
        <v>70379</v>
      </c>
      <c r="B2190" t="s">
        <v>234</v>
      </c>
      <c r="C2190" t="s">
        <v>238</v>
      </c>
      <c r="D2190">
        <v>4</v>
      </c>
      <c r="E2190">
        <v>0</v>
      </c>
      <c r="F2190" t="s">
        <v>239</v>
      </c>
      <c r="G2190" t="s">
        <v>19</v>
      </c>
      <c r="H2190">
        <v>65090</v>
      </c>
      <c r="I2190" t="s">
        <v>264</v>
      </c>
    </row>
    <row r="2191" spans="1:9" x14ac:dyDescent="0.25">
      <c r="A2191">
        <v>70379</v>
      </c>
      <c r="B2191" t="s">
        <v>234</v>
      </c>
      <c r="C2191" t="s">
        <v>238</v>
      </c>
      <c r="D2191">
        <v>4</v>
      </c>
      <c r="E2191">
        <v>0</v>
      </c>
      <c r="F2191" t="s">
        <v>241</v>
      </c>
      <c r="G2191" t="s">
        <v>158</v>
      </c>
      <c r="H2191">
        <v>62995</v>
      </c>
      <c r="I2191" t="s">
        <v>265</v>
      </c>
    </row>
    <row r="2192" spans="1:9" x14ac:dyDescent="0.25">
      <c r="A2192">
        <v>70379</v>
      </c>
      <c r="B2192" t="s">
        <v>234</v>
      </c>
      <c r="C2192" t="s">
        <v>238</v>
      </c>
      <c r="D2192">
        <v>4</v>
      </c>
      <c r="E2192">
        <v>0</v>
      </c>
      <c r="F2192" t="s">
        <v>239</v>
      </c>
      <c r="G2192" t="s">
        <v>19</v>
      </c>
      <c r="H2192">
        <v>0</v>
      </c>
      <c r="I2192" t="s">
        <v>271</v>
      </c>
    </row>
    <row r="2193" spans="1:9" x14ac:dyDescent="0.25">
      <c r="A2193">
        <v>70379</v>
      </c>
      <c r="B2193" t="s">
        <v>234</v>
      </c>
      <c r="C2193" t="s">
        <v>238</v>
      </c>
      <c r="D2193">
        <v>4</v>
      </c>
      <c r="E2193">
        <v>0</v>
      </c>
      <c r="F2193" t="s">
        <v>239</v>
      </c>
      <c r="G2193" t="s">
        <v>19</v>
      </c>
      <c r="H2193">
        <v>0</v>
      </c>
      <c r="I2193" t="s">
        <v>266</v>
      </c>
    </row>
    <row r="2194" spans="1:9" x14ac:dyDescent="0.25">
      <c r="A2194">
        <v>70379</v>
      </c>
      <c r="B2194" t="s">
        <v>234</v>
      </c>
      <c r="C2194" t="s">
        <v>238</v>
      </c>
      <c r="D2194">
        <v>4</v>
      </c>
      <c r="E2194">
        <v>0</v>
      </c>
      <c r="F2194" t="s">
        <v>241</v>
      </c>
      <c r="G2194" t="s">
        <v>143</v>
      </c>
      <c r="H2194">
        <v>0</v>
      </c>
      <c r="I2194" t="s">
        <v>332</v>
      </c>
    </row>
    <row r="2195" spans="1:9" x14ac:dyDescent="0.25">
      <c r="A2195">
        <v>70379</v>
      </c>
      <c r="B2195" t="s">
        <v>234</v>
      </c>
      <c r="C2195" t="s">
        <v>238</v>
      </c>
      <c r="D2195">
        <v>4</v>
      </c>
      <c r="E2195">
        <v>0</v>
      </c>
      <c r="F2195" t="s">
        <v>241</v>
      </c>
      <c r="G2195" t="s">
        <v>138</v>
      </c>
      <c r="H2195">
        <v>0</v>
      </c>
      <c r="I2195" t="s">
        <v>333</v>
      </c>
    </row>
    <row r="2196" spans="1:9" x14ac:dyDescent="0.25">
      <c r="A2196">
        <v>70379</v>
      </c>
      <c r="B2196" t="s">
        <v>234</v>
      </c>
      <c r="C2196" t="s">
        <v>238</v>
      </c>
      <c r="D2196">
        <v>4</v>
      </c>
      <c r="E2196">
        <v>0</v>
      </c>
      <c r="F2196" t="s">
        <v>241</v>
      </c>
      <c r="G2196" t="s">
        <v>138</v>
      </c>
      <c r="H2196">
        <v>0</v>
      </c>
      <c r="I2196" t="s">
        <v>334</v>
      </c>
    </row>
    <row r="2197" spans="1:9" x14ac:dyDescent="0.25">
      <c r="A2197">
        <v>70379</v>
      </c>
      <c r="B2197" t="s">
        <v>234</v>
      </c>
      <c r="C2197" t="s">
        <v>238</v>
      </c>
      <c r="D2197">
        <v>4</v>
      </c>
      <c r="E2197">
        <v>0</v>
      </c>
      <c r="F2197" t="s">
        <v>241</v>
      </c>
      <c r="G2197" t="s">
        <v>138</v>
      </c>
      <c r="H2197">
        <v>-33275</v>
      </c>
      <c r="I2197" t="s">
        <v>268</v>
      </c>
    </row>
    <row r="2198" spans="1:9" x14ac:dyDescent="0.25">
      <c r="A2198">
        <v>70379</v>
      </c>
      <c r="B2198" t="s">
        <v>234</v>
      </c>
      <c r="C2198" t="s">
        <v>238</v>
      </c>
      <c r="D2198">
        <v>4</v>
      </c>
      <c r="E2198">
        <v>0</v>
      </c>
      <c r="F2198" t="s">
        <v>241</v>
      </c>
      <c r="G2198" t="s">
        <v>139</v>
      </c>
      <c r="H2198">
        <v>0</v>
      </c>
      <c r="I2198" t="s">
        <v>336</v>
      </c>
    </row>
    <row r="2199" spans="1:9" x14ac:dyDescent="0.25">
      <c r="A2199">
        <v>70379</v>
      </c>
      <c r="B2199" t="s">
        <v>234</v>
      </c>
      <c r="C2199" t="s">
        <v>238</v>
      </c>
      <c r="D2199">
        <v>4</v>
      </c>
      <c r="E2199">
        <v>0</v>
      </c>
      <c r="F2199" t="s">
        <v>241</v>
      </c>
      <c r="G2199" t="s">
        <v>139</v>
      </c>
      <c r="H2199">
        <v>0</v>
      </c>
      <c r="I2199" t="s">
        <v>337</v>
      </c>
    </row>
    <row r="2200" spans="1:9" x14ac:dyDescent="0.25">
      <c r="A2200">
        <v>70379</v>
      </c>
      <c r="B2200" t="s">
        <v>234</v>
      </c>
      <c r="C2200" t="s">
        <v>238</v>
      </c>
      <c r="D2200">
        <v>4</v>
      </c>
      <c r="E2200">
        <v>0</v>
      </c>
      <c r="F2200" t="s">
        <v>241</v>
      </c>
      <c r="G2200" t="s">
        <v>139</v>
      </c>
      <c r="H2200">
        <v>0</v>
      </c>
      <c r="I2200" t="s">
        <v>335</v>
      </c>
    </row>
    <row r="2201" spans="1:9" x14ac:dyDescent="0.25">
      <c r="A2201">
        <v>70379</v>
      </c>
      <c r="B2201" t="s">
        <v>234</v>
      </c>
      <c r="C2201" t="s">
        <v>238</v>
      </c>
      <c r="D2201">
        <v>4</v>
      </c>
      <c r="E2201">
        <v>0</v>
      </c>
      <c r="F2201" t="s">
        <v>241</v>
      </c>
      <c r="G2201" t="s">
        <v>24</v>
      </c>
      <c r="H2201">
        <v>0</v>
      </c>
      <c r="I2201" t="s">
        <v>338</v>
      </c>
    </row>
    <row r="2202" spans="1:9" x14ac:dyDescent="0.25">
      <c r="A2202">
        <v>70379</v>
      </c>
      <c r="B2202" t="s">
        <v>234</v>
      </c>
      <c r="C2202" t="s">
        <v>238</v>
      </c>
      <c r="D2202">
        <v>4</v>
      </c>
      <c r="E2202">
        <v>0</v>
      </c>
      <c r="F2202" t="s">
        <v>241</v>
      </c>
      <c r="G2202" t="s">
        <v>24</v>
      </c>
      <c r="H2202">
        <v>0</v>
      </c>
      <c r="I2202" t="s">
        <v>339</v>
      </c>
    </row>
    <row r="2203" spans="1:9" x14ac:dyDescent="0.25">
      <c r="A2203">
        <v>70379</v>
      </c>
      <c r="B2203" t="s">
        <v>234</v>
      </c>
      <c r="C2203" t="s">
        <v>238</v>
      </c>
      <c r="D2203">
        <v>4</v>
      </c>
      <c r="E2203">
        <v>0</v>
      </c>
      <c r="F2203" t="s">
        <v>241</v>
      </c>
      <c r="G2203" t="s">
        <v>24</v>
      </c>
      <c r="H2203">
        <v>0</v>
      </c>
      <c r="I2203" t="s">
        <v>340</v>
      </c>
    </row>
    <row r="2204" spans="1:9" x14ac:dyDescent="0.25">
      <c r="A2204">
        <v>70379</v>
      </c>
      <c r="B2204" t="s">
        <v>234</v>
      </c>
      <c r="C2204" t="s">
        <v>238</v>
      </c>
      <c r="D2204">
        <v>4</v>
      </c>
      <c r="E2204">
        <v>0</v>
      </c>
      <c r="F2204" t="s">
        <v>241</v>
      </c>
      <c r="G2204" t="s">
        <v>137</v>
      </c>
      <c r="H2204">
        <v>0</v>
      </c>
      <c r="I2204" t="s">
        <v>273</v>
      </c>
    </row>
    <row r="2205" spans="1:9" x14ac:dyDescent="0.25">
      <c r="A2205">
        <v>70379</v>
      </c>
      <c r="B2205" t="s">
        <v>234</v>
      </c>
      <c r="C2205" t="s">
        <v>238</v>
      </c>
      <c r="D2205">
        <v>4</v>
      </c>
      <c r="E2205">
        <v>0</v>
      </c>
      <c r="F2205" t="s">
        <v>241</v>
      </c>
      <c r="G2205" t="s">
        <v>137</v>
      </c>
      <c r="H2205">
        <v>0</v>
      </c>
      <c r="I2205" t="s">
        <v>341</v>
      </c>
    </row>
    <row r="2206" spans="1:9" x14ac:dyDescent="0.25">
      <c r="A2206">
        <v>70379</v>
      </c>
      <c r="B2206" t="s">
        <v>234</v>
      </c>
      <c r="C2206" t="s">
        <v>238</v>
      </c>
      <c r="D2206">
        <v>4</v>
      </c>
      <c r="E2206">
        <v>0</v>
      </c>
      <c r="F2206" t="s">
        <v>241</v>
      </c>
      <c r="G2206" t="s">
        <v>137</v>
      </c>
      <c r="H2206">
        <v>0</v>
      </c>
      <c r="I2206" t="s">
        <v>342</v>
      </c>
    </row>
    <row r="2207" spans="1:9" x14ac:dyDescent="0.25">
      <c r="A2207">
        <v>70379</v>
      </c>
      <c r="B2207" t="s">
        <v>234</v>
      </c>
      <c r="C2207" t="s">
        <v>238</v>
      </c>
      <c r="D2207">
        <v>4</v>
      </c>
      <c r="E2207">
        <v>0</v>
      </c>
      <c r="F2207" t="s">
        <v>241</v>
      </c>
      <c r="G2207" t="s">
        <v>137</v>
      </c>
      <c r="H2207">
        <v>0</v>
      </c>
      <c r="I2207" t="s">
        <v>343</v>
      </c>
    </row>
    <row r="2208" spans="1:9" x14ac:dyDescent="0.25">
      <c r="A2208">
        <v>70379</v>
      </c>
      <c r="B2208" t="s">
        <v>234</v>
      </c>
      <c r="C2208" t="s">
        <v>238</v>
      </c>
      <c r="D2208">
        <v>4</v>
      </c>
      <c r="E2208">
        <v>0</v>
      </c>
      <c r="F2208" t="s">
        <v>241</v>
      </c>
      <c r="G2208" t="s">
        <v>143</v>
      </c>
      <c r="H2208">
        <v>0</v>
      </c>
      <c r="I2208" t="s">
        <v>344</v>
      </c>
    </row>
    <row r="2209" spans="1:9" x14ac:dyDescent="0.25">
      <c r="A2209">
        <v>70379</v>
      </c>
      <c r="B2209" t="s">
        <v>234</v>
      </c>
      <c r="C2209" t="s">
        <v>238</v>
      </c>
      <c r="D2209">
        <v>4</v>
      </c>
      <c r="E2209">
        <v>0</v>
      </c>
      <c r="F2209" t="s">
        <v>241</v>
      </c>
      <c r="G2209" t="s">
        <v>143</v>
      </c>
      <c r="H2209">
        <v>0</v>
      </c>
      <c r="I2209" t="s">
        <v>345</v>
      </c>
    </row>
    <row r="2210" spans="1:9" x14ac:dyDescent="0.25">
      <c r="A2210">
        <v>70379</v>
      </c>
      <c r="B2210" t="s">
        <v>234</v>
      </c>
      <c r="C2210" t="s">
        <v>238</v>
      </c>
      <c r="D2210">
        <v>4</v>
      </c>
      <c r="E2210">
        <v>0</v>
      </c>
      <c r="F2210" t="s">
        <v>241</v>
      </c>
      <c r="G2210" t="s">
        <v>143</v>
      </c>
      <c r="H2210">
        <v>0</v>
      </c>
      <c r="I2210" t="s">
        <v>346</v>
      </c>
    </row>
    <row r="2211" spans="1:9" x14ac:dyDescent="0.25">
      <c r="A2211">
        <v>70379</v>
      </c>
      <c r="B2211" t="s">
        <v>234</v>
      </c>
      <c r="C2211" t="s">
        <v>238</v>
      </c>
      <c r="D2211">
        <v>4</v>
      </c>
      <c r="E2211">
        <v>0</v>
      </c>
      <c r="F2211" t="s">
        <v>241</v>
      </c>
      <c r="G2211" t="s">
        <v>138</v>
      </c>
      <c r="H2211">
        <v>0</v>
      </c>
      <c r="I2211" t="s">
        <v>347</v>
      </c>
    </row>
    <row r="2212" spans="1:9" x14ac:dyDescent="0.25">
      <c r="A2212">
        <v>70381</v>
      </c>
      <c r="B2212" t="s">
        <v>236</v>
      </c>
      <c r="C2212" t="s">
        <v>238</v>
      </c>
      <c r="D2212">
        <v>4</v>
      </c>
      <c r="E2212">
        <v>0</v>
      </c>
      <c r="F2212" t="s">
        <v>239</v>
      </c>
      <c r="G2212" t="s">
        <v>153</v>
      </c>
      <c r="H2212">
        <v>0</v>
      </c>
      <c r="I2212" t="s">
        <v>351</v>
      </c>
    </row>
    <row r="2213" spans="1:9" x14ac:dyDescent="0.25">
      <c r="A2213">
        <v>70381</v>
      </c>
      <c r="B2213" t="s">
        <v>236</v>
      </c>
      <c r="C2213" t="s">
        <v>238</v>
      </c>
      <c r="D2213">
        <v>4</v>
      </c>
      <c r="E2213">
        <v>0</v>
      </c>
      <c r="F2213" t="s">
        <v>239</v>
      </c>
      <c r="G2213" t="s">
        <v>152</v>
      </c>
      <c r="H2213">
        <v>0</v>
      </c>
      <c r="I2213" t="s">
        <v>352</v>
      </c>
    </row>
    <row r="2214" spans="1:9" x14ac:dyDescent="0.25">
      <c r="A2214">
        <v>70381</v>
      </c>
      <c r="B2214" t="s">
        <v>236</v>
      </c>
      <c r="C2214" t="s">
        <v>238</v>
      </c>
      <c r="D2214">
        <v>4</v>
      </c>
      <c r="E2214">
        <v>0</v>
      </c>
      <c r="F2214" t="s">
        <v>239</v>
      </c>
      <c r="G2214" t="s">
        <v>154</v>
      </c>
      <c r="H2214">
        <v>0</v>
      </c>
      <c r="I2214" t="s">
        <v>349</v>
      </c>
    </row>
    <row r="2215" spans="1:9" x14ac:dyDescent="0.25">
      <c r="A2215">
        <v>70381</v>
      </c>
      <c r="B2215" t="s">
        <v>236</v>
      </c>
      <c r="C2215" t="s">
        <v>238</v>
      </c>
      <c r="D2215">
        <v>4</v>
      </c>
      <c r="E2215">
        <v>0</v>
      </c>
      <c r="F2215" t="s">
        <v>241</v>
      </c>
      <c r="G2215" t="s">
        <v>26</v>
      </c>
      <c r="H2215">
        <v>0</v>
      </c>
      <c r="I2215" t="s">
        <v>350</v>
      </c>
    </row>
    <row r="2216" spans="1:9" x14ac:dyDescent="0.25">
      <c r="A2216">
        <v>70381</v>
      </c>
      <c r="B2216" t="s">
        <v>236</v>
      </c>
      <c r="C2216" t="s">
        <v>238</v>
      </c>
      <c r="D2216">
        <v>4</v>
      </c>
      <c r="E2216">
        <v>0</v>
      </c>
      <c r="F2216" t="s">
        <v>241</v>
      </c>
      <c r="G2216" t="s">
        <v>23</v>
      </c>
      <c r="H2216">
        <v>0</v>
      </c>
      <c r="I2216" t="s">
        <v>269</v>
      </c>
    </row>
    <row r="2217" spans="1:9" x14ac:dyDescent="0.25">
      <c r="A2217">
        <v>70381</v>
      </c>
      <c r="B2217" t="s">
        <v>236</v>
      </c>
      <c r="C2217" t="s">
        <v>238</v>
      </c>
      <c r="D2217">
        <v>4</v>
      </c>
      <c r="E2217">
        <v>0</v>
      </c>
      <c r="F2217" t="s">
        <v>241</v>
      </c>
      <c r="G2217" t="s">
        <v>26</v>
      </c>
      <c r="H2217">
        <v>0</v>
      </c>
      <c r="I2217" t="s">
        <v>353</v>
      </c>
    </row>
    <row r="2218" spans="1:9" x14ac:dyDescent="0.25">
      <c r="A2218">
        <v>70381</v>
      </c>
      <c r="B2218" t="s">
        <v>236</v>
      </c>
      <c r="C2218" t="s">
        <v>238</v>
      </c>
      <c r="D2218">
        <v>4</v>
      </c>
      <c r="E2218">
        <v>0</v>
      </c>
      <c r="F2218" t="s">
        <v>241</v>
      </c>
      <c r="G2218" t="s">
        <v>157</v>
      </c>
      <c r="H2218">
        <v>0</v>
      </c>
      <c r="I2218" t="s">
        <v>348</v>
      </c>
    </row>
    <row r="2219" spans="1:9" x14ac:dyDescent="0.25">
      <c r="A2219">
        <v>70381</v>
      </c>
      <c r="B2219" t="s">
        <v>236</v>
      </c>
      <c r="C2219" t="s">
        <v>238</v>
      </c>
      <c r="D2219">
        <v>4</v>
      </c>
      <c r="E2219">
        <v>0</v>
      </c>
      <c r="F2219" t="s">
        <v>261</v>
      </c>
      <c r="G2219" t="s">
        <v>261</v>
      </c>
      <c r="H2219">
        <v>0</v>
      </c>
      <c r="I2219" t="s">
        <v>272</v>
      </c>
    </row>
    <row r="2220" spans="1:9" x14ac:dyDescent="0.25">
      <c r="A2220">
        <v>70381</v>
      </c>
      <c r="B2220" t="s">
        <v>236</v>
      </c>
      <c r="C2220" t="s">
        <v>238</v>
      </c>
      <c r="D2220">
        <v>4</v>
      </c>
      <c r="E2220">
        <v>0</v>
      </c>
      <c r="F2220" t="s">
        <v>261</v>
      </c>
      <c r="G2220" t="s">
        <v>261</v>
      </c>
      <c r="H2220">
        <v>0</v>
      </c>
      <c r="I2220" t="s">
        <v>354</v>
      </c>
    </row>
    <row r="2221" spans="1:9" x14ac:dyDescent="0.25">
      <c r="A2221">
        <v>70381</v>
      </c>
      <c r="B2221" t="s">
        <v>236</v>
      </c>
      <c r="C2221" t="s">
        <v>238</v>
      </c>
      <c r="D2221">
        <v>4</v>
      </c>
      <c r="E2221">
        <v>0</v>
      </c>
      <c r="F2221" t="s">
        <v>247</v>
      </c>
      <c r="G2221" t="s">
        <v>12</v>
      </c>
      <c r="H2221">
        <v>-3998643</v>
      </c>
      <c r="I2221" t="s">
        <v>248</v>
      </c>
    </row>
    <row r="2222" spans="1:9" x14ac:dyDescent="0.25">
      <c r="A2222">
        <v>70381</v>
      </c>
      <c r="B2222" t="s">
        <v>236</v>
      </c>
      <c r="C2222" t="s">
        <v>238</v>
      </c>
      <c r="D2222">
        <v>4</v>
      </c>
      <c r="E2222">
        <v>0</v>
      </c>
      <c r="F2222" t="s">
        <v>247</v>
      </c>
      <c r="G2222" t="s">
        <v>13</v>
      </c>
      <c r="H2222">
        <v>13265089</v>
      </c>
      <c r="I2222" t="s">
        <v>249</v>
      </c>
    </row>
    <row r="2223" spans="1:9" x14ac:dyDescent="0.25">
      <c r="A2223">
        <v>70381</v>
      </c>
      <c r="B2223" t="s">
        <v>236</v>
      </c>
      <c r="C2223" t="s">
        <v>238</v>
      </c>
      <c r="D2223">
        <v>4</v>
      </c>
      <c r="E2223">
        <v>0</v>
      </c>
      <c r="F2223" t="s">
        <v>241</v>
      </c>
      <c r="G2223" t="s">
        <v>25</v>
      </c>
      <c r="H2223">
        <v>21124</v>
      </c>
      <c r="I2223" t="s">
        <v>250</v>
      </c>
    </row>
    <row r="2224" spans="1:9" x14ac:dyDescent="0.25">
      <c r="A2224">
        <v>70381</v>
      </c>
      <c r="B2224" t="s">
        <v>236</v>
      </c>
      <c r="C2224" t="s">
        <v>238</v>
      </c>
      <c r="D2224">
        <v>4</v>
      </c>
      <c r="E2224">
        <v>0</v>
      </c>
      <c r="F2224" t="s">
        <v>241</v>
      </c>
      <c r="G2224" t="s">
        <v>26</v>
      </c>
      <c r="H2224">
        <v>0</v>
      </c>
      <c r="I2224" t="s">
        <v>251</v>
      </c>
    </row>
    <row r="2225" spans="1:9" x14ac:dyDescent="0.25">
      <c r="A2225">
        <v>70381</v>
      </c>
      <c r="B2225" t="s">
        <v>236</v>
      </c>
      <c r="C2225" t="s">
        <v>238</v>
      </c>
      <c r="D2225">
        <v>4</v>
      </c>
      <c r="E2225">
        <v>0</v>
      </c>
      <c r="F2225" t="s">
        <v>239</v>
      </c>
      <c r="G2225" t="s">
        <v>18</v>
      </c>
      <c r="H2225">
        <v>480572</v>
      </c>
      <c r="I2225" t="s">
        <v>252</v>
      </c>
    </row>
    <row r="2226" spans="1:9" x14ac:dyDescent="0.25">
      <c r="A2226">
        <v>70381</v>
      </c>
      <c r="B2226" t="s">
        <v>236</v>
      </c>
      <c r="C2226" t="s">
        <v>238</v>
      </c>
      <c r="D2226">
        <v>4</v>
      </c>
      <c r="E2226">
        <v>0</v>
      </c>
      <c r="F2226" t="s">
        <v>241</v>
      </c>
      <c r="G2226" t="s">
        <v>26</v>
      </c>
      <c r="H2226">
        <v>89462</v>
      </c>
      <c r="I2226" t="s">
        <v>253</v>
      </c>
    </row>
    <row r="2227" spans="1:9" x14ac:dyDescent="0.25">
      <c r="A2227">
        <v>70381</v>
      </c>
      <c r="B2227" t="s">
        <v>236</v>
      </c>
      <c r="C2227" t="s">
        <v>238</v>
      </c>
      <c r="D2227">
        <v>4</v>
      </c>
      <c r="E2227">
        <v>0</v>
      </c>
      <c r="F2227" t="s">
        <v>247</v>
      </c>
      <c r="G2227" t="s">
        <v>15</v>
      </c>
      <c r="H2227">
        <v>301541</v>
      </c>
      <c r="I2227" t="s">
        <v>254</v>
      </c>
    </row>
    <row r="2228" spans="1:9" x14ac:dyDescent="0.25">
      <c r="A2228">
        <v>70381</v>
      </c>
      <c r="B2228" t="s">
        <v>236</v>
      </c>
      <c r="C2228" t="s">
        <v>238</v>
      </c>
      <c r="D2228">
        <v>4</v>
      </c>
      <c r="E2228">
        <v>0</v>
      </c>
      <c r="F2228" t="s">
        <v>247</v>
      </c>
      <c r="G2228" t="s">
        <v>14</v>
      </c>
      <c r="H2228">
        <v>0</v>
      </c>
      <c r="I2228" t="s">
        <v>355</v>
      </c>
    </row>
    <row r="2229" spans="1:9" x14ac:dyDescent="0.25">
      <c r="A2229">
        <v>70381</v>
      </c>
      <c r="B2229" t="s">
        <v>236</v>
      </c>
      <c r="C2229" t="s">
        <v>238</v>
      </c>
      <c r="D2229">
        <v>4</v>
      </c>
      <c r="E2229">
        <v>0</v>
      </c>
      <c r="F2229" t="s">
        <v>241</v>
      </c>
      <c r="G2229" t="s">
        <v>23</v>
      </c>
      <c r="H2229">
        <v>127871</v>
      </c>
      <c r="I2229" t="s">
        <v>242</v>
      </c>
    </row>
    <row r="2230" spans="1:9" x14ac:dyDescent="0.25">
      <c r="A2230">
        <v>70381</v>
      </c>
      <c r="B2230" t="s">
        <v>236</v>
      </c>
      <c r="C2230" t="s">
        <v>238</v>
      </c>
      <c r="D2230">
        <v>4</v>
      </c>
      <c r="E2230">
        <v>0</v>
      </c>
      <c r="F2230" t="s">
        <v>241</v>
      </c>
      <c r="G2230" t="s">
        <v>24</v>
      </c>
      <c r="H2230">
        <v>65623</v>
      </c>
      <c r="I2230" t="s">
        <v>243</v>
      </c>
    </row>
    <row r="2231" spans="1:9" x14ac:dyDescent="0.25">
      <c r="A2231">
        <v>70381</v>
      </c>
      <c r="B2231" t="s">
        <v>236</v>
      </c>
      <c r="C2231" t="s">
        <v>238</v>
      </c>
      <c r="D2231">
        <v>4</v>
      </c>
      <c r="E2231">
        <v>0</v>
      </c>
      <c r="F2231" t="s">
        <v>241</v>
      </c>
      <c r="G2231" t="s">
        <v>21</v>
      </c>
      <c r="H2231">
        <v>0</v>
      </c>
      <c r="I2231" t="s">
        <v>356</v>
      </c>
    </row>
    <row r="2232" spans="1:9" x14ac:dyDescent="0.25">
      <c r="A2232">
        <v>70381</v>
      </c>
      <c r="B2232" t="s">
        <v>236</v>
      </c>
      <c r="C2232" t="s">
        <v>238</v>
      </c>
      <c r="D2232">
        <v>4</v>
      </c>
      <c r="E2232">
        <v>0</v>
      </c>
      <c r="F2232" t="s">
        <v>239</v>
      </c>
      <c r="G2232" t="s">
        <v>20</v>
      </c>
      <c r="H2232">
        <v>-33000</v>
      </c>
      <c r="I2232" t="s">
        <v>244</v>
      </c>
    </row>
    <row r="2233" spans="1:9" x14ac:dyDescent="0.25">
      <c r="A2233">
        <v>70381</v>
      </c>
      <c r="B2233" t="s">
        <v>236</v>
      </c>
      <c r="C2233" t="s">
        <v>238</v>
      </c>
      <c r="D2233">
        <v>4</v>
      </c>
      <c r="E2233">
        <v>0</v>
      </c>
      <c r="F2233" t="s">
        <v>241</v>
      </c>
      <c r="G2233" t="s">
        <v>22</v>
      </c>
      <c r="H2233">
        <v>4428</v>
      </c>
      <c r="I2233" t="s">
        <v>245</v>
      </c>
    </row>
    <row r="2234" spans="1:9" x14ac:dyDescent="0.25">
      <c r="A2234">
        <v>70381</v>
      </c>
      <c r="B2234" t="s">
        <v>236</v>
      </c>
      <c r="C2234" t="s">
        <v>238</v>
      </c>
      <c r="D2234">
        <v>4</v>
      </c>
      <c r="E2234">
        <v>0</v>
      </c>
      <c r="F2234" t="s">
        <v>241</v>
      </c>
      <c r="G2234" t="s">
        <v>26</v>
      </c>
      <c r="H2234">
        <v>1843</v>
      </c>
      <c r="I2234" t="s">
        <v>246</v>
      </c>
    </row>
    <row r="2235" spans="1:9" x14ac:dyDescent="0.25">
      <c r="A2235">
        <v>70381</v>
      </c>
      <c r="B2235" t="s">
        <v>236</v>
      </c>
      <c r="C2235" t="s">
        <v>238</v>
      </c>
      <c r="D2235">
        <v>4</v>
      </c>
      <c r="E2235">
        <v>0</v>
      </c>
      <c r="F2235" t="s">
        <v>239</v>
      </c>
      <c r="G2235" t="s">
        <v>17</v>
      </c>
      <c r="H2235">
        <v>0</v>
      </c>
      <c r="I2235" t="s">
        <v>357</v>
      </c>
    </row>
    <row r="2236" spans="1:9" x14ac:dyDescent="0.25">
      <c r="A2236">
        <v>70381</v>
      </c>
      <c r="B2236" t="s">
        <v>236</v>
      </c>
      <c r="C2236" t="s">
        <v>238</v>
      </c>
      <c r="D2236">
        <v>4</v>
      </c>
      <c r="E2236">
        <v>0</v>
      </c>
      <c r="F2236" t="s">
        <v>241</v>
      </c>
      <c r="G2236" t="s">
        <v>24</v>
      </c>
      <c r="H2236">
        <v>0</v>
      </c>
      <c r="I2236" t="s">
        <v>358</v>
      </c>
    </row>
    <row r="2237" spans="1:9" x14ac:dyDescent="0.25">
      <c r="A2237">
        <v>70381</v>
      </c>
      <c r="B2237" t="s">
        <v>236</v>
      </c>
      <c r="C2237" t="s">
        <v>238</v>
      </c>
      <c r="D2237">
        <v>4</v>
      </c>
      <c r="E2237">
        <v>0</v>
      </c>
      <c r="F2237" t="s">
        <v>241</v>
      </c>
      <c r="G2237" t="s">
        <v>27</v>
      </c>
      <c r="H2237">
        <v>0</v>
      </c>
      <c r="I2237" t="s">
        <v>359</v>
      </c>
    </row>
    <row r="2238" spans="1:9" x14ac:dyDescent="0.25">
      <c r="A2238">
        <v>70381</v>
      </c>
      <c r="B2238" t="s">
        <v>236</v>
      </c>
      <c r="C2238" t="s">
        <v>238</v>
      </c>
      <c r="D2238">
        <v>4</v>
      </c>
      <c r="E2238">
        <v>0</v>
      </c>
      <c r="F2238" t="s">
        <v>239</v>
      </c>
      <c r="G2238" t="s">
        <v>19</v>
      </c>
      <c r="H2238">
        <v>225965</v>
      </c>
      <c r="I2238" t="s">
        <v>360</v>
      </c>
    </row>
    <row r="2239" spans="1:9" x14ac:dyDescent="0.25">
      <c r="A2239">
        <v>70381</v>
      </c>
      <c r="B2239" t="s">
        <v>236</v>
      </c>
      <c r="C2239" t="s">
        <v>238</v>
      </c>
      <c r="D2239">
        <v>4</v>
      </c>
      <c r="E2239">
        <v>0</v>
      </c>
      <c r="F2239" t="s">
        <v>239</v>
      </c>
      <c r="G2239" t="s">
        <v>20</v>
      </c>
      <c r="H2239">
        <v>217666</v>
      </c>
      <c r="I2239" t="s">
        <v>255</v>
      </c>
    </row>
    <row r="2240" spans="1:9" x14ac:dyDescent="0.25">
      <c r="A2240">
        <v>70381</v>
      </c>
      <c r="B2240" t="s">
        <v>236</v>
      </c>
      <c r="C2240" t="s">
        <v>238</v>
      </c>
      <c r="D2240">
        <v>4</v>
      </c>
      <c r="E2240">
        <v>0</v>
      </c>
      <c r="F2240" t="s">
        <v>247</v>
      </c>
      <c r="G2240" t="s">
        <v>148</v>
      </c>
      <c r="H2240">
        <v>2137417</v>
      </c>
      <c r="I2240" t="s">
        <v>256</v>
      </c>
    </row>
    <row r="2241" spans="1:9" x14ac:dyDescent="0.25">
      <c r="A2241">
        <v>70381</v>
      </c>
      <c r="B2241" t="s">
        <v>236</v>
      </c>
      <c r="C2241" t="s">
        <v>238</v>
      </c>
      <c r="D2241">
        <v>4</v>
      </c>
      <c r="E2241">
        <v>0</v>
      </c>
      <c r="F2241" t="s">
        <v>241</v>
      </c>
      <c r="G2241" t="s">
        <v>27</v>
      </c>
      <c r="H2241">
        <v>5608172</v>
      </c>
      <c r="I2241" t="s">
        <v>257</v>
      </c>
    </row>
    <row r="2242" spans="1:9" x14ac:dyDescent="0.25">
      <c r="A2242">
        <v>70381</v>
      </c>
      <c r="B2242" t="s">
        <v>236</v>
      </c>
      <c r="C2242" t="s">
        <v>238</v>
      </c>
      <c r="D2242">
        <v>4</v>
      </c>
      <c r="E2242">
        <v>0</v>
      </c>
      <c r="F2242" t="s">
        <v>241</v>
      </c>
      <c r="G2242" t="s">
        <v>27</v>
      </c>
      <c r="H2242">
        <v>0</v>
      </c>
      <c r="I2242" t="s">
        <v>361</v>
      </c>
    </row>
    <row r="2243" spans="1:9" x14ac:dyDescent="0.25">
      <c r="A2243">
        <v>70381</v>
      </c>
      <c r="B2243" t="s">
        <v>236</v>
      </c>
      <c r="C2243" t="s">
        <v>238</v>
      </c>
      <c r="D2243">
        <v>4</v>
      </c>
      <c r="E2243">
        <v>0</v>
      </c>
      <c r="F2243" t="s">
        <v>241</v>
      </c>
      <c r="G2243" t="s">
        <v>27</v>
      </c>
      <c r="H2243">
        <v>0</v>
      </c>
      <c r="I2243" t="s">
        <v>362</v>
      </c>
    </row>
    <row r="2244" spans="1:9" x14ac:dyDescent="0.25">
      <c r="A2244">
        <v>70381</v>
      </c>
      <c r="B2244" t="s">
        <v>236</v>
      </c>
      <c r="C2244" t="s">
        <v>238</v>
      </c>
      <c r="D2244">
        <v>4</v>
      </c>
      <c r="E2244">
        <v>0</v>
      </c>
      <c r="F2244" t="s">
        <v>241</v>
      </c>
      <c r="G2244" t="s">
        <v>27</v>
      </c>
      <c r="H2244">
        <v>0</v>
      </c>
      <c r="I2244" t="s">
        <v>363</v>
      </c>
    </row>
    <row r="2245" spans="1:9" x14ac:dyDescent="0.25">
      <c r="A2245">
        <v>70381</v>
      </c>
      <c r="B2245" t="s">
        <v>236</v>
      </c>
      <c r="C2245" t="s">
        <v>238</v>
      </c>
      <c r="D2245">
        <v>4</v>
      </c>
      <c r="E2245">
        <v>0</v>
      </c>
      <c r="F2245" t="s">
        <v>239</v>
      </c>
      <c r="G2245" t="s">
        <v>16</v>
      </c>
      <c r="H2245">
        <v>8277</v>
      </c>
      <c r="I2245" t="s">
        <v>267</v>
      </c>
    </row>
    <row r="2246" spans="1:9" x14ac:dyDescent="0.25">
      <c r="A2246">
        <v>70381</v>
      </c>
      <c r="B2246" t="s">
        <v>236</v>
      </c>
      <c r="C2246" t="s">
        <v>238</v>
      </c>
      <c r="D2246">
        <v>4</v>
      </c>
      <c r="E2246">
        <v>0</v>
      </c>
      <c r="F2246" t="s">
        <v>239</v>
      </c>
      <c r="G2246" t="s">
        <v>152</v>
      </c>
      <c r="H2246">
        <v>39119</v>
      </c>
      <c r="I2246" t="s">
        <v>258</v>
      </c>
    </row>
    <row r="2247" spans="1:9" x14ac:dyDescent="0.25">
      <c r="A2247">
        <v>70381</v>
      </c>
      <c r="B2247" t="s">
        <v>236</v>
      </c>
      <c r="C2247" t="s">
        <v>238</v>
      </c>
      <c r="D2247">
        <v>4</v>
      </c>
      <c r="E2247">
        <v>0</v>
      </c>
      <c r="F2247" t="s">
        <v>239</v>
      </c>
      <c r="G2247" t="s">
        <v>154</v>
      </c>
      <c r="H2247">
        <v>0</v>
      </c>
      <c r="I2247" t="s">
        <v>330</v>
      </c>
    </row>
    <row r="2248" spans="1:9" x14ac:dyDescent="0.25">
      <c r="A2248">
        <v>70381</v>
      </c>
      <c r="B2248" t="s">
        <v>236</v>
      </c>
      <c r="C2248" t="s">
        <v>238</v>
      </c>
      <c r="D2248">
        <v>4</v>
      </c>
      <c r="E2248">
        <v>0</v>
      </c>
      <c r="F2248" t="s">
        <v>239</v>
      </c>
      <c r="G2248" t="s">
        <v>16</v>
      </c>
      <c r="H2248">
        <v>4067</v>
      </c>
      <c r="I2248" t="s">
        <v>259</v>
      </c>
    </row>
    <row r="2249" spans="1:9" x14ac:dyDescent="0.25">
      <c r="A2249">
        <v>70381</v>
      </c>
      <c r="B2249" t="s">
        <v>236</v>
      </c>
      <c r="C2249" t="s">
        <v>238</v>
      </c>
      <c r="D2249">
        <v>4</v>
      </c>
      <c r="E2249">
        <v>0</v>
      </c>
      <c r="F2249" t="s">
        <v>239</v>
      </c>
      <c r="G2249" t="s">
        <v>19</v>
      </c>
      <c r="H2249">
        <v>93248</v>
      </c>
      <c r="I2249" t="s">
        <v>260</v>
      </c>
    </row>
    <row r="2250" spans="1:9" x14ac:dyDescent="0.25">
      <c r="A2250">
        <v>70381</v>
      </c>
      <c r="B2250" t="s">
        <v>236</v>
      </c>
      <c r="C2250" t="s">
        <v>238</v>
      </c>
      <c r="D2250">
        <v>4</v>
      </c>
      <c r="E2250">
        <v>0</v>
      </c>
      <c r="F2250" t="s">
        <v>239</v>
      </c>
      <c r="G2250" t="s">
        <v>19</v>
      </c>
      <c r="H2250">
        <v>-37386</v>
      </c>
      <c r="I2250" t="s">
        <v>270</v>
      </c>
    </row>
    <row r="2251" spans="1:9" x14ac:dyDescent="0.25">
      <c r="A2251">
        <v>70381</v>
      </c>
      <c r="B2251" t="s">
        <v>236</v>
      </c>
      <c r="C2251" t="s">
        <v>238</v>
      </c>
      <c r="D2251">
        <v>4</v>
      </c>
      <c r="E2251">
        <v>0</v>
      </c>
      <c r="F2251" t="s">
        <v>241</v>
      </c>
      <c r="G2251" t="s">
        <v>139</v>
      </c>
      <c r="H2251">
        <v>0</v>
      </c>
      <c r="I2251" t="s">
        <v>331</v>
      </c>
    </row>
    <row r="2252" spans="1:9" x14ac:dyDescent="0.25">
      <c r="A2252">
        <v>70381</v>
      </c>
      <c r="B2252" t="s">
        <v>236</v>
      </c>
      <c r="C2252" t="s">
        <v>238</v>
      </c>
      <c r="D2252">
        <v>4</v>
      </c>
      <c r="E2252">
        <v>0</v>
      </c>
      <c r="F2252" t="s">
        <v>261</v>
      </c>
      <c r="G2252" t="s">
        <v>261</v>
      </c>
      <c r="H2252">
        <v>7247386</v>
      </c>
      <c r="I2252" t="s">
        <v>262</v>
      </c>
    </row>
    <row r="2253" spans="1:9" x14ac:dyDescent="0.25">
      <c r="A2253">
        <v>70381</v>
      </c>
      <c r="B2253" t="s">
        <v>236</v>
      </c>
      <c r="C2253" t="s">
        <v>238</v>
      </c>
      <c r="D2253">
        <v>4</v>
      </c>
      <c r="E2253">
        <v>0</v>
      </c>
      <c r="F2253" t="s">
        <v>239</v>
      </c>
      <c r="G2253" t="s">
        <v>19</v>
      </c>
      <c r="H2253">
        <v>344229</v>
      </c>
      <c r="I2253" t="s">
        <v>263</v>
      </c>
    </row>
    <row r="2254" spans="1:9" x14ac:dyDescent="0.25">
      <c r="A2254">
        <v>70381</v>
      </c>
      <c r="B2254" t="s">
        <v>236</v>
      </c>
      <c r="C2254" t="s">
        <v>238</v>
      </c>
      <c r="D2254">
        <v>4</v>
      </c>
      <c r="E2254">
        <v>0</v>
      </c>
      <c r="F2254" t="s">
        <v>239</v>
      </c>
      <c r="G2254" t="s">
        <v>16</v>
      </c>
      <c r="H2254">
        <v>9022</v>
      </c>
      <c r="I2254" t="s">
        <v>240</v>
      </c>
    </row>
    <row r="2255" spans="1:9" x14ac:dyDescent="0.25">
      <c r="A2255">
        <v>70381</v>
      </c>
      <c r="B2255" t="s">
        <v>236</v>
      </c>
      <c r="C2255" t="s">
        <v>238</v>
      </c>
      <c r="D2255">
        <v>4</v>
      </c>
      <c r="E2255">
        <v>0</v>
      </c>
      <c r="F2255" t="s">
        <v>239</v>
      </c>
      <c r="G2255" t="s">
        <v>19</v>
      </c>
      <c r="H2255">
        <v>42569</v>
      </c>
      <c r="I2255" t="s">
        <v>264</v>
      </c>
    </row>
    <row r="2256" spans="1:9" x14ac:dyDescent="0.25">
      <c r="A2256">
        <v>70381</v>
      </c>
      <c r="B2256" t="s">
        <v>236</v>
      </c>
      <c r="C2256" t="s">
        <v>238</v>
      </c>
      <c r="D2256">
        <v>4</v>
      </c>
      <c r="E2256">
        <v>0</v>
      </c>
      <c r="F2256" t="s">
        <v>241</v>
      </c>
      <c r="G2256" t="s">
        <v>158</v>
      </c>
      <c r="H2256">
        <v>39771</v>
      </c>
      <c r="I2256" t="s">
        <v>265</v>
      </c>
    </row>
    <row r="2257" spans="1:9" x14ac:dyDescent="0.25">
      <c r="A2257">
        <v>70381</v>
      </c>
      <c r="B2257" t="s">
        <v>236</v>
      </c>
      <c r="C2257" t="s">
        <v>238</v>
      </c>
      <c r="D2257">
        <v>4</v>
      </c>
      <c r="E2257">
        <v>0</v>
      </c>
      <c r="F2257" t="s">
        <v>239</v>
      </c>
      <c r="G2257" t="s">
        <v>19</v>
      </c>
      <c r="H2257">
        <v>37386</v>
      </c>
      <c r="I2257" t="s">
        <v>271</v>
      </c>
    </row>
    <row r="2258" spans="1:9" x14ac:dyDescent="0.25">
      <c r="A2258">
        <v>70381</v>
      </c>
      <c r="B2258" t="s">
        <v>236</v>
      </c>
      <c r="C2258" t="s">
        <v>238</v>
      </c>
      <c r="D2258">
        <v>4</v>
      </c>
      <c r="E2258">
        <v>0</v>
      </c>
      <c r="F2258" t="s">
        <v>239</v>
      </c>
      <c r="G2258" t="s">
        <v>19</v>
      </c>
      <c r="H2258">
        <v>0</v>
      </c>
      <c r="I2258" t="s">
        <v>266</v>
      </c>
    </row>
    <row r="2259" spans="1:9" x14ac:dyDescent="0.25">
      <c r="A2259">
        <v>70381</v>
      </c>
      <c r="B2259" t="s">
        <v>236</v>
      </c>
      <c r="C2259" t="s">
        <v>238</v>
      </c>
      <c r="D2259">
        <v>4</v>
      </c>
      <c r="E2259">
        <v>0</v>
      </c>
      <c r="F2259" t="s">
        <v>241</v>
      </c>
      <c r="G2259" t="s">
        <v>143</v>
      </c>
      <c r="H2259">
        <v>0</v>
      </c>
      <c r="I2259" t="s">
        <v>332</v>
      </c>
    </row>
    <row r="2260" spans="1:9" x14ac:dyDescent="0.25">
      <c r="A2260">
        <v>70381</v>
      </c>
      <c r="B2260" t="s">
        <v>236</v>
      </c>
      <c r="C2260" t="s">
        <v>238</v>
      </c>
      <c r="D2260">
        <v>4</v>
      </c>
      <c r="E2260">
        <v>0</v>
      </c>
      <c r="F2260" t="s">
        <v>241</v>
      </c>
      <c r="G2260" t="s">
        <v>138</v>
      </c>
      <c r="H2260">
        <v>0</v>
      </c>
      <c r="I2260" t="s">
        <v>333</v>
      </c>
    </row>
    <row r="2261" spans="1:9" x14ac:dyDescent="0.25">
      <c r="A2261">
        <v>70381</v>
      </c>
      <c r="B2261" t="s">
        <v>236</v>
      </c>
      <c r="C2261" t="s">
        <v>238</v>
      </c>
      <c r="D2261">
        <v>4</v>
      </c>
      <c r="E2261">
        <v>0</v>
      </c>
      <c r="F2261" t="s">
        <v>241</v>
      </c>
      <c r="G2261" t="s">
        <v>138</v>
      </c>
      <c r="H2261">
        <v>0</v>
      </c>
      <c r="I2261" t="s">
        <v>334</v>
      </c>
    </row>
    <row r="2262" spans="1:9" x14ac:dyDescent="0.25">
      <c r="A2262">
        <v>70381</v>
      </c>
      <c r="B2262" t="s">
        <v>236</v>
      </c>
      <c r="C2262" t="s">
        <v>238</v>
      </c>
      <c r="D2262">
        <v>4</v>
      </c>
      <c r="E2262">
        <v>0</v>
      </c>
      <c r="F2262" t="s">
        <v>241</v>
      </c>
      <c r="G2262" t="s">
        <v>138</v>
      </c>
      <c r="H2262">
        <v>-4866</v>
      </c>
      <c r="I2262" t="s">
        <v>268</v>
      </c>
    </row>
    <row r="2263" spans="1:9" x14ac:dyDescent="0.25">
      <c r="A2263">
        <v>70381</v>
      </c>
      <c r="B2263" t="s">
        <v>236</v>
      </c>
      <c r="C2263" t="s">
        <v>238</v>
      </c>
      <c r="D2263">
        <v>4</v>
      </c>
      <c r="E2263">
        <v>0</v>
      </c>
      <c r="F2263" t="s">
        <v>241</v>
      </c>
      <c r="G2263" t="s">
        <v>139</v>
      </c>
      <c r="H2263">
        <v>0</v>
      </c>
      <c r="I2263" t="s">
        <v>336</v>
      </c>
    </row>
    <row r="2264" spans="1:9" x14ac:dyDescent="0.25">
      <c r="A2264">
        <v>70381</v>
      </c>
      <c r="B2264" t="s">
        <v>236</v>
      </c>
      <c r="C2264" t="s">
        <v>238</v>
      </c>
      <c r="D2264">
        <v>4</v>
      </c>
      <c r="E2264">
        <v>0</v>
      </c>
      <c r="F2264" t="s">
        <v>241</v>
      </c>
      <c r="G2264" t="s">
        <v>139</v>
      </c>
      <c r="H2264">
        <v>0</v>
      </c>
      <c r="I2264" t="s">
        <v>337</v>
      </c>
    </row>
    <row r="2265" spans="1:9" x14ac:dyDescent="0.25">
      <c r="A2265">
        <v>70381</v>
      </c>
      <c r="B2265" t="s">
        <v>236</v>
      </c>
      <c r="C2265" t="s">
        <v>238</v>
      </c>
      <c r="D2265">
        <v>4</v>
      </c>
      <c r="E2265">
        <v>0</v>
      </c>
      <c r="F2265" t="s">
        <v>241</v>
      </c>
      <c r="G2265" t="s">
        <v>139</v>
      </c>
      <c r="H2265">
        <v>0</v>
      </c>
      <c r="I2265" t="s">
        <v>335</v>
      </c>
    </row>
    <row r="2266" spans="1:9" x14ac:dyDescent="0.25">
      <c r="A2266">
        <v>70381</v>
      </c>
      <c r="B2266" t="s">
        <v>236</v>
      </c>
      <c r="C2266" t="s">
        <v>238</v>
      </c>
      <c r="D2266">
        <v>4</v>
      </c>
      <c r="E2266">
        <v>0</v>
      </c>
      <c r="F2266" t="s">
        <v>241</v>
      </c>
      <c r="G2266" t="s">
        <v>24</v>
      </c>
      <c r="H2266">
        <v>0</v>
      </c>
      <c r="I2266" t="s">
        <v>338</v>
      </c>
    </row>
    <row r="2267" spans="1:9" x14ac:dyDescent="0.25">
      <c r="A2267">
        <v>70381</v>
      </c>
      <c r="B2267" t="s">
        <v>236</v>
      </c>
      <c r="C2267" t="s">
        <v>238</v>
      </c>
      <c r="D2267">
        <v>4</v>
      </c>
      <c r="E2267">
        <v>0</v>
      </c>
      <c r="F2267" t="s">
        <v>241</v>
      </c>
      <c r="G2267" t="s">
        <v>24</v>
      </c>
      <c r="H2267">
        <v>0</v>
      </c>
      <c r="I2267" t="s">
        <v>339</v>
      </c>
    </row>
    <row r="2268" spans="1:9" x14ac:dyDescent="0.25">
      <c r="A2268">
        <v>70381</v>
      </c>
      <c r="B2268" t="s">
        <v>236</v>
      </c>
      <c r="C2268" t="s">
        <v>238</v>
      </c>
      <c r="D2268">
        <v>4</v>
      </c>
      <c r="E2268">
        <v>0</v>
      </c>
      <c r="F2268" t="s">
        <v>241</v>
      </c>
      <c r="G2268" t="s">
        <v>24</v>
      </c>
      <c r="H2268">
        <v>0</v>
      </c>
      <c r="I2268" t="s">
        <v>340</v>
      </c>
    </row>
    <row r="2269" spans="1:9" x14ac:dyDescent="0.25">
      <c r="A2269">
        <v>70381</v>
      </c>
      <c r="B2269" t="s">
        <v>236</v>
      </c>
      <c r="C2269" t="s">
        <v>238</v>
      </c>
      <c r="D2269">
        <v>4</v>
      </c>
      <c r="E2269">
        <v>0</v>
      </c>
      <c r="F2269" t="s">
        <v>241</v>
      </c>
      <c r="G2269" t="s">
        <v>137</v>
      </c>
      <c r="H2269">
        <v>0</v>
      </c>
      <c r="I2269" t="s">
        <v>273</v>
      </c>
    </row>
    <row r="2270" spans="1:9" x14ac:dyDescent="0.25">
      <c r="A2270">
        <v>70381</v>
      </c>
      <c r="B2270" t="s">
        <v>236</v>
      </c>
      <c r="C2270" t="s">
        <v>238</v>
      </c>
      <c r="D2270">
        <v>4</v>
      </c>
      <c r="E2270">
        <v>0</v>
      </c>
      <c r="F2270" t="s">
        <v>241</v>
      </c>
      <c r="G2270" t="s">
        <v>137</v>
      </c>
      <c r="H2270">
        <v>0</v>
      </c>
      <c r="I2270" t="s">
        <v>341</v>
      </c>
    </row>
    <row r="2271" spans="1:9" x14ac:dyDescent="0.25">
      <c r="A2271">
        <v>70381</v>
      </c>
      <c r="B2271" t="s">
        <v>236</v>
      </c>
      <c r="C2271" t="s">
        <v>238</v>
      </c>
      <c r="D2271">
        <v>4</v>
      </c>
      <c r="E2271">
        <v>0</v>
      </c>
      <c r="F2271" t="s">
        <v>241</v>
      </c>
      <c r="G2271" t="s">
        <v>137</v>
      </c>
      <c r="H2271">
        <v>0</v>
      </c>
      <c r="I2271" t="s">
        <v>342</v>
      </c>
    </row>
    <row r="2272" spans="1:9" x14ac:dyDescent="0.25">
      <c r="A2272">
        <v>70381</v>
      </c>
      <c r="B2272" t="s">
        <v>236</v>
      </c>
      <c r="C2272" t="s">
        <v>238</v>
      </c>
      <c r="D2272">
        <v>4</v>
      </c>
      <c r="E2272">
        <v>0</v>
      </c>
      <c r="F2272" t="s">
        <v>241</v>
      </c>
      <c r="G2272" t="s">
        <v>137</v>
      </c>
      <c r="H2272">
        <v>0</v>
      </c>
      <c r="I2272" t="s">
        <v>343</v>
      </c>
    </row>
    <row r="2273" spans="1:9" x14ac:dyDescent="0.25">
      <c r="A2273">
        <v>70381</v>
      </c>
      <c r="B2273" t="s">
        <v>236</v>
      </c>
      <c r="C2273" t="s">
        <v>238</v>
      </c>
      <c r="D2273">
        <v>4</v>
      </c>
      <c r="E2273">
        <v>0</v>
      </c>
      <c r="F2273" t="s">
        <v>241</v>
      </c>
      <c r="G2273" t="s">
        <v>143</v>
      </c>
      <c r="H2273">
        <v>0</v>
      </c>
      <c r="I2273" t="s">
        <v>344</v>
      </c>
    </row>
    <row r="2274" spans="1:9" x14ac:dyDescent="0.25">
      <c r="A2274">
        <v>70381</v>
      </c>
      <c r="B2274" t="s">
        <v>236</v>
      </c>
      <c r="C2274" t="s">
        <v>238</v>
      </c>
      <c r="D2274">
        <v>4</v>
      </c>
      <c r="E2274">
        <v>0</v>
      </c>
      <c r="F2274" t="s">
        <v>241</v>
      </c>
      <c r="G2274" t="s">
        <v>143</v>
      </c>
      <c r="H2274">
        <v>0</v>
      </c>
      <c r="I2274" t="s">
        <v>345</v>
      </c>
    </row>
    <row r="2275" spans="1:9" x14ac:dyDescent="0.25">
      <c r="A2275">
        <v>70381</v>
      </c>
      <c r="B2275" t="s">
        <v>236</v>
      </c>
      <c r="C2275" t="s">
        <v>238</v>
      </c>
      <c r="D2275">
        <v>4</v>
      </c>
      <c r="E2275">
        <v>0</v>
      </c>
      <c r="F2275" t="s">
        <v>241</v>
      </c>
      <c r="G2275" t="s">
        <v>143</v>
      </c>
      <c r="H2275">
        <v>0</v>
      </c>
      <c r="I2275" t="s">
        <v>346</v>
      </c>
    </row>
    <row r="2276" spans="1:9" x14ac:dyDescent="0.25">
      <c r="A2276">
        <v>70381</v>
      </c>
      <c r="B2276" t="s">
        <v>236</v>
      </c>
      <c r="C2276" t="s">
        <v>238</v>
      </c>
      <c r="D2276">
        <v>4</v>
      </c>
      <c r="E2276">
        <v>0</v>
      </c>
      <c r="F2276" t="s">
        <v>241</v>
      </c>
      <c r="G2276" t="s">
        <v>138</v>
      </c>
      <c r="H2276">
        <v>0</v>
      </c>
      <c r="I2276" t="s">
        <v>347</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A39"/>
  <sheetViews>
    <sheetView topLeftCell="A2" zoomScale="75" zoomScaleNormal="75" workbookViewId="0">
      <selection sqref="A1:XFD1"/>
    </sheetView>
  </sheetViews>
  <sheetFormatPr defaultRowHeight="12.75" x14ac:dyDescent="0.2"/>
  <cols>
    <col min="1" max="1" width="45.140625" style="2" customWidth="1"/>
    <col min="2" max="104" width="16.5703125" style="2" customWidth="1"/>
    <col min="105" max="105" width="13.85546875" style="2" bestFit="1" customWidth="1"/>
    <col min="106" max="16384" width="9.140625" style="2"/>
  </cols>
  <sheetData>
    <row r="1" spans="1:105" hidden="1" x14ac:dyDescent="0.2">
      <c r="B1" s="2">
        <v>70342</v>
      </c>
      <c r="C1" s="2">
        <v>70343</v>
      </c>
      <c r="D1" s="2">
        <v>70344</v>
      </c>
      <c r="E1" s="2">
        <v>70346</v>
      </c>
      <c r="F1" s="2">
        <v>70348</v>
      </c>
      <c r="G1" s="2">
        <v>70350</v>
      </c>
      <c r="H1" s="2">
        <v>70352</v>
      </c>
      <c r="I1" s="2">
        <v>70358</v>
      </c>
      <c r="J1" s="2">
        <v>70361</v>
      </c>
      <c r="K1" s="2">
        <v>70364</v>
      </c>
      <c r="L1" s="2">
        <v>70365</v>
      </c>
      <c r="M1" s="2">
        <v>70366</v>
      </c>
      <c r="N1" s="2">
        <v>70367</v>
      </c>
      <c r="O1" s="2">
        <v>70368</v>
      </c>
      <c r="P1" s="2">
        <v>70373</v>
      </c>
      <c r="Q1" s="2">
        <v>70374</v>
      </c>
      <c r="R1" s="2">
        <v>70375</v>
      </c>
      <c r="S1" s="2">
        <v>70340</v>
      </c>
      <c r="T1" s="2">
        <v>70349</v>
      </c>
      <c r="U1" s="2">
        <v>70362</v>
      </c>
      <c r="V1" s="2">
        <v>70370</v>
      </c>
      <c r="W1" s="2">
        <v>70371</v>
      </c>
      <c r="X1" s="2">
        <v>70372</v>
      </c>
      <c r="Y1" s="2">
        <v>70377</v>
      </c>
      <c r="Z1" s="2">
        <v>70378</v>
      </c>
      <c r="AA1" s="2">
        <v>70376</v>
      </c>
      <c r="AB1" s="2">
        <v>70379</v>
      </c>
      <c r="AC1" s="2">
        <v>70381</v>
      </c>
      <c r="AD1" s="2">
        <v>70363</v>
      </c>
      <c r="AE1" s="2">
        <v>70354</v>
      </c>
      <c r="AF1" s="2">
        <v>70357</v>
      </c>
      <c r="AG1" s="2">
        <v>70369</v>
      </c>
      <c r="AH1" s="2">
        <v>70341</v>
      </c>
      <c r="AI1" s="2">
        <v>70345</v>
      </c>
      <c r="AJ1" s="2">
        <v>70347</v>
      </c>
    </row>
    <row r="11" spans="1:105" s="9" customFormat="1" ht="99.75" customHeight="1" x14ac:dyDescent="0.25">
      <c r="B11" s="46" t="str">
        <f>VLOOKUP(B$1,Main!$B$19:$C$2538,2,FALSE)</f>
        <v>Tyler Road Limited Partnership</v>
      </c>
      <c r="C11" s="46" t="str">
        <f>VLOOKUP(C$1,Main!$B$19:$C$2538,2,FALSE)</f>
        <v>West Manchester Limited Partnership</v>
      </c>
      <c r="D11" s="46" t="str">
        <f>VLOOKUP(D$1,Main!$B$19:$C$2538,2,FALSE)</f>
        <v>Naamans Creek Limited Partnership</v>
      </c>
      <c r="E11" s="46" t="str">
        <f>VLOOKUP(E$1,Main!$B$19:$C$2538,2,FALSE)</f>
        <v>Lower Salford Limited Partnership</v>
      </c>
      <c r="F11" s="46" t="str">
        <f>VLOOKUP(F$1,Main!$B$19:$C$2538,2,FALSE)</f>
        <v>Bethlehem Village Limited Partnership</v>
      </c>
      <c r="G11" s="46" t="str">
        <f>VLOOKUP(G$1,Main!$B$19:$C$2538,2,FALSE)</f>
        <v>Easton Limited Partnership</v>
      </c>
      <c r="H11" s="46" t="str">
        <f>VLOOKUP(H$1,Main!$B$19:$C$2538,2,FALSE)</f>
        <v>Somerset Commons LLLP</v>
      </c>
      <c r="I11" s="46" t="str">
        <f>VLOOKUP(I$1,Main!$B$19:$C$2538,2,FALSE)</f>
        <v>Ellicott City II Limited Partnership</v>
      </c>
      <c r="J11" s="46" t="str">
        <f>VLOOKUP(J$1,Main!$B$19:$C$2538,2,FALSE)</f>
        <v>Hickory Ridge Village LLLP</v>
      </c>
      <c r="K11" s="46" t="str">
        <f>VLOOKUP(K$1,Main!$B$19:$C$2538,2,FALSE)</f>
        <v>Woodbridge Commons LLLP</v>
      </c>
      <c r="L11" s="46" t="str">
        <f>VLOOKUP(L$1,Main!$B$19:$C$2538,2,FALSE)</f>
        <v>Park View at Bel Air II LLLP</v>
      </c>
      <c r="M11" s="46" t="str">
        <f>VLOOKUP(M$1,Main!$B$19:$C$2538,2,FALSE)</f>
        <v>Abingdon II LLLP</v>
      </c>
      <c r="N11" s="46" t="str">
        <f>VLOOKUP(N$1,Main!$B$19:$C$2538,2,FALSE)</f>
        <v>College Parkway LLLP</v>
      </c>
      <c r="O11" s="46" t="str">
        <f>VLOOKUP(O$1,Main!$B$19:$C$2538,2,FALSE)</f>
        <v>Glen Burnie LLLP</v>
      </c>
      <c r="P11" s="46" t="str">
        <f>VLOOKUP(P$1,Main!$B$19:$C$2538,2,FALSE)</f>
        <v>Coldspring Limited Partnership</v>
      </c>
      <c r="Q11" s="46" t="str">
        <f>VLOOKUP(Q$1,Main!$B$19:$C$2538,2,FALSE)</f>
        <v>Parkville LLLP</v>
      </c>
      <c r="R11" s="46" t="str">
        <f>VLOOKUP(R$1,Main!$B$19:$C$2538,2,FALSE)</f>
        <v>Woodlawn Apartments Limited Partnership</v>
      </c>
      <c r="S11" s="46" t="str">
        <f>VLOOKUP(S$1,Main!$B$19:$C$2538,2,FALSE)</f>
        <v>Catonsville LLLP</v>
      </c>
      <c r="T11" s="46" t="str">
        <f>VLOOKUP(T$1,Main!$B$19:$C$2538,2,FALSE)</f>
        <v>Salisbury LLLP</v>
      </c>
      <c r="U11" s="46" t="str">
        <f>VLOOKUP(U$1,Main!$B$19:$C$2538,2,FALSE)</f>
        <v>Snowden River LLLP</v>
      </c>
      <c r="V11" s="46" t="str">
        <f>VLOOKUP(V$1,Main!$B$19:$C$2538,2,FALSE)</f>
        <v>Ashland LLLP</v>
      </c>
      <c r="W11" s="46" t="str">
        <f>VLOOKUP(W$1,Main!$B$19:$C$2538,2,FALSE)</f>
        <v>Fullerton LLLP</v>
      </c>
      <c r="X11" s="46" t="str">
        <f>VLOOKUP(X$1,Main!$B$19:$C$2538,2,FALSE)</f>
        <v>Ashland Park View LLLP</v>
      </c>
      <c r="Y11" s="46" t="str">
        <f>VLOOKUP(Y$1,Main!$B$19:$C$2538,2,FALSE)</f>
        <v>Randallstown LLLP</v>
      </c>
      <c r="Z11" s="46" t="str">
        <f>VLOOKUP(Z$1,Main!$B$19:$C$2538,2,FALSE)</f>
        <v>Rosedale LLLP</v>
      </c>
      <c r="AA11" s="46" t="str">
        <f>VLOOKUP(AA$1,Main!$B$19:$C$2538,2,FALSE)</f>
        <v>Miramar LLLP</v>
      </c>
      <c r="AB11" s="46" t="str">
        <f>VLOOKUP(AB$1,Main!$B$19:$C$2538,2,FALSE)</f>
        <v>Timothy House  LLLP</v>
      </c>
      <c r="AC11" s="46" t="str">
        <f>VLOOKUP(AC$1,Main!$B$19:$C$2538,2,FALSE)</f>
        <v>Aberdeen Commons LLLP</v>
      </c>
      <c r="AD11" s="46" t="str">
        <f>VLOOKUP(AD$1,Main!$B$19:$C$2538,2,FALSE)</f>
        <v>Columbia LLLP</v>
      </c>
      <c r="AE11" s="46" t="str">
        <f>VLOOKUP(AE$1,Main!$B$19:$C$2538,2,FALSE)</f>
        <v>Laurel LLLP</v>
      </c>
      <c r="AF11" s="46" t="str">
        <f>VLOOKUP(AF$1,Main!$B$19:$C$2538,2,FALSE)</f>
        <v>Emerson LLLP</v>
      </c>
      <c r="AG11" s="46" t="str">
        <f>VLOOKUP(AG$1,Main!$B$19:$C$2538,2,FALSE)</f>
        <v>Severna Park LLLP</v>
      </c>
      <c r="AH11" s="46" t="str">
        <f>VLOOKUP(AH$1,Main!$B$19:$C$2538,2,FALSE)</f>
        <v>South Pantops Limited Partnership</v>
      </c>
      <c r="AI11" s="46" t="str">
        <f>VLOOKUP(AI$1,Main!$B$19:$C$2538,2,FALSE)</f>
        <v>York Commons Limited Partnership</v>
      </c>
      <c r="AJ11" s="46" t="str">
        <f>VLOOKUP(AJ$1,Main!$B$19:$C$2538,2,FALSE)</f>
        <v>Cheltenham Park View Limited Partnership II</v>
      </c>
      <c r="AK11" s="46" t="e">
        <f>VLOOKUP(AK$1,Main!$B$19:$C$2538,2,FALSE)</f>
        <v>#N/A</v>
      </c>
      <c r="AL11" s="46" t="e">
        <f>VLOOKUP(AL$1,Main!$B$19:$C$2538,2,FALSE)</f>
        <v>#N/A</v>
      </c>
      <c r="AM11" s="46" t="e">
        <f>VLOOKUP(AM$1,Main!$B$19:$C$2538,2,FALSE)</f>
        <v>#N/A</v>
      </c>
      <c r="AN11" s="46" t="e">
        <f>VLOOKUP(AN$1,Main!$B$19:$C$2538,2,FALSE)</f>
        <v>#N/A</v>
      </c>
      <c r="AO11" s="46" t="e">
        <f>VLOOKUP(AO$1,Main!$B$19:$C$2538,2,FALSE)</f>
        <v>#N/A</v>
      </c>
      <c r="AP11" s="46" t="e">
        <f>VLOOKUP(AP$1,Main!$B$19:$C$2538,2,FALSE)</f>
        <v>#N/A</v>
      </c>
      <c r="AQ11" s="46" t="e">
        <f>VLOOKUP(AQ$1,Main!$B$19:$C$2538,2,FALSE)</f>
        <v>#N/A</v>
      </c>
      <c r="AR11" s="46" t="e">
        <f>VLOOKUP(AR$1,Main!$B$19:$C$2538,2,FALSE)</f>
        <v>#N/A</v>
      </c>
      <c r="AS11" s="46" t="e">
        <f>VLOOKUP(AS$1,Main!$B$19:$C$2538,2,FALSE)</f>
        <v>#N/A</v>
      </c>
      <c r="AT11" s="46" t="e">
        <f>VLOOKUP(AT$1,Main!$B$19:$C$2538,2,FALSE)</f>
        <v>#N/A</v>
      </c>
      <c r="AU11" s="46" t="e">
        <f>VLOOKUP(AU$1,Main!$B$19:$C$2538,2,FALSE)</f>
        <v>#N/A</v>
      </c>
      <c r="AV11" s="46" t="e">
        <f>VLOOKUP(AV$1,Main!$B$19:$C$2538,2,FALSE)</f>
        <v>#N/A</v>
      </c>
      <c r="AW11" s="46" t="e">
        <f>VLOOKUP(AW$1,Main!$B$19:$C$2538,2,FALSE)</f>
        <v>#N/A</v>
      </c>
      <c r="AX11" s="46" t="e">
        <f>VLOOKUP(AX$1,Main!$B$19:$C$2538,2,FALSE)</f>
        <v>#N/A</v>
      </c>
      <c r="AY11" s="46" t="e">
        <f>VLOOKUP(AY$1,Main!$B$19:$C$2538,2,FALSE)</f>
        <v>#N/A</v>
      </c>
      <c r="AZ11" s="46" t="e">
        <f>VLOOKUP(AZ$1,Main!$B$19:$C$2538,2,FALSE)</f>
        <v>#N/A</v>
      </c>
      <c r="BA11" s="46" t="e">
        <f>VLOOKUP(BA$1,Main!$B$19:$C$2538,2,FALSE)</f>
        <v>#N/A</v>
      </c>
      <c r="BB11" s="46" t="e">
        <f>VLOOKUP(BB$1,Main!$B$19:$C$2538,2,FALSE)</f>
        <v>#N/A</v>
      </c>
      <c r="BC11" s="46" t="e">
        <f>VLOOKUP(BC$1,Main!$B$19:$C$2538,2,FALSE)</f>
        <v>#N/A</v>
      </c>
      <c r="BD11" s="46" t="e">
        <f>VLOOKUP(BD$1,Main!$B$19:$C$2538,2,FALSE)</f>
        <v>#N/A</v>
      </c>
      <c r="BE11" s="46" t="e">
        <f>VLOOKUP(BE$1,Main!$B$19:$C$2538,2,FALSE)</f>
        <v>#N/A</v>
      </c>
      <c r="BF11" s="46" t="e">
        <f>VLOOKUP(BF$1,Main!$B$19:$C$2538,2,FALSE)</f>
        <v>#N/A</v>
      </c>
      <c r="BG11" s="46" t="e">
        <f>VLOOKUP(BG$1,Main!$B$19:$C$2538,2,FALSE)</f>
        <v>#N/A</v>
      </c>
      <c r="BH11" s="46" t="e">
        <f>VLOOKUP(BH$1,Main!$B$19:$C$2538,2,FALSE)</f>
        <v>#N/A</v>
      </c>
      <c r="BI11" s="46" t="e">
        <f>VLOOKUP(BI$1,Main!$B$19:$C$2538,2,FALSE)</f>
        <v>#N/A</v>
      </c>
      <c r="BJ11" s="46" t="e">
        <f>VLOOKUP(BJ$1,Main!$B$19:$C$2538,2,FALSE)</f>
        <v>#N/A</v>
      </c>
      <c r="BK11" s="46" t="e">
        <f>VLOOKUP(BK$1,Main!$B$19:$C$2538,2,FALSE)</f>
        <v>#N/A</v>
      </c>
      <c r="BL11" s="46" t="e">
        <f>VLOOKUP(BL$1,Main!$B$19:$C$2538,2,FALSE)</f>
        <v>#N/A</v>
      </c>
      <c r="BM11" s="46" t="e">
        <f>VLOOKUP(BM$1,Main!$B$19:$C$2538,2,FALSE)</f>
        <v>#N/A</v>
      </c>
      <c r="BN11" s="46" t="e">
        <f>VLOOKUP(BN$1,Main!$B$19:$C$2538,2,FALSE)</f>
        <v>#N/A</v>
      </c>
      <c r="BO11" s="46" t="e">
        <f>VLOOKUP(BO$1,Main!$B$19:$C$2538,2,FALSE)</f>
        <v>#N/A</v>
      </c>
      <c r="BP11" s="46" t="e">
        <f>VLOOKUP(BP$1,Main!$B$19:$C$2538,2,FALSE)</f>
        <v>#N/A</v>
      </c>
      <c r="BQ11" s="46" t="e">
        <f>VLOOKUP(BQ$1,Main!$B$19:$C$2538,2,FALSE)</f>
        <v>#N/A</v>
      </c>
      <c r="BR11" s="46" t="e">
        <f>VLOOKUP(BR$1,Main!$B$19:$C$2538,2,FALSE)</f>
        <v>#N/A</v>
      </c>
      <c r="BS11" s="46" t="e">
        <f>VLOOKUP(BS$1,Main!$B$19:$C$2538,2,FALSE)</f>
        <v>#N/A</v>
      </c>
      <c r="BT11" s="46" t="e">
        <f>VLOOKUP(BT$1,Main!$B$19:$C$2538,2,FALSE)</f>
        <v>#N/A</v>
      </c>
      <c r="BU11" s="46" t="e">
        <f>VLOOKUP(BU$1,Main!$B$19:$C$2538,2,FALSE)</f>
        <v>#N/A</v>
      </c>
      <c r="BV11" s="46" t="e">
        <f>VLOOKUP(BV$1,Main!$B$19:$C$2538,2,FALSE)</f>
        <v>#N/A</v>
      </c>
      <c r="BW11" s="46" t="e">
        <f>VLOOKUP(BW$1,Main!$B$19:$C$2538,2,FALSE)</f>
        <v>#N/A</v>
      </c>
      <c r="BX11" s="46" t="e">
        <f>VLOOKUP(BX$1,Main!$B$19:$C$2538,2,FALSE)</f>
        <v>#N/A</v>
      </c>
      <c r="BY11" s="46" t="e">
        <f>VLOOKUP(BY$1,Main!$B$19:$C$2538,2,FALSE)</f>
        <v>#N/A</v>
      </c>
      <c r="BZ11" s="46" t="e">
        <f>VLOOKUP(BZ$1,Main!$B$19:$C$2538,2,FALSE)</f>
        <v>#N/A</v>
      </c>
      <c r="CA11" s="46" t="e">
        <f>VLOOKUP(CA$1,Main!$B$19:$C$2538,2,FALSE)</f>
        <v>#N/A</v>
      </c>
      <c r="CB11" s="46" t="e">
        <f>VLOOKUP(CB$1,Main!$B$19:$C$2538,2,FALSE)</f>
        <v>#N/A</v>
      </c>
      <c r="CC11" s="46" t="e">
        <f>VLOOKUP(CC$1,Main!$B$19:$C$2538,2,FALSE)</f>
        <v>#N/A</v>
      </c>
      <c r="CD11" s="46" t="e">
        <f>VLOOKUP(CD$1,Main!$B$19:$C$2538,2,FALSE)</f>
        <v>#N/A</v>
      </c>
      <c r="CE11" s="46" t="e">
        <f>VLOOKUP(CE$1,Main!$B$19:$C$2538,2,FALSE)</f>
        <v>#N/A</v>
      </c>
      <c r="CF11" s="46" t="e">
        <f>VLOOKUP(CF$1,Main!$B$19:$C$2538,2,FALSE)</f>
        <v>#N/A</v>
      </c>
      <c r="CG11" s="46" t="e">
        <f>VLOOKUP(CG$1,Main!$B$19:$C$2538,2,FALSE)</f>
        <v>#N/A</v>
      </c>
      <c r="CH11" s="46" t="e">
        <f>VLOOKUP(CH$1,Main!$B$19:$C$2538,2,FALSE)</f>
        <v>#N/A</v>
      </c>
      <c r="CI11" s="46" t="e">
        <f>VLOOKUP(CI$1,Main!$B$19:$C$2538,2,FALSE)</f>
        <v>#N/A</v>
      </c>
      <c r="CJ11" s="46" t="e">
        <f>VLOOKUP(CJ$1,Main!$B$19:$C$2538,2,FALSE)</f>
        <v>#N/A</v>
      </c>
      <c r="CK11" s="46" t="e">
        <f>VLOOKUP(CK$1,Main!$B$19:$C$2538,2,FALSE)</f>
        <v>#N/A</v>
      </c>
      <c r="CL11" s="46" t="e">
        <f>VLOOKUP(CL$1,Main!$B$19:$C$2538,2,FALSE)</f>
        <v>#N/A</v>
      </c>
      <c r="CM11" s="46" t="e">
        <f>VLOOKUP(CM$1,Main!$B$19:$C$2538,2,FALSE)</f>
        <v>#N/A</v>
      </c>
      <c r="CN11" s="46" t="e">
        <f>VLOOKUP(CN$1,Main!$B$19:$C$2538,2,FALSE)</f>
        <v>#N/A</v>
      </c>
      <c r="CO11" s="46" t="e">
        <f>VLOOKUP(CO$1,Main!$B$19:$C$2538,2,FALSE)</f>
        <v>#N/A</v>
      </c>
      <c r="CP11" s="46" t="e">
        <f>VLOOKUP(CP$1,Main!$B$19:$C$2538,2,FALSE)</f>
        <v>#N/A</v>
      </c>
      <c r="CQ11" s="46" t="e">
        <f>VLOOKUP(CQ$1,Main!$B$19:$C$2538,2,FALSE)</f>
        <v>#N/A</v>
      </c>
      <c r="CR11" s="46" t="e">
        <f>VLOOKUP(CR$1,Main!$B$19:$C$2538,2,FALSE)</f>
        <v>#N/A</v>
      </c>
      <c r="CS11" s="46" t="e">
        <f>VLOOKUP(CS$1,Main!$B$19:$C$2538,2,FALSE)</f>
        <v>#N/A</v>
      </c>
      <c r="CT11" s="46" t="e">
        <f>VLOOKUP(CT$1,Main!$B$19:$C$2538,2,FALSE)</f>
        <v>#N/A</v>
      </c>
      <c r="CU11" s="46" t="e">
        <f>VLOOKUP(CU$1,Main!$B$19:$C$2538,2,FALSE)</f>
        <v>#N/A</v>
      </c>
      <c r="CV11" s="46" t="e">
        <f>VLOOKUP(CV$1,Main!$B$19:$C$2538,2,FALSE)</f>
        <v>#N/A</v>
      </c>
      <c r="CW11" s="46" t="e">
        <f>VLOOKUP(CW$1,Main!$B$19:$C$2538,2,FALSE)</f>
        <v>#N/A</v>
      </c>
      <c r="CX11" s="46" t="e">
        <f>VLOOKUP(CX$1,Main!$B$19:$C$2538,2,FALSE)</f>
        <v>#N/A</v>
      </c>
      <c r="CY11" s="46" t="e">
        <f>VLOOKUP(CY$1,Main!$B$19:$C$2538,2,FALSE)</f>
        <v>#N/A</v>
      </c>
      <c r="CZ11" s="46" t="e">
        <f>VLOOKUP(CZ$1,Main!$B$19:$C$2538,2,FALSE)</f>
        <v>#N/A</v>
      </c>
      <c r="DA11" s="46" t="s">
        <v>386</v>
      </c>
    </row>
    <row r="13" spans="1:105" s="40" customFormat="1" x14ac:dyDescent="0.2">
      <c r="A13" s="3" t="s">
        <v>39</v>
      </c>
      <c r="I13" s="41"/>
    </row>
    <row r="14" spans="1:105" s="40" customFormat="1" x14ac:dyDescent="0.2">
      <c r="A14" s="55" t="s">
        <v>134</v>
      </c>
      <c r="B14" s="38">
        <f>IF(B$1,SUMIFS('IncStmt Data'!$H$2:$H$2051,'IncStmt Data'!$G$2:$G$2051,$A14,'IncStmt Data'!$A$2:$A$2051,B$1),#N/A)</f>
        <v>602530</v>
      </c>
      <c r="C14" s="38">
        <f>IF(C$1,SUMIFS('IncStmt Data'!$H$2:$H$2051,'IncStmt Data'!$G$2:$G$2051,$A14,'IncStmt Data'!$A$2:$A$2051,C$1),#N/A)</f>
        <v>501530</v>
      </c>
      <c r="D14" s="38">
        <f>IF(D$1,SUMIFS('IncStmt Data'!$H$2:$H$2051,'IncStmt Data'!$G$2:$G$2051,$A14,'IncStmt Data'!$A$2:$A$2051,D$1),#N/A)</f>
        <v>725289</v>
      </c>
      <c r="E14" s="38">
        <f>IF(E$1,SUMIFS('IncStmt Data'!$H$2:$H$2051,'IncStmt Data'!$G$2:$G$2051,$A14,'IncStmt Data'!$A$2:$A$2051,E$1),#N/A)</f>
        <v>961343</v>
      </c>
      <c r="F14" s="38">
        <f>IF(F$1,SUMIFS('IncStmt Data'!$H$2:$H$2051,'IncStmt Data'!$G$2:$G$2051,$A14,'IncStmt Data'!$A$2:$A$2051,F$1),#N/A)</f>
        <v>1004391</v>
      </c>
      <c r="G14" s="38">
        <f>IF(G$1,SUMIFS('IncStmt Data'!$H$2:$H$2051,'IncStmt Data'!$G$2:$G$2051,$A14,'IncStmt Data'!$A$2:$A$2051,G$1),#N/A)</f>
        <v>736612</v>
      </c>
      <c r="H14" s="38">
        <f>IF(H$1,SUMIFS('IncStmt Data'!$H$2:$H$2051,'IncStmt Data'!$G$2:$G$2051,$A14,'IncStmt Data'!$A$2:$A$2051,H$1),#N/A)</f>
        <v>564530</v>
      </c>
      <c r="I14" s="38">
        <f>IF(I$1,SUMIFS('IncStmt Data'!$H$2:$H$2051,'IncStmt Data'!$G$2:$G$2051,$A14,'IncStmt Data'!$A$2:$A$2051,I$1),#N/A)</f>
        <v>906356</v>
      </c>
      <c r="J14" s="38">
        <f>IF(J$1,SUMIFS('IncStmt Data'!$H$2:$H$2051,'IncStmt Data'!$G$2:$G$2051,$A14,'IncStmt Data'!$A$2:$A$2051,J$1),#N/A)</f>
        <v>1704755</v>
      </c>
      <c r="K14" s="38">
        <f>IF(K$1,SUMIFS('IncStmt Data'!$H$2:$H$2051,'IncStmt Data'!$G$2:$G$2051,$A14,'IncStmt Data'!$A$2:$A$2051,K$1),#N/A)</f>
        <v>1614133</v>
      </c>
      <c r="L14" s="38">
        <f>IF(L$1,SUMIFS('IncStmt Data'!$H$2:$H$2051,'IncStmt Data'!$G$2:$G$2051,$A14,'IncStmt Data'!$A$2:$A$2051,L$1),#N/A)</f>
        <v>1037829</v>
      </c>
      <c r="M14" s="38">
        <f>IF(M$1,SUMIFS('IncStmt Data'!$H$2:$H$2051,'IncStmt Data'!$G$2:$G$2051,$A14,'IncStmt Data'!$A$2:$A$2051,M$1),#N/A)</f>
        <v>1038126</v>
      </c>
      <c r="N14" s="38">
        <f>IF(N$1,SUMIFS('IncStmt Data'!$H$2:$H$2051,'IncStmt Data'!$G$2:$G$2051,$A14,'IncStmt Data'!$A$2:$A$2051,N$1),#N/A)</f>
        <v>2678012</v>
      </c>
      <c r="O14" s="38">
        <f>IF(O$1,SUMIFS('IncStmt Data'!$H$2:$H$2051,'IncStmt Data'!$G$2:$G$2051,$A14,'IncStmt Data'!$A$2:$A$2051,O$1),#N/A)</f>
        <v>967975</v>
      </c>
      <c r="P14" s="38">
        <f>IF(P$1,SUMIFS('IncStmt Data'!$H$2:$H$2051,'IncStmt Data'!$G$2:$G$2051,$A14,'IncStmt Data'!$A$2:$A$2051,P$1),#N/A)</f>
        <v>885875</v>
      </c>
      <c r="Q14" s="38">
        <f>IF(Q$1,SUMIFS('IncStmt Data'!$H$2:$H$2051,'IncStmt Data'!$G$2:$G$2051,$A14,'IncStmt Data'!$A$2:$A$2051,Q$1),#N/A)</f>
        <v>0</v>
      </c>
      <c r="R14" s="38">
        <f>IF(R$1,SUMIFS('IncStmt Data'!$H$2:$H$2051,'IncStmt Data'!$G$2:$G$2051,$A14,'IncStmt Data'!$A$2:$A$2051,R$1),#N/A)</f>
        <v>0</v>
      </c>
      <c r="S14" s="38">
        <f>IF(S$1,SUMIFS('IncStmt Data'!$H$2:$H$2051,'IncStmt Data'!$G$2:$G$2051,$A14,'IncStmt Data'!$A$2:$A$2051,S$1),#N/A)</f>
        <v>1057282</v>
      </c>
      <c r="T14" s="38">
        <f>IF(T$1,SUMIFS('IncStmt Data'!$H$2:$H$2051,'IncStmt Data'!$G$2:$G$2051,$A14,'IncStmt Data'!$A$2:$A$2051,T$1),#N/A)</f>
        <v>778476</v>
      </c>
      <c r="U14" s="38">
        <f>IF(U$1,SUMIFS('IncStmt Data'!$H$2:$H$2051,'IncStmt Data'!$G$2:$G$2051,$A14,'IncStmt Data'!$A$2:$A$2051,U$1),#N/A)</f>
        <v>942602</v>
      </c>
      <c r="V14" s="38">
        <f>IF(V$1,SUMIFS('IncStmt Data'!$H$2:$H$2051,'IncStmt Data'!$G$2:$G$2051,$A14,'IncStmt Data'!$A$2:$A$2051,V$1),#N/A)</f>
        <v>889001</v>
      </c>
      <c r="W14" s="38">
        <f>IF(W$1,SUMIFS('IncStmt Data'!$H$2:$H$2051,'IncStmt Data'!$G$2:$G$2051,$A14,'IncStmt Data'!$A$2:$A$2051,W$1),#N/A)</f>
        <v>907350</v>
      </c>
      <c r="X14" s="38">
        <f>IF(X$1,SUMIFS('IncStmt Data'!$H$2:$H$2051,'IncStmt Data'!$G$2:$G$2051,$A14,'IncStmt Data'!$A$2:$A$2051,X$1),#N/A)</f>
        <v>587998</v>
      </c>
      <c r="Y14" s="38">
        <f>IF(Y$1,SUMIFS('IncStmt Data'!$H$2:$H$2051,'IncStmt Data'!$G$2:$G$2051,$A14,'IncStmt Data'!$A$2:$A$2051,Y$1),#N/A)</f>
        <v>0</v>
      </c>
      <c r="Z14" s="38">
        <f>IF(Z$1,SUMIFS('IncStmt Data'!$H$2:$H$2051,'IncStmt Data'!$G$2:$G$2051,$A14,'IncStmt Data'!$A$2:$A$2051,Z$1),#N/A)</f>
        <v>0</v>
      </c>
      <c r="AA14" s="38">
        <f>IF(AA$1,SUMIFS('IncStmt Data'!$H$2:$H$2051,'IncStmt Data'!$G$2:$G$2051,$A14,'IncStmt Data'!$A$2:$A$2051,AA$1),#N/A)</f>
        <v>0</v>
      </c>
      <c r="AB14" s="38">
        <f>IF(AB$1,SUMIFS('IncStmt Data'!$H$2:$H$2051,'IncStmt Data'!$G$2:$G$2051,$A14,'IncStmt Data'!$A$2:$A$2051,AB$1),#N/A)</f>
        <v>0</v>
      </c>
      <c r="AC14" s="38">
        <f>IF(AC$1,SUMIFS('IncStmt Data'!$H$2:$H$2051,'IncStmt Data'!$G$2:$G$2051,$A14,'IncStmt Data'!$A$2:$A$2051,AC$1),#N/A)</f>
        <v>0</v>
      </c>
      <c r="AD14" s="38">
        <f>IF(AD$1,SUMIFS('IncStmt Data'!$H$2:$H$2051,'IncStmt Data'!$G$2:$G$2051,$A14,'IncStmt Data'!$A$2:$A$2051,AD$1),#N/A)</f>
        <v>1145220</v>
      </c>
      <c r="AE14" s="38">
        <f>IF(AE$1,SUMIFS('IncStmt Data'!$H$2:$H$2051,'IncStmt Data'!$G$2:$G$2051,$A14,'IncStmt Data'!$A$2:$A$2051,AE$1),#N/A)</f>
        <v>1531141</v>
      </c>
      <c r="AF14" s="38">
        <f>IF(AF$1,SUMIFS('IncStmt Data'!$H$2:$H$2051,'IncStmt Data'!$G$2:$G$2051,$A14,'IncStmt Data'!$A$2:$A$2051,AF$1),#N/A)</f>
        <v>732321</v>
      </c>
      <c r="AG14" s="38">
        <f>IF(AG$1,SUMIFS('IncStmt Data'!$H$2:$H$2051,'IncStmt Data'!$G$2:$G$2051,$A14,'IncStmt Data'!$A$2:$A$2051,AG$1),#N/A)</f>
        <v>1024615</v>
      </c>
      <c r="AH14" s="38">
        <f>IF(AH$1,SUMIFS('IncStmt Data'!$H$2:$H$2051,'IncStmt Data'!$G$2:$G$2051,$A14,'IncStmt Data'!$A$2:$A$2051,AH$1),#N/A)</f>
        <v>975927</v>
      </c>
      <c r="AI14" s="38">
        <f>IF(AI$1,SUMIFS('IncStmt Data'!$H$2:$H$2051,'IncStmt Data'!$G$2:$G$2051,$A14,'IncStmt Data'!$A$2:$A$2051,AI$1),#N/A)</f>
        <v>902627</v>
      </c>
      <c r="AJ14" s="38">
        <f>IF(AJ$1,SUMIFS('IncStmt Data'!$H$2:$H$2051,'IncStmt Data'!$G$2:$G$2051,$A14,'IncStmt Data'!$A$2:$A$2051,AJ$1),#N/A)</f>
        <v>671094</v>
      </c>
      <c r="AK14" s="38" t="e">
        <f>IF(AK$1,SUMIFS('IncStmt Data'!$H$2:$H$2051,'IncStmt Data'!$G$2:$G$2051,$A14,'IncStmt Data'!$A$2:$A$2051,AK$1),#N/A)</f>
        <v>#N/A</v>
      </c>
      <c r="AL14" s="38" t="e">
        <f>IF(AL$1,SUMIFS('IncStmt Data'!$H$2:$H$2051,'IncStmt Data'!$G$2:$G$2051,$A14,'IncStmt Data'!$A$2:$A$2051,AL$1),#N/A)</f>
        <v>#N/A</v>
      </c>
      <c r="AM14" s="38" t="e">
        <f>IF(AM$1,SUMIFS('IncStmt Data'!$H$2:$H$2051,'IncStmt Data'!$G$2:$G$2051,$A14,'IncStmt Data'!$A$2:$A$2051,AM$1),#N/A)</f>
        <v>#N/A</v>
      </c>
      <c r="AN14" s="38" t="e">
        <f>IF(AN$1,SUMIFS('IncStmt Data'!$H$2:$H$2051,'IncStmt Data'!$G$2:$G$2051,$A14,'IncStmt Data'!$A$2:$A$2051,AN$1),#N/A)</f>
        <v>#N/A</v>
      </c>
      <c r="AO14" s="38" t="e">
        <f>IF(AO$1,SUMIFS('IncStmt Data'!$H$2:$H$2051,'IncStmt Data'!$G$2:$G$2051,$A14,'IncStmt Data'!$A$2:$A$2051,AO$1),#N/A)</f>
        <v>#N/A</v>
      </c>
      <c r="AP14" s="38" t="e">
        <f>IF(AP$1,SUMIFS('IncStmt Data'!$H$2:$H$2051,'IncStmt Data'!$G$2:$G$2051,$A14,'IncStmt Data'!$A$2:$A$2051,AP$1),#N/A)</f>
        <v>#N/A</v>
      </c>
      <c r="AQ14" s="38" t="e">
        <f>IF(AQ$1,SUMIFS('IncStmt Data'!$H$2:$H$2051,'IncStmt Data'!$G$2:$G$2051,$A14,'IncStmt Data'!$A$2:$A$2051,AQ$1),#N/A)</f>
        <v>#N/A</v>
      </c>
      <c r="AR14" s="38" t="e">
        <f>IF(AR$1,SUMIFS('IncStmt Data'!$H$2:$H$2051,'IncStmt Data'!$G$2:$G$2051,$A14,'IncStmt Data'!$A$2:$A$2051,AR$1),#N/A)</f>
        <v>#N/A</v>
      </c>
      <c r="AS14" s="38" t="e">
        <f>IF(AS$1,SUMIFS('IncStmt Data'!$H$2:$H$2051,'IncStmt Data'!$G$2:$G$2051,$A14,'IncStmt Data'!$A$2:$A$2051,AS$1),#N/A)</f>
        <v>#N/A</v>
      </c>
      <c r="AT14" s="38" t="e">
        <f>IF(AT$1,SUMIFS('IncStmt Data'!$H$2:$H$2051,'IncStmt Data'!$G$2:$G$2051,$A14,'IncStmt Data'!$A$2:$A$2051,AT$1),#N/A)</f>
        <v>#N/A</v>
      </c>
      <c r="AU14" s="38" t="e">
        <f>IF(AU$1,SUMIFS('IncStmt Data'!$H$2:$H$2051,'IncStmt Data'!$G$2:$G$2051,$A14,'IncStmt Data'!$A$2:$A$2051,AU$1),#N/A)</f>
        <v>#N/A</v>
      </c>
      <c r="AV14" s="38" t="e">
        <f>IF(AV$1,SUMIFS('IncStmt Data'!$H$2:$H$2051,'IncStmt Data'!$G$2:$G$2051,$A14,'IncStmt Data'!$A$2:$A$2051,AV$1),#N/A)</f>
        <v>#N/A</v>
      </c>
      <c r="AW14" s="38" t="e">
        <f>IF(AW$1,SUMIFS('IncStmt Data'!$H$2:$H$2051,'IncStmt Data'!$G$2:$G$2051,$A14,'IncStmt Data'!$A$2:$A$2051,AW$1),#N/A)</f>
        <v>#N/A</v>
      </c>
      <c r="AX14" s="38" t="e">
        <f>IF(AX$1,SUMIFS('IncStmt Data'!$H$2:$H$2051,'IncStmt Data'!$G$2:$G$2051,$A14,'IncStmt Data'!$A$2:$A$2051,AX$1),#N/A)</f>
        <v>#N/A</v>
      </c>
      <c r="AY14" s="38" t="e">
        <f>IF(AY$1,SUMIFS('IncStmt Data'!$H$2:$H$2051,'IncStmt Data'!$G$2:$G$2051,$A14,'IncStmt Data'!$A$2:$A$2051,AY$1),#N/A)</f>
        <v>#N/A</v>
      </c>
      <c r="AZ14" s="38" t="e">
        <f>IF(AZ$1,SUMIFS('IncStmt Data'!$H$2:$H$2051,'IncStmt Data'!$G$2:$G$2051,$A14,'IncStmt Data'!$A$2:$A$2051,AZ$1),#N/A)</f>
        <v>#N/A</v>
      </c>
      <c r="BA14" s="38" t="e">
        <f>IF(BA$1,SUMIFS('IncStmt Data'!$H$2:$H$2051,'IncStmt Data'!$G$2:$G$2051,$A14,'IncStmt Data'!$A$2:$A$2051,BA$1),#N/A)</f>
        <v>#N/A</v>
      </c>
      <c r="BB14" s="38" t="e">
        <f>IF(BB$1,SUMIFS('IncStmt Data'!$H$2:$H$2051,'IncStmt Data'!$G$2:$G$2051,$A14,'IncStmt Data'!$A$2:$A$2051,BB$1),#N/A)</f>
        <v>#N/A</v>
      </c>
      <c r="BC14" s="38" t="e">
        <f>IF(BC$1,SUMIFS('IncStmt Data'!$H$2:$H$2051,'IncStmt Data'!$G$2:$G$2051,$A14,'IncStmt Data'!$A$2:$A$2051,BC$1),#N/A)</f>
        <v>#N/A</v>
      </c>
      <c r="BD14" s="38" t="e">
        <f>IF(BD$1,SUMIFS('IncStmt Data'!$H$2:$H$2051,'IncStmt Data'!$G$2:$G$2051,$A14,'IncStmt Data'!$A$2:$A$2051,BD$1),#N/A)</f>
        <v>#N/A</v>
      </c>
      <c r="BE14" s="38" t="e">
        <f>IF(BE$1,SUMIFS('IncStmt Data'!$H$2:$H$2051,'IncStmt Data'!$G$2:$G$2051,$A14,'IncStmt Data'!$A$2:$A$2051,BE$1),#N/A)</f>
        <v>#N/A</v>
      </c>
      <c r="BF14" s="38" t="e">
        <f>IF(BF$1,SUMIFS('IncStmt Data'!$H$2:$H$2051,'IncStmt Data'!$G$2:$G$2051,$A14,'IncStmt Data'!$A$2:$A$2051,BF$1),#N/A)</f>
        <v>#N/A</v>
      </c>
      <c r="BG14" s="38" t="e">
        <f>IF(BG$1,SUMIFS('IncStmt Data'!$H$2:$H$2051,'IncStmt Data'!$G$2:$G$2051,$A14,'IncStmt Data'!$A$2:$A$2051,BG$1),#N/A)</f>
        <v>#N/A</v>
      </c>
      <c r="BH14" s="38" t="e">
        <f>IF(BH$1,SUMIFS('IncStmt Data'!$H$2:$H$2051,'IncStmt Data'!$G$2:$G$2051,$A14,'IncStmt Data'!$A$2:$A$2051,BH$1),#N/A)</f>
        <v>#N/A</v>
      </c>
      <c r="BI14" s="38" t="e">
        <f>IF(BI$1,SUMIFS('IncStmt Data'!$H$2:$H$2051,'IncStmt Data'!$G$2:$G$2051,$A14,'IncStmt Data'!$A$2:$A$2051,BI$1),#N/A)</f>
        <v>#N/A</v>
      </c>
      <c r="BJ14" s="38" t="e">
        <f>IF(BJ$1,SUMIFS('IncStmt Data'!$H$2:$H$2051,'IncStmt Data'!$G$2:$G$2051,$A14,'IncStmt Data'!$A$2:$A$2051,BJ$1),#N/A)</f>
        <v>#N/A</v>
      </c>
      <c r="BK14" s="38" t="e">
        <f>IF(BK$1,SUMIFS('IncStmt Data'!$H$2:$H$2051,'IncStmt Data'!$G$2:$G$2051,$A14,'IncStmt Data'!$A$2:$A$2051,BK$1),#N/A)</f>
        <v>#N/A</v>
      </c>
      <c r="BL14" s="38" t="e">
        <f>IF(BL$1,SUMIFS('IncStmt Data'!$H$2:$H$2051,'IncStmt Data'!$G$2:$G$2051,$A14,'IncStmt Data'!$A$2:$A$2051,BL$1),#N/A)</f>
        <v>#N/A</v>
      </c>
      <c r="BM14" s="38" t="e">
        <f>IF(BM$1,SUMIFS('IncStmt Data'!$H$2:$H$2051,'IncStmt Data'!$G$2:$G$2051,$A14,'IncStmt Data'!$A$2:$A$2051,BM$1),#N/A)</f>
        <v>#N/A</v>
      </c>
      <c r="BN14" s="38" t="e">
        <f>IF(BN$1,SUMIFS('IncStmt Data'!$H$2:$H$2051,'IncStmt Data'!$G$2:$G$2051,$A14,'IncStmt Data'!$A$2:$A$2051,BN$1),#N/A)</f>
        <v>#N/A</v>
      </c>
      <c r="BO14" s="38" t="e">
        <f>IF(BO$1,SUMIFS('IncStmt Data'!$H$2:$H$2051,'IncStmt Data'!$G$2:$G$2051,$A14,'IncStmt Data'!$A$2:$A$2051,BO$1),#N/A)</f>
        <v>#N/A</v>
      </c>
      <c r="BP14" s="38" t="e">
        <f>IF(BP$1,SUMIFS('IncStmt Data'!$H$2:$H$2051,'IncStmt Data'!$G$2:$G$2051,$A14,'IncStmt Data'!$A$2:$A$2051,BP$1),#N/A)</f>
        <v>#N/A</v>
      </c>
      <c r="BQ14" s="38" t="e">
        <f>IF(BQ$1,SUMIFS('IncStmt Data'!$H$2:$H$2051,'IncStmt Data'!$G$2:$G$2051,$A14,'IncStmt Data'!$A$2:$A$2051,BQ$1),#N/A)</f>
        <v>#N/A</v>
      </c>
      <c r="BR14" s="38" t="e">
        <f>IF(BR$1,SUMIFS('IncStmt Data'!$H$2:$H$2051,'IncStmt Data'!$G$2:$G$2051,$A14,'IncStmt Data'!$A$2:$A$2051,BR$1),#N/A)</f>
        <v>#N/A</v>
      </c>
      <c r="BS14" s="38" t="e">
        <f>IF(BS$1,SUMIFS('IncStmt Data'!$H$2:$H$2051,'IncStmt Data'!$G$2:$G$2051,$A14,'IncStmt Data'!$A$2:$A$2051,BS$1),#N/A)</f>
        <v>#N/A</v>
      </c>
      <c r="BT14" s="38" t="e">
        <f>IF(BT$1,SUMIFS('IncStmt Data'!$H$2:$H$2051,'IncStmt Data'!$G$2:$G$2051,$A14,'IncStmt Data'!$A$2:$A$2051,BT$1),#N/A)</f>
        <v>#N/A</v>
      </c>
      <c r="BU14" s="38" t="e">
        <f>IF(BU$1,SUMIFS('IncStmt Data'!$H$2:$H$2051,'IncStmt Data'!$G$2:$G$2051,$A14,'IncStmt Data'!$A$2:$A$2051,BU$1),#N/A)</f>
        <v>#N/A</v>
      </c>
      <c r="BV14" s="38" t="e">
        <f>IF(BV$1,SUMIFS('IncStmt Data'!$H$2:$H$2051,'IncStmt Data'!$G$2:$G$2051,$A14,'IncStmt Data'!$A$2:$A$2051,BV$1),#N/A)</f>
        <v>#N/A</v>
      </c>
      <c r="BW14" s="38" t="e">
        <f>IF(BW$1,SUMIFS('IncStmt Data'!$H$2:$H$2051,'IncStmt Data'!$G$2:$G$2051,$A14,'IncStmt Data'!$A$2:$A$2051,BW$1),#N/A)</f>
        <v>#N/A</v>
      </c>
      <c r="BX14" s="38" t="e">
        <f>IF(BX$1,SUMIFS('IncStmt Data'!$H$2:$H$2051,'IncStmt Data'!$G$2:$G$2051,$A14,'IncStmt Data'!$A$2:$A$2051,BX$1),#N/A)</f>
        <v>#N/A</v>
      </c>
      <c r="BY14" s="38" t="e">
        <f>IF(BY$1,SUMIFS('IncStmt Data'!$H$2:$H$2051,'IncStmt Data'!$G$2:$G$2051,$A14,'IncStmt Data'!$A$2:$A$2051,BY$1),#N/A)</f>
        <v>#N/A</v>
      </c>
      <c r="BZ14" s="38" t="e">
        <f>IF(BZ$1,SUMIFS('IncStmt Data'!$H$2:$H$2051,'IncStmt Data'!$G$2:$G$2051,$A14,'IncStmt Data'!$A$2:$A$2051,BZ$1),#N/A)</f>
        <v>#N/A</v>
      </c>
      <c r="CA14" s="38" t="e">
        <f>IF(CA$1,SUMIFS('IncStmt Data'!$H$2:$H$2051,'IncStmt Data'!$G$2:$G$2051,$A14,'IncStmt Data'!$A$2:$A$2051,CA$1),#N/A)</f>
        <v>#N/A</v>
      </c>
      <c r="CB14" s="38" t="e">
        <f>IF(CB$1,SUMIFS('IncStmt Data'!$H$2:$H$2051,'IncStmt Data'!$G$2:$G$2051,$A14,'IncStmt Data'!$A$2:$A$2051,CB$1),#N/A)</f>
        <v>#N/A</v>
      </c>
      <c r="CC14" s="38" t="e">
        <f>IF(CC$1,SUMIFS('IncStmt Data'!$H$2:$H$2051,'IncStmt Data'!$G$2:$G$2051,$A14,'IncStmt Data'!$A$2:$A$2051,CC$1),#N/A)</f>
        <v>#N/A</v>
      </c>
      <c r="CD14" s="38" t="e">
        <f>IF(CD$1,SUMIFS('IncStmt Data'!$H$2:$H$2051,'IncStmt Data'!$G$2:$G$2051,$A14,'IncStmt Data'!$A$2:$A$2051,CD$1),#N/A)</f>
        <v>#N/A</v>
      </c>
      <c r="CE14" s="38" t="e">
        <f>IF(CE$1,SUMIFS('IncStmt Data'!$H$2:$H$2051,'IncStmt Data'!$G$2:$G$2051,$A14,'IncStmt Data'!$A$2:$A$2051,CE$1),#N/A)</f>
        <v>#N/A</v>
      </c>
      <c r="CF14" s="38" t="e">
        <f>IF(CF$1,SUMIFS('IncStmt Data'!$H$2:$H$2051,'IncStmt Data'!$G$2:$G$2051,$A14,'IncStmt Data'!$A$2:$A$2051,CF$1),#N/A)</f>
        <v>#N/A</v>
      </c>
      <c r="CG14" s="38" t="e">
        <f>IF(CG$1,SUMIFS('IncStmt Data'!$H$2:$H$2051,'IncStmt Data'!$G$2:$G$2051,$A14,'IncStmt Data'!$A$2:$A$2051,CG$1),#N/A)</f>
        <v>#N/A</v>
      </c>
      <c r="CH14" s="38" t="e">
        <f>IF(CH$1,SUMIFS('IncStmt Data'!$H$2:$H$2051,'IncStmt Data'!$G$2:$G$2051,$A14,'IncStmt Data'!$A$2:$A$2051,CH$1),#N/A)</f>
        <v>#N/A</v>
      </c>
      <c r="CI14" s="38" t="e">
        <f>IF(CI$1,SUMIFS('IncStmt Data'!$H$2:$H$2051,'IncStmt Data'!$G$2:$G$2051,$A14,'IncStmt Data'!$A$2:$A$2051,CI$1),#N/A)</f>
        <v>#N/A</v>
      </c>
      <c r="CJ14" s="38" t="e">
        <f>IF(CJ$1,SUMIFS('IncStmt Data'!$H$2:$H$2051,'IncStmt Data'!$G$2:$G$2051,$A14,'IncStmt Data'!$A$2:$A$2051,CJ$1),#N/A)</f>
        <v>#N/A</v>
      </c>
      <c r="CK14" s="38" t="e">
        <f>IF(CK$1,SUMIFS('IncStmt Data'!$H$2:$H$2051,'IncStmt Data'!$G$2:$G$2051,$A14,'IncStmt Data'!$A$2:$A$2051,CK$1),#N/A)</f>
        <v>#N/A</v>
      </c>
      <c r="CL14" s="38" t="e">
        <f>IF(CL$1,SUMIFS('IncStmt Data'!$H$2:$H$2051,'IncStmt Data'!$G$2:$G$2051,$A14,'IncStmt Data'!$A$2:$A$2051,CL$1),#N/A)</f>
        <v>#N/A</v>
      </c>
      <c r="CM14" s="38" t="e">
        <f>IF(CM$1,SUMIFS('IncStmt Data'!$H$2:$H$2051,'IncStmt Data'!$G$2:$G$2051,$A14,'IncStmt Data'!$A$2:$A$2051,CM$1),#N/A)</f>
        <v>#N/A</v>
      </c>
      <c r="CN14" s="38" t="e">
        <f>IF(CN$1,SUMIFS('IncStmt Data'!$H$2:$H$2051,'IncStmt Data'!$G$2:$G$2051,$A14,'IncStmt Data'!$A$2:$A$2051,CN$1),#N/A)</f>
        <v>#N/A</v>
      </c>
      <c r="CO14" s="38" t="e">
        <f>IF(CO$1,SUMIFS('IncStmt Data'!$H$2:$H$2051,'IncStmt Data'!$G$2:$G$2051,$A14,'IncStmt Data'!$A$2:$A$2051,CO$1),#N/A)</f>
        <v>#N/A</v>
      </c>
      <c r="CP14" s="38" t="e">
        <f>IF(CP$1,SUMIFS('IncStmt Data'!$H$2:$H$2051,'IncStmt Data'!$G$2:$G$2051,$A14,'IncStmt Data'!$A$2:$A$2051,CP$1),#N/A)</f>
        <v>#N/A</v>
      </c>
      <c r="CQ14" s="38" t="e">
        <f>IF(CQ$1,SUMIFS('IncStmt Data'!$H$2:$H$2051,'IncStmt Data'!$G$2:$G$2051,$A14,'IncStmt Data'!$A$2:$A$2051,CQ$1),#N/A)</f>
        <v>#N/A</v>
      </c>
      <c r="CR14" s="38" t="e">
        <f>IF(CR$1,SUMIFS('IncStmt Data'!$H$2:$H$2051,'IncStmt Data'!$G$2:$G$2051,$A14,'IncStmt Data'!$A$2:$A$2051,CR$1),#N/A)</f>
        <v>#N/A</v>
      </c>
      <c r="CS14" s="38" t="e">
        <f>IF(CS$1,SUMIFS('IncStmt Data'!$H$2:$H$2051,'IncStmt Data'!$G$2:$G$2051,$A14,'IncStmt Data'!$A$2:$A$2051,CS$1),#N/A)</f>
        <v>#N/A</v>
      </c>
      <c r="CT14" s="38" t="e">
        <f>IF(CT$1,SUMIFS('IncStmt Data'!$H$2:$H$2051,'IncStmt Data'!$G$2:$G$2051,$A14,'IncStmt Data'!$A$2:$A$2051,CT$1),#N/A)</f>
        <v>#N/A</v>
      </c>
      <c r="CU14" s="38" t="e">
        <f>IF(CU$1,SUMIFS('IncStmt Data'!$H$2:$H$2051,'IncStmt Data'!$G$2:$G$2051,$A14,'IncStmt Data'!$A$2:$A$2051,CU$1),#N/A)</f>
        <v>#N/A</v>
      </c>
      <c r="CV14" s="38" t="e">
        <f>IF(CV$1,SUMIFS('IncStmt Data'!$H$2:$H$2051,'IncStmt Data'!$G$2:$G$2051,$A14,'IncStmt Data'!$A$2:$A$2051,CV$1),#N/A)</f>
        <v>#N/A</v>
      </c>
      <c r="CW14" s="38" t="e">
        <f>IF(CW$1,SUMIFS('IncStmt Data'!$H$2:$H$2051,'IncStmt Data'!$G$2:$G$2051,$A14,'IncStmt Data'!$A$2:$A$2051,CW$1),#N/A)</f>
        <v>#N/A</v>
      </c>
      <c r="CX14" s="38" t="e">
        <f>IF(CX$1,SUMIFS('IncStmt Data'!$H$2:$H$2051,'IncStmt Data'!$G$2:$G$2051,$A14,'IncStmt Data'!$A$2:$A$2051,CX$1),#N/A)</f>
        <v>#N/A</v>
      </c>
      <c r="CY14" s="38" t="e">
        <f>IF(CY$1,SUMIFS('IncStmt Data'!$H$2:$H$2051,'IncStmt Data'!$G$2:$G$2051,$A14,'IncStmt Data'!$A$2:$A$2051,CY$1),#N/A)</f>
        <v>#N/A</v>
      </c>
      <c r="CZ14" s="38" t="e">
        <f>IF(CZ$1,SUMIFS('IncStmt Data'!$H$2:$H$2051,'IncStmt Data'!$G$2:$G$2051,$A14,'IncStmt Data'!$A$2:$A$2051,CZ$1),#N/A)</f>
        <v>#N/A</v>
      </c>
      <c r="DA14" s="38">
        <f>SUM(B14:AJ14)</f>
        <v>28074940</v>
      </c>
    </row>
    <row r="15" spans="1:105" s="40" customFormat="1" x14ac:dyDescent="0.2">
      <c r="A15" s="53" t="s">
        <v>135</v>
      </c>
      <c r="B15" s="40">
        <f>IF(B$1,SUMIFS('IncStmt Data'!$H$2:$H$2051,'IncStmt Data'!$G$2:$G$2051,$A15,'IncStmt Data'!$A$2:$A$2051,B$1),#N/A)</f>
        <v>1819</v>
      </c>
      <c r="C15" s="40">
        <f>IF(C$1,SUMIFS('IncStmt Data'!$H$2:$H$2051,'IncStmt Data'!$G$2:$G$2051,$A15,'IncStmt Data'!$A$2:$A$2051,C$1),#N/A)</f>
        <v>1273</v>
      </c>
      <c r="D15" s="40">
        <f>IF(D$1,SUMIFS('IncStmt Data'!$H$2:$H$2051,'IncStmt Data'!$G$2:$G$2051,$A15,'IncStmt Data'!$A$2:$A$2051,D$1),#N/A)</f>
        <v>1942</v>
      </c>
      <c r="E15" s="40">
        <f>IF(E$1,SUMIFS('IncStmt Data'!$H$2:$H$2051,'IncStmt Data'!$G$2:$G$2051,$A15,'IncStmt Data'!$A$2:$A$2051,E$1),#N/A)</f>
        <v>2562</v>
      </c>
      <c r="F15" s="40">
        <f>IF(F$1,SUMIFS('IncStmt Data'!$H$2:$H$2051,'IncStmt Data'!$G$2:$G$2051,$A15,'IncStmt Data'!$A$2:$A$2051,F$1),#N/A)</f>
        <v>2061</v>
      </c>
      <c r="G15" s="40">
        <f>IF(G$1,SUMIFS('IncStmt Data'!$H$2:$H$2051,'IncStmt Data'!$G$2:$G$2051,$A15,'IncStmt Data'!$A$2:$A$2051,G$1),#N/A)</f>
        <v>218</v>
      </c>
      <c r="H15" s="40">
        <f>IF(H$1,SUMIFS('IncStmt Data'!$H$2:$H$2051,'IncStmt Data'!$G$2:$G$2051,$A15,'IncStmt Data'!$A$2:$A$2051,H$1),#N/A)</f>
        <v>0</v>
      </c>
      <c r="I15" s="40">
        <f>IF(I$1,SUMIFS('IncStmt Data'!$H$2:$H$2051,'IncStmt Data'!$G$2:$G$2051,$A15,'IncStmt Data'!$A$2:$A$2051,I$1),#N/A)</f>
        <v>514</v>
      </c>
      <c r="J15" s="40">
        <f>IF(J$1,SUMIFS('IncStmt Data'!$H$2:$H$2051,'IncStmt Data'!$G$2:$G$2051,$A15,'IncStmt Data'!$A$2:$A$2051,J$1),#N/A)</f>
        <v>254</v>
      </c>
      <c r="K15" s="40">
        <f>IF(K$1,SUMIFS('IncStmt Data'!$H$2:$H$2051,'IncStmt Data'!$G$2:$G$2051,$A15,'IncStmt Data'!$A$2:$A$2051,K$1),#N/A)</f>
        <v>25</v>
      </c>
      <c r="L15" s="40">
        <f>IF(L$1,SUMIFS('IncStmt Data'!$H$2:$H$2051,'IncStmt Data'!$G$2:$G$2051,$A15,'IncStmt Data'!$A$2:$A$2051,L$1),#N/A)</f>
        <v>10</v>
      </c>
      <c r="M15" s="40">
        <f>IF(M$1,SUMIFS('IncStmt Data'!$H$2:$H$2051,'IncStmt Data'!$G$2:$G$2051,$A15,'IncStmt Data'!$A$2:$A$2051,M$1),#N/A)</f>
        <v>18</v>
      </c>
      <c r="N15" s="40">
        <f>IF(N$1,SUMIFS('IncStmt Data'!$H$2:$H$2051,'IncStmt Data'!$G$2:$G$2051,$A15,'IncStmt Data'!$A$2:$A$2051,N$1),#N/A)</f>
        <v>136</v>
      </c>
      <c r="O15" s="40">
        <f>IF(O$1,SUMIFS('IncStmt Data'!$H$2:$H$2051,'IncStmt Data'!$G$2:$G$2051,$A15,'IncStmt Data'!$A$2:$A$2051,O$1),#N/A)</f>
        <v>342</v>
      </c>
      <c r="P15" s="40">
        <f>IF(P$1,SUMIFS('IncStmt Data'!$H$2:$H$2051,'IncStmt Data'!$G$2:$G$2051,$A15,'IncStmt Data'!$A$2:$A$2051,P$1),#N/A)</f>
        <v>250</v>
      </c>
      <c r="Q15" s="40">
        <f>IF(Q$1,SUMIFS('IncStmt Data'!$H$2:$H$2051,'IncStmt Data'!$G$2:$G$2051,$A15,'IncStmt Data'!$A$2:$A$2051,Q$1),#N/A)</f>
        <v>0</v>
      </c>
      <c r="R15" s="40">
        <f>IF(R$1,SUMIFS('IncStmt Data'!$H$2:$H$2051,'IncStmt Data'!$G$2:$G$2051,$A15,'IncStmt Data'!$A$2:$A$2051,R$1),#N/A)</f>
        <v>0</v>
      </c>
      <c r="S15" s="40">
        <f>IF(S$1,SUMIFS('IncStmt Data'!$H$2:$H$2051,'IncStmt Data'!$G$2:$G$2051,$A15,'IncStmt Data'!$A$2:$A$2051,S$1),#N/A)</f>
        <v>139</v>
      </c>
      <c r="T15" s="40">
        <f>IF(T$1,SUMIFS('IncStmt Data'!$H$2:$H$2051,'IncStmt Data'!$G$2:$G$2051,$A15,'IncStmt Data'!$A$2:$A$2051,T$1),#N/A)</f>
        <v>129</v>
      </c>
      <c r="U15" s="40">
        <f>IF(U$1,SUMIFS('IncStmt Data'!$H$2:$H$2051,'IncStmt Data'!$G$2:$G$2051,$A15,'IncStmt Data'!$A$2:$A$2051,U$1),#N/A)</f>
        <v>104</v>
      </c>
      <c r="V15" s="40">
        <f>IF(V$1,SUMIFS('IncStmt Data'!$H$2:$H$2051,'IncStmt Data'!$G$2:$G$2051,$A15,'IncStmt Data'!$A$2:$A$2051,V$1),#N/A)</f>
        <v>70</v>
      </c>
      <c r="W15" s="40">
        <f>IF(W$1,SUMIFS('IncStmt Data'!$H$2:$H$2051,'IncStmt Data'!$G$2:$G$2051,$A15,'IncStmt Data'!$A$2:$A$2051,W$1),#N/A)</f>
        <v>2436</v>
      </c>
      <c r="X15" s="40">
        <f>IF(X$1,SUMIFS('IncStmt Data'!$H$2:$H$2051,'IncStmt Data'!$G$2:$G$2051,$A15,'IncStmt Data'!$A$2:$A$2051,X$1),#N/A)</f>
        <v>13</v>
      </c>
      <c r="Y15" s="40">
        <f>IF(Y$1,SUMIFS('IncStmt Data'!$H$2:$H$2051,'IncStmt Data'!$G$2:$G$2051,$A15,'IncStmt Data'!$A$2:$A$2051,Y$1),#N/A)</f>
        <v>0</v>
      </c>
      <c r="Z15" s="40">
        <f>IF(Z$1,SUMIFS('IncStmt Data'!$H$2:$H$2051,'IncStmt Data'!$G$2:$G$2051,$A15,'IncStmt Data'!$A$2:$A$2051,Z$1),#N/A)</f>
        <v>0</v>
      </c>
      <c r="AA15" s="40">
        <f>IF(AA$1,SUMIFS('IncStmt Data'!$H$2:$H$2051,'IncStmt Data'!$G$2:$G$2051,$A15,'IncStmt Data'!$A$2:$A$2051,AA$1),#N/A)</f>
        <v>0</v>
      </c>
      <c r="AB15" s="40">
        <f>IF(AB$1,SUMIFS('IncStmt Data'!$H$2:$H$2051,'IncStmt Data'!$G$2:$G$2051,$A15,'IncStmt Data'!$A$2:$A$2051,AB$1),#N/A)</f>
        <v>0</v>
      </c>
      <c r="AC15" s="40">
        <f>IF(AC$1,SUMIFS('IncStmt Data'!$H$2:$H$2051,'IncStmt Data'!$G$2:$G$2051,$A15,'IncStmt Data'!$A$2:$A$2051,AC$1),#N/A)</f>
        <v>0</v>
      </c>
      <c r="AD15" s="40">
        <f>IF(AD$1,SUMIFS('IncStmt Data'!$H$2:$H$2051,'IncStmt Data'!$G$2:$G$2051,$A15,'IncStmt Data'!$A$2:$A$2051,AD$1),#N/A)</f>
        <v>3625</v>
      </c>
      <c r="AE15" s="40">
        <f>IF(AE$1,SUMIFS('IncStmt Data'!$H$2:$H$2051,'IncStmt Data'!$G$2:$G$2051,$A15,'IncStmt Data'!$A$2:$A$2051,AE$1),#N/A)</f>
        <v>4610</v>
      </c>
      <c r="AF15" s="40">
        <f>IF(AF$1,SUMIFS('IncStmt Data'!$H$2:$H$2051,'IncStmt Data'!$G$2:$G$2051,$A15,'IncStmt Data'!$A$2:$A$2051,AF$1),#N/A)</f>
        <v>0</v>
      </c>
      <c r="AG15" s="40">
        <f>IF(AG$1,SUMIFS('IncStmt Data'!$H$2:$H$2051,'IncStmt Data'!$G$2:$G$2051,$A15,'IncStmt Data'!$A$2:$A$2051,AG$1),#N/A)</f>
        <v>318</v>
      </c>
      <c r="AH15" s="40">
        <f>IF(AH$1,SUMIFS('IncStmt Data'!$H$2:$H$2051,'IncStmt Data'!$G$2:$G$2051,$A15,'IncStmt Data'!$A$2:$A$2051,AH$1),#N/A)</f>
        <v>143</v>
      </c>
      <c r="AI15" s="40">
        <f>IF(AI$1,SUMIFS('IncStmt Data'!$H$2:$H$2051,'IncStmt Data'!$G$2:$G$2051,$A15,'IncStmt Data'!$A$2:$A$2051,AI$1),#N/A)</f>
        <v>2567</v>
      </c>
      <c r="AJ15" s="40">
        <f>IF(AJ$1,SUMIFS('IncStmt Data'!$H$2:$H$2051,'IncStmt Data'!$G$2:$G$2051,$A15,'IncStmt Data'!$A$2:$A$2051,AJ$1),#N/A)</f>
        <v>1190</v>
      </c>
      <c r="AK15" s="40" t="e">
        <f>IF(AK$1,SUMIFS('IncStmt Data'!$H$2:$H$2051,'IncStmt Data'!$G$2:$G$2051,$A15,'IncStmt Data'!$A$2:$A$2051,AK$1),#N/A)</f>
        <v>#N/A</v>
      </c>
      <c r="AL15" s="40" t="e">
        <f>IF(AL$1,SUMIFS('IncStmt Data'!$H$2:$H$2051,'IncStmt Data'!$G$2:$G$2051,$A15,'IncStmt Data'!$A$2:$A$2051,AL$1),#N/A)</f>
        <v>#N/A</v>
      </c>
      <c r="AM15" s="40" t="e">
        <f>IF(AM$1,SUMIFS('IncStmt Data'!$H$2:$H$2051,'IncStmt Data'!$G$2:$G$2051,$A15,'IncStmt Data'!$A$2:$A$2051,AM$1),#N/A)</f>
        <v>#N/A</v>
      </c>
      <c r="AN15" s="40" t="e">
        <f>IF(AN$1,SUMIFS('IncStmt Data'!$H$2:$H$2051,'IncStmt Data'!$G$2:$G$2051,$A15,'IncStmt Data'!$A$2:$A$2051,AN$1),#N/A)</f>
        <v>#N/A</v>
      </c>
      <c r="AO15" s="40" t="e">
        <f>IF(AO$1,SUMIFS('IncStmt Data'!$H$2:$H$2051,'IncStmt Data'!$G$2:$G$2051,$A15,'IncStmt Data'!$A$2:$A$2051,AO$1),#N/A)</f>
        <v>#N/A</v>
      </c>
      <c r="AP15" s="40" t="e">
        <f>IF(AP$1,SUMIFS('IncStmt Data'!$H$2:$H$2051,'IncStmt Data'!$G$2:$G$2051,$A15,'IncStmt Data'!$A$2:$A$2051,AP$1),#N/A)</f>
        <v>#N/A</v>
      </c>
      <c r="AQ15" s="40" t="e">
        <f>IF(AQ$1,SUMIFS('IncStmt Data'!$H$2:$H$2051,'IncStmt Data'!$G$2:$G$2051,$A15,'IncStmt Data'!$A$2:$A$2051,AQ$1),#N/A)</f>
        <v>#N/A</v>
      </c>
      <c r="AR15" s="40" t="e">
        <f>IF(AR$1,SUMIFS('IncStmt Data'!$H$2:$H$2051,'IncStmt Data'!$G$2:$G$2051,$A15,'IncStmt Data'!$A$2:$A$2051,AR$1),#N/A)</f>
        <v>#N/A</v>
      </c>
      <c r="AS15" s="40" t="e">
        <f>IF(AS$1,SUMIFS('IncStmt Data'!$H$2:$H$2051,'IncStmt Data'!$G$2:$G$2051,$A15,'IncStmt Data'!$A$2:$A$2051,AS$1),#N/A)</f>
        <v>#N/A</v>
      </c>
      <c r="AT15" s="40" t="e">
        <f>IF(AT$1,SUMIFS('IncStmt Data'!$H$2:$H$2051,'IncStmt Data'!$G$2:$G$2051,$A15,'IncStmt Data'!$A$2:$A$2051,AT$1),#N/A)</f>
        <v>#N/A</v>
      </c>
      <c r="AU15" s="40" t="e">
        <f>IF(AU$1,SUMIFS('IncStmt Data'!$H$2:$H$2051,'IncStmt Data'!$G$2:$G$2051,$A15,'IncStmt Data'!$A$2:$A$2051,AU$1),#N/A)</f>
        <v>#N/A</v>
      </c>
      <c r="AV15" s="40" t="e">
        <f>IF(AV$1,SUMIFS('IncStmt Data'!$H$2:$H$2051,'IncStmt Data'!$G$2:$G$2051,$A15,'IncStmt Data'!$A$2:$A$2051,AV$1),#N/A)</f>
        <v>#N/A</v>
      </c>
      <c r="AW15" s="40" t="e">
        <f>IF(AW$1,SUMIFS('IncStmt Data'!$H$2:$H$2051,'IncStmt Data'!$G$2:$G$2051,$A15,'IncStmt Data'!$A$2:$A$2051,AW$1),#N/A)</f>
        <v>#N/A</v>
      </c>
      <c r="AX15" s="40" t="e">
        <f>IF(AX$1,SUMIFS('IncStmt Data'!$H$2:$H$2051,'IncStmt Data'!$G$2:$G$2051,$A15,'IncStmt Data'!$A$2:$A$2051,AX$1),#N/A)</f>
        <v>#N/A</v>
      </c>
      <c r="AY15" s="40" t="e">
        <f>IF(AY$1,SUMIFS('IncStmt Data'!$H$2:$H$2051,'IncStmt Data'!$G$2:$G$2051,$A15,'IncStmt Data'!$A$2:$A$2051,AY$1),#N/A)</f>
        <v>#N/A</v>
      </c>
      <c r="AZ15" s="40" t="e">
        <f>IF(AZ$1,SUMIFS('IncStmt Data'!$H$2:$H$2051,'IncStmt Data'!$G$2:$G$2051,$A15,'IncStmt Data'!$A$2:$A$2051,AZ$1),#N/A)</f>
        <v>#N/A</v>
      </c>
      <c r="BA15" s="40" t="e">
        <f>IF(BA$1,SUMIFS('IncStmt Data'!$H$2:$H$2051,'IncStmt Data'!$G$2:$G$2051,$A15,'IncStmt Data'!$A$2:$A$2051,BA$1),#N/A)</f>
        <v>#N/A</v>
      </c>
      <c r="BB15" s="40" t="e">
        <f>IF(BB$1,SUMIFS('IncStmt Data'!$H$2:$H$2051,'IncStmt Data'!$G$2:$G$2051,$A15,'IncStmt Data'!$A$2:$A$2051,BB$1),#N/A)</f>
        <v>#N/A</v>
      </c>
      <c r="BC15" s="40" t="e">
        <f>IF(BC$1,SUMIFS('IncStmt Data'!$H$2:$H$2051,'IncStmt Data'!$G$2:$G$2051,$A15,'IncStmt Data'!$A$2:$A$2051,BC$1),#N/A)</f>
        <v>#N/A</v>
      </c>
      <c r="BD15" s="40" t="e">
        <f>IF(BD$1,SUMIFS('IncStmt Data'!$H$2:$H$2051,'IncStmt Data'!$G$2:$G$2051,$A15,'IncStmt Data'!$A$2:$A$2051,BD$1),#N/A)</f>
        <v>#N/A</v>
      </c>
      <c r="BE15" s="40" t="e">
        <f>IF(BE$1,SUMIFS('IncStmt Data'!$H$2:$H$2051,'IncStmt Data'!$G$2:$G$2051,$A15,'IncStmt Data'!$A$2:$A$2051,BE$1),#N/A)</f>
        <v>#N/A</v>
      </c>
      <c r="BF15" s="40" t="e">
        <f>IF(BF$1,SUMIFS('IncStmt Data'!$H$2:$H$2051,'IncStmt Data'!$G$2:$G$2051,$A15,'IncStmt Data'!$A$2:$A$2051,BF$1),#N/A)</f>
        <v>#N/A</v>
      </c>
      <c r="BG15" s="40" t="e">
        <f>IF(BG$1,SUMIFS('IncStmt Data'!$H$2:$H$2051,'IncStmt Data'!$G$2:$G$2051,$A15,'IncStmt Data'!$A$2:$A$2051,BG$1),#N/A)</f>
        <v>#N/A</v>
      </c>
      <c r="BH15" s="40" t="e">
        <f>IF(BH$1,SUMIFS('IncStmt Data'!$H$2:$H$2051,'IncStmt Data'!$G$2:$G$2051,$A15,'IncStmt Data'!$A$2:$A$2051,BH$1),#N/A)</f>
        <v>#N/A</v>
      </c>
      <c r="BI15" s="40" t="e">
        <f>IF(BI$1,SUMIFS('IncStmt Data'!$H$2:$H$2051,'IncStmt Data'!$G$2:$G$2051,$A15,'IncStmt Data'!$A$2:$A$2051,BI$1),#N/A)</f>
        <v>#N/A</v>
      </c>
      <c r="BJ15" s="40" t="e">
        <f>IF(BJ$1,SUMIFS('IncStmt Data'!$H$2:$H$2051,'IncStmt Data'!$G$2:$G$2051,$A15,'IncStmt Data'!$A$2:$A$2051,BJ$1),#N/A)</f>
        <v>#N/A</v>
      </c>
      <c r="BK15" s="40" t="e">
        <f>IF(BK$1,SUMIFS('IncStmt Data'!$H$2:$H$2051,'IncStmt Data'!$G$2:$G$2051,$A15,'IncStmt Data'!$A$2:$A$2051,BK$1),#N/A)</f>
        <v>#N/A</v>
      </c>
      <c r="BL15" s="40" t="e">
        <f>IF(BL$1,SUMIFS('IncStmt Data'!$H$2:$H$2051,'IncStmt Data'!$G$2:$G$2051,$A15,'IncStmt Data'!$A$2:$A$2051,BL$1),#N/A)</f>
        <v>#N/A</v>
      </c>
      <c r="BM15" s="40" t="e">
        <f>IF(BM$1,SUMIFS('IncStmt Data'!$H$2:$H$2051,'IncStmt Data'!$G$2:$G$2051,$A15,'IncStmt Data'!$A$2:$A$2051,BM$1),#N/A)</f>
        <v>#N/A</v>
      </c>
      <c r="BN15" s="40" t="e">
        <f>IF(BN$1,SUMIFS('IncStmt Data'!$H$2:$H$2051,'IncStmt Data'!$G$2:$G$2051,$A15,'IncStmt Data'!$A$2:$A$2051,BN$1),#N/A)</f>
        <v>#N/A</v>
      </c>
      <c r="BO15" s="40" t="e">
        <f>IF(BO$1,SUMIFS('IncStmt Data'!$H$2:$H$2051,'IncStmt Data'!$G$2:$G$2051,$A15,'IncStmt Data'!$A$2:$A$2051,BO$1),#N/A)</f>
        <v>#N/A</v>
      </c>
      <c r="BP15" s="40" t="e">
        <f>IF(BP$1,SUMIFS('IncStmt Data'!$H$2:$H$2051,'IncStmt Data'!$G$2:$G$2051,$A15,'IncStmt Data'!$A$2:$A$2051,BP$1),#N/A)</f>
        <v>#N/A</v>
      </c>
      <c r="BQ15" s="40" t="e">
        <f>IF(BQ$1,SUMIFS('IncStmt Data'!$H$2:$H$2051,'IncStmt Data'!$G$2:$G$2051,$A15,'IncStmt Data'!$A$2:$A$2051,BQ$1),#N/A)</f>
        <v>#N/A</v>
      </c>
      <c r="BR15" s="40" t="e">
        <f>IF(BR$1,SUMIFS('IncStmt Data'!$H$2:$H$2051,'IncStmt Data'!$G$2:$G$2051,$A15,'IncStmt Data'!$A$2:$A$2051,BR$1),#N/A)</f>
        <v>#N/A</v>
      </c>
      <c r="BS15" s="40" t="e">
        <f>IF(BS$1,SUMIFS('IncStmt Data'!$H$2:$H$2051,'IncStmt Data'!$G$2:$G$2051,$A15,'IncStmt Data'!$A$2:$A$2051,BS$1),#N/A)</f>
        <v>#N/A</v>
      </c>
      <c r="BT15" s="40" t="e">
        <f>IF(BT$1,SUMIFS('IncStmt Data'!$H$2:$H$2051,'IncStmt Data'!$G$2:$G$2051,$A15,'IncStmt Data'!$A$2:$A$2051,BT$1),#N/A)</f>
        <v>#N/A</v>
      </c>
      <c r="BU15" s="40" t="e">
        <f>IF(BU$1,SUMIFS('IncStmt Data'!$H$2:$H$2051,'IncStmt Data'!$G$2:$G$2051,$A15,'IncStmt Data'!$A$2:$A$2051,BU$1),#N/A)</f>
        <v>#N/A</v>
      </c>
      <c r="BV15" s="40" t="e">
        <f>IF(BV$1,SUMIFS('IncStmt Data'!$H$2:$H$2051,'IncStmt Data'!$G$2:$G$2051,$A15,'IncStmt Data'!$A$2:$A$2051,BV$1),#N/A)</f>
        <v>#N/A</v>
      </c>
      <c r="BW15" s="40" t="e">
        <f>IF(BW$1,SUMIFS('IncStmt Data'!$H$2:$H$2051,'IncStmt Data'!$G$2:$G$2051,$A15,'IncStmt Data'!$A$2:$A$2051,BW$1),#N/A)</f>
        <v>#N/A</v>
      </c>
      <c r="BX15" s="40" t="e">
        <f>IF(BX$1,SUMIFS('IncStmt Data'!$H$2:$H$2051,'IncStmt Data'!$G$2:$G$2051,$A15,'IncStmt Data'!$A$2:$A$2051,BX$1),#N/A)</f>
        <v>#N/A</v>
      </c>
      <c r="BY15" s="40" t="e">
        <f>IF(BY$1,SUMIFS('IncStmt Data'!$H$2:$H$2051,'IncStmt Data'!$G$2:$G$2051,$A15,'IncStmt Data'!$A$2:$A$2051,BY$1),#N/A)</f>
        <v>#N/A</v>
      </c>
      <c r="BZ15" s="40" t="e">
        <f>IF(BZ$1,SUMIFS('IncStmt Data'!$H$2:$H$2051,'IncStmt Data'!$G$2:$G$2051,$A15,'IncStmt Data'!$A$2:$A$2051,BZ$1),#N/A)</f>
        <v>#N/A</v>
      </c>
      <c r="CA15" s="40" t="e">
        <f>IF(CA$1,SUMIFS('IncStmt Data'!$H$2:$H$2051,'IncStmt Data'!$G$2:$G$2051,$A15,'IncStmt Data'!$A$2:$A$2051,CA$1),#N/A)</f>
        <v>#N/A</v>
      </c>
      <c r="CB15" s="40" t="e">
        <f>IF(CB$1,SUMIFS('IncStmt Data'!$H$2:$H$2051,'IncStmt Data'!$G$2:$G$2051,$A15,'IncStmt Data'!$A$2:$A$2051,CB$1),#N/A)</f>
        <v>#N/A</v>
      </c>
      <c r="CC15" s="40" t="e">
        <f>IF(CC$1,SUMIFS('IncStmt Data'!$H$2:$H$2051,'IncStmt Data'!$G$2:$G$2051,$A15,'IncStmt Data'!$A$2:$A$2051,CC$1),#N/A)</f>
        <v>#N/A</v>
      </c>
      <c r="CD15" s="40" t="e">
        <f>IF(CD$1,SUMIFS('IncStmt Data'!$H$2:$H$2051,'IncStmt Data'!$G$2:$G$2051,$A15,'IncStmt Data'!$A$2:$A$2051,CD$1),#N/A)</f>
        <v>#N/A</v>
      </c>
      <c r="CE15" s="40" t="e">
        <f>IF(CE$1,SUMIFS('IncStmt Data'!$H$2:$H$2051,'IncStmt Data'!$G$2:$G$2051,$A15,'IncStmt Data'!$A$2:$A$2051,CE$1),#N/A)</f>
        <v>#N/A</v>
      </c>
      <c r="CF15" s="40" t="e">
        <f>IF(CF$1,SUMIFS('IncStmt Data'!$H$2:$H$2051,'IncStmt Data'!$G$2:$G$2051,$A15,'IncStmt Data'!$A$2:$A$2051,CF$1),#N/A)</f>
        <v>#N/A</v>
      </c>
      <c r="CG15" s="40" t="e">
        <f>IF(CG$1,SUMIFS('IncStmt Data'!$H$2:$H$2051,'IncStmt Data'!$G$2:$G$2051,$A15,'IncStmt Data'!$A$2:$A$2051,CG$1),#N/A)</f>
        <v>#N/A</v>
      </c>
      <c r="CH15" s="40" t="e">
        <f>IF(CH$1,SUMIFS('IncStmt Data'!$H$2:$H$2051,'IncStmt Data'!$G$2:$G$2051,$A15,'IncStmt Data'!$A$2:$A$2051,CH$1),#N/A)</f>
        <v>#N/A</v>
      </c>
      <c r="CI15" s="40" t="e">
        <f>IF(CI$1,SUMIFS('IncStmt Data'!$H$2:$H$2051,'IncStmt Data'!$G$2:$G$2051,$A15,'IncStmt Data'!$A$2:$A$2051,CI$1),#N/A)</f>
        <v>#N/A</v>
      </c>
      <c r="CJ15" s="40" t="e">
        <f>IF(CJ$1,SUMIFS('IncStmt Data'!$H$2:$H$2051,'IncStmt Data'!$G$2:$G$2051,$A15,'IncStmt Data'!$A$2:$A$2051,CJ$1),#N/A)</f>
        <v>#N/A</v>
      </c>
      <c r="CK15" s="40" t="e">
        <f>IF(CK$1,SUMIFS('IncStmt Data'!$H$2:$H$2051,'IncStmt Data'!$G$2:$G$2051,$A15,'IncStmt Data'!$A$2:$A$2051,CK$1),#N/A)</f>
        <v>#N/A</v>
      </c>
      <c r="CL15" s="40" t="e">
        <f>IF(CL$1,SUMIFS('IncStmt Data'!$H$2:$H$2051,'IncStmt Data'!$G$2:$G$2051,$A15,'IncStmt Data'!$A$2:$A$2051,CL$1),#N/A)</f>
        <v>#N/A</v>
      </c>
      <c r="CM15" s="40" t="e">
        <f>IF(CM$1,SUMIFS('IncStmt Data'!$H$2:$H$2051,'IncStmt Data'!$G$2:$G$2051,$A15,'IncStmt Data'!$A$2:$A$2051,CM$1),#N/A)</f>
        <v>#N/A</v>
      </c>
      <c r="CN15" s="40" t="e">
        <f>IF(CN$1,SUMIFS('IncStmt Data'!$H$2:$H$2051,'IncStmt Data'!$G$2:$G$2051,$A15,'IncStmt Data'!$A$2:$A$2051,CN$1),#N/A)</f>
        <v>#N/A</v>
      </c>
      <c r="CO15" s="40" t="e">
        <f>IF(CO$1,SUMIFS('IncStmt Data'!$H$2:$H$2051,'IncStmt Data'!$G$2:$G$2051,$A15,'IncStmt Data'!$A$2:$A$2051,CO$1),#N/A)</f>
        <v>#N/A</v>
      </c>
      <c r="CP15" s="40" t="e">
        <f>IF(CP$1,SUMIFS('IncStmt Data'!$H$2:$H$2051,'IncStmt Data'!$G$2:$G$2051,$A15,'IncStmt Data'!$A$2:$A$2051,CP$1),#N/A)</f>
        <v>#N/A</v>
      </c>
      <c r="CQ15" s="40" t="e">
        <f>IF(CQ$1,SUMIFS('IncStmt Data'!$H$2:$H$2051,'IncStmt Data'!$G$2:$G$2051,$A15,'IncStmt Data'!$A$2:$A$2051,CQ$1),#N/A)</f>
        <v>#N/A</v>
      </c>
      <c r="CR15" s="40" t="e">
        <f>IF(CR$1,SUMIFS('IncStmt Data'!$H$2:$H$2051,'IncStmt Data'!$G$2:$G$2051,$A15,'IncStmt Data'!$A$2:$A$2051,CR$1),#N/A)</f>
        <v>#N/A</v>
      </c>
      <c r="CS15" s="40" t="e">
        <f>IF(CS$1,SUMIFS('IncStmt Data'!$H$2:$H$2051,'IncStmt Data'!$G$2:$G$2051,$A15,'IncStmt Data'!$A$2:$A$2051,CS$1),#N/A)</f>
        <v>#N/A</v>
      </c>
      <c r="CT15" s="40" t="e">
        <f>IF(CT$1,SUMIFS('IncStmt Data'!$H$2:$H$2051,'IncStmt Data'!$G$2:$G$2051,$A15,'IncStmt Data'!$A$2:$A$2051,CT$1),#N/A)</f>
        <v>#N/A</v>
      </c>
      <c r="CU15" s="40" t="e">
        <f>IF(CU$1,SUMIFS('IncStmt Data'!$H$2:$H$2051,'IncStmt Data'!$G$2:$G$2051,$A15,'IncStmt Data'!$A$2:$A$2051,CU$1),#N/A)</f>
        <v>#N/A</v>
      </c>
      <c r="CV15" s="40" t="e">
        <f>IF(CV$1,SUMIFS('IncStmt Data'!$H$2:$H$2051,'IncStmt Data'!$G$2:$G$2051,$A15,'IncStmt Data'!$A$2:$A$2051,CV$1),#N/A)</f>
        <v>#N/A</v>
      </c>
      <c r="CW15" s="40" t="e">
        <f>IF(CW$1,SUMIFS('IncStmt Data'!$H$2:$H$2051,'IncStmt Data'!$G$2:$G$2051,$A15,'IncStmt Data'!$A$2:$A$2051,CW$1),#N/A)</f>
        <v>#N/A</v>
      </c>
      <c r="CX15" s="40" t="e">
        <f>IF(CX$1,SUMIFS('IncStmt Data'!$H$2:$H$2051,'IncStmt Data'!$G$2:$G$2051,$A15,'IncStmt Data'!$A$2:$A$2051,CX$1),#N/A)</f>
        <v>#N/A</v>
      </c>
      <c r="CY15" s="40" t="e">
        <f>IF(CY$1,SUMIFS('IncStmt Data'!$H$2:$H$2051,'IncStmt Data'!$G$2:$G$2051,$A15,'IncStmt Data'!$A$2:$A$2051,CY$1),#N/A)</f>
        <v>#N/A</v>
      </c>
      <c r="CZ15" s="40" t="e">
        <f>IF(CZ$1,SUMIFS('IncStmt Data'!$H$2:$H$2051,'IncStmt Data'!$G$2:$G$2051,$A15,'IncStmt Data'!$A$2:$A$2051,CZ$1),#N/A)</f>
        <v>#N/A</v>
      </c>
      <c r="DA15" s="40">
        <f>SUM(B15:AJ15)</f>
        <v>26768</v>
      </c>
    </row>
    <row r="16" spans="1:105" s="42" customFormat="1" ht="15" x14ac:dyDescent="0.35">
      <c r="A16" s="53" t="s">
        <v>136</v>
      </c>
      <c r="B16" s="48">
        <f>IF(B$1,SUMIFS('IncStmt Data'!$H$2:$H$2051,'IncStmt Data'!$G$2:$G$2051,$A16,'IncStmt Data'!$A$2:$A$2051,B$1),#N/A)</f>
        <v>15137</v>
      </c>
      <c r="C16" s="48">
        <f>IF(C$1,SUMIFS('IncStmt Data'!$H$2:$H$2051,'IncStmt Data'!$G$2:$G$2051,$A16,'IncStmt Data'!$A$2:$A$2051,C$1),#N/A)</f>
        <v>13773</v>
      </c>
      <c r="D16" s="48">
        <f>IF(D$1,SUMIFS('IncStmt Data'!$H$2:$H$2051,'IncStmt Data'!$G$2:$G$2051,$A16,'IncStmt Data'!$A$2:$A$2051,D$1),#N/A)</f>
        <v>21120</v>
      </c>
      <c r="E16" s="48">
        <f>IF(E$1,SUMIFS('IncStmt Data'!$H$2:$H$2051,'IncStmt Data'!$G$2:$G$2051,$A16,'IncStmt Data'!$A$2:$A$2051,E$1),#N/A)</f>
        <v>20851</v>
      </c>
      <c r="F16" s="48">
        <f>IF(F$1,SUMIFS('IncStmt Data'!$H$2:$H$2051,'IncStmt Data'!$G$2:$G$2051,$A16,'IncStmt Data'!$A$2:$A$2051,F$1),#N/A)</f>
        <v>12453</v>
      </c>
      <c r="G16" s="48">
        <f>IF(G$1,SUMIFS('IncStmt Data'!$H$2:$H$2051,'IncStmt Data'!$G$2:$G$2051,$A16,'IncStmt Data'!$A$2:$A$2051,G$1),#N/A)</f>
        <v>19182</v>
      </c>
      <c r="H16" s="48">
        <f>IF(H$1,SUMIFS('IncStmt Data'!$H$2:$H$2051,'IncStmt Data'!$G$2:$G$2051,$A16,'IncStmt Data'!$A$2:$A$2051,H$1),#N/A)</f>
        <v>228649</v>
      </c>
      <c r="I16" s="48">
        <f>IF(I$1,SUMIFS('IncStmt Data'!$H$2:$H$2051,'IncStmt Data'!$G$2:$G$2051,$A16,'IncStmt Data'!$A$2:$A$2051,I$1),#N/A)</f>
        <v>23289</v>
      </c>
      <c r="J16" s="48">
        <f>IF(J$1,SUMIFS('IncStmt Data'!$H$2:$H$2051,'IncStmt Data'!$G$2:$G$2051,$A16,'IncStmt Data'!$A$2:$A$2051,J$1),#N/A)</f>
        <v>36349</v>
      </c>
      <c r="K16" s="48">
        <f>IF(K$1,SUMIFS('IncStmt Data'!$H$2:$H$2051,'IncStmt Data'!$G$2:$G$2051,$A16,'IncStmt Data'!$A$2:$A$2051,K$1),#N/A)</f>
        <v>22067</v>
      </c>
      <c r="L16" s="48">
        <f>IF(L$1,SUMIFS('IncStmt Data'!$H$2:$H$2051,'IncStmt Data'!$G$2:$G$2051,$A16,'IncStmt Data'!$A$2:$A$2051,L$1),#N/A)</f>
        <v>25100</v>
      </c>
      <c r="M16" s="48">
        <f>IF(M$1,SUMIFS('IncStmt Data'!$H$2:$H$2051,'IncStmt Data'!$G$2:$G$2051,$A16,'IncStmt Data'!$A$2:$A$2051,M$1),#N/A)</f>
        <v>26794</v>
      </c>
      <c r="N16" s="48">
        <f>IF(N$1,SUMIFS('IncStmt Data'!$H$2:$H$2051,'IncStmt Data'!$G$2:$G$2051,$A16,'IncStmt Data'!$A$2:$A$2051,N$1),#N/A)</f>
        <v>44864</v>
      </c>
      <c r="O16" s="48">
        <f>IF(O$1,SUMIFS('IncStmt Data'!$H$2:$H$2051,'IncStmt Data'!$G$2:$G$2051,$A16,'IncStmt Data'!$A$2:$A$2051,O$1),#N/A)</f>
        <v>27043</v>
      </c>
      <c r="P16" s="48">
        <f>IF(P$1,SUMIFS('IncStmt Data'!$H$2:$H$2051,'IncStmt Data'!$G$2:$G$2051,$A16,'IncStmt Data'!$A$2:$A$2051,P$1),#N/A)</f>
        <v>23491</v>
      </c>
      <c r="Q16" s="48">
        <f>IF(Q$1,SUMIFS('IncStmt Data'!$H$2:$H$2051,'IncStmt Data'!$G$2:$G$2051,$A16,'IncStmt Data'!$A$2:$A$2051,Q$1),#N/A)</f>
        <v>0</v>
      </c>
      <c r="R16" s="48">
        <f>IF(R$1,SUMIFS('IncStmt Data'!$H$2:$H$2051,'IncStmt Data'!$G$2:$G$2051,$A16,'IncStmt Data'!$A$2:$A$2051,R$1),#N/A)</f>
        <v>0</v>
      </c>
      <c r="S16" s="48">
        <f>IF(S$1,SUMIFS('IncStmt Data'!$H$2:$H$2051,'IncStmt Data'!$G$2:$G$2051,$A16,'IncStmt Data'!$A$2:$A$2051,S$1),#N/A)</f>
        <v>28194</v>
      </c>
      <c r="T16" s="48">
        <f>IF(T$1,SUMIFS('IncStmt Data'!$H$2:$H$2051,'IncStmt Data'!$G$2:$G$2051,$A16,'IncStmt Data'!$A$2:$A$2051,T$1),#N/A)</f>
        <v>27624</v>
      </c>
      <c r="U16" s="48">
        <f>IF(U$1,SUMIFS('IncStmt Data'!$H$2:$H$2051,'IncStmt Data'!$G$2:$G$2051,$A16,'IncStmt Data'!$A$2:$A$2051,U$1),#N/A)</f>
        <v>17033</v>
      </c>
      <c r="V16" s="48">
        <f>IF(V$1,SUMIFS('IncStmt Data'!$H$2:$H$2051,'IncStmt Data'!$G$2:$G$2051,$A16,'IncStmt Data'!$A$2:$A$2051,V$1),#N/A)</f>
        <v>20553</v>
      </c>
      <c r="W16" s="48">
        <f>IF(W$1,SUMIFS('IncStmt Data'!$H$2:$H$2051,'IncStmt Data'!$G$2:$G$2051,$A16,'IncStmt Data'!$A$2:$A$2051,W$1),#N/A)</f>
        <v>16004</v>
      </c>
      <c r="X16" s="48">
        <f>IF(X$1,SUMIFS('IncStmt Data'!$H$2:$H$2051,'IncStmt Data'!$G$2:$G$2051,$A16,'IncStmt Data'!$A$2:$A$2051,X$1),#N/A)</f>
        <v>16451</v>
      </c>
      <c r="Y16" s="48">
        <f>IF(Y$1,SUMIFS('IncStmt Data'!$H$2:$H$2051,'IncStmt Data'!$G$2:$G$2051,$A16,'IncStmt Data'!$A$2:$A$2051,Y$1),#N/A)</f>
        <v>0</v>
      </c>
      <c r="Z16" s="48">
        <f>IF(Z$1,SUMIFS('IncStmt Data'!$H$2:$H$2051,'IncStmt Data'!$G$2:$G$2051,$A16,'IncStmt Data'!$A$2:$A$2051,Z$1),#N/A)</f>
        <v>0</v>
      </c>
      <c r="AA16" s="48">
        <f>IF(AA$1,SUMIFS('IncStmt Data'!$H$2:$H$2051,'IncStmt Data'!$G$2:$G$2051,$A16,'IncStmt Data'!$A$2:$A$2051,AA$1),#N/A)</f>
        <v>0</v>
      </c>
      <c r="AB16" s="48">
        <f>IF(AB$1,SUMIFS('IncStmt Data'!$H$2:$H$2051,'IncStmt Data'!$G$2:$G$2051,$A16,'IncStmt Data'!$A$2:$A$2051,AB$1),#N/A)</f>
        <v>0</v>
      </c>
      <c r="AC16" s="48">
        <f>IF(AC$1,SUMIFS('IncStmt Data'!$H$2:$H$2051,'IncStmt Data'!$G$2:$G$2051,$A16,'IncStmt Data'!$A$2:$A$2051,AC$1),#N/A)</f>
        <v>0</v>
      </c>
      <c r="AD16" s="48">
        <f>IF(AD$1,SUMIFS('IncStmt Data'!$H$2:$H$2051,'IncStmt Data'!$G$2:$G$2051,$A16,'IncStmt Data'!$A$2:$A$2051,AD$1),#N/A)</f>
        <v>29967</v>
      </c>
      <c r="AE16" s="48">
        <f>IF(AE$1,SUMIFS('IncStmt Data'!$H$2:$H$2051,'IncStmt Data'!$G$2:$G$2051,$A16,'IncStmt Data'!$A$2:$A$2051,AE$1),#N/A)</f>
        <v>25114</v>
      </c>
      <c r="AF16" s="48">
        <f>IF(AF$1,SUMIFS('IncStmt Data'!$H$2:$H$2051,'IncStmt Data'!$G$2:$G$2051,$A16,'IncStmt Data'!$A$2:$A$2051,AF$1),#N/A)</f>
        <v>11838</v>
      </c>
      <c r="AG16" s="48">
        <f>IF(AG$1,SUMIFS('IncStmt Data'!$H$2:$H$2051,'IncStmt Data'!$G$2:$G$2051,$A16,'IncStmt Data'!$A$2:$A$2051,AG$1),#N/A)</f>
        <v>7721</v>
      </c>
      <c r="AH16" s="48">
        <f>IF(AH$1,SUMIFS('IncStmt Data'!$H$2:$H$2051,'IncStmt Data'!$G$2:$G$2051,$A16,'IncStmt Data'!$A$2:$A$2051,AH$1),#N/A)</f>
        <v>17081</v>
      </c>
      <c r="AI16" s="48">
        <f>IF(AI$1,SUMIFS('IncStmt Data'!$H$2:$H$2051,'IncStmt Data'!$G$2:$G$2051,$A16,'IncStmt Data'!$A$2:$A$2051,AI$1),#N/A)</f>
        <v>24256</v>
      </c>
      <c r="AJ16" s="48">
        <f>IF(AJ$1,SUMIFS('IncStmt Data'!$H$2:$H$2051,'IncStmt Data'!$G$2:$G$2051,$A16,'IncStmt Data'!$A$2:$A$2051,AJ$1),#N/A)</f>
        <v>14358</v>
      </c>
      <c r="AK16" s="48" t="e">
        <f>IF(AK$1,SUMIFS('IncStmt Data'!$H$2:$H$2051,'IncStmt Data'!$G$2:$G$2051,$A16,'IncStmt Data'!$A$2:$A$2051,AK$1),#N/A)</f>
        <v>#N/A</v>
      </c>
      <c r="AL16" s="48" t="e">
        <f>IF(AL$1,SUMIFS('IncStmt Data'!$H$2:$H$2051,'IncStmt Data'!$G$2:$G$2051,$A16,'IncStmt Data'!$A$2:$A$2051,AL$1),#N/A)</f>
        <v>#N/A</v>
      </c>
      <c r="AM16" s="48" t="e">
        <f>IF(AM$1,SUMIFS('IncStmt Data'!$H$2:$H$2051,'IncStmt Data'!$G$2:$G$2051,$A16,'IncStmt Data'!$A$2:$A$2051,AM$1),#N/A)</f>
        <v>#N/A</v>
      </c>
      <c r="AN16" s="48" t="e">
        <f>IF(AN$1,SUMIFS('IncStmt Data'!$H$2:$H$2051,'IncStmt Data'!$G$2:$G$2051,$A16,'IncStmt Data'!$A$2:$A$2051,AN$1),#N/A)</f>
        <v>#N/A</v>
      </c>
      <c r="AO16" s="48" t="e">
        <f>IF(AO$1,SUMIFS('IncStmt Data'!$H$2:$H$2051,'IncStmt Data'!$G$2:$G$2051,$A16,'IncStmt Data'!$A$2:$A$2051,AO$1),#N/A)</f>
        <v>#N/A</v>
      </c>
      <c r="AP16" s="48" t="e">
        <f>IF(AP$1,SUMIFS('IncStmt Data'!$H$2:$H$2051,'IncStmt Data'!$G$2:$G$2051,$A16,'IncStmt Data'!$A$2:$A$2051,AP$1),#N/A)</f>
        <v>#N/A</v>
      </c>
      <c r="AQ16" s="48" t="e">
        <f>IF(AQ$1,SUMIFS('IncStmt Data'!$H$2:$H$2051,'IncStmt Data'!$G$2:$G$2051,$A16,'IncStmt Data'!$A$2:$A$2051,AQ$1),#N/A)</f>
        <v>#N/A</v>
      </c>
      <c r="AR16" s="48" t="e">
        <f>IF(AR$1,SUMIFS('IncStmt Data'!$H$2:$H$2051,'IncStmt Data'!$G$2:$G$2051,$A16,'IncStmt Data'!$A$2:$A$2051,AR$1),#N/A)</f>
        <v>#N/A</v>
      </c>
      <c r="AS16" s="48" t="e">
        <f>IF(AS$1,SUMIFS('IncStmt Data'!$H$2:$H$2051,'IncStmt Data'!$G$2:$G$2051,$A16,'IncStmt Data'!$A$2:$A$2051,AS$1),#N/A)</f>
        <v>#N/A</v>
      </c>
      <c r="AT16" s="48" t="e">
        <f>IF(AT$1,SUMIFS('IncStmt Data'!$H$2:$H$2051,'IncStmt Data'!$G$2:$G$2051,$A16,'IncStmt Data'!$A$2:$A$2051,AT$1),#N/A)</f>
        <v>#N/A</v>
      </c>
      <c r="AU16" s="48" t="e">
        <f>IF(AU$1,SUMIFS('IncStmt Data'!$H$2:$H$2051,'IncStmt Data'!$G$2:$G$2051,$A16,'IncStmt Data'!$A$2:$A$2051,AU$1),#N/A)</f>
        <v>#N/A</v>
      </c>
      <c r="AV16" s="48" t="e">
        <f>IF(AV$1,SUMIFS('IncStmt Data'!$H$2:$H$2051,'IncStmt Data'!$G$2:$G$2051,$A16,'IncStmt Data'!$A$2:$A$2051,AV$1),#N/A)</f>
        <v>#N/A</v>
      </c>
      <c r="AW16" s="48" t="e">
        <f>IF(AW$1,SUMIFS('IncStmt Data'!$H$2:$H$2051,'IncStmt Data'!$G$2:$G$2051,$A16,'IncStmt Data'!$A$2:$A$2051,AW$1),#N/A)</f>
        <v>#N/A</v>
      </c>
      <c r="AX16" s="48" t="e">
        <f>IF(AX$1,SUMIFS('IncStmt Data'!$H$2:$H$2051,'IncStmt Data'!$G$2:$G$2051,$A16,'IncStmt Data'!$A$2:$A$2051,AX$1),#N/A)</f>
        <v>#N/A</v>
      </c>
      <c r="AY16" s="48" t="e">
        <f>IF(AY$1,SUMIFS('IncStmt Data'!$H$2:$H$2051,'IncStmt Data'!$G$2:$G$2051,$A16,'IncStmt Data'!$A$2:$A$2051,AY$1),#N/A)</f>
        <v>#N/A</v>
      </c>
      <c r="AZ16" s="48" t="e">
        <f>IF(AZ$1,SUMIFS('IncStmt Data'!$H$2:$H$2051,'IncStmt Data'!$G$2:$G$2051,$A16,'IncStmt Data'!$A$2:$A$2051,AZ$1),#N/A)</f>
        <v>#N/A</v>
      </c>
      <c r="BA16" s="48" t="e">
        <f>IF(BA$1,SUMIFS('IncStmt Data'!$H$2:$H$2051,'IncStmt Data'!$G$2:$G$2051,$A16,'IncStmt Data'!$A$2:$A$2051,BA$1),#N/A)</f>
        <v>#N/A</v>
      </c>
      <c r="BB16" s="48" t="e">
        <f>IF(BB$1,SUMIFS('IncStmt Data'!$H$2:$H$2051,'IncStmt Data'!$G$2:$G$2051,$A16,'IncStmt Data'!$A$2:$A$2051,BB$1),#N/A)</f>
        <v>#N/A</v>
      </c>
      <c r="BC16" s="48" t="e">
        <f>IF(BC$1,SUMIFS('IncStmt Data'!$H$2:$H$2051,'IncStmt Data'!$G$2:$G$2051,$A16,'IncStmt Data'!$A$2:$A$2051,BC$1),#N/A)</f>
        <v>#N/A</v>
      </c>
      <c r="BD16" s="48" t="e">
        <f>IF(BD$1,SUMIFS('IncStmt Data'!$H$2:$H$2051,'IncStmt Data'!$G$2:$G$2051,$A16,'IncStmt Data'!$A$2:$A$2051,BD$1),#N/A)</f>
        <v>#N/A</v>
      </c>
      <c r="BE16" s="48" t="e">
        <f>IF(BE$1,SUMIFS('IncStmt Data'!$H$2:$H$2051,'IncStmt Data'!$G$2:$G$2051,$A16,'IncStmt Data'!$A$2:$A$2051,BE$1),#N/A)</f>
        <v>#N/A</v>
      </c>
      <c r="BF16" s="48" t="e">
        <f>IF(BF$1,SUMIFS('IncStmt Data'!$H$2:$H$2051,'IncStmt Data'!$G$2:$G$2051,$A16,'IncStmt Data'!$A$2:$A$2051,BF$1),#N/A)</f>
        <v>#N/A</v>
      </c>
      <c r="BG16" s="48" t="e">
        <f>IF(BG$1,SUMIFS('IncStmt Data'!$H$2:$H$2051,'IncStmt Data'!$G$2:$G$2051,$A16,'IncStmt Data'!$A$2:$A$2051,BG$1),#N/A)</f>
        <v>#N/A</v>
      </c>
      <c r="BH16" s="48" t="e">
        <f>IF(BH$1,SUMIFS('IncStmt Data'!$H$2:$H$2051,'IncStmt Data'!$G$2:$G$2051,$A16,'IncStmt Data'!$A$2:$A$2051,BH$1),#N/A)</f>
        <v>#N/A</v>
      </c>
      <c r="BI16" s="48" t="e">
        <f>IF(BI$1,SUMIFS('IncStmt Data'!$H$2:$H$2051,'IncStmt Data'!$G$2:$G$2051,$A16,'IncStmt Data'!$A$2:$A$2051,BI$1),#N/A)</f>
        <v>#N/A</v>
      </c>
      <c r="BJ16" s="48" t="e">
        <f>IF(BJ$1,SUMIFS('IncStmt Data'!$H$2:$H$2051,'IncStmt Data'!$G$2:$G$2051,$A16,'IncStmt Data'!$A$2:$A$2051,BJ$1),#N/A)</f>
        <v>#N/A</v>
      </c>
      <c r="BK16" s="48" t="e">
        <f>IF(BK$1,SUMIFS('IncStmt Data'!$H$2:$H$2051,'IncStmt Data'!$G$2:$G$2051,$A16,'IncStmt Data'!$A$2:$A$2051,BK$1),#N/A)</f>
        <v>#N/A</v>
      </c>
      <c r="BL16" s="48" t="e">
        <f>IF(BL$1,SUMIFS('IncStmt Data'!$H$2:$H$2051,'IncStmt Data'!$G$2:$G$2051,$A16,'IncStmt Data'!$A$2:$A$2051,BL$1),#N/A)</f>
        <v>#N/A</v>
      </c>
      <c r="BM16" s="48" t="e">
        <f>IF(BM$1,SUMIFS('IncStmt Data'!$H$2:$H$2051,'IncStmt Data'!$G$2:$G$2051,$A16,'IncStmt Data'!$A$2:$A$2051,BM$1),#N/A)</f>
        <v>#N/A</v>
      </c>
      <c r="BN16" s="48" t="e">
        <f>IF(BN$1,SUMIFS('IncStmt Data'!$H$2:$H$2051,'IncStmt Data'!$G$2:$G$2051,$A16,'IncStmt Data'!$A$2:$A$2051,BN$1),#N/A)</f>
        <v>#N/A</v>
      </c>
      <c r="BO16" s="48" t="e">
        <f>IF(BO$1,SUMIFS('IncStmt Data'!$H$2:$H$2051,'IncStmt Data'!$G$2:$G$2051,$A16,'IncStmt Data'!$A$2:$A$2051,BO$1),#N/A)</f>
        <v>#N/A</v>
      </c>
      <c r="BP16" s="48" t="e">
        <f>IF(BP$1,SUMIFS('IncStmt Data'!$H$2:$H$2051,'IncStmt Data'!$G$2:$G$2051,$A16,'IncStmt Data'!$A$2:$A$2051,BP$1),#N/A)</f>
        <v>#N/A</v>
      </c>
      <c r="BQ16" s="48" t="e">
        <f>IF(BQ$1,SUMIFS('IncStmt Data'!$H$2:$H$2051,'IncStmt Data'!$G$2:$G$2051,$A16,'IncStmt Data'!$A$2:$A$2051,BQ$1),#N/A)</f>
        <v>#N/A</v>
      </c>
      <c r="BR16" s="48" t="e">
        <f>IF(BR$1,SUMIFS('IncStmt Data'!$H$2:$H$2051,'IncStmt Data'!$G$2:$G$2051,$A16,'IncStmt Data'!$A$2:$A$2051,BR$1),#N/A)</f>
        <v>#N/A</v>
      </c>
      <c r="BS16" s="48" t="e">
        <f>IF(BS$1,SUMIFS('IncStmt Data'!$H$2:$H$2051,'IncStmt Data'!$G$2:$G$2051,$A16,'IncStmt Data'!$A$2:$A$2051,BS$1),#N/A)</f>
        <v>#N/A</v>
      </c>
      <c r="BT16" s="48" t="e">
        <f>IF(BT$1,SUMIFS('IncStmt Data'!$H$2:$H$2051,'IncStmt Data'!$G$2:$G$2051,$A16,'IncStmt Data'!$A$2:$A$2051,BT$1),#N/A)</f>
        <v>#N/A</v>
      </c>
      <c r="BU16" s="48" t="e">
        <f>IF(BU$1,SUMIFS('IncStmt Data'!$H$2:$H$2051,'IncStmt Data'!$G$2:$G$2051,$A16,'IncStmt Data'!$A$2:$A$2051,BU$1),#N/A)</f>
        <v>#N/A</v>
      </c>
      <c r="BV16" s="48" t="e">
        <f>IF(BV$1,SUMIFS('IncStmt Data'!$H$2:$H$2051,'IncStmt Data'!$G$2:$G$2051,$A16,'IncStmt Data'!$A$2:$A$2051,BV$1),#N/A)</f>
        <v>#N/A</v>
      </c>
      <c r="BW16" s="48" t="e">
        <f>IF(BW$1,SUMIFS('IncStmt Data'!$H$2:$H$2051,'IncStmt Data'!$G$2:$G$2051,$A16,'IncStmt Data'!$A$2:$A$2051,BW$1),#N/A)</f>
        <v>#N/A</v>
      </c>
      <c r="BX16" s="48" t="e">
        <f>IF(BX$1,SUMIFS('IncStmt Data'!$H$2:$H$2051,'IncStmt Data'!$G$2:$G$2051,$A16,'IncStmt Data'!$A$2:$A$2051,BX$1),#N/A)</f>
        <v>#N/A</v>
      </c>
      <c r="BY16" s="48" t="e">
        <f>IF(BY$1,SUMIFS('IncStmt Data'!$H$2:$H$2051,'IncStmt Data'!$G$2:$G$2051,$A16,'IncStmt Data'!$A$2:$A$2051,BY$1),#N/A)</f>
        <v>#N/A</v>
      </c>
      <c r="BZ16" s="48" t="e">
        <f>IF(BZ$1,SUMIFS('IncStmt Data'!$H$2:$H$2051,'IncStmt Data'!$G$2:$G$2051,$A16,'IncStmt Data'!$A$2:$A$2051,BZ$1),#N/A)</f>
        <v>#N/A</v>
      </c>
      <c r="CA16" s="48" t="e">
        <f>IF(CA$1,SUMIFS('IncStmt Data'!$H$2:$H$2051,'IncStmt Data'!$G$2:$G$2051,$A16,'IncStmt Data'!$A$2:$A$2051,CA$1),#N/A)</f>
        <v>#N/A</v>
      </c>
      <c r="CB16" s="48" t="e">
        <f>IF(CB$1,SUMIFS('IncStmt Data'!$H$2:$H$2051,'IncStmt Data'!$G$2:$G$2051,$A16,'IncStmt Data'!$A$2:$A$2051,CB$1),#N/A)</f>
        <v>#N/A</v>
      </c>
      <c r="CC16" s="48" t="e">
        <f>IF(CC$1,SUMIFS('IncStmt Data'!$H$2:$H$2051,'IncStmt Data'!$G$2:$G$2051,$A16,'IncStmt Data'!$A$2:$A$2051,CC$1),#N/A)</f>
        <v>#N/A</v>
      </c>
      <c r="CD16" s="48" t="e">
        <f>IF(CD$1,SUMIFS('IncStmt Data'!$H$2:$H$2051,'IncStmt Data'!$G$2:$G$2051,$A16,'IncStmt Data'!$A$2:$A$2051,CD$1),#N/A)</f>
        <v>#N/A</v>
      </c>
      <c r="CE16" s="48" t="e">
        <f>IF(CE$1,SUMIFS('IncStmt Data'!$H$2:$H$2051,'IncStmt Data'!$G$2:$G$2051,$A16,'IncStmt Data'!$A$2:$A$2051,CE$1),#N/A)</f>
        <v>#N/A</v>
      </c>
      <c r="CF16" s="48" t="e">
        <f>IF(CF$1,SUMIFS('IncStmt Data'!$H$2:$H$2051,'IncStmt Data'!$G$2:$G$2051,$A16,'IncStmt Data'!$A$2:$A$2051,CF$1),#N/A)</f>
        <v>#N/A</v>
      </c>
      <c r="CG16" s="48" t="e">
        <f>IF(CG$1,SUMIFS('IncStmt Data'!$H$2:$H$2051,'IncStmt Data'!$G$2:$G$2051,$A16,'IncStmt Data'!$A$2:$A$2051,CG$1),#N/A)</f>
        <v>#N/A</v>
      </c>
      <c r="CH16" s="48" t="e">
        <f>IF(CH$1,SUMIFS('IncStmt Data'!$H$2:$H$2051,'IncStmt Data'!$G$2:$G$2051,$A16,'IncStmt Data'!$A$2:$A$2051,CH$1),#N/A)</f>
        <v>#N/A</v>
      </c>
      <c r="CI16" s="48" t="e">
        <f>IF(CI$1,SUMIFS('IncStmt Data'!$H$2:$H$2051,'IncStmt Data'!$G$2:$G$2051,$A16,'IncStmt Data'!$A$2:$A$2051,CI$1),#N/A)</f>
        <v>#N/A</v>
      </c>
      <c r="CJ16" s="48" t="e">
        <f>IF(CJ$1,SUMIFS('IncStmt Data'!$H$2:$H$2051,'IncStmt Data'!$G$2:$G$2051,$A16,'IncStmt Data'!$A$2:$A$2051,CJ$1),#N/A)</f>
        <v>#N/A</v>
      </c>
      <c r="CK16" s="48" t="e">
        <f>IF(CK$1,SUMIFS('IncStmt Data'!$H$2:$H$2051,'IncStmt Data'!$G$2:$G$2051,$A16,'IncStmt Data'!$A$2:$A$2051,CK$1),#N/A)</f>
        <v>#N/A</v>
      </c>
      <c r="CL16" s="48" t="e">
        <f>IF(CL$1,SUMIFS('IncStmt Data'!$H$2:$H$2051,'IncStmt Data'!$G$2:$G$2051,$A16,'IncStmt Data'!$A$2:$A$2051,CL$1),#N/A)</f>
        <v>#N/A</v>
      </c>
      <c r="CM16" s="48" t="e">
        <f>IF(CM$1,SUMIFS('IncStmt Data'!$H$2:$H$2051,'IncStmt Data'!$G$2:$G$2051,$A16,'IncStmt Data'!$A$2:$A$2051,CM$1),#N/A)</f>
        <v>#N/A</v>
      </c>
      <c r="CN16" s="48" t="e">
        <f>IF(CN$1,SUMIFS('IncStmt Data'!$H$2:$H$2051,'IncStmt Data'!$G$2:$G$2051,$A16,'IncStmt Data'!$A$2:$A$2051,CN$1),#N/A)</f>
        <v>#N/A</v>
      </c>
      <c r="CO16" s="48" t="e">
        <f>IF(CO$1,SUMIFS('IncStmt Data'!$H$2:$H$2051,'IncStmt Data'!$G$2:$G$2051,$A16,'IncStmt Data'!$A$2:$A$2051,CO$1),#N/A)</f>
        <v>#N/A</v>
      </c>
      <c r="CP16" s="48" t="e">
        <f>IF(CP$1,SUMIFS('IncStmt Data'!$H$2:$H$2051,'IncStmt Data'!$G$2:$G$2051,$A16,'IncStmt Data'!$A$2:$A$2051,CP$1),#N/A)</f>
        <v>#N/A</v>
      </c>
      <c r="CQ16" s="48" t="e">
        <f>IF(CQ$1,SUMIFS('IncStmt Data'!$H$2:$H$2051,'IncStmt Data'!$G$2:$G$2051,$A16,'IncStmt Data'!$A$2:$A$2051,CQ$1),#N/A)</f>
        <v>#N/A</v>
      </c>
      <c r="CR16" s="48" t="e">
        <f>IF(CR$1,SUMIFS('IncStmt Data'!$H$2:$H$2051,'IncStmt Data'!$G$2:$G$2051,$A16,'IncStmt Data'!$A$2:$A$2051,CR$1),#N/A)</f>
        <v>#N/A</v>
      </c>
      <c r="CS16" s="48" t="e">
        <f>IF(CS$1,SUMIFS('IncStmt Data'!$H$2:$H$2051,'IncStmt Data'!$G$2:$G$2051,$A16,'IncStmt Data'!$A$2:$A$2051,CS$1),#N/A)</f>
        <v>#N/A</v>
      </c>
      <c r="CT16" s="48" t="e">
        <f>IF(CT$1,SUMIFS('IncStmt Data'!$H$2:$H$2051,'IncStmt Data'!$G$2:$G$2051,$A16,'IncStmt Data'!$A$2:$A$2051,CT$1),#N/A)</f>
        <v>#N/A</v>
      </c>
      <c r="CU16" s="48" t="e">
        <f>IF(CU$1,SUMIFS('IncStmt Data'!$H$2:$H$2051,'IncStmt Data'!$G$2:$G$2051,$A16,'IncStmt Data'!$A$2:$A$2051,CU$1),#N/A)</f>
        <v>#N/A</v>
      </c>
      <c r="CV16" s="48" t="e">
        <f>IF(CV$1,SUMIFS('IncStmt Data'!$H$2:$H$2051,'IncStmt Data'!$G$2:$G$2051,$A16,'IncStmt Data'!$A$2:$A$2051,CV$1),#N/A)</f>
        <v>#N/A</v>
      </c>
      <c r="CW16" s="48" t="e">
        <f>IF(CW$1,SUMIFS('IncStmt Data'!$H$2:$H$2051,'IncStmt Data'!$G$2:$G$2051,$A16,'IncStmt Data'!$A$2:$A$2051,CW$1),#N/A)</f>
        <v>#N/A</v>
      </c>
      <c r="CX16" s="48" t="e">
        <f>IF(CX$1,SUMIFS('IncStmt Data'!$H$2:$H$2051,'IncStmt Data'!$G$2:$G$2051,$A16,'IncStmt Data'!$A$2:$A$2051,CX$1),#N/A)</f>
        <v>#N/A</v>
      </c>
      <c r="CY16" s="48" t="e">
        <f>IF(CY$1,SUMIFS('IncStmt Data'!$H$2:$H$2051,'IncStmt Data'!$G$2:$G$2051,$A16,'IncStmt Data'!$A$2:$A$2051,CY$1),#N/A)</f>
        <v>#N/A</v>
      </c>
      <c r="CZ16" s="48" t="e">
        <f>IF(CZ$1,SUMIFS('IncStmt Data'!$H$2:$H$2051,'IncStmt Data'!$G$2:$G$2051,$A16,'IncStmt Data'!$A$2:$A$2051,CZ$1),#N/A)</f>
        <v>#N/A</v>
      </c>
      <c r="DA16" s="48">
        <f>SUM(B16:AJ16)</f>
        <v>816356</v>
      </c>
    </row>
    <row r="17" spans="1:105" s="40" customFormat="1" x14ac:dyDescent="0.2">
      <c r="A17" s="38"/>
      <c r="B17" s="43">
        <f t="shared" ref="B17" si="0">SUM(B14:B16)</f>
        <v>619486</v>
      </c>
      <c r="C17" s="43">
        <f>SUM(C14:C16)</f>
        <v>516576</v>
      </c>
      <c r="D17" s="43">
        <f>SUM(D14:D16)</f>
        <v>748351</v>
      </c>
      <c r="E17" s="43">
        <f>SUM(E14:E16)</f>
        <v>984756</v>
      </c>
      <c r="F17" s="43">
        <f t="shared" ref="F17:BO17" si="1">SUM(F14:F16)</f>
        <v>1018905</v>
      </c>
      <c r="G17" s="43">
        <f t="shared" si="1"/>
        <v>756012</v>
      </c>
      <c r="H17" s="43">
        <f t="shared" si="1"/>
        <v>793179</v>
      </c>
      <c r="I17" s="43">
        <f t="shared" si="1"/>
        <v>930159</v>
      </c>
      <c r="J17" s="43">
        <f t="shared" si="1"/>
        <v>1741358</v>
      </c>
      <c r="K17" s="43">
        <f t="shared" si="1"/>
        <v>1636225</v>
      </c>
      <c r="L17" s="43">
        <f t="shared" si="1"/>
        <v>1062939</v>
      </c>
      <c r="M17" s="43">
        <f t="shared" si="1"/>
        <v>1064938</v>
      </c>
      <c r="N17" s="43">
        <f t="shared" si="1"/>
        <v>2723012</v>
      </c>
      <c r="O17" s="43">
        <f t="shared" si="1"/>
        <v>995360</v>
      </c>
      <c r="P17" s="43">
        <f t="shared" si="1"/>
        <v>909616</v>
      </c>
      <c r="Q17" s="43">
        <f t="shared" si="1"/>
        <v>0</v>
      </c>
      <c r="R17" s="43">
        <f t="shared" si="1"/>
        <v>0</v>
      </c>
      <c r="S17" s="43">
        <f t="shared" si="1"/>
        <v>1085615</v>
      </c>
      <c r="T17" s="43">
        <f t="shared" si="1"/>
        <v>806229</v>
      </c>
      <c r="U17" s="43">
        <f t="shared" si="1"/>
        <v>959739</v>
      </c>
      <c r="V17" s="43">
        <f t="shared" si="1"/>
        <v>909624</v>
      </c>
      <c r="W17" s="43">
        <f t="shared" si="1"/>
        <v>925790</v>
      </c>
      <c r="X17" s="43">
        <f t="shared" si="1"/>
        <v>604462</v>
      </c>
      <c r="Y17" s="43">
        <f t="shared" si="1"/>
        <v>0</v>
      </c>
      <c r="Z17" s="43">
        <f t="shared" si="1"/>
        <v>0</v>
      </c>
      <c r="AA17" s="43">
        <f t="shared" si="1"/>
        <v>0</v>
      </c>
      <c r="AB17" s="43">
        <f t="shared" si="1"/>
        <v>0</v>
      </c>
      <c r="AC17" s="43">
        <f t="shared" si="1"/>
        <v>0</v>
      </c>
      <c r="AD17" s="43">
        <f t="shared" si="1"/>
        <v>1178812</v>
      </c>
      <c r="AE17" s="43">
        <f t="shared" si="1"/>
        <v>1560865</v>
      </c>
      <c r="AF17" s="43">
        <f t="shared" si="1"/>
        <v>744159</v>
      </c>
      <c r="AG17" s="43">
        <f t="shared" si="1"/>
        <v>1032654</v>
      </c>
      <c r="AH17" s="43">
        <f t="shared" si="1"/>
        <v>993151</v>
      </c>
      <c r="AI17" s="43">
        <f t="shared" si="1"/>
        <v>929450</v>
      </c>
      <c r="AJ17" s="43">
        <f t="shared" si="1"/>
        <v>686642</v>
      </c>
      <c r="AK17" s="43" t="e">
        <f t="shared" si="1"/>
        <v>#N/A</v>
      </c>
      <c r="AL17" s="43" t="e">
        <f t="shared" si="1"/>
        <v>#N/A</v>
      </c>
      <c r="AM17" s="43" t="e">
        <f t="shared" si="1"/>
        <v>#N/A</v>
      </c>
      <c r="AN17" s="43" t="e">
        <f t="shared" si="1"/>
        <v>#N/A</v>
      </c>
      <c r="AO17" s="43" t="e">
        <f t="shared" si="1"/>
        <v>#N/A</v>
      </c>
      <c r="AP17" s="43" t="e">
        <f t="shared" si="1"/>
        <v>#N/A</v>
      </c>
      <c r="AQ17" s="43" t="e">
        <f t="shared" si="1"/>
        <v>#N/A</v>
      </c>
      <c r="AR17" s="43" t="e">
        <f t="shared" si="1"/>
        <v>#N/A</v>
      </c>
      <c r="AS17" s="43" t="e">
        <f t="shared" si="1"/>
        <v>#N/A</v>
      </c>
      <c r="AT17" s="43" t="e">
        <f t="shared" si="1"/>
        <v>#N/A</v>
      </c>
      <c r="AU17" s="43" t="e">
        <f t="shared" si="1"/>
        <v>#N/A</v>
      </c>
      <c r="AV17" s="43" t="e">
        <f t="shared" si="1"/>
        <v>#N/A</v>
      </c>
      <c r="AW17" s="43" t="e">
        <f t="shared" si="1"/>
        <v>#N/A</v>
      </c>
      <c r="AX17" s="43" t="e">
        <f t="shared" si="1"/>
        <v>#N/A</v>
      </c>
      <c r="AY17" s="43" t="e">
        <f t="shared" si="1"/>
        <v>#N/A</v>
      </c>
      <c r="AZ17" s="43" t="e">
        <f t="shared" si="1"/>
        <v>#N/A</v>
      </c>
      <c r="BA17" s="43" t="e">
        <f t="shared" si="1"/>
        <v>#N/A</v>
      </c>
      <c r="BB17" s="43" t="e">
        <f t="shared" si="1"/>
        <v>#N/A</v>
      </c>
      <c r="BC17" s="43" t="e">
        <f t="shared" si="1"/>
        <v>#N/A</v>
      </c>
      <c r="BD17" s="43" t="e">
        <f t="shared" si="1"/>
        <v>#N/A</v>
      </c>
      <c r="BE17" s="43" t="e">
        <f t="shared" si="1"/>
        <v>#N/A</v>
      </c>
      <c r="BF17" s="43" t="e">
        <f t="shared" si="1"/>
        <v>#N/A</v>
      </c>
      <c r="BG17" s="43" t="e">
        <f t="shared" si="1"/>
        <v>#N/A</v>
      </c>
      <c r="BH17" s="43" t="e">
        <f t="shared" si="1"/>
        <v>#N/A</v>
      </c>
      <c r="BI17" s="43" t="e">
        <f t="shared" si="1"/>
        <v>#N/A</v>
      </c>
      <c r="BJ17" s="43" t="e">
        <f t="shared" si="1"/>
        <v>#N/A</v>
      </c>
      <c r="BK17" s="43" t="e">
        <f t="shared" si="1"/>
        <v>#N/A</v>
      </c>
      <c r="BL17" s="43" t="e">
        <f t="shared" si="1"/>
        <v>#N/A</v>
      </c>
      <c r="BM17" s="43" t="e">
        <f t="shared" si="1"/>
        <v>#N/A</v>
      </c>
      <c r="BN17" s="43" t="e">
        <f t="shared" si="1"/>
        <v>#N/A</v>
      </c>
      <c r="BO17" s="43" t="e">
        <f t="shared" si="1"/>
        <v>#N/A</v>
      </c>
      <c r="BP17" s="43" t="e">
        <f t="shared" ref="BP17:CZ17" si="2">SUM(BP14:BP16)</f>
        <v>#N/A</v>
      </c>
      <c r="BQ17" s="43" t="e">
        <f t="shared" si="2"/>
        <v>#N/A</v>
      </c>
      <c r="BR17" s="43" t="e">
        <f t="shared" si="2"/>
        <v>#N/A</v>
      </c>
      <c r="BS17" s="43" t="e">
        <f t="shared" si="2"/>
        <v>#N/A</v>
      </c>
      <c r="BT17" s="43" t="e">
        <f t="shared" si="2"/>
        <v>#N/A</v>
      </c>
      <c r="BU17" s="43" t="e">
        <f t="shared" si="2"/>
        <v>#N/A</v>
      </c>
      <c r="BV17" s="43" t="e">
        <f t="shared" si="2"/>
        <v>#N/A</v>
      </c>
      <c r="BW17" s="43" t="e">
        <f t="shared" si="2"/>
        <v>#N/A</v>
      </c>
      <c r="BX17" s="43" t="e">
        <f t="shared" si="2"/>
        <v>#N/A</v>
      </c>
      <c r="BY17" s="43" t="e">
        <f t="shared" si="2"/>
        <v>#N/A</v>
      </c>
      <c r="BZ17" s="43" t="e">
        <f t="shared" si="2"/>
        <v>#N/A</v>
      </c>
      <c r="CA17" s="43" t="e">
        <f t="shared" si="2"/>
        <v>#N/A</v>
      </c>
      <c r="CB17" s="43" t="e">
        <f t="shared" si="2"/>
        <v>#N/A</v>
      </c>
      <c r="CC17" s="43" t="e">
        <f t="shared" si="2"/>
        <v>#N/A</v>
      </c>
      <c r="CD17" s="43" t="e">
        <f t="shared" si="2"/>
        <v>#N/A</v>
      </c>
      <c r="CE17" s="43" t="e">
        <f t="shared" si="2"/>
        <v>#N/A</v>
      </c>
      <c r="CF17" s="43" t="e">
        <f t="shared" si="2"/>
        <v>#N/A</v>
      </c>
      <c r="CG17" s="43" t="e">
        <f t="shared" si="2"/>
        <v>#N/A</v>
      </c>
      <c r="CH17" s="43" t="e">
        <f t="shared" si="2"/>
        <v>#N/A</v>
      </c>
      <c r="CI17" s="43" t="e">
        <f t="shared" si="2"/>
        <v>#N/A</v>
      </c>
      <c r="CJ17" s="43" t="e">
        <f t="shared" si="2"/>
        <v>#N/A</v>
      </c>
      <c r="CK17" s="43" t="e">
        <f t="shared" si="2"/>
        <v>#N/A</v>
      </c>
      <c r="CL17" s="43" t="e">
        <f t="shared" si="2"/>
        <v>#N/A</v>
      </c>
      <c r="CM17" s="43" t="e">
        <f t="shared" si="2"/>
        <v>#N/A</v>
      </c>
      <c r="CN17" s="43" t="e">
        <f t="shared" si="2"/>
        <v>#N/A</v>
      </c>
      <c r="CO17" s="43" t="e">
        <f t="shared" si="2"/>
        <v>#N/A</v>
      </c>
      <c r="CP17" s="43" t="e">
        <f t="shared" si="2"/>
        <v>#N/A</v>
      </c>
      <c r="CQ17" s="43" t="e">
        <f t="shared" si="2"/>
        <v>#N/A</v>
      </c>
      <c r="CR17" s="43" t="e">
        <f t="shared" si="2"/>
        <v>#N/A</v>
      </c>
      <c r="CS17" s="43" t="e">
        <f t="shared" si="2"/>
        <v>#N/A</v>
      </c>
      <c r="CT17" s="43" t="e">
        <f t="shared" si="2"/>
        <v>#N/A</v>
      </c>
      <c r="CU17" s="43" t="e">
        <f t="shared" si="2"/>
        <v>#N/A</v>
      </c>
      <c r="CV17" s="43" t="e">
        <f t="shared" si="2"/>
        <v>#N/A</v>
      </c>
      <c r="CW17" s="43" t="e">
        <f t="shared" si="2"/>
        <v>#N/A</v>
      </c>
      <c r="CX17" s="43" t="e">
        <f t="shared" si="2"/>
        <v>#N/A</v>
      </c>
      <c r="CY17" s="43" t="e">
        <f t="shared" si="2"/>
        <v>#N/A</v>
      </c>
      <c r="CZ17" s="43" t="e">
        <f t="shared" si="2"/>
        <v>#N/A</v>
      </c>
      <c r="DA17" s="43">
        <f>SUM(B17:AJ17)</f>
        <v>28918064</v>
      </c>
    </row>
    <row r="18" spans="1:105" s="40" customFormat="1" x14ac:dyDescent="0.2">
      <c r="A18" s="2"/>
      <c r="I18" s="41"/>
    </row>
    <row r="19" spans="1:105" s="40" customFormat="1" x14ac:dyDescent="0.2">
      <c r="A19" s="3" t="s">
        <v>38</v>
      </c>
      <c r="I19" s="41"/>
    </row>
    <row r="20" spans="1:105" s="43" customFormat="1" x14ac:dyDescent="0.2">
      <c r="A20" s="52" t="s">
        <v>34</v>
      </c>
      <c r="B20" s="40">
        <f>IF(B$1,SUMIFS('IncStmt Data'!$H$2:$H$2051,'IncStmt Data'!$G$2:$G$2051,$A20,'IncStmt Data'!$A$2:$A$2051,B$1),#N/A)</f>
        <v>14543</v>
      </c>
      <c r="C20" s="40">
        <f>IF(C$1,SUMIFS('IncStmt Data'!$H$2:$H$2051,'IncStmt Data'!$G$2:$G$2051,$A20,'IncStmt Data'!$A$2:$A$2051,C$1),#N/A)</f>
        <v>13866</v>
      </c>
      <c r="D20" s="40">
        <f>IF(D$1,SUMIFS('IncStmt Data'!$H$2:$H$2051,'IncStmt Data'!$G$2:$G$2051,$A20,'IncStmt Data'!$A$2:$A$2051,D$1),#N/A)</f>
        <v>15346</v>
      </c>
      <c r="E20" s="40">
        <f>IF(E$1,SUMIFS('IncStmt Data'!$H$2:$H$2051,'IncStmt Data'!$G$2:$G$2051,$A20,'IncStmt Data'!$A$2:$A$2051,E$1),#N/A)</f>
        <v>16648</v>
      </c>
      <c r="F20" s="40">
        <f>IF(F$1,SUMIFS('IncStmt Data'!$H$2:$H$2051,'IncStmt Data'!$G$2:$G$2051,$A20,'IncStmt Data'!$A$2:$A$2051,F$1),#N/A)</f>
        <v>20871</v>
      </c>
      <c r="G20" s="40">
        <f>IF(G$1,SUMIFS('IncStmt Data'!$H$2:$H$2051,'IncStmt Data'!$G$2:$G$2051,$A20,'IncStmt Data'!$A$2:$A$2051,G$1),#N/A)</f>
        <v>16627</v>
      </c>
      <c r="H20" s="40">
        <f>IF(H$1,SUMIFS('IncStmt Data'!$H$2:$H$2051,'IncStmt Data'!$G$2:$G$2051,$A20,'IncStmt Data'!$A$2:$A$2051,H$1),#N/A)</f>
        <v>20254</v>
      </c>
      <c r="I20" s="40">
        <f>IF(I$1,SUMIFS('IncStmt Data'!$H$2:$H$2051,'IncStmt Data'!$G$2:$G$2051,$A20,'IncStmt Data'!$A$2:$A$2051,I$1),#N/A)</f>
        <v>18047</v>
      </c>
      <c r="J20" s="40">
        <f>IF(J$1,SUMIFS('IncStmt Data'!$H$2:$H$2051,'IncStmt Data'!$G$2:$G$2051,$A20,'IncStmt Data'!$A$2:$A$2051,J$1),#N/A)</f>
        <v>44921</v>
      </c>
      <c r="K20" s="40">
        <f>IF(K$1,SUMIFS('IncStmt Data'!$H$2:$H$2051,'IncStmt Data'!$G$2:$G$2051,$A20,'IncStmt Data'!$A$2:$A$2051,K$1),#N/A)</f>
        <v>32107</v>
      </c>
      <c r="L20" s="40">
        <f>IF(L$1,SUMIFS('IncStmt Data'!$H$2:$H$2051,'IncStmt Data'!$G$2:$G$2051,$A20,'IncStmt Data'!$A$2:$A$2051,L$1),#N/A)</f>
        <v>21324</v>
      </c>
      <c r="M20" s="40">
        <f>IF(M$1,SUMIFS('IncStmt Data'!$H$2:$H$2051,'IncStmt Data'!$G$2:$G$2051,$A20,'IncStmt Data'!$A$2:$A$2051,M$1),#N/A)</f>
        <v>20552</v>
      </c>
      <c r="N20" s="40">
        <f>IF(N$1,SUMIFS('IncStmt Data'!$H$2:$H$2051,'IncStmt Data'!$G$2:$G$2051,$A20,'IncStmt Data'!$A$2:$A$2051,N$1),#N/A)</f>
        <v>44777</v>
      </c>
      <c r="O20" s="40">
        <f>IF(O$1,SUMIFS('IncStmt Data'!$H$2:$H$2051,'IncStmt Data'!$G$2:$G$2051,$A20,'IncStmt Data'!$A$2:$A$2051,O$1),#N/A)</f>
        <v>20936</v>
      </c>
      <c r="P20" s="40">
        <f>IF(P$1,SUMIFS('IncStmt Data'!$H$2:$H$2051,'IncStmt Data'!$G$2:$G$2051,$A20,'IncStmt Data'!$A$2:$A$2051,P$1),#N/A)</f>
        <v>19550</v>
      </c>
      <c r="Q20" s="40">
        <f>IF(Q$1,SUMIFS('IncStmt Data'!$H$2:$H$2051,'IncStmt Data'!$G$2:$G$2051,$A20,'IncStmt Data'!$A$2:$A$2051,Q$1),#N/A)</f>
        <v>20174</v>
      </c>
      <c r="R20" s="40">
        <f>IF(R$1,SUMIFS('IncStmt Data'!$H$2:$H$2051,'IncStmt Data'!$G$2:$G$2051,$A20,'IncStmt Data'!$A$2:$A$2051,R$1),#N/A)</f>
        <v>0</v>
      </c>
      <c r="S20" s="40">
        <f>IF(S$1,SUMIFS('IncStmt Data'!$H$2:$H$2051,'IncStmt Data'!$G$2:$G$2051,$A20,'IncStmt Data'!$A$2:$A$2051,S$1),#N/A)</f>
        <v>11753</v>
      </c>
      <c r="T20" s="40">
        <f>IF(T$1,SUMIFS('IncStmt Data'!$H$2:$H$2051,'IncStmt Data'!$G$2:$G$2051,$A20,'IncStmt Data'!$A$2:$A$2051,T$1),#N/A)</f>
        <v>19735</v>
      </c>
      <c r="U20" s="40">
        <f>IF(U$1,SUMIFS('IncStmt Data'!$H$2:$H$2051,'IncStmt Data'!$G$2:$G$2051,$A20,'IncStmt Data'!$A$2:$A$2051,U$1),#N/A)</f>
        <v>11510</v>
      </c>
      <c r="V20" s="40">
        <f>IF(V$1,SUMIFS('IncStmt Data'!$H$2:$H$2051,'IncStmt Data'!$G$2:$G$2051,$A20,'IncStmt Data'!$A$2:$A$2051,V$1),#N/A)</f>
        <v>18702</v>
      </c>
      <c r="W20" s="40">
        <f>IF(W$1,SUMIFS('IncStmt Data'!$H$2:$H$2051,'IncStmt Data'!$G$2:$G$2051,$A20,'IncStmt Data'!$A$2:$A$2051,W$1),#N/A)</f>
        <v>13282</v>
      </c>
      <c r="X20" s="40">
        <f>IF(X$1,SUMIFS('IncStmt Data'!$H$2:$H$2051,'IncStmt Data'!$G$2:$G$2051,$A20,'IncStmt Data'!$A$2:$A$2051,X$1),#N/A)</f>
        <v>11796</v>
      </c>
      <c r="Y20" s="40">
        <f>IF(Y$1,SUMIFS('IncStmt Data'!$H$2:$H$2051,'IncStmt Data'!$G$2:$G$2051,$A20,'IncStmt Data'!$A$2:$A$2051,Y$1),#N/A)</f>
        <v>0</v>
      </c>
      <c r="Z20" s="40">
        <f>IF(Z$1,SUMIFS('IncStmt Data'!$H$2:$H$2051,'IncStmt Data'!$G$2:$G$2051,$A20,'IncStmt Data'!$A$2:$A$2051,Z$1),#N/A)</f>
        <v>0</v>
      </c>
      <c r="AA20" s="40">
        <f>IF(AA$1,SUMIFS('IncStmt Data'!$H$2:$H$2051,'IncStmt Data'!$G$2:$G$2051,$A20,'IncStmt Data'!$A$2:$A$2051,AA$1),#N/A)</f>
        <v>0</v>
      </c>
      <c r="AB20" s="40">
        <f>IF(AB$1,SUMIFS('IncStmt Data'!$H$2:$H$2051,'IncStmt Data'!$G$2:$G$2051,$A20,'IncStmt Data'!$A$2:$A$2051,AB$1),#N/A)</f>
        <v>0</v>
      </c>
      <c r="AC20" s="40">
        <f>IF(AC$1,SUMIFS('IncStmt Data'!$H$2:$H$2051,'IncStmt Data'!$G$2:$G$2051,$A20,'IncStmt Data'!$A$2:$A$2051,AC$1),#N/A)</f>
        <v>0</v>
      </c>
      <c r="AD20" s="40">
        <f>IF(AD$1,SUMIFS('IncStmt Data'!$H$2:$H$2051,'IncStmt Data'!$G$2:$G$2051,$A20,'IncStmt Data'!$A$2:$A$2051,AD$1),#N/A)</f>
        <v>12735</v>
      </c>
      <c r="AE20" s="40">
        <f>IF(AE$1,SUMIFS('IncStmt Data'!$H$2:$H$2051,'IncStmt Data'!$G$2:$G$2051,$A20,'IncStmt Data'!$A$2:$A$2051,AE$1),#N/A)</f>
        <v>16897</v>
      </c>
      <c r="AF20" s="40">
        <f>IF(AF$1,SUMIFS('IncStmt Data'!$H$2:$H$2051,'IncStmt Data'!$G$2:$G$2051,$A20,'IncStmt Data'!$A$2:$A$2051,AF$1),#N/A)</f>
        <v>16591</v>
      </c>
      <c r="AG20" s="40">
        <f>IF(AG$1,SUMIFS('IncStmt Data'!$H$2:$H$2051,'IncStmt Data'!$G$2:$G$2051,$A20,'IncStmt Data'!$A$2:$A$2051,AG$1),#N/A)</f>
        <v>15000</v>
      </c>
      <c r="AH20" s="40">
        <f>IF(AH$1,SUMIFS('IncStmt Data'!$H$2:$H$2051,'IncStmt Data'!$G$2:$G$2051,$A20,'IncStmt Data'!$A$2:$A$2051,AH$1),#N/A)</f>
        <v>12693</v>
      </c>
      <c r="AI20" s="40">
        <f>IF(AI$1,SUMIFS('IncStmt Data'!$H$2:$H$2051,'IncStmt Data'!$G$2:$G$2051,$A20,'IncStmt Data'!$A$2:$A$2051,AI$1),#N/A)</f>
        <v>16405</v>
      </c>
      <c r="AJ20" s="40">
        <f>IF(AJ$1,SUMIFS('IncStmt Data'!$H$2:$H$2051,'IncStmt Data'!$G$2:$G$2051,$A20,'IncStmt Data'!$A$2:$A$2051,AJ$1),#N/A)</f>
        <v>11972</v>
      </c>
      <c r="AK20" s="40" t="e">
        <f>IF(AK$1,SUMIFS('IncStmt Data'!$H$2:$H$2051,'IncStmt Data'!$G$2:$G$2051,$A20,'IncStmt Data'!$A$2:$A$2051,AK$1),#N/A)</f>
        <v>#N/A</v>
      </c>
      <c r="AL20" s="40" t="e">
        <f>IF(AL$1,SUMIFS('IncStmt Data'!$H$2:$H$2051,'IncStmt Data'!$G$2:$G$2051,$A20,'IncStmt Data'!$A$2:$A$2051,AL$1),#N/A)</f>
        <v>#N/A</v>
      </c>
      <c r="AM20" s="40" t="e">
        <f>IF(AM$1,SUMIFS('IncStmt Data'!$H$2:$H$2051,'IncStmt Data'!$G$2:$G$2051,$A20,'IncStmt Data'!$A$2:$A$2051,AM$1),#N/A)</f>
        <v>#N/A</v>
      </c>
      <c r="AN20" s="40" t="e">
        <f>IF(AN$1,SUMIFS('IncStmt Data'!$H$2:$H$2051,'IncStmt Data'!$G$2:$G$2051,$A20,'IncStmt Data'!$A$2:$A$2051,AN$1),#N/A)</f>
        <v>#N/A</v>
      </c>
      <c r="AO20" s="40" t="e">
        <f>IF(AO$1,SUMIFS('IncStmt Data'!$H$2:$H$2051,'IncStmt Data'!$G$2:$G$2051,$A20,'IncStmt Data'!$A$2:$A$2051,AO$1),#N/A)</f>
        <v>#N/A</v>
      </c>
      <c r="AP20" s="40" t="e">
        <f>IF(AP$1,SUMIFS('IncStmt Data'!$H$2:$H$2051,'IncStmt Data'!$G$2:$G$2051,$A20,'IncStmt Data'!$A$2:$A$2051,AP$1),#N/A)</f>
        <v>#N/A</v>
      </c>
      <c r="AQ20" s="40" t="e">
        <f>IF(AQ$1,SUMIFS('IncStmt Data'!$H$2:$H$2051,'IncStmt Data'!$G$2:$G$2051,$A20,'IncStmt Data'!$A$2:$A$2051,AQ$1),#N/A)</f>
        <v>#N/A</v>
      </c>
      <c r="AR20" s="40" t="e">
        <f>IF(AR$1,SUMIFS('IncStmt Data'!$H$2:$H$2051,'IncStmt Data'!$G$2:$G$2051,$A20,'IncStmt Data'!$A$2:$A$2051,AR$1),#N/A)</f>
        <v>#N/A</v>
      </c>
      <c r="AS20" s="40" t="e">
        <f>IF(AS$1,SUMIFS('IncStmt Data'!$H$2:$H$2051,'IncStmt Data'!$G$2:$G$2051,$A20,'IncStmt Data'!$A$2:$A$2051,AS$1),#N/A)</f>
        <v>#N/A</v>
      </c>
      <c r="AT20" s="40" t="e">
        <f>IF(AT$1,SUMIFS('IncStmt Data'!$H$2:$H$2051,'IncStmt Data'!$G$2:$G$2051,$A20,'IncStmt Data'!$A$2:$A$2051,AT$1),#N/A)</f>
        <v>#N/A</v>
      </c>
      <c r="AU20" s="40" t="e">
        <f>IF(AU$1,SUMIFS('IncStmt Data'!$H$2:$H$2051,'IncStmt Data'!$G$2:$G$2051,$A20,'IncStmt Data'!$A$2:$A$2051,AU$1),#N/A)</f>
        <v>#N/A</v>
      </c>
      <c r="AV20" s="40" t="e">
        <f>IF(AV$1,SUMIFS('IncStmt Data'!$H$2:$H$2051,'IncStmt Data'!$G$2:$G$2051,$A20,'IncStmt Data'!$A$2:$A$2051,AV$1),#N/A)</f>
        <v>#N/A</v>
      </c>
      <c r="AW20" s="40" t="e">
        <f>IF(AW$1,SUMIFS('IncStmt Data'!$H$2:$H$2051,'IncStmt Data'!$G$2:$G$2051,$A20,'IncStmt Data'!$A$2:$A$2051,AW$1),#N/A)</f>
        <v>#N/A</v>
      </c>
      <c r="AX20" s="40" t="e">
        <f>IF(AX$1,SUMIFS('IncStmt Data'!$H$2:$H$2051,'IncStmt Data'!$G$2:$G$2051,$A20,'IncStmt Data'!$A$2:$A$2051,AX$1),#N/A)</f>
        <v>#N/A</v>
      </c>
      <c r="AY20" s="40" t="e">
        <f>IF(AY$1,SUMIFS('IncStmt Data'!$H$2:$H$2051,'IncStmt Data'!$G$2:$G$2051,$A20,'IncStmt Data'!$A$2:$A$2051,AY$1),#N/A)</f>
        <v>#N/A</v>
      </c>
      <c r="AZ20" s="40" t="e">
        <f>IF(AZ$1,SUMIFS('IncStmt Data'!$H$2:$H$2051,'IncStmt Data'!$G$2:$G$2051,$A20,'IncStmt Data'!$A$2:$A$2051,AZ$1),#N/A)</f>
        <v>#N/A</v>
      </c>
      <c r="BA20" s="40" t="e">
        <f>IF(BA$1,SUMIFS('IncStmt Data'!$H$2:$H$2051,'IncStmt Data'!$G$2:$G$2051,$A20,'IncStmt Data'!$A$2:$A$2051,BA$1),#N/A)</f>
        <v>#N/A</v>
      </c>
      <c r="BB20" s="40" t="e">
        <f>IF(BB$1,SUMIFS('IncStmt Data'!$H$2:$H$2051,'IncStmt Data'!$G$2:$G$2051,$A20,'IncStmt Data'!$A$2:$A$2051,BB$1),#N/A)</f>
        <v>#N/A</v>
      </c>
      <c r="BC20" s="40" t="e">
        <f>IF(BC$1,SUMIFS('IncStmt Data'!$H$2:$H$2051,'IncStmt Data'!$G$2:$G$2051,$A20,'IncStmt Data'!$A$2:$A$2051,BC$1),#N/A)</f>
        <v>#N/A</v>
      </c>
      <c r="BD20" s="40" t="e">
        <f>IF(BD$1,SUMIFS('IncStmt Data'!$H$2:$H$2051,'IncStmt Data'!$G$2:$G$2051,$A20,'IncStmt Data'!$A$2:$A$2051,BD$1),#N/A)</f>
        <v>#N/A</v>
      </c>
      <c r="BE20" s="40" t="e">
        <f>IF(BE$1,SUMIFS('IncStmt Data'!$H$2:$H$2051,'IncStmt Data'!$G$2:$G$2051,$A20,'IncStmt Data'!$A$2:$A$2051,BE$1),#N/A)</f>
        <v>#N/A</v>
      </c>
      <c r="BF20" s="40" t="e">
        <f>IF(BF$1,SUMIFS('IncStmt Data'!$H$2:$H$2051,'IncStmt Data'!$G$2:$G$2051,$A20,'IncStmt Data'!$A$2:$A$2051,BF$1),#N/A)</f>
        <v>#N/A</v>
      </c>
      <c r="BG20" s="40" t="e">
        <f>IF(BG$1,SUMIFS('IncStmt Data'!$H$2:$H$2051,'IncStmt Data'!$G$2:$G$2051,$A20,'IncStmt Data'!$A$2:$A$2051,BG$1),#N/A)</f>
        <v>#N/A</v>
      </c>
      <c r="BH20" s="40" t="e">
        <f>IF(BH$1,SUMIFS('IncStmt Data'!$H$2:$H$2051,'IncStmt Data'!$G$2:$G$2051,$A20,'IncStmt Data'!$A$2:$A$2051,BH$1),#N/A)</f>
        <v>#N/A</v>
      </c>
      <c r="BI20" s="40" t="e">
        <f>IF(BI$1,SUMIFS('IncStmt Data'!$H$2:$H$2051,'IncStmt Data'!$G$2:$G$2051,$A20,'IncStmt Data'!$A$2:$A$2051,BI$1),#N/A)</f>
        <v>#N/A</v>
      </c>
      <c r="BJ20" s="40" t="e">
        <f>IF(BJ$1,SUMIFS('IncStmt Data'!$H$2:$H$2051,'IncStmt Data'!$G$2:$G$2051,$A20,'IncStmt Data'!$A$2:$A$2051,BJ$1),#N/A)</f>
        <v>#N/A</v>
      </c>
      <c r="BK20" s="40" t="e">
        <f>IF(BK$1,SUMIFS('IncStmt Data'!$H$2:$H$2051,'IncStmt Data'!$G$2:$G$2051,$A20,'IncStmt Data'!$A$2:$A$2051,BK$1),#N/A)</f>
        <v>#N/A</v>
      </c>
      <c r="BL20" s="40" t="e">
        <f>IF(BL$1,SUMIFS('IncStmt Data'!$H$2:$H$2051,'IncStmt Data'!$G$2:$G$2051,$A20,'IncStmt Data'!$A$2:$A$2051,BL$1),#N/A)</f>
        <v>#N/A</v>
      </c>
      <c r="BM20" s="40" t="e">
        <f>IF(BM$1,SUMIFS('IncStmt Data'!$H$2:$H$2051,'IncStmt Data'!$G$2:$G$2051,$A20,'IncStmt Data'!$A$2:$A$2051,BM$1),#N/A)</f>
        <v>#N/A</v>
      </c>
      <c r="BN20" s="40" t="e">
        <f>IF(BN$1,SUMIFS('IncStmt Data'!$H$2:$H$2051,'IncStmt Data'!$G$2:$G$2051,$A20,'IncStmt Data'!$A$2:$A$2051,BN$1),#N/A)</f>
        <v>#N/A</v>
      </c>
      <c r="BO20" s="40" t="e">
        <f>IF(BO$1,SUMIFS('IncStmt Data'!$H$2:$H$2051,'IncStmt Data'!$G$2:$G$2051,$A20,'IncStmt Data'!$A$2:$A$2051,BO$1),#N/A)</f>
        <v>#N/A</v>
      </c>
      <c r="BP20" s="40" t="e">
        <f>IF(BP$1,SUMIFS('IncStmt Data'!$H$2:$H$2051,'IncStmt Data'!$G$2:$G$2051,$A20,'IncStmt Data'!$A$2:$A$2051,BP$1),#N/A)</f>
        <v>#N/A</v>
      </c>
      <c r="BQ20" s="40" t="e">
        <f>IF(BQ$1,SUMIFS('IncStmt Data'!$H$2:$H$2051,'IncStmt Data'!$G$2:$G$2051,$A20,'IncStmt Data'!$A$2:$A$2051,BQ$1),#N/A)</f>
        <v>#N/A</v>
      </c>
      <c r="BR20" s="40" t="e">
        <f>IF(BR$1,SUMIFS('IncStmt Data'!$H$2:$H$2051,'IncStmt Data'!$G$2:$G$2051,$A20,'IncStmt Data'!$A$2:$A$2051,BR$1),#N/A)</f>
        <v>#N/A</v>
      </c>
      <c r="BS20" s="40" t="e">
        <f>IF(BS$1,SUMIFS('IncStmt Data'!$H$2:$H$2051,'IncStmt Data'!$G$2:$G$2051,$A20,'IncStmt Data'!$A$2:$A$2051,BS$1),#N/A)</f>
        <v>#N/A</v>
      </c>
      <c r="BT20" s="40" t="e">
        <f>IF(BT$1,SUMIFS('IncStmt Data'!$H$2:$H$2051,'IncStmt Data'!$G$2:$G$2051,$A20,'IncStmt Data'!$A$2:$A$2051,BT$1),#N/A)</f>
        <v>#N/A</v>
      </c>
      <c r="BU20" s="40" t="e">
        <f>IF(BU$1,SUMIFS('IncStmt Data'!$H$2:$H$2051,'IncStmt Data'!$G$2:$G$2051,$A20,'IncStmt Data'!$A$2:$A$2051,BU$1),#N/A)</f>
        <v>#N/A</v>
      </c>
      <c r="BV20" s="40" t="e">
        <f>IF(BV$1,SUMIFS('IncStmt Data'!$H$2:$H$2051,'IncStmt Data'!$G$2:$G$2051,$A20,'IncStmt Data'!$A$2:$A$2051,BV$1),#N/A)</f>
        <v>#N/A</v>
      </c>
      <c r="BW20" s="40" t="e">
        <f>IF(BW$1,SUMIFS('IncStmt Data'!$H$2:$H$2051,'IncStmt Data'!$G$2:$G$2051,$A20,'IncStmt Data'!$A$2:$A$2051,BW$1),#N/A)</f>
        <v>#N/A</v>
      </c>
      <c r="BX20" s="40" t="e">
        <f>IF(BX$1,SUMIFS('IncStmt Data'!$H$2:$H$2051,'IncStmt Data'!$G$2:$G$2051,$A20,'IncStmt Data'!$A$2:$A$2051,BX$1),#N/A)</f>
        <v>#N/A</v>
      </c>
      <c r="BY20" s="40" t="e">
        <f>IF(BY$1,SUMIFS('IncStmt Data'!$H$2:$H$2051,'IncStmt Data'!$G$2:$G$2051,$A20,'IncStmt Data'!$A$2:$A$2051,BY$1),#N/A)</f>
        <v>#N/A</v>
      </c>
      <c r="BZ20" s="40" t="e">
        <f>IF(BZ$1,SUMIFS('IncStmt Data'!$H$2:$H$2051,'IncStmt Data'!$G$2:$G$2051,$A20,'IncStmt Data'!$A$2:$A$2051,BZ$1),#N/A)</f>
        <v>#N/A</v>
      </c>
      <c r="CA20" s="40" t="e">
        <f>IF(CA$1,SUMIFS('IncStmt Data'!$H$2:$H$2051,'IncStmt Data'!$G$2:$G$2051,$A20,'IncStmt Data'!$A$2:$A$2051,CA$1),#N/A)</f>
        <v>#N/A</v>
      </c>
      <c r="CB20" s="40" t="e">
        <f>IF(CB$1,SUMIFS('IncStmt Data'!$H$2:$H$2051,'IncStmt Data'!$G$2:$G$2051,$A20,'IncStmt Data'!$A$2:$A$2051,CB$1),#N/A)</f>
        <v>#N/A</v>
      </c>
      <c r="CC20" s="40" t="e">
        <f>IF(CC$1,SUMIFS('IncStmt Data'!$H$2:$H$2051,'IncStmt Data'!$G$2:$G$2051,$A20,'IncStmt Data'!$A$2:$A$2051,CC$1),#N/A)</f>
        <v>#N/A</v>
      </c>
      <c r="CD20" s="40" t="e">
        <f>IF(CD$1,SUMIFS('IncStmt Data'!$H$2:$H$2051,'IncStmt Data'!$G$2:$G$2051,$A20,'IncStmt Data'!$A$2:$A$2051,CD$1),#N/A)</f>
        <v>#N/A</v>
      </c>
      <c r="CE20" s="40" t="e">
        <f>IF(CE$1,SUMIFS('IncStmt Data'!$H$2:$H$2051,'IncStmt Data'!$G$2:$G$2051,$A20,'IncStmt Data'!$A$2:$A$2051,CE$1),#N/A)</f>
        <v>#N/A</v>
      </c>
      <c r="CF20" s="40" t="e">
        <f>IF(CF$1,SUMIFS('IncStmt Data'!$H$2:$H$2051,'IncStmt Data'!$G$2:$G$2051,$A20,'IncStmt Data'!$A$2:$A$2051,CF$1),#N/A)</f>
        <v>#N/A</v>
      </c>
      <c r="CG20" s="40" t="e">
        <f>IF(CG$1,SUMIFS('IncStmt Data'!$H$2:$H$2051,'IncStmt Data'!$G$2:$G$2051,$A20,'IncStmt Data'!$A$2:$A$2051,CG$1),#N/A)</f>
        <v>#N/A</v>
      </c>
      <c r="CH20" s="40" t="e">
        <f>IF(CH$1,SUMIFS('IncStmt Data'!$H$2:$H$2051,'IncStmt Data'!$G$2:$G$2051,$A20,'IncStmt Data'!$A$2:$A$2051,CH$1),#N/A)</f>
        <v>#N/A</v>
      </c>
      <c r="CI20" s="40" t="e">
        <f>IF(CI$1,SUMIFS('IncStmt Data'!$H$2:$H$2051,'IncStmt Data'!$G$2:$G$2051,$A20,'IncStmt Data'!$A$2:$A$2051,CI$1),#N/A)</f>
        <v>#N/A</v>
      </c>
      <c r="CJ20" s="40" t="e">
        <f>IF(CJ$1,SUMIFS('IncStmt Data'!$H$2:$H$2051,'IncStmt Data'!$G$2:$G$2051,$A20,'IncStmt Data'!$A$2:$A$2051,CJ$1),#N/A)</f>
        <v>#N/A</v>
      </c>
      <c r="CK20" s="40" t="e">
        <f>IF(CK$1,SUMIFS('IncStmt Data'!$H$2:$H$2051,'IncStmt Data'!$G$2:$G$2051,$A20,'IncStmt Data'!$A$2:$A$2051,CK$1),#N/A)</f>
        <v>#N/A</v>
      </c>
      <c r="CL20" s="40" t="e">
        <f>IF(CL$1,SUMIFS('IncStmt Data'!$H$2:$H$2051,'IncStmt Data'!$G$2:$G$2051,$A20,'IncStmt Data'!$A$2:$A$2051,CL$1),#N/A)</f>
        <v>#N/A</v>
      </c>
      <c r="CM20" s="40" t="e">
        <f>IF(CM$1,SUMIFS('IncStmt Data'!$H$2:$H$2051,'IncStmt Data'!$G$2:$G$2051,$A20,'IncStmt Data'!$A$2:$A$2051,CM$1),#N/A)</f>
        <v>#N/A</v>
      </c>
      <c r="CN20" s="40" t="e">
        <f>IF(CN$1,SUMIFS('IncStmt Data'!$H$2:$H$2051,'IncStmt Data'!$G$2:$G$2051,$A20,'IncStmt Data'!$A$2:$A$2051,CN$1),#N/A)</f>
        <v>#N/A</v>
      </c>
      <c r="CO20" s="40" t="e">
        <f>IF(CO$1,SUMIFS('IncStmt Data'!$H$2:$H$2051,'IncStmt Data'!$G$2:$G$2051,$A20,'IncStmt Data'!$A$2:$A$2051,CO$1),#N/A)</f>
        <v>#N/A</v>
      </c>
      <c r="CP20" s="40" t="e">
        <f>IF(CP$1,SUMIFS('IncStmt Data'!$H$2:$H$2051,'IncStmt Data'!$G$2:$G$2051,$A20,'IncStmt Data'!$A$2:$A$2051,CP$1),#N/A)</f>
        <v>#N/A</v>
      </c>
      <c r="CQ20" s="40" t="e">
        <f>IF(CQ$1,SUMIFS('IncStmt Data'!$H$2:$H$2051,'IncStmt Data'!$G$2:$G$2051,$A20,'IncStmt Data'!$A$2:$A$2051,CQ$1),#N/A)</f>
        <v>#N/A</v>
      </c>
      <c r="CR20" s="40" t="e">
        <f>IF(CR$1,SUMIFS('IncStmt Data'!$H$2:$H$2051,'IncStmt Data'!$G$2:$G$2051,$A20,'IncStmt Data'!$A$2:$A$2051,CR$1),#N/A)</f>
        <v>#N/A</v>
      </c>
      <c r="CS20" s="40" t="e">
        <f>IF(CS$1,SUMIFS('IncStmt Data'!$H$2:$H$2051,'IncStmt Data'!$G$2:$G$2051,$A20,'IncStmt Data'!$A$2:$A$2051,CS$1),#N/A)</f>
        <v>#N/A</v>
      </c>
      <c r="CT20" s="40" t="e">
        <f>IF(CT$1,SUMIFS('IncStmt Data'!$H$2:$H$2051,'IncStmt Data'!$G$2:$G$2051,$A20,'IncStmt Data'!$A$2:$A$2051,CT$1),#N/A)</f>
        <v>#N/A</v>
      </c>
      <c r="CU20" s="40" t="e">
        <f>IF(CU$1,SUMIFS('IncStmt Data'!$H$2:$H$2051,'IncStmt Data'!$G$2:$G$2051,$A20,'IncStmt Data'!$A$2:$A$2051,CU$1),#N/A)</f>
        <v>#N/A</v>
      </c>
      <c r="CV20" s="40" t="e">
        <f>IF(CV$1,SUMIFS('IncStmt Data'!$H$2:$H$2051,'IncStmt Data'!$G$2:$G$2051,$A20,'IncStmt Data'!$A$2:$A$2051,CV$1),#N/A)</f>
        <v>#N/A</v>
      </c>
      <c r="CW20" s="40" t="e">
        <f>IF(CW$1,SUMIFS('IncStmt Data'!$H$2:$H$2051,'IncStmt Data'!$G$2:$G$2051,$A20,'IncStmt Data'!$A$2:$A$2051,CW$1),#N/A)</f>
        <v>#N/A</v>
      </c>
      <c r="CX20" s="40" t="e">
        <f>IF(CX$1,SUMIFS('IncStmt Data'!$H$2:$H$2051,'IncStmt Data'!$G$2:$G$2051,$A20,'IncStmt Data'!$A$2:$A$2051,CX$1),#N/A)</f>
        <v>#N/A</v>
      </c>
      <c r="CY20" s="40" t="e">
        <f>IF(CY$1,SUMIFS('IncStmt Data'!$H$2:$H$2051,'IncStmt Data'!$G$2:$G$2051,$A20,'IncStmt Data'!$A$2:$A$2051,CY$1),#N/A)</f>
        <v>#N/A</v>
      </c>
      <c r="CZ20" s="40" t="e">
        <f>IF(CZ$1,SUMIFS('IncStmt Data'!$H$2:$H$2051,'IncStmt Data'!$G$2:$G$2051,$A20,'IncStmt Data'!$A$2:$A$2051,CZ$1),#N/A)</f>
        <v>#N/A</v>
      </c>
      <c r="DA20" s="40">
        <f>SUM(B20:AJ20)</f>
        <v>549614</v>
      </c>
    </row>
    <row r="21" spans="1:105" s="40" customFormat="1" x14ac:dyDescent="0.2">
      <c r="A21" s="52" t="s">
        <v>29</v>
      </c>
      <c r="B21" s="40">
        <f>IF(B$1,SUMIFS('IncStmt Data'!$H$2:$H$2051,'IncStmt Data'!$G$2:$G$2051,$A21,'IncStmt Data'!$A$2:$A$2051,B$1),#N/A)</f>
        <v>117568</v>
      </c>
      <c r="C21" s="40">
        <f>IF(C$1,SUMIFS('IncStmt Data'!$H$2:$H$2051,'IncStmt Data'!$G$2:$G$2051,$A21,'IncStmt Data'!$A$2:$A$2051,C$1),#N/A)</f>
        <v>98758</v>
      </c>
      <c r="D21" s="40">
        <f>IF(D$1,SUMIFS('IncStmt Data'!$H$2:$H$2051,'IncStmt Data'!$G$2:$G$2051,$A21,'IncStmt Data'!$A$2:$A$2051,D$1),#N/A)</f>
        <v>136032</v>
      </c>
      <c r="E21" s="40">
        <f>IF(E$1,SUMIFS('IncStmt Data'!$H$2:$H$2051,'IncStmt Data'!$G$2:$G$2051,$A21,'IncStmt Data'!$A$2:$A$2051,E$1),#N/A)</f>
        <v>207971</v>
      </c>
      <c r="F21" s="40">
        <f>IF(F$1,SUMIFS('IncStmt Data'!$H$2:$H$2051,'IncStmt Data'!$G$2:$G$2051,$A21,'IncStmt Data'!$A$2:$A$2051,F$1),#N/A)</f>
        <v>146454</v>
      </c>
      <c r="G21" s="40">
        <f>IF(G$1,SUMIFS('IncStmt Data'!$H$2:$H$2051,'IncStmt Data'!$G$2:$G$2051,$A21,'IncStmt Data'!$A$2:$A$2051,G$1),#N/A)</f>
        <v>150962</v>
      </c>
      <c r="H21" s="40">
        <f>IF(H$1,SUMIFS('IncStmt Data'!$H$2:$H$2051,'IncStmt Data'!$G$2:$G$2051,$A21,'IncStmt Data'!$A$2:$A$2051,H$1),#N/A)</f>
        <v>132028</v>
      </c>
      <c r="I21" s="40">
        <f>IF(I$1,SUMIFS('IncStmt Data'!$H$2:$H$2051,'IncStmt Data'!$G$2:$G$2051,$A21,'IncStmt Data'!$A$2:$A$2051,I$1),#N/A)</f>
        <v>158330</v>
      </c>
      <c r="J21" s="40">
        <f>IF(J$1,SUMIFS('IncStmt Data'!$H$2:$H$2051,'IncStmt Data'!$G$2:$G$2051,$A21,'IncStmt Data'!$A$2:$A$2051,J$1),#N/A)</f>
        <v>159205</v>
      </c>
      <c r="K21" s="40">
        <f>IF(K$1,SUMIFS('IncStmt Data'!$H$2:$H$2051,'IncStmt Data'!$G$2:$G$2051,$A21,'IncStmt Data'!$A$2:$A$2051,K$1),#N/A)</f>
        <v>299799</v>
      </c>
      <c r="L21" s="40">
        <f>IF(L$1,SUMIFS('IncStmt Data'!$H$2:$H$2051,'IncStmt Data'!$G$2:$G$2051,$A21,'IncStmt Data'!$A$2:$A$2051,L$1),#N/A)</f>
        <v>166568</v>
      </c>
      <c r="M21" s="40">
        <f>IF(M$1,SUMIFS('IncStmt Data'!$H$2:$H$2051,'IncStmt Data'!$G$2:$G$2051,$A21,'IncStmt Data'!$A$2:$A$2051,M$1),#N/A)</f>
        <v>158006</v>
      </c>
      <c r="N21" s="40">
        <f>IF(N$1,SUMIFS('IncStmt Data'!$H$2:$H$2051,'IncStmt Data'!$G$2:$G$2051,$A21,'IncStmt Data'!$A$2:$A$2051,N$1),#N/A)</f>
        <v>278062</v>
      </c>
      <c r="O21" s="40">
        <f>IF(O$1,SUMIFS('IncStmt Data'!$H$2:$H$2051,'IncStmt Data'!$G$2:$G$2051,$A21,'IncStmt Data'!$A$2:$A$2051,O$1),#N/A)</f>
        <v>166332</v>
      </c>
      <c r="P21" s="40">
        <f>IF(P$1,SUMIFS('IncStmt Data'!$H$2:$H$2051,'IncStmt Data'!$G$2:$G$2051,$A21,'IncStmt Data'!$A$2:$A$2051,P$1),#N/A)</f>
        <v>178697</v>
      </c>
      <c r="Q21" s="40">
        <f>IF(Q$1,SUMIFS('IncStmt Data'!$H$2:$H$2051,'IncStmt Data'!$G$2:$G$2051,$A21,'IncStmt Data'!$A$2:$A$2051,Q$1),#N/A)</f>
        <v>79737</v>
      </c>
      <c r="R21" s="40">
        <f>IF(R$1,SUMIFS('IncStmt Data'!$H$2:$H$2051,'IncStmt Data'!$G$2:$G$2051,$A21,'IncStmt Data'!$A$2:$A$2051,R$1),#N/A)</f>
        <v>0</v>
      </c>
      <c r="S21" s="40">
        <f>IF(S$1,SUMIFS('IncStmt Data'!$H$2:$H$2051,'IncStmt Data'!$G$2:$G$2051,$A21,'IncStmt Data'!$A$2:$A$2051,S$1),#N/A)</f>
        <v>175323</v>
      </c>
      <c r="T21" s="40">
        <f>IF(T$1,SUMIFS('IncStmt Data'!$H$2:$H$2051,'IncStmt Data'!$G$2:$G$2051,$A21,'IncStmt Data'!$A$2:$A$2051,T$1),#N/A)</f>
        <v>232851</v>
      </c>
      <c r="U21" s="40">
        <f>IF(U$1,SUMIFS('IncStmt Data'!$H$2:$H$2051,'IncStmt Data'!$G$2:$G$2051,$A21,'IncStmt Data'!$A$2:$A$2051,U$1),#N/A)</f>
        <v>164548</v>
      </c>
      <c r="V21" s="40">
        <f>IF(V$1,SUMIFS('IncStmt Data'!$H$2:$H$2051,'IncStmt Data'!$G$2:$G$2051,$A21,'IncStmt Data'!$A$2:$A$2051,V$1),#N/A)</f>
        <v>178100</v>
      </c>
      <c r="W21" s="40">
        <f>IF(W$1,SUMIFS('IncStmt Data'!$H$2:$H$2051,'IncStmt Data'!$G$2:$G$2051,$A21,'IncStmt Data'!$A$2:$A$2051,W$1),#N/A)</f>
        <v>143159</v>
      </c>
      <c r="X21" s="40">
        <f>IF(X$1,SUMIFS('IncStmt Data'!$H$2:$H$2051,'IncStmt Data'!$G$2:$G$2051,$A21,'IncStmt Data'!$A$2:$A$2051,X$1),#N/A)</f>
        <v>139962</v>
      </c>
      <c r="Y21" s="40">
        <f>IF(Y$1,SUMIFS('IncStmt Data'!$H$2:$H$2051,'IncStmt Data'!$G$2:$G$2051,$A21,'IncStmt Data'!$A$2:$A$2051,Y$1),#N/A)</f>
        <v>0</v>
      </c>
      <c r="Z21" s="40">
        <f>IF(Z$1,SUMIFS('IncStmt Data'!$H$2:$H$2051,'IncStmt Data'!$G$2:$G$2051,$A21,'IncStmt Data'!$A$2:$A$2051,Z$1),#N/A)</f>
        <v>0</v>
      </c>
      <c r="AA21" s="40">
        <f>IF(AA$1,SUMIFS('IncStmt Data'!$H$2:$H$2051,'IncStmt Data'!$G$2:$G$2051,$A21,'IncStmt Data'!$A$2:$A$2051,AA$1),#N/A)</f>
        <v>0</v>
      </c>
      <c r="AB21" s="40">
        <f>IF(AB$1,SUMIFS('IncStmt Data'!$H$2:$H$2051,'IncStmt Data'!$G$2:$G$2051,$A21,'IncStmt Data'!$A$2:$A$2051,AB$1),#N/A)</f>
        <v>0</v>
      </c>
      <c r="AC21" s="40">
        <f>IF(AC$1,SUMIFS('IncStmt Data'!$H$2:$H$2051,'IncStmt Data'!$G$2:$G$2051,$A21,'IncStmt Data'!$A$2:$A$2051,AC$1),#N/A)</f>
        <v>0</v>
      </c>
      <c r="AD21" s="40">
        <f>IF(AD$1,SUMIFS('IncStmt Data'!$H$2:$H$2051,'IncStmt Data'!$G$2:$G$2051,$A21,'IncStmt Data'!$A$2:$A$2051,AD$1),#N/A)</f>
        <v>191854</v>
      </c>
      <c r="AE21" s="40">
        <f>IF(AE$1,SUMIFS('IncStmt Data'!$H$2:$H$2051,'IncStmt Data'!$G$2:$G$2051,$A21,'IncStmt Data'!$A$2:$A$2051,AE$1),#N/A)</f>
        <v>309058</v>
      </c>
      <c r="AF21" s="40">
        <f>IF(AF$1,SUMIFS('IncStmt Data'!$H$2:$H$2051,'IncStmt Data'!$G$2:$G$2051,$A21,'IncStmt Data'!$A$2:$A$2051,AF$1),#N/A)</f>
        <v>146026</v>
      </c>
      <c r="AG21" s="40">
        <f>IF(AG$1,SUMIFS('IncStmt Data'!$H$2:$H$2051,'IncStmt Data'!$G$2:$G$2051,$A21,'IncStmt Data'!$A$2:$A$2051,AG$1),#N/A)</f>
        <v>155648</v>
      </c>
      <c r="AH21" s="40">
        <f>IF(AH$1,SUMIFS('IncStmt Data'!$H$2:$H$2051,'IncStmt Data'!$G$2:$G$2051,$A21,'IncStmt Data'!$A$2:$A$2051,AH$1),#N/A)</f>
        <v>146816</v>
      </c>
      <c r="AI21" s="40">
        <f>IF(AI$1,SUMIFS('IncStmt Data'!$H$2:$H$2051,'IncStmt Data'!$G$2:$G$2051,$A21,'IncStmt Data'!$A$2:$A$2051,AI$1),#N/A)</f>
        <v>179739</v>
      </c>
      <c r="AJ21" s="40">
        <f>IF(AJ$1,SUMIFS('IncStmt Data'!$H$2:$H$2051,'IncStmt Data'!$G$2:$G$2051,$A21,'IncStmt Data'!$A$2:$A$2051,AJ$1),#N/A)</f>
        <v>126732</v>
      </c>
      <c r="AK21" s="40" t="e">
        <f>IF(AK$1,SUMIFS('IncStmt Data'!$H$2:$H$2051,'IncStmt Data'!$G$2:$G$2051,$A21,'IncStmt Data'!$A$2:$A$2051,AK$1),#N/A)</f>
        <v>#N/A</v>
      </c>
      <c r="AL21" s="40" t="e">
        <f>IF(AL$1,SUMIFS('IncStmt Data'!$H$2:$H$2051,'IncStmt Data'!$G$2:$G$2051,$A21,'IncStmt Data'!$A$2:$A$2051,AL$1),#N/A)</f>
        <v>#N/A</v>
      </c>
      <c r="AM21" s="40" t="e">
        <f>IF(AM$1,SUMIFS('IncStmt Data'!$H$2:$H$2051,'IncStmt Data'!$G$2:$G$2051,$A21,'IncStmt Data'!$A$2:$A$2051,AM$1),#N/A)</f>
        <v>#N/A</v>
      </c>
      <c r="AN21" s="40" t="e">
        <f>IF(AN$1,SUMIFS('IncStmt Data'!$H$2:$H$2051,'IncStmt Data'!$G$2:$G$2051,$A21,'IncStmt Data'!$A$2:$A$2051,AN$1),#N/A)</f>
        <v>#N/A</v>
      </c>
      <c r="AO21" s="40" t="e">
        <f>IF(AO$1,SUMIFS('IncStmt Data'!$H$2:$H$2051,'IncStmt Data'!$G$2:$G$2051,$A21,'IncStmt Data'!$A$2:$A$2051,AO$1),#N/A)</f>
        <v>#N/A</v>
      </c>
      <c r="AP21" s="40" t="e">
        <f>IF(AP$1,SUMIFS('IncStmt Data'!$H$2:$H$2051,'IncStmt Data'!$G$2:$G$2051,$A21,'IncStmt Data'!$A$2:$A$2051,AP$1),#N/A)</f>
        <v>#N/A</v>
      </c>
      <c r="AQ21" s="40" t="e">
        <f>IF(AQ$1,SUMIFS('IncStmt Data'!$H$2:$H$2051,'IncStmt Data'!$G$2:$G$2051,$A21,'IncStmt Data'!$A$2:$A$2051,AQ$1),#N/A)</f>
        <v>#N/A</v>
      </c>
      <c r="AR21" s="40" t="e">
        <f>IF(AR$1,SUMIFS('IncStmt Data'!$H$2:$H$2051,'IncStmt Data'!$G$2:$G$2051,$A21,'IncStmt Data'!$A$2:$A$2051,AR$1),#N/A)</f>
        <v>#N/A</v>
      </c>
      <c r="AS21" s="40" t="e">
        <f>IF(AS$1,SUMIFS('IncStmt Data'!$H$2:$H$2051,'IncStmt Data'!$G$2:$G$2051,$A21,'IncStmt Data'!$A$2:$A$2051,AS$1),#N/A)</f>
        <v>#N/A</v>
      </c>
      <c r="AT21" s="40" t="e">
        <f>IF(AT$1,SUMIFS('IncStmt Data'!$H$2:$H$2051,'IncStmt Data'!$G$2:$G$2051,$A21,'IncStmt Data'!$A$2:$A$2051,AT$1),#N/A)</f>
        <v>#N/A</v>
      </c>
      <c r="AU21" s="40" t="e">
        <f>IF(AU$1,SUMIFS('IncStmt Data'!$H$2:$H$2051,'IncStmt Data'!$G$2:$G$2051,$A21,'IncStmt Data'!$A$2:$A$2051,AU$1),#N/A)</f>
        <v>#N/A</v>
      </c>
      <c r="AV21" s="40" t="e">
        <f>IF(AV$1,SUMIFS('IncStmt Data'!$H$2:$H$2051,'IncStmt Data'!$G$2:$G$2051,$A21,'IncStmt Data'!$A$2:$A$2051,AV$1),#N/A)</f>
        <v>#N/A</v>
      </c>
      <c r="AW21" s="40" t="e">
        <f>IF(AW$1,SUMIFS('IncStmt Data'!$H$2:$H$2051,'IncStmt Data'!$G$2:$G$2051,$A21,'IncStmt Data'!$A$2:$A$2051,AW$1),#N/A)</f>
        <v>#N/A</v>
      </c>
      <c r="AX21" s="40" t="e">
        <f>IF(AX$1,SUMIFS('IncStmt Data'!$H$2:$H$2051,'IncStmt Data'!$G$2:$G$2051,$A21,'IncStmt Data'!$A$2:$A$2051,AX$1),#N/A)</f>
        <v>#N/A</v>
      </c>
      <c r="AY21" s="40" t="e">
        <f>IF(AY$1,SUMIFS('IncStmt Data'!$H$2:$H$2051,'IncStmt Data'!$G$2:$G$2051,$A21,'IncStmt Data'!$A$2:$A$2051,AY$1),#N/A)</f>
        <v>#N/A</v>
      </c>
      <c r="AZ21" s="40" t="e">
        <f>IF(AZ$1,SUMIFS('IncStmt Data'!$H$2:$H$2051,'IncStmt Data'!$G$2:$G$2051,$A21,'IncStmt Data'!$A$2:$A$2051,AZ$1),#N/A)</f>
        <v>#N/A</v>
      </c>
      <c r="BA21" s="40" t="e">
        <f>IF(BA$1,SUMIFS('IncStmt Data'!$H$2:$H$2051,'IncStmt Data'!$G$2:$G$2051,$A21,'IncStmt Data'!$A$2:$A$2051,BA$1),#N/A)</f>
        <v>#N/A</v>
      </c>
      <c r="BB21" s="40" t="e">
        <f>IF(BB$1,SUMIFS('IncStmt Data'!$H$2:$H$2051,'IncStmt Data'!$G$2:$G$2051,$A21,'IncStmt Data'!$A$2:$A$2051,BB$1),#N/A)</f>
        <v>#N/A</v>
      </c>
      <c r="BC21" s="40" t="e">
        <f>IF(BC$1,SUMIFS('IncStmt Data'!$H$2:$H$2051,'IncStmt Data'!$G$2:$G$2051,$A21,'IncStmt Data'!$A$2:$A$2051,BC$1),#N/A)</f>
        <v>#N/A</v>
      </c>
      <c r="BD21" s="40" t="e">
        <f>IF(BD$1,SUMIFS('IncStmt Data'!$H$2:$H$2051,'IncStmt Data'!$G$2:$G$2051,$A21,'IncStmt Data'!$A$2:$A$2051,BD$1),#N/A)</f>
        <v>#N/A</v>
      </c>
      <c r="BE21" s="40" t="e">
        <f>IF(BE$1,SUMIFS('IncStmt Data'!$H$2:$H$2051,'IncStmt Data'!$G$2:$G$2051,$A21,'IncStmt Data'!$A$2:$A$2051,BE$1),#N/A)</f>
        <v>#N/A</v>
      </c>
      <c r="BF21" s="40" t="e">
        <f>IF(BF$1,SUMIFS('IncStmt Data'!$H$2:$H$2051,'IncStmt Data'!$G$2:$G$2051,$A21,'IncStmt Data'!$A$2:$A$2051,BF$1),#N/A)</f>
        <v>#N/A</v>
      </c>
      <c r="BG21" s="40" t="e">
        <f>IF(BG$1,SUMIFS('IncStmt Data'!$H$2:$H$2051,'IncStmt Data'!$G$2:$G$2051,$A21,'IncStmt Data'!$A$2:$A$2051,BG$1),#N/A)</f>
        <v>#N/A</v>
      </c>
      <c r="BH21" s="40" t="e">
        <f>IF(BH$1,SUMIFS('IncStmt Data'!$H$2:$H$2051,'IncStmt Data'!$G$2:$G$2051,$A21,'IncStmt Data'!$A$2:$A$2051,BH$1),#N/A)</f>
        <v>#N/A</v>
      </c>
      <c r="BI21" s="40" t="e">
        <f>IF(BI$1,SUMIFS('IncStmt Data'!$H$2:$H$2051,'IncStmt Data'!$G$2:$G$2051,$A21,'IncStmt Data'!$A$2:$A$2051,BI$1),#N/A)</f>
        <v>#N/A</v>
      </c>
      <c r="BJ21" s="40" t="e">
        <f>IF(BJ$1,SUMIFS('IncStmt Data'!$H$2:$H$2051,'IncStmt Data'!$G$2:$G$2051,$A21,'IncStmt Data'!$A$2:$A$2051,BJ$1),#N/A)</f>
        <v>#N/A</v>
      </c>
      <c r="BK21" s="40" t="e">
        <f>IF(BK$1,SUMIFS('IncStmt Data'!$H$2:$H$2051,'IncStmt Data'!$G$2:$G$2051,$A21,'IncStmt Data'!$A$2:$A$2051,BK$1),#N/A)</f>
        <v>#N/A</v>
      </c>
      <c r="BL21" s="40" t="e">
        <f>IF(BL$1,SUMIFS('IncStmt Data'!$H$2:$H$2051,'IncStmt Data'!$G$2:$G$2051,$A21,'IncStmt Data'!$A$2:$A$2051,BL$1),#N/A)</f>
        <v>#N/A</v>
      </c>
      <c r="BM21" s="40" t="e">
        <f>IF(BM$1,SUMIFS('IncStmt Data'!$H$2:$H$2051,'IncStmt Data'!$G$2:$G$2051,$A21,'IncStmt Data'!$A$2:$A$2051,BM$1),#N/A)</f>
        <v>#N/A</v>
      </c>
      <c r="BN21" s="40" t="e">
        <f>IF(BN$1,SUMIFS('IncStmt Data'!$H$2:$H$2051,'IncStmt Data'!$G$2:$G$2051,$A21,'IncStmt Data'!$A$2:$A$2051,BN$1),#N/A)</f>
        <v>#N/A</v>
      </c>
      <c r="BO21" s="40" t="e">
        <f>IF(BO$1,SUMIFS('IncStmt Data'!$H$2:$H$2051,'IncStmt Data'!$G$2:$G$2051,$A21,'IncStmt Data'!$A$2:$A$2051,BO$1),#N/A)</f>
        <v>#N/A</v>
      </c>
      <c r="BP21" s="40" t="e">
        <f>IF(BP$1,SUMIFS('IncStmt Data'!$H$2:$H$2051,'IncStmt Data'!$G$2:$G$2051,$A21,'IncStmt Data'!$A$2:$A$2051,BP$1),#N/A)</f>
        <v>#N/A</v>
      </c>
      <c r="BQ21" s="40" t="e">
        <f>IF(BQ$1,SUMIFS('IncStmt Data'!$H$2:$H$2051,'IncStmt Data'!$G$2:$G$2051,$A21,'IncStmt Data'!$A$2:$A$2051,BQ$1),#N/A)</f>
        <v>#N/A</v>
      </c>
      <c r="BR21" s="40" t="e">
        <f>IF(BR$1,SUMIFS('IncStmt Data'!$H$2:$H$2051,'IncStmt Data'!$G$2:$G$2051,$A21,'IncStmt Data'!$A$2:$A$2051,BR$1),#N/A)</f>
        <v>#N/A</v>
      </c>
      <c r="BS21" s="40" t="e">
        <f>IF(BS$1,SUMIFS('IncStmt Data'!$H$2:$H$2051,'IncStmt Data'!$G$2:$G$2051,$A21,'IncStmt Data'!$A$2:$A$2051,BS$1),#N/A)</f>
        <v>#N/A</v>
      </c>
      <c r="BT21" s="40" t="e">
        <f>IF(BT$1,SUMIFS('IncStmt Data'!$H$2:$H$2051,'IncStmt Data'!$G$2:$G$2051,$A21,'IncStmt Data'!$A$2:$A$2051,BT$1),#N/A)</f>
        <v>#N/A</v>
      </c>
      <c r="BU21" s="40" t="e">
        <f>IF(BU$1,SUMIFS('IncStmt Data'!$H$2:$H$2051,'IncStmt Data'!$G$2:$G$2051,$A21,'IncStmt Data'!$A$2:$A$2051,BU$1),#N/A)</f>
        <v>#N/A</v>
      </c>
      <c r="BV21" s="40" t="e">
        <f>IF(BV$1,SUMIFS('IncStmt Data'!$H$2:$H$2051,'IncStmt Data'!$G$2:$G$2051,$A21,'IncStmt Data'!$A$2:$A$2051,BV$1),#N/A)</f>
        <v>#N/A</v>
      </c>
      <c r="BW21" s="40" t="e">
        <f>IF(BW$1,SUMIFS('IncStmt Data'!$H$2:$H$2051,'IncStmt Data'!$G$2:$G$2051,$A21,'IncStmt Data'!$A$2:$A$2051,BW$1),#N/A)</f>
        <v>#N/A</v>
      </c>
      <c r="BX21" s="40" t="e">
        <f>IF(BX$1,SUMIFS('IncStmt Data'!$H$2:$H$2051,'IncStmt Data'!$G$2:$G$2051,$A21,'IncStmt Data'!$A$2:$A$2051,BX$1),#N/A)</f>
        <v>#N/A</v>
      </c>
      <c r="BY21" s="40" t="e">
        <f>IF(BY$1,SUMIFS('IncStmt Data'!$H$2:$H$2051,'IncStmt Data'!$G$2:$G$2051,$A21,'IncStmt Data'!$A$2:$A$2051,BY$1),#N/A)</f>
        <v>#N/A</v>
      </c>
      <c r="BZ21" s="40" t="e">
        <f>IF(BZ$1,SUMIFS('IncStmt Data'!$H$2:$H$2051,'IncStmt Data'!$G$2:$G$2051,$A21,'IncStmt Data'!$A$2:$A$2051,BZ$1),#N/A)</f>
        <v>#N/A</v>
      </c>
      <c r="CA21" s="40" t="e">
        <f>IF(CA$1,SUMIFS('IncStmt Data'!$H$2:$H$2051,'IncStmt Data'!$G$2:$G$2051,$A21,'IncStmt Data'!$A$2:$A$2051,CA$1),#N/A)</f>
        <v>#N/A</v>
      </c>
      <c r="CB21" s="40" t="e">
        <f>IF(CB$1,SUMIFS('IncStmt Data'!$H$2:$H$2051,'IncStmt Data'!$G$2:$G$2051,$A21,'IncStmt Data'!$A$2:$A$2051,CB$1),#N/A)</f>
        <v>#N/A</v>
      </c>
      <c r="CC21" s="40" t="e">
        <f>IF(CC$1,SUMIFS('IncStmt Data'!$H$2:$H$2051,'IncStmt Data'!$G$2:$G$2051,$A21,'IncStmt Data'!$A$2:$A$2051,CC$1),#N/A)</f>
        <v>#N/A</v>
      </c>
      <c r="CD21" s="40" t="e">
        <f>IF(CD$1,SUMIFS('IncStmt Data'!$H$2:$H$2051,'IncStmt Data'!$G$2:$G$2051,$A21,'IncStmt Data'!$A$2:$A$2051,CD$1),#N/A)</f>
        <v>#N/A</v>
      </c>
      <c r="CE21" s="40" t="e">
        <f>IF(CE$1,SUMIFS('IncStmt Data'!$H$2:$H$2051,'IncStmt Data'!$G$2:$G$2051,$A21,'IncStmt Data'!$A$2:$A$2051,CE$1),#N/A)</f>
        <v>#N/A</v>
      </c>
      <c r="CF21" s="40" t="e">
        <f>IF(CF$1,SUMIFS('IncStmt Data'!$H$2:$H$2051,'IncStmt Data'!$G$2:$G$2051,$A21,'IncStmt Data'!$A$2:$A$2051,CF$1),#N/A)</f>
        <v>#N/A</v>
      </c>
      <c r="CG21" s="40" t="e">
        <f>IF(CG$1,SUMIFS('IncStmt Data'!$H$2:$H$2051,'IncStmt Data'!$G$2:$G$2051,$A21,'IncStmt Data'!$A$2:$A$2051,CG$1),#N/A)</f>
        <v>#N/A</v>
      </c>
      <c r="CH21" s="40" t="e">
        <f>IF(CH$1,SUMIFS('IncStmt Data'!$H$2:$H$2051,'IncStmt Data'!$G$2:$G$2051,$A21,'IncStmt Data'!$A$2:$A$2051,CH$1),#N/A)</f>
        <v>#N/A</v>
      </c>
      <c r="CI21" s="40" t="e">
        <f>IF(CI$1,SUMIFS('IncStmt Data'!$H$2:$H$2051,'IncStmt Data'!$G$2:$G$2051,$A21,'IncStmt Data'!$A$2:$A$2051,CI$1),#N/A)</f>
        <v>#N/A</v>
      </c>
      <c r="CJ21" s="40" t="e">
        <f>IF(CJ$1,SUMIFS('IncStmt Data'!$H$2:$H$2051,'IncStmt Data'!$G$2:$G$2051,$A21,'IncStmt Data'!$A$2:$A$2051,CJ$1),#N/A)</f>
        <v>#N/A</v>
      </c>
      <c r="CK21" s="40" t="e">
        <f>IF(CK$1,SUMIFS('IncStmt Data'!$H$2:$H$2051,'IncStmt Data'!$G$2:$G$2051,$A21,'IncStmt Data'!$A$2:$A$2051,CK$1),#N/A)</f>
        <v>#N/A</v>
      </c>
      <c r="CL21" s="40" t="e">
        <f>IF(CL$1,SUMIFS('IncStmt Data'!$H$2:$H$2051,'IncStmt Data'!$G$2:$G$2051,$A21,'IncStmt Data'!$A$2:$A$2051,CL$1),#N/A)</f>
        <v>#N/A</v>
      </c>
      <c r="CM21" s="40" t="e">
        <f>IF(CM$1,SUMIFS('IncStmt Data'!$H$2:$H$2051,'IncStmt Data'!$G$2:$G$2051,$A21,'IncStmt Data'!$A$2:$A$2051,CM$1),#N/A)</f>
        <v>#N/A</v>
      </c>
      <c r="CN21" s="40" t="e">
        <f>IF(CN$1,SUMIFS('IncStmt Data'!$H$2:$H$2051,'IncStmt Data'!$G$2:$G$2051,$A21,'IncStmt Data'!$A$2:$A$2051,CN$1),#N/A)</f>
        <v>#N/A</v>
      </c>
      <c r="CO21" s="40" t="e">
        <f>IF(CO$1,SUMIFS('IncStmt Data'!$H$2:$H$2051,'IncStmt Data'!$G$2:$G$2051,$A21,'IncStmt Data'!$A$2:$A$2051,CO$1),#N/A)</f>
        <v>#N/A</v>
      </c>
      <c r="CP21" s="40" t="e">
        <f>IF(CP$1,SUMIFS('IncStmt Data'!$H$2:$H$2051,'IncStmt Data'!$G$2:$G$2051,$A21,'IncStmt Data'!$A$2:$A$2051,CP$1),#N/A)</f>
        <v>#N/A</v>
      </c>
      <c r="CQ21" s="40" t="e">
        <f>IF(CQ$1,SUMIFS('IncStmt Data'!$H$2:$H$2051,'IncStmt Data'!$G$2:$G$2051,$A21,'IncStmt Data'!$A$2:$A$2051,CQ$1),#N/A)</f>
        <v>#N/A</v>
      </c>
      <c r="CR21" s="40" t="e">
        <f>IF(CR$1,SUMIFS('IncStmt Data'!$H$2:$H$2051,'IncStmt Data'!$G$2:$G$2051,$A21,'IncStmt Data'!$A$2:$A$2051,CR$1),#N/A)</f>
        <v>#N/A</v>
      </c>
      <c r="CS21" s="40" t="e">
        <f>IF(CS$1,SUMIFS('IncStmt Data'!$H$2:$H$2051,'IncStmt Data'!$G$2:$G$2051,$A21,'IncStmt Data'!$A$2:$A$2051,CS$1),#N/A)</f>
        <v>#N/A</v>
      </c>
      <c r="CT21" s="40" t="e">
        <f>IF(CT$1,SUMIFS('IncStmt Data'!$H$2:$H$2051,'IncStmt Data'!$G$2:$G$2051,$A21,'IncStmt Data'!$A$2:$A$2051,CT$1),#N/A)</f>
        <v>#N/A</v>
      </c>
      <c r="CU21" s="40" t="e">
        <f>IF(CU$1,SUMIFS('IncStmt Data'!$H$2:$H$2051,'IncStmt Data'!$G$2:$G$2051,$A21,'IncStmt Data'!$A$2:$A$2051,CU$1),#N/A)</f>
        <v>#N/A</v>
      </c>
      <c r="CV21" s="40" t="e">
        <f>IF(CV$1,SUMIFS('IncStmt Data'!$H$2:$H$2051,'IncStmt Data'!$G$2:$G$2051,$A21,'IncStmt Data'!$A$2:$A$2051,CV$1),#N/A)</f>
        <v>#N/A</v>
      </c>
      <c r="CW21" s="40" t="e">
        <f>IF(CW$1,SUMIFS('IncStmt Data'!$H$2:$H$2051,'IncStmt Data'!$G$2:$G$2051,$A21,'IncStmt Data'!$A$2:$A$2051,CW$1),#N/A)</f>
        <v>#N/A</v>
      </c>
      <c r="CX21" s="40" t="e">
        <f>IF(CX$1,SUMIFS('IncStmt Data'!$H$2:$H$2051,'IncStmt Data'!$G$2:$G$2051,$A21,'IncStmt Data'!$A$2:$A$2051,CX$1),#N/A)</f>
        <v>#N/A</v>
      </c>
      <c r="CY21" s="40" t="e">
        <f>IF(CY$1,SUMIFS('IncStmt Data'!$H$2:$H$2051,'IncStmt Data'!$G$2:$G$2051,$A21,'IncStmt Data'!$A$2:$A$2051,CY$1),#N/A)</f>
        <v>#N/A</v>
      </c>
      <c r="CZ21" s="40" t="e">
        <f>IF(CZ$1,SUMIFS('IncStmt Data'!$H$2:$H$2051,'IncStmt Data'!$G$2:$G$2051,$A21,'IncStmt Data'!$A$2:$A$2051,CZ$1),#N/A)</f>
        <v>#N/A</v>
      </c>
      <c r="DA21" s="40">
        <f>SUM(B21:AJ21)</f>
        <v>4924325</v>
      </c>
    </row>
    <row r="22" spans="1:105" s="40" customFormat="1" x14ac:dyDescent="0.2">
      <c r="A22" s="52" t="s">
        <v>37</v>
      </c>
      <c r="B22" s="40">
        <f>IF(B$1,SUMIFS('IncStmt Data'!$H$2:$H$2051,'IncStmt Data'!$G$2:$G$2051,$A22,'IncStmt Data'!$A$2:$A$2051,B$1),#N/A)</f>
        <v>70947</v>
      </c>
      <c r="C22" s="40">
        <f>IF(C$1,SUMIFS('IncStmt Data'!$H$2:$H$2051,'IncStmt Data'!$G$2:$G$2051,$A22,'IncStmt Data'!$A$2:$A$2051,C$1),#N/A)</f>
        <v>66130</v>
      </c>
      <c r="D22" s="40">
        <f>IF(D$1,SUMIFS('IncStmt Data'!$H$2:$H$2051,'IncStmt Data'!$G$2:$G$2051,$A22,'IncStmt Data'!$A$2:$A$2051,D$1),#N/A)</f>
        <v>57673</v>
      </c>
      <c r="E22" s="40">
        <f>IF(E$1,SUMIFS('IncStmt Data'!$H$2:$H$2051,'IncStmt Data'!$G$2:$G$2051,$A22,'IncStmt Data'!$A$2:$A$2051,E$1),#N/A)</f>
        <v>89856</v>
      </c>
      <c r="F22" s="40">
        <f>IF(F$1,SUMIFS('IncStmt Data'!$H$2:$H$2051,'IncStmt Data'!$G$2:$G$2051,$A22,'IncStmt Data'!$A$2:$A$2051,F$1),#N/A)</f>
        <v>56851</v>
      </c>
      <c r="G22" s="40">
        <f>IF(G$1,SUMIFS('IncStmt Data'!$H$2:$H$2051,'IncStmt Data'!$G$2:$G$2051,$A22,'IncStmt Data'!$A$2:$A$2051,G$1),#N/A)</f>
        <v>63938</v>
      </c>
      <c r="H22" s="40">
        <f>IF(H$1,SUMIFS('IncStmt Data'!$H$2:$H$2051,'IncStmt Data'!$G$2:$G$2051,$A22,'IncStmt Data'!$A$2:$A$2051,H$1),#N/A)</f>
        <v>29089</v>
      </c>
      <c r="I22" s="40">
        <f>IF(I$1,SUMIFS('IncStmt Data'!$H$2:$H$2051,'IncStmt Data'!$G$2:$G$2051,$A22,'IncStmt Data'!$A$2:$A$2051,I$1),#N/A)</f>
        <v>31633</v>
      </c>
      <c r="J22" s="40">
        <f>IF(J$1,SUMIFS('IncStmt Data'!$H$2:$H$2051,'IncStmt Data'!$G$2:$G$2051,$A22,'IncStmt Data'!$A$2:$A$2051,J$1),#N/A)</f>
        <v>108761</v>
      </c>
      <c r="K22" s="40">
        <f>IF(K$1,SUMIFS('IncStmt Data'!$H$2:$H$2051,'IncStmt Data'!$G$2:$G$2051,$A22,'IncStmt Data'!$A$2:$A$2051,K$1),#N/A)</f>
        <v>81201</v>
      </c>
      <c r="L22" s="40">
        <f>IF(L$1,SUMIFS('IncStmt Data'!$H$2:$H$2051,'IncStmt Data'!$G$2:$G$2051,$A22,'IncStmt Data'!$A$2:$A$2051,L$1),#N/A)</f>
        <v>56232</v>
      </c>
      <c r="M22" s="40">
        <f>IF(M$1,SUMIFS('IncStmt Data'!$H$2:$H$2051,'IncStmt Data'!$G$2:$G$2051,$A22,'IncStmt Data'!$A$2:$A$2051,M$1),#N/A)</f>
        <v>45921</v>
      </c>
      <c r="N22" s="40">
        <f>IF(N$1,SUMIFS('IncStmt Data'!$H$2:$H$2051,'IncStmt Data'!$G$2:$G$2051,$A22,'IncStmt Data'!$A$2:$A$2051,N$1),#N/A)</f>
        <v>78928</v>
      </c>
      <c r="O22" s="40">
        <f>IF(O$1,SUMIFS('IncStmt Data'!$H$2:$H$2051,'IncStmt Data'!$G$2:$G$2051,$A22,'IncStmt Data'!$A$2:$A$2051,O$1),#N/A)</f>
        <v>40916</v>
      </c>
      <c r="P22" s="40">
        <f>IF(P$1,SUMIFS('IncStmt Data'!$H$2:$H$2051,'IncStmt Data'!$G$2:$G$2051,$A22,'IncStmt Data'!$A$2:$A$2051,P$1),#N/A)</f>
        <v>53685</v>
      </c>
      <c r="Q22" s="40">
        <f>IF(Q$1,SUMIFS('IncStmt Data'!$H$2:$H$2051,'IncStmt Data'!$G$2:$G$2051,$A22,'IncStmt Data'!$A$2:$A$2051,Q$1),#N/A)</f>
        <v>0</v>
      </c>
      <c r="R22" s="40">
        <f>IF(R$1,SUMIFS('IncStmt Data'!$H$2:$H$2051,'IncStmt Data'!$G$2:$G$2051,$A22,'IncStmt Data'!$A$2:$A$2051,R$1),#N/A)</f>
        <v>0</v>
      </c>
      <c r="S22" s="40">
        <f>IF(S$1,SUMIFS('IncStmt Data'!$H$2:$H$2051,'IncStmt Data'!$G$2:$G$2051,$A22,'IncStmt Data'!$A$2:$A$2051,S$1),#N/A)</f>
        <v>36361</v>
      </c>
      <c r="T22" s="40">
        <f>IF(T$1,SUMIFS('IncStmt Data'!$H$2:$H$2051,'IncStmt Data'!$G$2:$G$2051,$A22,'IncStmt Data'!$A$2:$A$2051,T$1),#N/A)</f>
        <v>55630</v>
      </c>
      <c r="U22" s="40">
        <f>IF(U$1,SUMIFS('IncStmt Data'!$H$2:$H$2051,'IncStmt Data'!$G$2:$G$2051,$A22,'IncStmt Data'!$A$2:$A$2051,U$1),#N/A)</f>
        <v>46792</v>
      </c>
      <c r="V22" s="40">
        <f>IF(V$1,SUMIFS('IncStmt Data'!$H$2:$H$2051,'IncStmt Data'!$G$2:$G$2051,$A22,'IncStmt Data'!$A$2:$A$2051,V$1),#N/A)</f>
        <v>63229</v>
      </c>
      <c r="W22" s="40">
        <f>IF(W$1,SUMIFS('IncStmt Data'!$H$2:$H$2051,'IncStmt Data'!$G$2:$G$2051,$A22,'IncStmt Data'!$A$2:$A$2051,W$1),#N/A)</f>
        <v>29321</v>
      </c>
      <c r="X22" s="40">
        <f>IF(X$1,SUMIFS('IncStmt Data'!$H$2:$H$2051,'IncStmt Data'!$G$2:$G$2051,$A22,'IncStmt Data'!$A$2:$A$2051,X$1),#N/A)</f>
        <v>64758</v>
      </c>
      <c r="Y22" s="40">
        <f>IF(Y$1,SUMIFS('IncStmt Data'!$H$2:$H$2051,'IncStmt Data'!$G$2:$G$2051,$A22,'IncStmt Data'!$A$2:$A$2051,Y$1),#N/A)</f>
        <v>0</v>
      </c>
      <c r="Z22" s="40">
        <f>IF(Z$1,SUMIFS('IncStmt Data'!$H$2:$H$2051,'IncStmt Data'!$G$2:$G$2051,$A22,'IncStmt Data'!$A$2:$A$2051,Z$1),#N/A)</f>
        <v>0</v>
      </c>
      <c r="AA22" s="40">
        <f>IF(AA$1,SUMIFS('IncStmt Data'!$H$2:$H$2051,'IncStmt Data'!$G$2:$G$2051,$A22,'IncStmt Data'!$A$2:$A$2051,AA$1),#N/A)</f>
        <v>0</v>
      </c>
      <c r="AB22" s="40">
        <f>IF(AB$1,SUMIFS('IncStmt Data'!$H$2:$H$2051,'IncStmt Data'!$G$2:$G$2051,$A22,'IncStmt Data'!$A$2:$A$2051,AB$1),#N/A)</f>
        <v>0</v>
      </c>
      <c r="AC22" s="40">
        <f>IF(AC$1,SUMIFS('IncStmt Data'!$H$2:$H$2051,'IncStmt Data'!$G$2:$G$2051,$A22,'IncStmt Data'!$A$2:$A$2051,AC$1),#N/A)</f>
        <v>0</v>
      </c>
      <c r="AD22" s="40">
        <f>IF(AD$1,SUMIFS('IncStmt Data'!$H$2:$H$2051,'IncStmt Data'!$G$2:$G$2051,$A22,'IncStmt Data'!$A$2:$A$2051,AD$1),#N/A)</f>
        <v>35048</v>
      </c>
      <c r="AE22" s="40">
        <f>IF(AE$1,SUMIFS('IncStmt Data'!$H$2:$H$2051,'IncStmt Data'!$G$2:$G$2051,$A22,'IncStmt Data'!$A$2:$A$2051,AE$1),#N/A)</f>
        <v>57411</v>
      </c>
      <c r="AF22" s="40">
        <f>IF(AF$1,SUMIFS('IncStmt Data'!$H$2:$H$2051,'IncStmt Data'!$G$2:$G$2051,$A22,'IncStmt Data'!$A$2:$A$2051,AF$1),#N/A)</f>
        <v>42818</v>
      </c>
      <c r="AG22" s="40">
        <f>IF(AG$1,SUMIFS('IncStmt Data'!$H$2:$H$2051,'IncStmt Data'!$G$2:$G$2051,$A22,'IncStmt Data'!$A$2:$A$2051,AG$1),#N/A)</f>
        <v>36728</v>
      </c>
      <c r="AH22" s="40">
        <f>IF(AH$1,SUMIFS('IncStmt Data'!$H$2:$H$2051,'IncStmt Data'!$G$2:$G$2051,$A22,'IncStmt Data'!$A$2:$A$2051,AH$1),#N/A)</f>
        <v>46978</v>
      </c>
      <c r="AI22" s="40">
        <f>IF(AI$1,SUMIFS('IncStmt Data'!$H$2:$H$2051,'IncStmt Data'!$G$2:$G$2051,$A22,'IncStmt Data'!$A$2:$A$2051,AI$1),#N/A)</f>
        <v>102984</v>
      </c>
      <c r="AJ22" s="40">
        <f>IF(AJ$1,SUMIFS('IncStmt Data'!$H$2:$H$2051,'IncStmt Data'!$G$2:$G$2051,$A22,'IncStmt Data'!$A$2:$A$2051,AJ$1),#N/A)</f>
        <v>65542</v>
      </c>
      <c r="AK22" s="40" t="e">
        <f>IF(AK$1,SUMIFS('IncStmt Data'!$H$2:$H$2051,'IncStmt Data'!$G$2:$G$2051,$A22,'IncStmt Data'!$A$2:$A$2051,AK$1),#N/A)</f>
        <v>#N/A</v>
      </c>
      <c r="AL22" s="40" t="e">
        <f>IF(AL$1,SUMIFS('IncStmt Data'!$H$2:$H$2051,'IncStmt Data'!$G$2:$G$2051,$A22,'IncStmt Data'!$A$2:$A$2051,AL$1),#N/A)</f>
        <v>#N/A</v>
      </c>
      <c r="AM22" s="40" t="e">
        <f>IF(AM$1,SUMIFS('IncStmt Data'!$H$2:$H$2051,'IncStmt Data'!$G$2:$G$2051,$A22,'IncStmt Data'!$A$2:$A$2051,AM$1),#N/A)</f>
        <v>#N/A</v>
      </c>
      <c r="AN22" s="40" t="e">
        <f>IF(AN$1,SUMIFS('IncStmt Data'!$H$2:$H$2051,'IncStmt Data'!$G$2:$G$2051,$A22,'IncStmt Data'!$A$2:$A$2051,AN$1),#N/A)</f>
        <v>#N/A</v>
      </c>
      <c r="AO22" s="40" t="e">
        <f>IF(AO$1,SUMIFS('IncStmt Data'!$H$2:$H$2051,'IncStmt Data'!$G$2:$G$2051,$A22,'IncStmt Data'!$A$2:$A$2051,AO$1),#N/A)</f>
        <v>#N/A</v>
      </c>
      <c r="AP22" s="40" t="e">
        <f>IF(AP$1,SUMIFS('IncStmt Data'!$H$2:$H$2051,'IncStmt Data'!$G$2:$G$2051,$A22,'IncStmt Data'!$A$2:$A$2051,AP$1),#N/A)</f>
        <v>#N/A</v>
      </c>
      <c r="AQ22" s="40" t="e">
        <f>IF(AQ$1,SUMIFS('IncStmt Data'!$H$2:$H$2051,'IncStmt Data'!$G$2:$G$2051,$A22,'IncStmt Data'!$A$2:$A$2051,AQ$1),#N/A)</f>
        <v>#N/A</v>
      </c>
      <c r="AR22" s="40" t="e">
        <f>IF(AR$1,SUMIFS('IncStmt Data'!$H$2:$H$2051,'IncStmt Data'!$G$2:$G$2051,$A22,'IncStmt Data'!$A$2:$A$2051,AR$1),#N/A)</f>
        <v>#N/A</v>
      </c>
      <c r="AS22" s="40" t="e">
        <f>IF(AS$1,SUMIFS('IncStmt Data'!$H$2:$H$2051,'IncStmt Data'!$G$2:$G$2051,$A22,'IncStmt Data'!$A$2:$A$2051,AS$1),#N/A)</f>
        <v>#N/A</v>
      </c>
      <c r="AT22" s="40" t="e">
        <f>IF(AT$1,SUMIFS('IncStmt Data'!$H$2:$H$2051,'IncStmt Data'!$G$2:$G$2051,$A22,'IncStmt Data'!$A$2:$A$2051,AT$1),#N/A)</f>
        <v>#N/A</v>
      </c>
      <c r="AU22" s="40" t="e">
        <f>IF(AU$1,SUMIFS('IncStmt Data'!$H$2:$H$2051,'IncStmt Data'!$G$2:$G$2051,$A22,'IncStmt Data'!$A$2:$A$2051,AU$1),#N/A)</f>
        <v>#N/A</v>
      </c>
      <c r="AV22" s="40" t="e">
        <f>IF(AV$1,SUMIFS('IncStmt Data'!$H$2:$H$2051,'IncStmt Data'!$G$2:$G$2051,$A22,'IncStmt Data'!$A$2:$A$2051,AV$1),#N/A)</f>
        <v>#N/A</v>
      </c>
      <c r="AW22" s="40" t="e">
        <f>IF(AW$1,SUMIFS('IncStmt Data'!$H$2:$H$2051,'IncStmt Data'!$G$2:$G$2051,$A22,'IncStmt Data'!$A$2:$A$2051,AW$1),#N/A)</f>
        <v>#N/A</v>
      </c>
      <c r="AX22" s="40" t="e">
        <f>IF(AX$1,SUMIFS('IncStmt Data'!$H$2:$H$2051,'IncStmt Data'!$G$2:$G$2051,$A22,'IncStmt Data'!$A$2:$A$2051,AX$1),#N/A)</f>
        <v>#N/A</v>
      </c>
      <c r="AY22" s="40" t="e">
        <f>IF(AY$1,SUMIFS('IncStmt Data'!$H$2:$H$2051,'IncStmt Data'!$G$2:$G$2051,$A22,'IncStmt Data'!$A$2:$A$2051,AY$1),#N/A)</f>
        <v>#N/A</v>
      </c>
      <c r="AZ22" s="40" t="e">
        <f>IF(AZ$1,SUMIFS('IncStmt Data'!$H$2:$H$2051,'IncStmt Data'!$G$2:$G$2051,$A22,'IncStmt Data'!$A$2:$A$2051,AZ$1),#N/A)</f>
        <v>#N/A</v>
      </c>
      <c r="BA22" s="40" t="e">
        <f>IF(BA$1,SUMIFS('IncStmt Data'!$H$2:$H$2051,'IncStmt Data'!$G$2:$G$2051,$A22,'IncStmt Data'!$A$2:$A$2051,BA$1),#N/A)</f>
        <v>#N/A</v>
      </c>
      <c r="BB22" s="40" t="e">
        <f>IF(BB$1,SUMIFS('IncStmt Data'!$H$2:$H$2051,'IncStmt Data'!$G$2:$G$2051,$A22,'IncStmt Data'!$A$2:$A$2051,BB$1),#N/A)</f>
        <v>#N/A</v>
      </c>
      <c r="BC22" s="40" t="e">
        <f>IF(BC$1,SUMIFS('IncStmt Data'!$H$2:$H$2051,'IncStmt Data'!$G$2:$G$2051,$A22,'IncStmt Data'!$A$2:$A$2051,BC$1),#N/A)</f>
        <v>#N/A</v>
      </c>
      <c r="BD22" s="40" t="e">
        <f>IF(BD$1,SUMIFS('IncStmt Data'!$H$2:$H$2051,'IncStmt Data'!$G$2:$G$2051,$A22,'IncStmt Data'!$A$2:$A$2051,BD$1),#N/A)</f>
        <v>#N/A</v>
      </c>
      <c r="BE22" s="40" t="e">
        <f>IF(BE$1,SUMIFS('IncStmt Data'!$H$2:$H$2051,'IncStmt Data'!$G$2:$G$2051,$A22,'IncStmt Data'!$A$2:$A$2051,BE$1),#N/A)</f>
        <v>#N/A</v>
      </c>
      <c r="BF22" s="40" t="e">
        <f>IF(BF$1,SUMIFS('IncStmt Data'!$H$2:$H$2051,'IncStmt Data'!$G$2:$G$2051,$A22,'IncStmt Data'!$A$2:$A$2051,BF$1),#N/A)</f>
        <v>#N/A</v>
      </c>
      <c r="BG22" s="40" t="e">
        <f>IF(BG$1,SUMIFS('IncStmt Data'!$H$2:$H$2051,'IncStmt Data'!$G$2:$G$2051,$A22,'IncStmt Data'!$A$2:$A$2051,BG$1),#N/A)</f>
        <v>#N/A</v>
      </c>
      <c r="BH22" s="40" t="e">
        <f>IF(BH$1,SUMIFS('IncStmt Data'!$H$2:$H$2051,'IncStmt Data'!$G$2:$G$2051,$A22,'IncStmt Data'!$A$2:$A$2051,BH$1),#N/A)</f>
        <v>#N/A</v>
      </c>
      <c r="BI22" s="40" t="e">
        <f>IF(BI$1,SUMIFS('IncStmt Data'!$H$2:$H$2051,'IncStmt Data'!$G$2:$G$2051,$A22,'IncStmt Data'!$A$2:$A$2051,BI$1),#N/A)</f>
        <v>#N/A</v>
      </c>
      <c r="BJ22" s="40" t="e">
        <f>IF(BJ$1,SUMIFS('IncStmt Data'!$H$2:$H$2051,'IncStmt Data'!$G$2:$G$2051,$A22,'IncStmt Data'!$A$2:$A$2051,BJ$1),#N/A)</f>
        <v>#N/A</v>
      </c>
      <c r="BK22" s="40" t="e">
        <f>IF(BK$1,SUMIFS('IncStmt Data'!$H$2:$H$2051,'IncStmt Data'!$G$2:$G$2051,$A22,'IncStmt Data'!$A$2:$A$2051,BK$1),#N/A)</f>
        <v>#N/A</v>
      </c>
      <c r="BL22" s="40" t="e">
        <f>IF(BL$1,SUMIFS('IncStmt Data'!$H$2:$H$2051,'IncStmt Data'!$G$2:$G$2051,$A22,'IncStmt Data'!$A$2:$A$2051,BL$1),#N/A)</f>
        <v>#N/A</v>
      </c>
      <c r="BM22" s="40" t="e">
        <f>IF(BM$1,SUMIFS('IncStmt Data'!$H$2:$H$2051,'IncStmt Data'!$G$2:$G$2051,$A22,'IncStmt Data'!$A$2:$A$2051,BM$1),#N/A)</f>
        <v>#N/A</v>
      </c>
      <c r="BN22" s="40" t="e">
        <f>IF(BN$1,SUMIFS('IncStmt Data'!$H$2:$H$2051,'IncStmt Data'!$G$2:$G$2051,$A22,'IncStmt Data'!$A$2:$A$2051,BN$1),#N/A)</f>
        <v>#N/A</v>
      </c>
      <c r="BO22" s="40" t="e">
        <f>IF(BO$1,SUMIFS('IncStmt Data'!$H$2:$H$2051,'IncStmt Data'!$G$2:$G$2051,$A22,'IncStmt Data'!$A$2:$A$2051,BO$1),#N/A)</f>
        <v>#N/A</v>
      </c>
      <c r="BP22" s="40" t="e">
        <f>IF(BP$1,SUMIFS('IncStmt Data'!$H$2:$H$2051,'IncStmt Data'!$G$2:$G$2051,$A22,'IncStmt Data'!$A$2:$A$2051,BP$1),#N/A)</f>
        <v>#N/A</v>
      </c>
      <c r="BQ22" s="40" t="e">
        <f>IF(BQ$1,SUMIFS('IncStmt Data'!$H$2:$H$2051,'IncStmt Data'!$G$2:$G$2051,$A22,'IncStmt Data'!$A$2:$A$2051,BQ$1),#N/A)</f>
        <v>#N/A</v>
      </c>
      <c r="BR22" s="40" t="e">
        <f>IF(BR$1,SUMIFS('IncStmt Data'!$H$2:$H$2051,'IncStmt Data'!$G$2:$G$2051,$A22,'IncStmt Data'!$A$2:$A$2051,BR$1),#N/A)</f>
        <v>#N/A</v>
      </c>
      <c r="BS22" s="40" t="e">
        <f>IF(BS$1,SUMIFS('IncStmt Data'!$H$2:$H$2051,'IncStmt Data'!$G$2:$G$2051,$A22,'IncStmt Data'!$A$2:$A$2051,BS$1),#N/A)</f>
        <v>#N/A</v>
      </c>
      <c r="BT22" s="40" t="e">
        <f>IF(BT$1,SUMIFS('IncStmt Data'!$H$2:$H$2051,'IncStmt Data'!$G$2:$G$2051,$A22,'IncStmt Data'!$A$2:$A$2051,BT$1),#N/A)</f>
        <v>#N/A</v>
      </c>
      <c r="BU22" s="40" t="e">
        <f>IF(BU$1,SUMIFS('IncStmt Data'!$H$2:$H$2051,'IncStmt Data'!$G$2:$G$2051,$A22,'IncStmt Data'!$A$2:$A$2051,BU$1),#N/A)</f>
        <v>#N/A</v>
      </c>
      <c r="BV22" s="40" t="e">
        <f>IF(BV$1,SUMIFS('IncStmt Data'!$H$2:$H$2051,'IncStmt Data'!$G$2:$G$2051,$A22,'IncStmt Data'!$A$2:$A$2051,BV$1),#N/A)</f>
        <v>#N/A</v>
      </c>
      <c r="BW22" s="40" t="e">
        <f>IF(BW$1,SUMIFS('IncStmt Data'!$H$2:$H$2051,'IncStmt Data'!$G$2:$G$2051,$A22,'IncStmt Data'!$A$2:$A$2051,BW$1),#N/A)</f>
        <v>#N/A</v>
      </c>
      <c r="BX22" s="40" t="e">
        <f>IF(BX$1,SUMIFS('IncStmt Data'!$H$2:$H$2051,'IncStmt Data'!$G$2:$G$2051,$A22,'IncStmt Data'!$A$2:$A$2051,BX$1),#N/A)</f>
        <v>#N/A</v>
      </c>
      <c r="BY22" s="40" t="e">
        <f>IF(BY$1,SUMIFS('IncStmt Data'!$H$2:$H$2051,'IncStmt Data'!$G$2:$G$2051,$A22,'IncStmt Data'!$A$2:$A$2051,BY$1),#N/A)</f>
        <v>#N/A</v>
      </c>
      <c r="BZ22" s="40" t="e">
        <f>IF(BZ$1,SUMIFS('IncStmt Data'!$H$2:$H$2051,'IncStmt Data'!$G$2:$G$2051,$A22,'IncStmt Data'!$A$2:$A$2051,BZ$1),#N/A)</f>
        <v>#N/A</v>
      </c>
      <c r="CA22" s="40" t="e">
        <f>IF(CA$1,SUMIFS('IncStmt Data'!$H$2:$H$2051,'IncStmt Data'!$G$2:$G$2051,$A22,'IncStmt Data'!$A$2:$A$2051,CA$1),#N/A)</f>
        <v>#N/A</v>
      </c>
      <c r="CB22" s="40" t="e">
        <f>IF(CB$1,SUMIFS('IncStmt Data'!$H$2:$H$2051,'IncStmt Data'!$G$2:$G$2051,$A22,'IncStmt Data'!$A$2:$A$2051,CB$1),#N/A)</f>
        <v>#N/A</v>
      </c>
      <c r="CC22" s="40" t="e">
        <f>IF(CC$1,SUMIFS('IncStmt Data'!$H$2:$H$2051,'IncStmt Data'!$G$2:$G$2051,$A22,'IncStmt Data'!$A$2:$A$2051,CC$1),#N/A)</f>
        <v>#N/A</v>
      </c>
      <c r="CD22" s="40" t="e">
        <f>IF(CD$1,SUMIFS('IncStmt Data'!$H$2:$H$2051,'IncStmt Data'!$G$2:$G$2051,$A22,'IncStmt Data'!$A$2:$A$2051,CD$1),#N/A)</f>
        <v>#N/A</v>
      </c>
      <c r="CE22" s="40" t="e">
        <f>IF(CE$1,SUMIFS('IncStmt Data'!$H$2:$H$2051,'IncStmt Data'!$G$2:$G$2051,$A22,'IncStmt Data'!$A$2:$A$2051,CE$1),#N/A)</f>
        <v>#N/A</v>
      </c>
      <c r="CF22" s="40" t="e">
        <f>IF(CF$1,SUMIFS('IncStmt Data'!$H$2:$H$2051,'IncStmt Data'!$G$2:$G$2051,$A22,'IncStmt Data'!$A$2:$A$2051,CF$1),#N/A)</f>
        <v>#N/A</v>
      </c>
      <c r="CG22" s="40" t="e">
        <f>IF(CG$1,SUMIFS('IncStmt Data'!$H$2:$H$2051,'IncStmt Data'!$G$2:$G$2051,$A22,'IncStmt Data'!$A$2:$A$2051,CG$1),#N/A)</f>
        <v>#N/A</v>
      </c>
      <c r="CH22" s="40" t="e">
        <f>IF(CH$1,SUMIFS('IncStmt Data'!$H$2:$H$2051,'IncStmt Data'!$G$2:$G$2051,$A22,'IncStmt Data'!$A$2:$A$2051,CH$1),#N/A)</f>
        <v>#N/A</v>
      </c>
      <c r="CI22" s="40" t="e">
        <f>IF(CI$1,SUMIFS('IncStmt Data'!$H$2:$H$2051,'IncStmt Data'!$G$2:$G$2051,$A22,'IncStmt Data'!$A$2:$A$2051,CI$1),#N/A)</f>
        <v>#N/A</v>
      </c>
      <c r="CJ22" s="40" t="e">
        <f>IF(CJ$1,SUMIFS('IncStmt Data'!$H$2:$H$2051,'IncStmt Data'!$G$2:$G$2051,$A22,'IncStmt Data'!$A$2:$A$2051,CJ$1),#N/A)</f>
        <v>#N/A</v>
      </c>
      <c r="CK22" s="40" t="e">
        <f>IF(CK$1,SUMIFS('IncStmt Data'!$H$2:$H$2051,'IncStmt Data'!$G$2:$G$2051,$A22,'IncStmt Data'!$A$2:$A$2051,CK$1),#N/A)</f>
        <v>#N/A</v>
      </c>
      <c r="CL22" s="40" t="e">
        <f>IF(CL$1,SUMIFS('IncStmt Data'!$H$2:$H$2051,'IncStmt Data'!$G$2:$G$2051,$A22,'IncStmt Data'!$A$2:$A$2051,CL$1),#N/A)</f>
        <v>#N/A</v>
      </c>
      <c r="CM22" s="40" t="e">
        <f>IF(CM$1,SUMIFS('IncStmt Data'!$H$2:$H$2051,'IncStmt Data'!$G$2:$G$2051,$A22,'IncStmt Data'!$A$2:$A$2051,CM$1),#N/A)</f>
        <v>#N/A</v>
      </c>
      <c r="CN22" s="40" t="e">
        <f>IF(CN$1,SUMIFS('IncStmt Data'!$H$2:$H$2051,'IncStmt Data'!$G$2:$G$2051,$A22,'IncStmt Data'!$A$2:$A$2051,CN$1),#N/A)</f>
        <v>#N/A</v>
      </c>
      <c r="CO22" s="40" t="e">
        <f>IF(CO$1,SUMIFS('IncStmt Data'!$H$2:$H$2051,'IncStmt Data'!$G$2:$G$2051,$A22,'IncStmt Data'!$A$2:$A$2051,CO$1),#N/A)</f>
        <v>#N/A</v>
      </c>
      <c r="CP22" s="40" t="e">
        <f>IF(CP$1,SUMIFS('IncStmt Data'!$H$2:$H$2051,'IncStmt Data'!$G$2:$G$2051,$A22,'IncStmt Data'!$A$2:$A$2051,CP$1),#N/A)</f>
        <v>#N/A</v>
      </c>
      <c r="CQ22" s="40" t="e">
        <f>IF(CQ$1,SUMIFS('IncStmt Data'!$H$2:$H$2051,'IncStmt Data'!$G$2:$G$2051,$A22,'IncStmt Data'!$A$2:$A$2051,CQ$1),#N/A)</f>
        <v>#N/A</v>
      </c>
      <c r="CR22" s="40" t="e">
        <f>IF(CR$1,SUMIFS('IncStmt Data'!$H$2:$H$2051,'IncStmt Data'!$G$2:$G$2051,$A22,'IncStmt Data'!$A$2:$A$2051,CR$1),#N/A)</f>
        <v>#N/A</v>
      </c>
      <c r="CS22" s="40" t="e">
        <f>IF(CS$1,SUMIFS('IncStmt Data'!$H$2:$H$2051,'IncStmt Data'!$G$2:$G$2051,$A22,'IncStmt Data'!$A$2:$A$2051,CS$1),#N/A)</f>
        <v>#N/A</v>
      </c>
      <c r="CT22" s="40" t="e">
        <f>IF(CT$1,SUMIFS('IncStmt Data'!$H$2:$H$2051,'IncStmt Data'!$G$2:$G$2051,$A22,'IncStmt Data'!$A$2:$A$2051,CT$1),#N/A)</f>
        <v>#N/A</v>
      </c>
      <c r="CU22" s="40" t="e">
        <f>IF(CU$1,SUMIFS('IncStmt Data'!$H$2:$H$2051,'IncStmt Data'!$G$2:$G$2051,$A22,'IncStmt Data'!$A$2:$A$2051,CU$1),#N/A)</f>
        <v>#N/A</v>
      </c>
      <c r="CV22" s="40" t="e">
        <f>IF(CV$1,SUMIFS('IncStmt Data'!$H$2:$H$2051,'IncStmt Data'!$G$2:$G$2051,$A22,'IncStmt Data'!$A$2:$A$2051,CV$1),#N/A)</f>
        <v>#N/A</v>
      </c>
      <c r="CW22" s="40" t="e">
        <f>IF(CW$1,SUMIFS('IncStmt Data'!$H$2:$H$2051,'IncStmt Data'!$G$2:$G$2051,$A22,'IncStmt Data'!$A$2:$A$2051,CW$1),#N/A)</f>
        <v>#N/A</v>
      </c>
      <c r="CX22" s="40" t="e">
        <f>IF(CX$1,SUMIFS('IncStmt Data'!$H$2:$H$2051,'IncStmt Data'!$G$2:$G$2051,$A22,'IncStmt Data'!$A$2:$A$2051,CX$1),#N/A)</f>
        <v>#N/A</v>
      </c>
      <c r="CY22" s="40" t="e">
        <f>IF(CY$1,SUMIFS('IncStmt Data'!$H$2:$H$2051,'IncStmt Data'!$G$2:$G$2051,$A22,'IncStmt Data'!$A$2:$A$2051,CY$1),#N/A)</f>
        <v>#N/A</v>
      </c>
      <c r="CZ22" s="40" t="e">
        <f>IF(CZ$1,SUMIFS('IncStmt Data'!$H$2:$H$2051,'IncStmt Data'!$G$2:$G$2051,$A22,'IncStmt Data'!$A$2:$A$2051,CZ$1),#N/A)</f>
        <v>#N/A</v>
      </c>
      <c r="DA22" s="40">
        <f>SUM(B22:AJ22)</f>
        <v>1615361</v>
      </c>
    </row>
    <row r="23" spans="1:105" s="40" customFormat="1" x14ac:dyDescent="0.2">
      <c r="A23" s="52" t="s">
        <v>35</v>
      </c>
      <c r="B23" s="40">
        <f>IF(B$1,SUMIFS('IncStmt Data'!$H$2:$H$2051,'IncStmt Data'!$G$2:$G$2051,$A23,'IncStmt Data'!$A$2:$A$2051,B$1),#N/A)</f>
        <v>100244</v>
      </c>
      <c r="C23" s="40">
        <f>IF(C$1,SUMIFS('IncStmt Data'!$H$2:$H$2051,'IncStmt Data'!$G$2:$G$2051,$A23,'IncStmt Data'!$A$2:$A$2051,C$1),#N/A)</f>
        <v>85618</v>
      </c>
      <c r="D23" s="40">
        <f>IF(D$1,SUMIFS('IncStmt Data'!$H$2:$H$2051,'IncStmt Data'!$G$2:$G$2051,$A23,'IncStmt Data'!$A$2:$A$2051,D$1),#N/A)</f>
        <v>103413</v>
      </c>
      <c r="E23" s="40">
        <f>IF(E$1,SUMIFS('IncStmt Data'!$H$2:$H$2051,'IncStmt Data'!$G$2:$G$2051,$A23,'IncStmt Data'!$A$2:$A$2051,E$1),#N/A)</f>
        <v>149873</v>
      </c>
      <c r="F23" s="40">
        <f>IF(F$1,SUMIFS('IncStmt Data'!$H$2:$H$2051,'IncStmt Data'!$G$2:$G$2051,$A23,'IncStmt Data'!$A$2:$A$2051,F$1),#N/A)</f>
        <v>221788</v>
      </c>
      <c r="G23" s="40">
        <f>IF(G$1,SUMIFS('IncStmt Data'!$H$2:$H$2051,'IncStmt Data'!$G$2:$G$2051,$A23,'IncStmt Data'!$A$2:$A$2051,G$1),#N/A)</f>
        <v>161685</v>
      </c>
      <c r="H23" s="40">
        <f>IF(H$1,SUMIFS('IncStmt Data'!$H$2:$H$2051,'IncStmt Data'!$G$2:$G$2051,$A23,'IncStmt Data'!$A$2:$A$2051,H$1),#N/A)</f>
        <v>87386</v>
      </c>
      <c r="I23" s="40">
        <f>IF(I$1,SUMIFS('IncStmt Data'!$H$2:$H$2051,'IncStmt Data'!$G$2:$G$2051,$A23,'IncStmt Data'!$A$2:$A$2051,I$1),#N/A)</f>
        <v>110251</v>
      </c>
      <c r="J23" s="40">
        <f>IF(J$1,SUMIFS('IncStmt Data'!$H$2:$H$2051,'IncStmt Data'!$G$2:$G$2051,$A23,'IncStmt Data'!$A$2:$A$2051,J$1),#N/A)</f>
        <v>155007</v>
      </c>
      <c r="K23" s="40">
        <f>IF(K$1,SUMIFS('IncStmt Data'!$H$2:$H$2051,'IncStmt Data'!$G$2:$G$2051,$A23,'IncStmt Data'!$A$2:$A$2051,K$1),#N/A)</f>
        <v>213867</v>
      </c>
      <c r="L23" s="40">
        <f>IF(L$1,SUMIFS('IncStmt Data'!$H$2:$H$2051,'IncStmt Data'!$G$2:$G$2051,$A23,'IncStmt Data'!$A$2:$A$2051,L$1),#N/A)</f>
        <v>177593</v>
      </c>
      <c r="M23" s="40">
        <f>IF(M$1,SUMIFS('IncStmt Data'!$H$2:$H$2051,'IncStmt Data'!$G$2:$G$2051,$A23,'IncStmt Data'!$A$2:$A$2051,M$1),#N/A)</f>
        <v>128228</v>
      </c>
      <c r="N23" s="40">
        <f>IF(N$1,SUMIFS('IncStmt Data'!$H$2:$H$2051,'IncStmt Data'!$G$2:$G$2051,$A23,'IncStmt Data'!$A$2:$A$2051,N$1),#N/A)</f>
        <v>259330</v>
      </c>
      <c r="O23" s="40">
        <f>IF(O$1,SUMIFS('IncStmt Data'!$H$2:$H$2051,'IncStmt Data'!$G$2:$G$2051,$A23,'IncStmt Data'!$A$2:$A$2051,O$1),#N/A)</f>
        <v>105786</v>
      </c>
      <c r="P23" s="40">
        <f>IF(P$1,SUMIFS('IncStmt Data'!$H$2:$H$2051,'IncStmt Data'!$G$2:$G$2051,$A23,'IncStmt Data'!$A$2:$A$2051,P$1),#N/A)</f>
        <v>173166</v>
      </c>
      <c r="Q23" s="40">
        <f>IF(Q$1,SUMIFS('IncStmt Data'!$H$2:$H$2051,'IncStmt Data'!$G$2:$G$2051,$A23,'IncStmt Data'!$A$2:$A$2051,Q$1),#N/A)</f>
        <v>0</v>
      </c>
      <c r="R23" s="40">
        <f>IF(R$1,SUMIFS('IncStmt Data'!$H$2:$H$2051,'IncStmt Data'!$G$2:$G$2051,$A23,'IncStmt Data'!$A$2:$A$2051,R$1),#N/A)</f>
        <v>0</v>
      </c>
      <c r="S23" s="40">
        <f>IF(S$1,SUMIFS('IncStmt Data'!$H$2:$H$2051,'IncStmt Data'!$G$2:$G$2051,$A23,'IncStmt Data'!$A$2:$A$2051,S$1),#N/A)</f>
        <v>162155</v>
      </c>
      <c r="T23" s="40">
        <f>IF(T$1,SUMIFS('IncStmt Data'!$H$2:$H$2051,'IncStmt Data'!$G$2:$G$2051,$A23,'IncStmt Data'!$A$2:$A$2051,T$1),#N/A)</f>
        <v>165598</v>
      </c>
      <c r="U23" s="40">
        <f>IF(U$1,SUMIFS('IncStmt Data'!$H$2:$H$2051,'IncStmt Data'!$G$2:$G$2051,$A23,'IncStmt Data'!$A$2:$A$2051,U$1),#N/A)</f>
        <v>121429</v>
      </c>
      <c r="V23" s="40">
        <f>IF(V$1,SUMIFS('IncStmt Data'!$H$2:$H$2051,'IncStmt Data'!$G$2:$G$2051,$A23,'IncStmt Data'!$A$2:$A$2051,V$1),#N/A)</f>
        <v>137870</v>
      </c>
      <c r="W23" s="40">
        <f>IF(W$1,SUMIFS('IncStmt Data'!$H$2:$H$2051,'IncStmt Data'!$G$2:$G$2051,$A23,'IncStmt Data'!$A$2:$A$2051,W$1),#N/A)</f>
        <v>97311</v>
      </c>
      <c r="X23" s="40">
        <f>IF(X$1,SUMIFS('IncStmt Data'!$H$2:$H$2051,'IncStmt Data'!$G$2:$G$2051,$A23,'IncStmt Data'!$A$2:$A$2051,X$1),#N/A)</f>
        <v>120250</v>
      </c>
      <c r="Y23" s="40">
        <f>IF(Y$1,SUMIFS('IncStmt Data'!$H$2:$H$2051,'IncStmt Data'!$G$2:$G$2051,$A23,'IncStmt Data'!$A$2:$A$2051,Y$1),#N/A)</f>
        <v>0</v>
      </c>
      <c r="Z23" s="40">
        <f>IF(Z$1,SUMIFS('IncStmt Data'!$H$2:$H$2051,'IncStmt Data'!$G$2:$G$2051,$A23,'IncStmt Data'!$A$2:$A$2051,Z$1),#N/A)</f>
        <v>0</v>
      </c>
      <c r="AA23" s="40">
        <f>IF(AA$1,SUMIFS('IncStmt Data'!$H$2:$H$2051,'IncStmt Data'!$G$2:$G$2051,$A23,'IncStmt Data'!$A$2:$A$2051,AA$1),#N/A)</f>
        <v>0</v>
      </c>
      <c r="AB23" s="40">
        <f>IF(AB$1,SUMIFS('IncStmt Data'!$H$2:$H$2051,'IncStmt Data'!$G$2:$G$2051,$A23,'IncStmt Data'!$A$2:$A$2051,AB$1),#N/A)</f>
        <v>0</v>
      </c>
      <c r="AC23" s="40">
        <f>IF(AC$1,SUMIFS('IncStmt Data'!$H$2:$H$2051,'IncStmt Data'!$G$2:$G$2051,$A23,'IncStmt Data'!$A$2:$A$2051,AC$1),#N/A)</f>
        <v>0</v>
      </c>
      <c r="AD23" s="40">
        <f>IF(AD$1,SUMIFS('IncStmt Data'!$H$2:$H$2051,'IncStmt Data'!$G$2:$G$2051,$A23,'IncStmt Data'!$A$2:$A$2051,AD$1),#N/A)</f>
        <v>142824</v>
      </c>
      <c r="AE23" s="40">
        <f>IF(AE$1,SUMIFS('IncStmt Data'!$H$2:$H$2051,'IncStmt Data'!$G$2:$G$2051,$A23,'IncStmt Data'!$A$2:$A$2051,AE$1),#N/A)</f>
        <v>178350</v>
      </c>
      <c r="AF23" s="40">
        <f>IF(AF$1,SUMIFS('IncStmt Data'!$H$2:$H$2051,'IncStmt Data'!$G$2:$G$2051,$A23,'IncStmt Data'!$A$2:$A$2051,AF$1),#N/A)</f>
        <v>114244</v>
      </c>
      <c r="AG23" s="40">
        <f>IF(AG$1,SUMIFS('IncStmt Data'!$H$2:$H$2051,'IncStmt Data'!$G$2:$G$2051,$A23,'IncStmt Data'!$A$2:$A$2051,AG$1),#N/A)</f>
        <v>119483</v>
      </c>
      <c r="AH23" s="40">
        <f>IF(AH$1,SUMIFS('IncStmt Data'!$H$2:$H$2051,'IncStmt Data'!$G$2:$G$2051,$A23,'IncStmt Data'!$A$2:$A$2051,AH$1),#N/A)</f>
        <v>112659</v>
      </c>
      <c r="AI23" s="40">
        <f>IF(AI$1,SUMIFS('IncStmt Data'!$H$2:$H$2051,'IncStmt Data'!$G$2:$G$2051,$A23,'IncStmt Data'!$A$2:$A$2051,AI$1),#N/A)</f>
        <v>166371</v>
      </c>
      <c r="AJ23" s="40">
        <f>IF(AJ$1,SUMIFS('IncStmt Data'!$H$2:$H$2051,'IncStmt Data'!$G$2:$G$2051,$A23,'IncStmt Data'!$A$2:$A$2051,AJ$1),#N/A)</f>
        <v>112603</v>
      </c>
      <c r="AK23" s="40" t="e">
        <f>IF(AK$1,SUMIFS('IncStmt Data'!$H$2:$H$2051,'IncStmt Data'!$G$2:$G$2051,$A23,'IncStmt Data'!$A$2:$A$2051,AK$1),#N/A)</f>
        <v>#N/A</v>
      </c>
      <c r="AL23" s="40" t="e">
        <f>IF(AL$1,SUMIFS('IncStmt Data'!$H$2:$H$2051,'IncStmt Data'!$G$2:$G$2051,$A23,'IncStmt Data'!$A$2:$A$2051,AL$1),#N/A)</f>
        <v>#N/A</v>
      </c>
      <c r="AM23" s="40" t="e">
        <f>IF(AM$1,SUMIFS('IncStmt Data'!$H$2:$H$2051,'IncStmt Data'!$G$2:$G$2051,$A23,'IncStmt Data'!$A$2:$A$2051,AM$1),#N/A)</f>
        <v>#N/A</v>
      </c>
      <c r="AN23" s="40" t="e">
        <f>IF(AN$1,SUMIFS('IncStmt Data'!$H$2:$H$2051,'IncStmt Data'!$G$2:$G$2051,$A23,'IncStmt Data'!$A$2:$A$2051,AN$1),#N/A)</f>
        <v>#N/A</v>
      </c>
      <c r="AO23" s="40" t="e">
        <f>IF(AO$1,SUMIFS('IncStmt Data'!$H$2:$H$2051,'IncStmt Data'!$G$2:$G$2051,$A23,'IncStmt Data'!$A$2:$A$2051,AO$1),#N/A)</f>
        <v>#N/A</v>
      </c>
      <c r="AP23" s="40" t="e">
        <f>IF(AP$1,SUMIFS('IncStmt Data'!$H$2:$H$2051,'IncStmt Data'!$G$2:$G$2051,$A23,'IncStmt Data'!$A$2:$A$2051,AP$1),#N/A)</f>
        <v>#N/A</v>
      </c>
      <c r="AQ23" s="40" t="e">
        <f>IF(AQ$1,SUMIFS('IncStmt Data'!$H$2:$H$2051,'IncStmt Data'!$G$2:$G$2051,$A23,'IncStmt Data'!$A$2:$A$2051,AQ$1),#N/A)</f>
        <v>#N/A</v>
      </c>
      <c r="AR23" s="40" t="e">
        <f>IF(AR$1,SUMIFS('IncStmt Data'!$H$2:$H$2051,'IncStmt Data'!$G$2:$G$2051,$A23,'IncStmt Data'!$A$2:$A$2051,AR$1),#N/A)</f>
        <v>#N/A</v>
      </c>
      <c r="AS23" s="40" t="e">
        <f>IF(AS$1,SUMIFS('IncStmt Data'!$H$2:$H$2051,'IncStmt Data'!$G$2:$G$2051,$A23,'IncStmt Data'!$A$2:$A$2051,AS$1),#N/A)</f>
        <v>#N/A</v>
      </c>
      <c r="AT23" s="40" t="e">
        <f>IF(AT$1,SUMIFS('IncStmt Data'!$H$2:$H$2051,'IncStmt Data'!$G$2:$G$2051,$A23,'IncStmt Data'!$A$2:$A$2051,AT$1),#N/A)</f>
        <v>#N/A</v>
      </c>
      <c r="AU23" s="40" t="e">
        <f>IF(AU$1,SUMIFS('IncStmt Data'!$H$2:$H$2051,'IncStmt Data'!$G$2:$G$2051,$A23,'IncStmt Data'!$A$2:$A$2051,AU$1),#N/A)</f>
        <v>#N/A</v>
      </c>
      <c r="AV23" s="40" t="e">
        <f>IF(AV$1,SUMIFS('IncStmt Data'!$H$2:$H$2051,'IncStmt Data'!$G$2:$G$2051,$A23,'IncStmt Data'!$A$2:$A$2051,AV$1),#N/A)</f>
        <v>#N/A</v>
      </c>
      <c r="AW23" s="40" t="e">
        <f>IF(AW$1,SUMIFS('IncStmt Data'!$H$2:$H$2051,'IncStmt Data'!$G$2:$G$2051,$A23,'IncStmt Data'!$A$2:$A$2051,AW$1),#N/A)</f>
        <v>#N/A</v>
      </c>
      <c r="AX23" s="40" t="e">
        <f>IF(AX$1,SUMIFS('IncStmt Data'!$H$2:$H$2051,'IncStmt Data'!$G$2:$G$2051,$A23,'IncStmt Data'!$A$2:$A$2051,AX$1),#N/A)</f>
        <v>#N/A</v>
      </c>
      <c r="AY23" s="40" t="e">
        <f>IF(AY$1,SUMIFS('IncStmt Data'!$H$2:$H$2051,'IncStmt Data'!$G$2:$G$2051,$A23,'IncStmt Data'!$A$2:$A$2051,AY$1),#N/A)</f>
        <v>#N/A</v>
      </c>
      <c r="AZ23" s="40" t="e">
        <f>IF(AZ$1,SUMIFS('IncStmt Data'!$H$2:$H$2051,'IncStmt Data'!$G$2:$G$2051,$A23,'IncStmt Data'!$A$2:$A$2051,AZ$1),#N/A)</f>
        <v>#N/A</v>
      </c>
      <c r="BA23" s="40" t="e">
        <f>IF(BA$1,SUMIFS('IncStmt Data'!$H$2:$H$2051,'IncStmt Data'!$G$2:$G$2051,$A23,'IncStmt Data'!$A$2:$A$2051,BA$1),#N/A)</f>
        <v>#N/A</v>
      </c>
      <c r="BB23" s="40" t="e">
        <f>IF(BB$1,SUMIFS('IncStmt Data'!$H$2:$H$2051,'IncStmt Data'!$G$2:$G$2051,$A23,'IncStmt Data'!$A$2:$A$2051,BB$1),#N/A)</f>
        <v>#N/A</v>
      </c>
      <c r="BC23" s="40" t="e">
        <f>IF(BC$1,SUMIFS('IncStmt Data'!$H$2:$H$2051,'IncStmt Data'!$G$2:$G$2051,$A23,'IncStmt Data'!$A$2:$A$2051,BC$1),#N/A)</f>
        <v>#N/A</v>
      </c>
      <c r="BD23" s="40" t="e">
        <f>IF(BD$1,SUMIFS('IncStmt Data'!$H$2:$H$2051,'IncStmt Data'!$G$2:$G$2051,$A23,'IncStmt Data'!$A$2:$A$2051,BD$1),#N/A)</f>
        <v>#N/A</v>
      </c>
      <c r="BE23" s="40" t="e">
        <f>IF(BE$1,SUMIFS('IncStmt Data'!$H$2:$H$2051,'IncStmt Data'!$G$2:$G$2051,$A23,'IncStmt Data'!$A$2:$A$2051,BE$1),#N/A)</f>
        <v>#N/A</v>
      </c>
      <c r="BF23" s="40" t="e">
        <f>IF(BF$1,SUMIFS('IncStmt Data'!$H$2:$H$2051,'IncStmt Data'!$G$2:$G$2051,$A23,'IncStmt Data'!$A$2:$A$2051,BF$1),#N/A)</f>
        <v>#N/A</v>
      </c>
      <c r="BG23" s="40" t="e">
        <f>IF(BG$1,SUMIFS('IncStmt Data'!$H$2:$H$2051,'IncStmt Data'!$G$2:$G$2051,$A23,'IncStmt Data'!$A$2:$A$2051,BG$1),#N/A)</f>
        <v>#N/A</v>
      </c>
      <c r="BH23" s="40" t="e">
        <f>IF(BH$1,SUMIFS('IncStmt Data'!$H$2:$H$2051,'IncStmt Data'!$G$2:$G$2051,$A23,'IncStmt Data'!$A$2:$A$2051,BH$1),#N/A)</f>
        <v>#N/A</v>
      </c>
      <c r="BI23" s="40" t="e">
        <f>IF(BI$1,SUMIFS('IncStmt Data'!$H$2:$H$2051,'IncStmt Data'!$G$2:$G$2051,$A23,'IncStmt Data'!$A$2:$A$2051,BI$1),#N/A)</f>
        <v>#N/A</v>
      </c>
      <c r="BJ23" s="40" t="e">
        <f>IF(BJ$1,SUMIFS('IncStmt Data'!$H$2:$H$2051,'IncStmt Data'!$G$2:$G$2051,$A23,'IncStmt Data'!$A$2:$A$2051,BJ$1),#N/A)</f>
        <v>#N/A</v>
      </c>
      <c r="BK23" s="40" t="e">
        <f>IF(BK$1,SUMIFS('IncStmt Data'!$H$2:$H$2051,'IncStmt Data'!$G$2:$G$2051,$A23,'IncStmt Data'!$A$2:$A$2051,BK$1),#N/A)</f>
        <v>#N/A</v>
      </c>
      <c r="BL23" s="40" t="e">
        <f>IF(BL$1,SUMIFS('IncStmt Data'!$H$2:$H$2051,'IncStmt Data'!$G$2:$G$2051,$A23,'IncStmt Data'!$A$2:$A$2051,BL$1),#N/A)</f>
        <v>#N/A</v>
      </c>
      <c r="BM23" s="40" t="e">
        <f>IF(BM$1,SUMIFS('IncStmt Data'!$H$2:$H$2051,'IncStmt Data'!$G$2:$G$2051,$A23,'IncStmt Data'!$A$2:$A$2051,BM$1),#N/A)</f>
        <v>#N/A</v>
      </c>
      <c r="BN23" s="40" t="e">
        <f>IF(BN$1,SUMIFS('IncStmt Data'!$H$2:$H$2051,'IncStmt Data'!$G$2:$G$2051,$A23,'IncStmt Data'!$A$2:$A$2051,BN$1),#N/A)</f>
        <v>#N/A</v>
      </c>
      <c r="BO23" s="40" t="e">
        <f>IF(BO$1,SUMIFS('IncStmt Data'!$H$2:$H$2051,'IncStmt Data'!$G$2:$G$2051,$A23,'IncStmt Data'!$A$2:$A$2051,BO$1),#N/A)</f>
        <v>#N/A</v>
      </c>
      <c r="BP23" s="40" t="e">
        <f>IF(BP$1,SUMIFS('IncStmt Data'!$H$2:$H$2051,'IncStmt Data'!$G$2:$G$2051,$A23,'IncStmt Data'!$A$2:$A$2051,BP$1),#N/A)</f>
        <v>#N/A</v>
      </c>
      <c r="BQ23" s="40" t="e">
        <f>IF(BQ$1,SUMIFS('IncStmt Data'!$H$2:$H$2051,'IncStmt Data'!$G$2:$G$2051,$A23,'IncStmt Data'!$A$2:$A$2051,BQ$1),#N/A)</f>
        <v>#N/A</v>
      </c>
      <c r="BR23" s="40" t="e">
        <f>IF(BR$1,SUMIFS('IncStmt Data'!$H$2:$H$2051,'IncStmt Data'!$G$2:$G$2051,$A23,'IncStmt Data'!$A$2:$A$2051,BR$1),#N/A)</f>
        <v>#N/A</v>
      </c>
      <c r="BS23" s="40" t="e">
        <f>IF(BS$1,SUMIFS('IncStmt Data'!$H$2:$H$2051,'IncStmt Data'!$G$2:$G$2051,$A23,'IncStmt Data'!$A$2:$A$2051,BS$1),#N/A)</f>
        <v>#N/A</v>
      </c>
      <c r="BT23" s="40" t="e">
        <f>IF(BT$1,SUMIFS('IncStmt Data'!$H$2:$H$2051,'IncStmt Data'!$G$2:$G$2051,$A23,'IncStmt Data'!$A$2:$A$2051,BT$1),#N/A)</f>
        <v>#N/A</v>
      </c>
      <c r="BU23" s="40" t="e">
        <f>IF(BU$1,SUMIFS('IncStmt Data'!$H$2:$H$2051,'IncStmt Data'!$G$2:$G$2051,$A23,'IncStmt Data'!$A$2:$A$2051,BU$1),#N/A)</f>
        <v>#N/A</v>
      </c>
      <c r="BV23" s="40" t="e">
        <f>IF(BV$1,SUMIFS('IncStmt Data'!$H$2:$H$2051,'IncStmt Data'!$G$2:$G$2051,$A23,'IncStmt Data'!$A$2:$A$2051,BV$1),#N/A)</f>
        <v>#N/A</v>
      </c>
      <c r="BW23" s="40" t="e">
        <f>IF(BW$1,SUMIFS('IncStmt Data'!$H$2:$H$2051,'IncStmt Data'!$G$2:$G$2051,$A23,'IncStmt Data'!$A$2:$A$2051,BW$1),#N/A)</f>
        <v>#N/A</v>
      </c>
      <c r="BX23" s="40" t="e">
        <f>IF(BX$1,SUMIFS('IncStmt Data'!$H$2:$H$2051,'IncStmt Data'!$G$2:$G$2051,$A23,'IncStmt Data'!$A$2:$A$2051,BX$1),#N/A)</f>
        <v>#N/A</v>
      </c>
      <c r="BY23" s="40" t="e">
        <f>IF(BY$1,SUMIFS('IncStmt Data'!$H$2:$H$2051,'IncStmt Data'!$G$2:$G$2051,$A23,'IncStmt Data'!$A$2:$A$2051,BY$1),#N/A)</f>
        <v>#N/A</v>
      </c>
      <c r="BZ23" s="40" t="e">
        <f>IF(BZ$1,SUMIFS('IncStmt Data'!$H$2:$H$2051,'IncStmt Data'!$G$2:$G$2051,$A23,'IncStmt Data'!$A$2:$A$2051,BZ$1),#N/A)</f>
        <v>#N/A</v>
      </c>
      <c r="CA23" s="40" t="e">
        <f>IF(CA$1,SUMIFS('IncStmt Data'!$H$2:$H$2051,'IncStmt Data'!$G$2:$G$2051,$A23,'IncStmt Data'!$A$2:$A$2051,CA$1),#N/A)</f>
        <v>#N/A</v>
      </c>
      <c r="CB23" s="40" t="e">
        <f>IF(CB$1,SUMIFS('IncStmt Data'!$H$2:$H$2051,'IncStmt Data'!$G$2:$G$2051,$A23,'IncStmt Data'!$A$2:$A$2051,CB$1),#N/A)</f>
        <v>#N/A</v>
      </c>
      <c r="CC23" s="40" t="e">
        <f>IF(CC$1,SUMIFS('IncStmt Data'!$H$2:$H$2051,'IncStmt Data'!$G$2:$G$2051,$A23,'IncStmt Data'!$A$2:$A$2051,CC$1),#N/A)</f>
        <v>#N/A</v>
      </c>
      <c r="CD23" s="40" t="e">
        <f>IF(CD$1,SUMIFS('IncStmt Data'!$H$2:$H$2051,'IncStmt Data'!$G$2:$G$2051,$A23,'IncStmt Data'!$A$2:$A$2051,CD$1),#N/A)</f>
        <v>#N/A</v>
      </c>
      <c r="CE23" s="40" t="e">
        <f>IF(CE$1,SUMIFS('IncStmt Data'!$H$2:$H$2051,'IncStmt Data'!$G$2:$G$2051,$A23,'IncStmt Data'!$A$2:$A$2051,CE$1),#N/A)</f>
        <v>#N/A</v>
      </c>
      <c r="CF23" s="40" t="e">
        <f>IF(CF$1,SUMIFS('IncStmt Data'!$H$2:$H$2051,'IncStmt Data'!$G$2:$G$2051,$A23,'IncStmt Data'!$A$2:$A$2051,CF$1),#N/A)</f>
        <v>#N/A</v>
      </c>
      <c r="CG23" s="40" t="e">
        <f>IF(CG$1,SUMIFS('IncStmt Data'!$H$2:$H$2051,'IncStmt Data'!$G$2:$G$2051,$A23,'IncStmt Data'!$A$2:$A$2051,CG$1),#N/A)</f>
        <v>#N/A</v>
      </c>
      <c r="CH23" s="40" t="e">
        <f>IF(CH$1,SUMIFS('IncStmt Data'!$H$2:$H$2051,'IncStmt Data'!$G$2:$G$2051,$A23,'IncStmt Data'!$A$2:$A$2051,CH$1),#N/A)</f>
        <v>#N/A</v>
      </c>
      <c r="CI23" s="40" t="e">
        <f>IF(CI$1,SUMIFS('IncStmt Data'!$H$2:$H$2051,'IncStmt Data'!$G$2:$G$2051,$A23,'IncStmt Data'!$A$2:$A$2051,CI$1),#N/A)</f>
        <v>#N/A</v>
      </c>
      <c r="CJ23" s="40" t="e">
        <f>IF(CJ$1,SUMIFS('IncStmt Data'!$H$2:$H$2051,'IncStmt Data'!$G$2:$G$2051,$A23,'IncStmt Data'!$A$2:$A$2051,CJ$1),#N/A)</f>
        <v>#N/A</v>
      </c>
      <c r="CK23" s="40" t="e">
        <f>IF(CK$1,SUMIFS('IncStmt Data'!$H$2:$H$2051,'IncStmt Data'!$G$2:$G$2051,$A23,'IncStmt Data'!$A$2:$A$2051,CK$1),#N/A)</f>
        <v>#N/A</v>
      </c>
      <c r="CL23" s="40" t="e">
        <f>IF(CL$1,SUMIFS('IncStmt Data'!$H$2:$H$2051,'IncStmt Data'!$G$2:$G$2051,$A23,'IncStmt Data'!$A$2:$A$2051,CL$1),#N/A)</f>
        <v>#N/A</v>
      </c>
      <c r="CM23" s="40" t="e">
        <f>IF(CM$1,SUMIFS('IncStmt Data'!$H$2:$H$2051,'IncStmt Data'!$G$2:$G$2051,$A23,'IncStmt Data'!$A$2:$A$2051,CM$1),#N/A)</f>
        <v>#N/A</v>
      </c>
      <c r="CN23" s="40" t="e">
        <f>IF(CN$1,SUMIFS('IncStmt Data'!$H$2:$H$2051,'IncStmt Data'!$G$2:$G$2051,$A23,'IncStmt Data'!$A$2:$A$2051,CN$1),#N/A)</f>
        <v>#N/A</v>
      </c>
      <c r="CO23" s="40" t="e">
        <f>IF(CO$1,SUMIFS('IncStmt Data'!$H$2:$H$2051,'IncStmt Data'!$G$2:$G$2051,$A23,'IncStmt Data'!$A$2:$A$2051,CO$1),#N/A)</f>
        <v>#N/A</v>
      </c>
      <c r="CP23" s="40" t="e">
        <f>IF(CP$1,SUMIFS('IncStmt Data'!$H$2:$H$2051,'IncStmt Data'!$G$2:$G$2051,$A23,'IncStmt Data'!$A$2:$A$2051,CP$1),#N/A)</f>
        <v>#N/A</v>
      </c>
      <c r="CQ23" s="40" t="e">
        <f>IF(CQ$1,SUMIFS('IncStmt Data'!$H$2:$H$2051,'IncStmt Data'!$G$2:$G$2051,$A23,'IncStmt Data'!$A$2:$A$2051,CQ$1),#N/A)</f>
        <v>#N/A</v>
      </c>
      <c r="CR23" s="40" t="e">
        <f>IF(CR$1,SUMIFS('IncStmt Data'!$H$2:$H$2051,'IncStmt Data'!$G$2:$G$2051,$A23,'IncStmt Data'!$A$2:$A$2051,CR$1),#N/A)</f>
        <v>#N/A</v>
      </c>
      <c r="CS23" s="40" t="e">
        <f>IF(CS$1,SUMIFS('IncStmt Data'!$H$2:$H$2051,'IncStmt Data'!$G$2:$G$2051,$A23,'IncStmt Data'!$A$2:$A$2051,CS$1),#N/A)</f>
        <v>#N/A</v>
      </c>
      <c r="CT23" s="40" t="e">
        <f>IF(CT$1,SUMIFS('IncStmt Data'!$H$2:$H$2051,'IncStmt Data'!$G$2:$G$2051,$A23,'IncStmt Data'!$A$2:$A$2051,CT$1),#N/A)</f>
        <v>#N/A</v>
      </c>
      <c r="CU23" s="40" t="e">
        <f>IF(CU$1,SUMIFS('IncStmt Data'!$H$2:$H$2051,'IncStmt Data'!$G$2:$G$2051,$A23,'IncStmt Data'!$A$2:$A$2051,CU$1),#N/A)</f>
        <v>#N/A</v>
      </c>
      <c r="CV23" s="40" t="e">
        <f>IF(CV$1,SUMIFS('IncStmt Data'!$H$2:$H$2051,'IncStmt Data'!$G$2:$G$2051,$A23,'IncStmt Data'!$A$2:$A$2051,CV$1),#N/A)</f>
        <v>#N/A</v>
      </c>
      <c r="CW23" s="40" t="e">
        <f>IF(CW$1,SUMIFS('IncStmt Data'!$H$2:$H$2051,'IncStmt Data'!$G$2:$G$2051,$A23,'IncStmt Data'!$A$2:$A$2051,CW$1),#N/A)</f>
        <v>#N/A</v>
      </c>
      <c r="CX23" s="40" t="e">
        <f>IF(CX$1,SUMIFS('IncStmt Data'!$H$2:$H$2051,'IncStmt Data'!$G$2:$G$2051,$A23,'IncStmt Data'!$A$2:$A$2051,CX$1),#N/A)</f>
        <v>#N/A</v>
      </c>
      <c r="CY23" s="40" t="e">
        <f>IF(CY$1,SUMIFS('IncStmt Data'!$H$2:$H$2051,'IncStmt Data'!$G$2:$G$2051,$A23,'IncStmt Data'!$A$2:$A$2051,CY$1),#N/A)</f>
        <v>#N/A</v>
      </c>
      <c r="CZ23" s="40" t="e">
        <f>IF(CZ$1,SUMIFS('IncStmt Data'!$H$2:$H$2051,'IncStmt Data'!$G$2:$G$2051,$A23,'IncStmt Data'!$A$2:$A$2051,CZ$1),#N/A)</f>
        <v>#N/A</v>
      </c>
      <c r="DA23" s="40">
        <f>SUM(B23:AJ23)</f>
        <v>3984382</v>
      </c>
    </row>
    <row r="24" spans="1:105" s="40" customFormat="1" x14ac:dyDescent="0.2">
      <c r="A24" s="52" t="s">
        <v>36</v>
      </c>
      <c r="B24" s="40">
        <f>IF(B$1,SUMIFS('IncStmt Data'!$H$2:$H$2051,'IncStmt Data'!$G$2:$G$2051,$A24,'IncStmt Data'!$A$2:$A$2051,B$1),#N/A)</f>
        <v>82186</v>
      </c>
      <c r="C24" s="40">
        <f>IF(C$1,SUMIFS('IncStmt Data'!$H$2:$H$2051,'IncStmt Data'!$G$2:$G$2051,$A24,'IncStmt Data'!$A$2:$A$2051,C$1),#N/A)</f>
        <v>66152</v>
      </c>
      <c r="D24" s="40">
        <f>IF(D$1,SUMIFS('IncStmt Data'!$H$2:$H$2051,'IncStmt Data'!$G$2:$G$2051,$A24,'IncStmt Data'!$A$2:$A$2051,D$1),#N/A)</f>
        <v>89113</v>
      </c>
      <c r="E24" s="40">
        <f>IF(E$1,SUMIFS('IncStmt Data'!$H$2:$H$2051,'IncStmt Data'!$G$2:$G$2051,$A24,'IncStmt Data'!$A$2:$A$2051,E$1),#N/A)</f>
        <v>109721</v>
      </c>
      <c r="F24" s="40">
        <f>IF(F$1,SUMIFS('IncStmt Data'!$H$2:$H$2051,'IncStmt Data'!$G$2:$G$2051,$A24,'IncStmt Data'!$A$2:$A$2051,F$1),#N/A)</f>
        <v>152761</v>
      </c>
      <c r="G24" s="40">
        <f>IF(G$1,SUMIFS('IncStmt Data'!$H$2:$H$2051,'IncStmt Data'!$G$2:$G$2051,$A24,'IncStmt Data'!$A$2:$A$2051,G$1),#N/A)</f>
        <v>44390</v>
      </c>
      <c r="H24" s="40">
        <f>IF(H$1,SUMIFS('IncStmt Data'!$H$2:$H$2051,'IncStmt Data'!$G$2:$G$2051,$A24,'IncStmt Data'!$A$2:$A$2051,H$1),#N/A)</f>
        <v>64942</v>
      </c>
      <c r="I24" s="40">
        <f>IF(I$1,SUMIFS('IncStmt Data'!$H$2:$H$2051,'IncStmt Data'!$G$2:$G$2051,$A24,'IncStmt Data'!$A$2:$A$2051,I$1),#N/A)</f>
        <v>83295</v>
      </c>
      <c r="J24" s="40">
        <f>IF(J$1,SUMIFS('IncStmt Data'!$H$2:$H$2051,'IncStmt Data'!$G$2:$G$2051,$A24,'IncStmt Data'!$A$2:$A$2051,J$1),#N/A)</f>
        <v>144511</v>
      </c>
      <c r="K24" s="40">
        <f>IF(K$1,SUMIFS('IncStmt Data'!$H$2:$H$2051,'IncStmt Data'!$G$2:$G$2051,$A24,'IncStmt Data'!$A$2:$A$2051,K$1),#N/A)</f>
        <v>137186</v>
      </c>
      <c r="L24" s="40">
        <f>IF(L$1,SUMIFS('IncStmt Data'!$H$2:$H$2051,'IncStmt Data'!$G$2:$G$2051,$A24,'IncStmt Data'!$A$2:$A$2051,L$1),#N/A)</f>
        <v>94637</v>
      </c>
      <c r="M24" s="40">
        <f>IF(M$1,SUMIFS('IncStmt Data'!$H$2:$H$2051,'IncStmt Data'!$G$2:$G$2051,$A24,'IncStmt Data'!$A$2:$A$2051,M$1),#N/A)</f>
        <v>78316</v>
      </c>
      <c r="N24" s="40">
        <f>IF(N$1,SUMIFS('IncStmt Data'!$H$2:$H$2051,'IncStmt Data'!$G$2:$G$2051,$A24,'IncStmt Data'!$A$2:$A$2051,N$1),#N/A)</f>
        <v>160086</v>
      </c>
      <c r="O24" s="40">
        <f>IF(O$1,SUMIFS('IncStmt Data'!$H$2:$H$2051,'IncStmt Data'!$G$2:$G$2051,$A24,'IncStmt Data'!$A$2:$A$2051,O$1),#N/A)</f>
        <v>68593</v>
      </c>
      <c r="P24" s="40">
        <f>IF(P$1,SUMIFS('IncStmt Data'!$H$2:$H$2051,'IncStmt Data'!$G$2:$G$2051,$A24,'IncStmt Data'!$A$2:$A$2051,P$1),#N/A)</f>
        <v>109266</v>
      </c>
      <c r="Q24" s="40">
        <f>IF(Q$1,SUMIFS('IncStmt Data'!$H$2:$H$2051,'IncStmt Data'!$G$2:$G$2051,$A24,'IncStmt Data'!$A$2:$A$2051,Q$1),#N/A)</f>
        <v>0</v>
      </c>
      <c r="R24" s="40">
        <f>IF(R$1,SUMIFS('IncStmt Data'!$H$2:$H$2051,'IncStmt Data'!$G$2:$G$2051,$A24,'IncStmt Data'!$A$2:$A$2051,R$1),#N/A)</f>
        <v>0</v>
      </c>
      <c r="S24" s="40">
        <f>IF(S$1,SUMIFS('IncStmt Data'!$H$2:$H$2051,'IncStmt Data'!$G$2:$G$2051,$A24,'IncStmt Data'!$A$2:$A$2051,S$1),#N/A)</f>
        <v>72048</v>
      </c>
      <c r="T24" s="40">
        <f>IF(T$1,SUMIFS('IncStmt Data'!$H$2:$H$2051,'IncStmt Data'!$G$2:$G$2051,$A24,'IncStmt Data'!$A$2:$A$2051,T$1),#N/A)</f>
        <v>71688</v>
      </c>
      <c r="U24" s="40">
        <f>IF(U$1,SUMIFS('IncStmt Data'!$H$2:$H$2051,'IncStmt Data'!$G$2:$G$2051,$A24,'IncStmt Data'!$A$2:$A$2051,U$1),#N/A)</f>
        <v>93111</v>
      </c>
      <c r="V24" s="40">
        <f>IF(V$1,SUMIFS('IncStmt Data'!$H$2:$H$2051,'IncStmt Data'!$G$2:$G$2051,$A24,'IncStmt Data'!$A$2:$A$2051,V$1),#N/A)</f>
        <v>97623</v>
      </c>
      <c r="W24" s="40">
        <f>IF(W$1,SUMIFS('IncStmt Data'!$H$2:$H$2051,'IncStmt Data'!$G$2:$G$2051,$A24,'IncStmt Data'!$A$2:$A$2051,W$1),#N/A)</f>
        <v>65849</v>
      </c>
      <c r="X24" s="40">
        <f>IF(X$1,SUMIFS('IncStmt Data'!$H$2:$H$2051,'IncStmt Data'!$G$2:$G$2051,$A24,'IncStmt Data'!$A$2:$A$2051,X$1),#N/A)</f>
        <v>52943</v>
      </c>
      <c r="Y24" s="40">
        <f>IF(Y$1,SUMIFS('IncStmt Data'!$H$2:$H$2051,'IncStmt Data'!$G$2:$G$2051,$A24,'IncStmt Data'!$A$2:$A$2051,Y$1),#N/A)</f>
        <v>0</v>
      </c>
      <c r="Z24" s="40">
        <f>IF(Z$1,SUMIFS('IncStmt Data'!$H$2:$H$2051,'IncStmt Data'!$G$2:$G$2051,$A24,'IncStmt Data'!$A$2:$A$2051,Z$1),#N/A)</f>
        <v>0</v>
      </c>
      <c r="AA24" s="40">
        <f>IF(AA$1,SUMIFS('IncStmt Data'!$H$2:$H$2051,'IncStmt Data'!$G$2:$G$2051,$A24,'IncStmt Data'!$A$2:$A$2051,AA$1),#N/A)</f>
        <v>0</v>
      </c>
      <c r="AB24" s="40">
        <f>IF(AB$1,SUMIFS('IncStmt Data'!$H$2:$H$2051,'IncStmt Data'!$G$2:$G$2051,$A24,'IncStmt Data'!$A$2:$A$2051,AB$1),#N/A)</f>
        <v>0</v>
      </c>
      <c r="AC24" s="40">
        <f>IF(AC$1,SUMIFS('IncStmt Data'!$H$2:$H$2051,'IncStmt Data'!$G$2:$G$2051,$A24,'IncStmt Data'!$A$2:$A$2051,AC$1),#N/A)</f>
        <v>0</v>
      </c>
      <c r="AD24" s="40">
        <f>IF(AD$1,SUMIFS('IncStmt Data'!$H$2:$H$2051,'IncStmt Data'!$G$2:$G$2051,$A24,'IncStmt Data'!$A$2:$A$2051,AD$1),#N/A)</f>
        <v>129870</v>
      </c>
      <c r="AE24" s="40">
        <f>IF(AE$1,SUMIFS('IncStmt Data'!$H$2:$H$2051,'IncStmt Data'!$G$2:$G$2051,$A24,'IncStmt Data'!$A$2:$A$2051,AE$1),#N/A)</f>
        <v>100422</v>
      </c>
      <c r="AF24" s="40">
        <f>IF(AF$1,SUMIFS('IncStmt Data'!$H$2:$H$2051,'IncStmt Data'!$G$2:$G$2051,$A24,'IncStmt Data'!$A$2:$A$2051,AF$1),#N/A)</f>
        <v>59641</v>
      </c>
      <c r="AG24" s="40">
        <f>IF(AG$1,SUMIFS('IncStmt Data'!$H$2:$H$2051,'IncStmt Data'!$G$2:$G$2051,$A24,'IncStmt Data'!$A$2:$A$2051,AG$1),#N/A)</f>
        <v>56061</v>
      </c>
      <c r="AH24" s="40">
        <f>IF(AH$1,SUMIFS('IncStmt Data'!$H$2:$H$2051,'IncStmt Data'!$G$2:$G$2051,$A24,'IncStmt Data'!$A$2:$A$2051,AH$1),#N/A)</f>
        <v>81625</v>
      </c>
      <c r="AI24" s="40">
        <f>IF(AI$1,SUMIFS('IncStmt Data'!$H$2:$H$2051,'IncStmt Data'!$G$2:$G$2051,$A24,'IncStmt Data'!$A$2:$A$2051,AI$1),#N/A)</f>
        <v>167667</v>
      </c>
      <c r="AJ24" s="40">
        <f>IF(AJ$1,SUMIFS('IncStmt Data'!$H$2:$H$2051,'IncStmt Data'!$G$2:$G$2051,$A24,'IncStmt Data'!$A$2:$A$2051,AJ$1),#N/A)</f>
        <v>120261</v>
      </c>
      <c r="AK24" s="40" t="e">
        <f>IF(AK$1,SUMIFS('IncStmt Data'!$H$2:$H$2051,'IncStmt Data'!$G$2:$G$2051,$A24,'IncStmt Data'!$A$2:$A$2051,AK$1),#N/A)</f>
        <v>#N/A</v>
      </c>
      <c r="AL24" s="40" t="e">
        <f>IF(AL$1,SUMIFS('IncStmt Data'!$H$2:$H$2051,'IncStmt Data'!$G$2:$G$2051,$A24,'IncStmt Data'!$A$2:$A$2051,AL$1),#N/A)</f>
        <v>#N/A</v>
      </c>
      <c r="AM24" s="40" t="e">
        <f>IF(AM$1,SUMIFS('IncStmt Data'!$H$2:$H$2051,'IncStmt Data'!$G$2:$G$2051,$A24,'IncStmt Data'!$A$2:$A$2051,AM$1),#N/A)</f>
        <v>#N/A</v>
      </c>
      <c r="AN24" s="40" t="e">
        <f>IF(AN$1,SUMIFS('IncStmt Data'!$H$2:$H$2051,'IncStmt Data'!$G$2:$G$2051,$A24,'IncStmt Data'!$A$2:$A$2051,AN$1),#N/A)</f>
        <v>#N/A</v>
      </c>
      <c r="AO24" s="40" t="e">
        <f>IF(AO$1,SUMIFS('IncStmt Data'!$H$2:$H$2051,'IncStmt Data'!$G$2:$G$2051,$A24,'IncStmt Data'!$A$2:$A$2051,AO$1),#N/A)</f>
        <v>#N/A</v>
      </c>
      <c r="AP24" s="40" t="e">
        <f>IF(AP$1,SUMIFS('IncStmt Data'!$H$2:$H$2051,'IncStmt Data'!$G$2:$G$2051,$A24,'IncStmt Data'!$A$2:$A$2051,AP$1),#N/A)</f>
        <v>#N/A</v>
      </c>
      <c r="AQ24" s="40" t="e">
        <f>IF(AQ$1,SUMIFS('IncStmt Data'!$H$2:$H$2051,'IncStmt Data'!$G$2:$G$2051,$A24,'IncStmt Data'!$A$2:$A$2051,AQ$1),#N/A)</f>
        <v>#N/A</v>
      </c>
      <c r="AR24" s="40" t="e">
        <f>IF(AR$1,SUMIFS('IncStmt Data'!$H$2:$H$2051,'IncStmt Data'!$G$2:$G$2051,$A24,'IncStmt Data'!$A$2:$A$2051,AR$1),#N/A)</f>
        <v>#N/A</v>
      </c>
      <c r="AS24" s="40" t="e">
        <f>IF(AS$1,SUMIFS('IncStmt Data'!$H$2:$H$2051,'IncStmt Data'!$G$2:$G$2051,$A24,'IncStmt Data'!$A$2:$A$2051,AS$1),#N/A)</f>
        <v>#N/A</v>
      </c>
      <c r="AT24" s="40" t="e">
        <f>IF(AT$1,SUMIFS('IncStmt Data'!$H$2:$H$2051,'IncStmt Data'!$G$2:$G$2051,$A24,'IncStmt Data'!$A$2:$A$2051,AT$1),#N/A)</f>
        <v>#N/A</v>
      </c>
      <c r="AU24" s="40" t="e">
        <f>IF(AU$1,SUMIFS('IncStmt Data'!$H$2:$H$2051,'IncStmt Data'!$G$2:$G$2051,$A24,'IncStmt Data'!$A$2:$A$2051,AU$1),#N/A)</f>
        <v>#N/A</v>
      </c>
      <c r="AV24" s="40" t="e">
        <f>IF(AV$1,SUMIFS('IncStmt Data'!$H$2:$H$2051,'IncStmt Data'!$G$2:$G$2051,$A24,'IncStmt Data'!$A$2:$A$2051,AV$1),#N/A)</f>
        <v>#N/A</v>
      </c>
      <c r="AW24" s="40" t="e">
        <f>IF(AW$1,SUMIFS('IncStmt Data'!$H$2:$H$2051,'IncStmt Data'!$G$2:$G$2051,$A24,'IncStmt Data'!$A$2:$A$2051,AW$1),#N/A)</f>
        <v>#N/A</v>
      </c>
      <c r="AX24" s="40" t="e">
        <f>IF(AX$1,SUMIFS('IncStmt Data'!$H$2:$H$2051,'IncStmt Data'!$G$2:$G$2051,$A24,'IncStmt Data'!$A$2:$A$2051,AX$1),#N/A)</f>
        <v>#N/A</v>
      </c>
      <c r="AY24" s="40" t="e">
        <f>IF(AY$1,SUMIFS('IncStmt Data'!$H$2:$H$2051,'IncStmt Data'!$G$2:$G$2051,$A24,'IncStmt Data'!$A$2:$A$2051,AY$1),#N/A)</f>
        <v>#N/A</v>
      </c>
      <c r="AZ24" s="40" t="e">
        <f>IF(AZ$1,SUMIFS('IncStmt Data'!$H$2:$H$2051,'IncStmt Data'!$G$2:$G$2051,$A24,'IncStmt Data'!$A$2:$A$2051,AZ$1),#N/A)</f>
        <v>#N/A</v>
      </c>
      <c r="BA24" s="40" t="e">
        <f>IF(BA$1,SUMIFS('IncStmt Data'!$H$2:$H$2051,'IncStmt Data'!$G$2:$G$2051,$A24,'IncStmt Data'!$A$2:$A$2051,BA$1),#N/A)</f>
        <v>#N/A</v>
      </c>
      <c r="BB24" s="40" t="e">
        <f>IF(BB$1,SUMIFS('IncStmt Data'!$H$2:$H$2051,'IncStmt Data'!$G$2:$G$2051,$A24,'IncStmt Data'!$A$2:$A$2051,BB$1),#N/A)</f>
        <v>#N/A</v>
      </c>
      <c r="BC24" s="40" t="e">
        <f>IF(BC$1,SUMIFS('IncStmt Data'!$H$2:$H$2051,'IncStmt Data'!$G$2:$G$2051,$A24,'IncStmt Data'!$A$2:$A$2051,BC$1),#N/A)</f>
        <v>#N/A</v>
      </c>
      <c r="BD24" s="40" t="e">
        <f>IF(BD$1,SUMIFS('IncStmt Data'!$H$2:$H$2051,'IncStmt Data'!$G$2:$G$2051,$A24,'IncStmt Data'!$A$2:$A$2051,BD$1),#N/A)</f>
        <v>#N/A</v>
      </c>
      <c r="BE24" s="40" t="e">
        <f>IF(BE$1,SUMIFS('IncStmt Data'!$H$2:$H$2051,'IncStmt Data'!$G$2:$G$2051,$A24,'IncStmt Data'!$A$2:$A$2051,BE$1),#N/A)</f>
        <v>#N/A</v>
      </c>
      <c r="BF24" s="40" t="e">
        <f>IF(BF$1,SUMIFS('IncStmt Data'!$H$2:$H$2051,'IncStmt Data'!$G$2:$G$2051,$A24,'IncStmt Data'!$A$2:$A$2051,BF$1),#N/A)</f>
        <v>#N/A</v>
      </c>
      <c r="BG24" s="40" t="e">
        <f>IF(BG$1,SUMIFS('IncStmt Data'!$H$2:$H$2051,'IncStmt Data'!$G$2:$G$2051,$A24,'IncStmt Data'!$A$2:$A$2051,BG$1),#N/A)</f>
        <v>#N/A</v>
      </c>
      <c r="BH24" s="40" t="e">
        <f>IF(BH$1,SUMIFS('IncStmt Data'!$H$2:$H$2051,'IncStmt Data'!$G$2:$G$2051,$A24,'IncStmt Data'!$A$2:$A$2051,BH$1),#N/A)</f>
        <v>#N/A</v>
      </c>
      <c r="BI24" s="40" t="e">
        <f>IF(BI$1,SUMIFS('IncStmt Data'!$H$2:$H$2051,'IncStmt Data'!$G$2:$G$2051,$A24,'IncStmt Data'!$A$2:$A$2051,BI$1),#N/A)</f>
        <v>#N/A</v>
      </c>
      <c r="BJ24" s="40" t="e">
        <f>IF(BJ$1,SUMIFS('IncStmt Data'!$H$2:$H$2051,'IncStmt Data'!$G$2:$G$2051,$A24,'IncStmt Data'!$A$2:$A$2051,BJ$1),#N/A)</f>
        <v>#N/A</v>
      </c>
      <c r="BK24" s="40" t="e">
        <f>IF(BK$1,SUMIFS('IncStmt Data'!$H$2:$H$2051,'IncStmt Data'!$G$2:$G$2051,$A24,'IncStmt Data'!$A$2:$A$2051,BK$1),#N/A)</f>
        <v>#N/A</v>
      </c>
      <c r="BL24" s="40" t="e">
        <f>IF(BL$1,SUMIFS('IncStmt Data'!$H$2:$H$2051,'IncStmt Data'!$G$2:$G$2051,$A24,'IncStmt Data'!$A$2:$A$2051,BL$1),#N/A)</f>
        <v>#N/A</v>
      </c>
      <c r="BM24" s="40" t="e">
        <f>IF(BM$1,SUMIFS('IncStmt Data'!$H$2:$H$2051,'IncStmt Data'!$G$2:$G$2051,$A24,'IncStmt Data'!$A$2:$A$2051,BM$1),#N/A)</f>
        <v>#N/A</v>
      </c>
      <c r="BN24" s="40" t="e">
        <f>IF(BN$1,SUMIFS('IncStmt Data'!$H$2:$H$2051,'IncStmt Data'!$G$2:$G$2051,$A24,'IncStmt Data'!$A$2:$A$2051,BN$1),#N/A)</f>
        <v>#N/A</v>
      </c>
      <c r="BO24" s="40" t="e">
        <f>IF(BO$1,SUMIFS('IncStmt Data'!$H$2:$H$2051,'IncStmt Data'!$G$2:$G$2051,$A24,'IncStmt Data'!$A$2:$A$2051,BO$1),#N/A)</f>
        <v>#N/A</v>
      </c>
      <c r="BP24" s="40" t="e">
        <f>IF(BP$1,SUMIFS('IncStmt Data'!$H$2:$H$2051,'IncStmt Data'!$G$2:$G$2051,$A24,'IncStmt Data'!$A$2:$A$2051,BP$1),#N/A)</f>
        <v>#N/A</v>
      </c>
      <c r="BQ24" s="40" t="e">
        <f>IF(BQ$1,SUMIFS('IncStmt Data'!$H$2:$H$2051,'IncStmt Data'!$G$2:$G$2051,$A24,'IncStmt Data'!$A$2:$A$2051,BQ$1),#N/A)</f>
        <v>#N/A</v>
      </c>
      <c r="BR24" s="40" t="e">
        <f>IF(BR$1,SUMIFS('IncStmt Data'!$H$2:$H$2051,'IncStmt Data'!$G$2:$G$2051,$A24,'IncStmt Data'!$A$2:$A$2051,BR$1),#N/A)</f>
        <v>#N/A</v>
      </c>
      <c r="BS24" s="40" t="e">
        <f>IF(BS$1,SUMIFS('IncStmt Data'!$H$2:$H$2051,'IncStmt Data'!$G$2:$G$2051,$A24,'IncStmt Data'!$A$2:$A$2051,BS$1),#N/A)</f>
        <v>#N/A</v>
      </c>
      <c r="BT24" s="40" t="e">
        <f>IF(BT$1,SUMIFS('IncStmt Data'!$H$2:$H$2051,'IncStmt Data'!$G$2:$G$2051,$A24,'IncStmt Data'!$A$2:$A$2051,BT$1),#N/A)</f>
        <v>#N/A</v>
      </c>
      <c r="BU24" s="40" t="e">
        <f>IF(BU$1,SUMIFS('IncStmt Data'!$H$2:$H$2051,'IncStmt Data'!$G$2:$G$2051,$A24,'IncStmt Data'!$A$2:$A$2051,BU$1),#N/A)</f>
        <v>#N/A</v>
      </c>
      <c r="BV24" s="40" t="e">
        <f>IF(BV$1,SUMIFS('IncStmt Data'!$H$2:$H$2051,'IncStmt Data'!$G$2:$G$2051,$A24,'IncStmt Data'!$A$2:$A$2051,BV$1),#N/A)</f>
        <v>#N/A</v>
      </c>
      <c r="BW24" s="40" t="e">
        <f>IF(BW$1,SUMIFS('IncStmt Data'!$H$2:$H$2051,'IncStmt Data'!$G$2:$G$2051,$A24,'IncStmt Data'!$A$2:$A$2051,BW$1),#N/A)</f>
        <v>#N/A</v>
      </c>
      <c r="BX24" s="40" t="e">
        <f>IF(BX$1,SUMIFS('IncStmt Data'!$H$2:$H$2051,'IncStmt Data'!$G$2:$G$2051,$A24,'IncStmt Data'!$A$2:$A$2051,BX$1),#N/A)</f>
        <v>#N/A</v>
      </c>
      <c r="BY24" s="40" t="e">
        <f>IF(BY$1,SUMIFS('IncStmt Data'!$H$2:$H$2051,'IncStmt Data'!$G$2:$G$2051,$A24,'IncStmt Data'!$A$2:$A$2051,BY$1),#N/A)</f>
        <v>#N/A</v>
      </c>
      <c r="BZ24" s="40" t="e">
        <f>IF(BZ$1,SUMIFS('IncStmt Data'!$H$2:$H$2051,'IncStmt Data'!$G$2:$G$2051,$A24,'IncStmt Data'!$A$2:$A$2051,BZ$1),#N/A)</f>
        <v>#N/A</v>
      </c>
      <c r="CA24" s="40" t="e">
        <f>IF(CA$1,SUMIFS('IncStmt Data'!$H$2:$H$2051,'IncStmt Data'!$G$2:$G$2051,$A24,'IncStmt Data'!$A$2:$A$2051,CA$1),#N/A)</f>
        <v>#N/A</v>
      </c>
      <c r="CB24" s="40" t="e">
        <f>IF(CB$1,SUMIFS('IncStmt Data'!$H$2:$H$2051,'IncStmt Data'!$G$2:$G$2051,$A24,'IncStmt Data'!$A$2:$A$2051,CB$1),#N/A)</f>
        <v>#N/A</v>
      </c>
      <c r="CC24" s="40" t="e">
        <f>IF(CC$1,SUMIFS('IncStmt Data'!$H$2:$H$2051,'IncStmt Data'!$G$2:$G$2051,$A24,'IncStmt Data'!$A$2:$A$2051,CC$1),#N/A)</f>
        <v>#N/A</v>
      </c>
      <c r="CD24" s="40" t="e">
        <f>IF(CD$1,SUMIFS('IncStmt Data'!$H$2:$H$2051,'IncStmt Data'!$G$2:$G$2051,$A24,'IncStmt Data'!$A$2:$A$2051,CD$1),#N/A)</f>
        <v>#N/A</v>
      </c>
      <c r="CE24" s="40" t="e">
        <f>IF(CE$1,SUMIFS('IncStmt Data'!$H$2:$H$2051,'IncStmt Data'!$G$2:$G$2051,$A24,'IncStmt Data'!$A$2:$A$2051,CE$1),#N/A)</f>
        <v>#N/A</v>
      </c>
      <c r="CF24" s="40" t="e">
        <f>IF(CF$1,SUMIFS('IncStmt Data'!$H$2:$H$2051,'IncStmt Data'!$G$2:$G$2051,$A24,'IncStmt Data'!$A$2:$A$2051,CF$1),#N/A)</f>
        <v>#N/A</v>
      </c>
      <c r="CG24" s="40" t="e">
        <f>IF(CG$1,SUMIFS('IncStmt Data'!$H$2:$H$2051,'IncStmt Data'!$G$2:$G$2051,$A24,'IncStmt Data'!$A$2:$A$2051,CG$1),#N/A)</f>
        <v>#N/A</v>
      </c>
      <c r="CH24" s="40" t="e">
        <f>IF(CH$1,SUMIFS('IncStmt Data'!$H$2:$H$2051,'IncStmt Data'!$G$2:$G$2051,$A24,'IncStmt Data'!$A$2:$A$2051,CH$1),#N/A)</f>
        <v>#N/A</v>
      </c>
      <c r="CI24" s="40" t="e">
        <f>IF(CI$1,SUMIFS('IncStmt Data'!$H$2:$H$2051,'IncStmt Data'!$G$2:$G$2051,$A24,'IncStmt Data'!$A$2:$A$2051,CI$1),#N/A)</f>
        <v>#N/A</v>
      </c>
      <c r="CJ24" s="40" t="e">
        <f>IF(CJ$1,SUMIFS('IncStmt Data'!$H$2:$H$2051,'IncStmt Data'!$G$2:$G$2051,$A24,'IncStmt Data'!$A$2:$A$2051,CJ$1),#N/A)</f>
        <v>#N/A</v>
      </c>
      <c r="CK24" s="40" t="e">
        <f>IF(CK$1,SUMIFS('IncStmt Data'!$H$2:$H$2051,'IncStmt Data'!$G$2:$G$2051,$A24,'IncStmt Data'!$A$2:$A$2051,CK$1),#N/A)</f>
        <v>#N/A</v>
      </c>
      <c r="CL24" s="40" t="e">
        <f>IF(CL$1,SUMIFS('IncStmt Data'!$H$2:$H$2051,'IncStmt Data'!$G$2:$G$2051,$A24,'IncStmt Data'!$A$2:$A$2051,CL$1),#N/A)</f>
        <v>#N/A</v>
      </c>
      <c r="CM24" s="40" t="e">
        <f>IF(CM$1,SUMIFS('IncStmt Data'!$H$2:$H$2051,'IncStmt Data'!$G$2:$G$2051,$A24,'IncStmt Data'!$A$2:$A$2051,CM$1),#N/A)</f>
        <v>#N/A</v>
      </c>
      <c r="CN24" s="40" t="e">
        <f>IF(CN$1,SUMIFS('IncStmt Data'!$H$2:$H$2051,'IncStmt Data'!$G$2:$G$2051,$A24,'IncStmt Data'!$A$2:$A$2051,CN$1),#N/A)</f>
        <v>#N/A</v>
      </c>
      <c r="CO24" s="40" t="e">
        <f>IF(CO$1,SUMIFS('IncStmt Data'!$H$2:$H$2051,'IncStmt Data'!$G$2:$G$2051,$A24,'IncStmt Data'!$A$2:$A$2051,CO$1),#N/A)</f>
        <v>#N/A</v>
      </c>
      <c r="CP24" s="40" t="e">
        <f>IF(CP$1,SUMIFS('IncStmt Data'!$H$2:$H$2051,'IncStmt Data'!$G$2:$G$2051,$A24,'IncStmt Data'!$A$2:$A$2051,CP$1),#N/A)</f>
        <v>#N/A</v>
      </c>
      <c r="CQ24" s="40" t="e">
        <f>IF(CQ$1,SUMIFS('IncStmt Data'!$H$2:$H$2051,'IncStmt Data'!$G$2:$G$2051,$A24,'IncStmt Data'!$A$2:$A$2051,CQ$1),#N/A)</f>
        <v>#N/A</v>
      </c>
      <c r="CR24" s="40" t="e">
        <f>IF(CR$1,SUMIFS('IncStmt Data'!$H$2:$H$2051,'IncStmt Data'!$G$2:$G$2051,$A24,'IncStmt Data'!$A$2:$A$2051,CR$1),#N/A)</f>
        <v>#N/A</v>
      </c>
      <c r="CS24" s="40" t="e">
        <f>IF(CS$1,SUMIFS('IncStmt Data'!$H$2:$H$2051,'IncStmt Data'!$G$2:$G$2051,$A24,'IncStmt Data'!$A$2:$A$2051,CS$1),#N/A)</f>
        <v>#N/A</v>
      </c>
      <c r="CT24" s="40" t="e">
        <f>IF(CT$1,SUMIFS('IncStmt Data'!$H$2:$H$2051,'IncStmt Data'!$G$2:$G$2051,$A24,'IncStmt Data'!$A$2:$A$2051,CT$1),#N/A)</f>
        <v>#N/A</v>
      </c>
      <c r="CU24" s="40" t="e">
        <f>IF(CU$1,SUMIFS('IncStmt Data'!$H$2:$H$2051,'IncStmt Data'!$G$2:$G$2051,$A24,'IncStmt Data'!$A$2:$A$2051,CU$1),#N/A)</f>
        <v>#N/A</v>
      </c>
      <c r="CV24" s="40" t="e">
        <f>IF(CV$1,SUMIFS('IncStmt Data'!$H$2:$H$2051,'IncStmt Data'!$G$2:$G$2051,$A24,'IncStmt Data'!$A$2:$A$2051,CV$1),#N/A)</f>
        <v>#N/A</v>
      </c>
      <c r="CW24" s="40" t="e">
        <f>IF(CW$1,SUMIFS('IncStmt Data'!$H$2:$H$2051,'IncStmt Data'!$G$2:$G$2051,$A24,'IncStmt Data'!$A$2:$A$2051,CW$1),#N/A)</f>
        <v>#N/A</v>
      </c>
      <c r="CX24" s="40" t="e">
        <f>IF(CX$1,SUMIFS('IncStmt Data'!$H$2:$H$2051,'IncStmt Data'!$G$2:$G$2051,$A24,'IncStmt Data'!$A$2:$A$2051,CX$1),#N/A)</f>
        <v>#N/A</v>
      </c>
      <c r="CY24" s="40" t="e">
        <f>IF(CY$1,SUMIFS('IncStmt Data'!$H$2:$H$2051,'IncStmt Data'!$G$2:$G$2051,$A24,'IncStmt Data'!$A$2:$A$2051,CY$1),#N/A)</f>
        <v>#N/A</v>
      </c>
      <c r="CZ24" s="40" t="e">
        <f>IF(CZ$1,SUMIFS('IncStmt Data'!$H$2:$H$2051,'IncStmt Data'!$G$2:$G$2051,$A24,'IncStmt Data'!$A$2:$A$2051,CZ$1),#N/A)</f>
        <v>#N/A</v>
      </c>
      <c r="DA24" s="40">
        <f>SUM(B24:AJ24)</f>
        <v>2653964</v>
      </c>
    </row>
    <row r="25" spans="1:105" s="40" customFormat="1" x14ac:dyDescent="0.2">
      <c r="A25" s="52" t="s">
        <v>32</v>
      </c>
      <c r="B25" s="40">
        <f>IF(B$1,SUMIFS('IncStmt Data'!$H$2:$H$2051,'IncStmt Data'!$G$2:$G$2051,$A25,'IncStmt Data'!$A$2:$A$2051,B$1),#N/A)</f>
        <v>43675</v>
      </c>
      <c r="C25" s="40">
        <f>IF(C$1,SUMIFS('IncStmt Data'!$H$2:$H$2051,'IncStmt Data'!$G$2:$G$2051,$A25,'IncStmt Data'!$A$2:$A$2051,C$1),#N/A)</f>
        <v>29439</v>
      </c>
      <c r="D25" s="40">
        <f>IF(D$1,SUMIFS('IncStmt Data'!$H$2:$H$2051,'IncStmt Data'!$G$2:$G$2051,$A25,'IncStmt Data'!$A$2:$A$2051,D$1),#N/A)</f>
        <v>65939</v>
      </c>
      <c r="E25" s="40">
        <f>IF(E$1,SUMIFS('IncStmt Data'!$H$2:$H$2051,'IncStmt Data'!$G$2:$G$2051,$A25,'IncStmt Data'!$A$2:$A$2051,E$1),#N/A)</f>
        <v>85679</v>
      </c>
      <c r="F25" s="40">
        <f>IF(F$1,SUMIFS('IncStmt Data'!$H$2:$H$2051,'IncStmt Data'!$G$2:$G$2051,$A25,'IncStmt Data'!$A$2:$A$2051,F$1),#N/A)</f>
        <v>85112</v>
      </c>
      <c r="G25" s="40">
        <f>IF(G$1,SUMIFS('IncStmt Data'!$H$2:$H$2051,'IncStmt Data'!$G$2:$G$2051,$A25,'IncStmt Data'!$A$2:$A$2051,G$1),#N/A)</f>
        <v>57494</v>
      </c>
      <c r="H25" s="40">
        <f>IF(H$1,SUMIFS('IncStmt Data'!$H$2:$H$2051,'IncStmt Data'!$G$2:$G$2051,$A25,'IncStmt Data'!$A$2:$A$2051,H$1),#N/A)</f>
        <v>44771</v>
      </c>
      <c r="I25" s="40">
        <f>IF(I$1,SUMIFS('IncStmt Data'!$H$2:$H$2051,'IncStmt Data'!$G$2:$G$2051,$A25,'IncStmt Data'!$A$2:$A$2051,I$1),#N/A)</f>
        <v>59165</v>
      </c>
      <c r="J25" s="40">
        <f>IF(J$1,SUMIFS('IncStmt Data'!$H$2:$H$2051,'IncStmt Data'!$G$2:$G$2051,$A25,'IncStmt Data'!$A$2:$A$2051,J$1),#N/A)</f>
        <v>75449</v>
      </c>
      <c r="K25" s="40">
        <f>IF(K$1,SUMIFS('IncStmt Data'!$H$2:$H$2051,'IncStmt Data'!$G$2:$G$2051,$A25,'IncStmt Data'!$A$2:$A$2051,K$1),#N/A)</f>
        <v>75713</v>
      </c>
      <c r="L25" s="40">
        <f>IF(L$1,SUMIFS('IncStmt Data'!$H$2:$H$2051,'IncStmt Data'!$G$2:$G$2051,$A25,'IncStmt Data'!$A$2:$A$2051,L$1),#N/A)</f>
        <v>61679</v>
      </c>
      <c r="M25" s="40">
        <f>IF(M$1,SUMIFS('IncStmt Data'!$H$2:$H$2051,'IncStmt Data'!$G$2:$G$2051,$A25,'IncStmt Data'!$A$2:$A$2051,M$1),#N/A)</f>
        <v>61603</v>
      </c>
      <c r="N25" s="40">
        <f>IF(N$1,SUMIFS('IncStmt Data'!$H$2:$H$2051,'IncStmt Data'!$G$2:$G$2051,$A25,'IncStmt Data'!$A$2:$A$2051,N$1),#N/A)</f>
        <v>134704</v>
      </c>
      <c r="O25" s="40">
        <f>IF(O$1,SUMIFS('IncStmt Data'!$H$2:$H$2051,'IncStmt Data'!$G$2:$G$2051,$A25,'IncStmt Data'!$A$2:$A$2051,O$1),#N/A)</f>
        <v>62237</v>
      </c>
      <c r="P25" s="40">
        <f>IF(P$1,SUMIFS('IncStmt Data'!$H$2:$H$2051,'IncStmt Data'!$G$2:$G$2051,$A25,'IncStmt Data'!$A$2:$A$2051,P$1),#N/A)</f>
        <v>60896</v>
      </c>
      <c r="Q25" s="40">
        <f>IF(Q$1,SUMIFS('IncStmt Data'!$H$2:$H$2051,'IncStmt Data'!$G$2:$G$2051,$A25,'IncStmt Data'!$A$2:$A$2051,Q$1),#N/A)</f>
        <v>0</v>
      </c>
      <c r="R25" s="40">
        <f>IF(R$1,SUMIFS('IncStmt Data'!$H$2:$H$2051,'IncStmt Data'!$G$2:$G$2051,$A25,'IncStmt Data'!$A$2:$A$2051,R$1),#N/A)</f>
        <v>0</v>
      </c>
      <c r="S25" s="40">
        <f>IF(S$1,SUMIFS('IncStmt Data'!$H$2:$H$2051,'IncStmt Data'!$G$2:$G$2051,$A25,'IncStmt Data'!$A$2:$A$2051,S$1),#N/A)</f>
        <v>64187</v>
      </c>
      <c r="T25" s="40">
        <f>IF(T$1,SUMIFS('IncStmt Data'!$H$2:$H$2051,'IncStmt Data'!$G$2:$G$2051,$A25,'IncStmt Data'!$A$2:$A$2051,T$1),#N/A)</f>
        <v>56502</v>
      </c>
      <c r="U25" s="40">
        <f>IF(U$1,SUMIFS('IncStmt Data'!$H$2:$H$2051,'IncStmt Data'!$G$2:$G$2051,$A25,'IncStmt Data'!$A$2:$A$2051,U$1),#N/A)</f>
        <v>59986</v>
      </c>
      <c r="V25" s="40">
        <f>IF(V$1,SUMIFS('IncStmt Data'!$H$2:$H$2051,'IncStmt Data'!$G$2:$G$2051,$A25,'IncStmt Data'!$A$2:$A$2051,V$1),#N/A)</f>
        <v>43177</v>
      </c>
      <c r="W25" s="40">
        <f>IF(W$1,SUMIFS('IncStmt Data'!$H$2:$H$2051,'IncStmt Data'!$G$2:$G$2051,$A25,'IncStmt Data'!$A$2:$A$2051,W$1),#N/A)</f>
        <v>61769</v>
      </c>
      <c r="X25" s="40">
        <f>IF(X$1,SUMIFS('IncStmt Data'!$H$2:$H$2051,'IncStmt Data'!$G$2:$G$2051,$A25,'IncStmt Data'!$A$2:$A$2051,X$1),#N/A)</f>
        <v>27628</v>
      </c>
      <c r="Y25" s="40">
        <f>IF(Y$1,SUMIFS('IncStmt Data'!$H$2:$H$2051,'IncStmt Data'!$G$2:$G$2051,$A25,'IncStmt Data'!$A$2:$A$2051,Y$1),#N/A)</f>
        <v>0</v>
      </c>
      <c r="Z25" s="40">
        <f>IF(Z$1,SUMIFS('IncStmt Data'!$H$2:$H$2051,'IncStmt Data'!$G$2:$G$2051,$A25,'IncStmt Data'!$A$2:$A$2051,Z$1),#N/A)</f>
        <v>0</v>
      </c>
      <c r="AA25" s="40">
        <f>IF(AA$1,SUMIFS('IncStmt Data'!$H$2:$H$2051,'IncStmt Data'!$G$2:$G$2051,$A25,'IncStmt Data'!$A$2:$A$2051,AA$1),#N/A)</f>
        <v>0</v>
      </c>
      <c r="AB25" s="40">
        <f>IF(AB$1,SUMIFS('IncStmt Data'!$H$2:$H$2051,'IncStmt Data'!$G$2:$G$2051,$A25,'IncStmt Data'!$A$2:$A$2051,AB$1),#N/A)</f>
        <v>0</v>
      </c>
      <c r="AC25" s="40">
        <f>IF(AC$1,SUMIFS('IncStmt Data'!$H$2:$H$2051,'IncStmt Data'!$G$2:$G$2051,$A25,'IncStmt Data'!$A$2:$A$2051,AC$1),#N/A)</f>
        <v>0</v>
      </c>
      <c r="AD25" s="40">
        <f>IF(AD$1,SUMIFS('IncStmt Data'!$H$2:$H$2051,'IncStmt Data'!$G$2:$G$2051,$A25,'IncStmt Data'!$A$2:$A$2051,AD$1),#N/A)</f>
        <v>61402</v>
      </c>
      <c r="AE25" s="40">
        <f>IF(AE$1,SUMIFS('IncStmt Data'!$H$2:$H$2051,'IncStmt Data'!$G$2:$G$2051,$A25,'IncStmt Data'!$A$2:$A$2051,AE$1),#N/A)</f>
        <v>79981</v>
      </c>
      <c r="AF25" s="40">
        <f>IF(AF$1,SUMIFS('IncStmt Data'!$H$2:$H$2051,'IncStmt Data'!$G$2:$G$2051,$A25,'IncStmt Data'!$A$2:$A$2051,AF$1),#N/A)</f>
        <v>43548</v>
      </c>
      <c r="AG25" s="40">
        <f>IF(AG$1,SUMIFS('IncStmt Data'!$H$2:$H$2051,'IncStmt Data'!$G$2:$G$2051,$A25,'IncStmt Data'!$A$2:$A$2051,AG$1),#N/A)</f>
        <v>65772</v>
      </c>
      <c r="AH25" s="40">
        <f>IF(AH$1,SUMIFS('IncStmt Data'!$H$2:$H$2051,'IncStmt Data'!$G$2:$G$2051,$A25,'IncStmt Data'!$A$2:$A$2051,AH$1),#N/A)</f>
        <v>49823</v>
      </c>
      <c r="AI25" s="40">
        <f>IF(AI$1,SUMIFS('IncStmt Data'!$H$2:$H$2051,'IncStmt Data'!$G$2:$G$2051,$A25,'IncStmt Data'!$A$2:$A$2051,AI$1),#N/A)</f>
        <v>60681</v>
      </c>
      <c r="AJ25" s="40">
        <f>IF(AJ$1,SUMIFS('IncStmt Data'!$H$2:$H$2051,'IncStmt Data'!$G$2:$G$2051,$A25,'IncStmt Data'!$A$2:$A$2051,AJ$1),#N/A)</f>
        <v>49171</v>
      </c>
      <c r="AK25" s="40" t="e">
        <f>IF(AK$1,SUMIFS('IncStmt Data'!$H$2:$H$2051,'IncStmt Data'!$G$2:$G$2051,$A25,'IncStmt Data'!$A$2:$A$2051,AK$1),#N/A)</f>
        <v>#N/A</v>
      </c>
      <c r="AL25" s="40" t="e">
        <f>IF(AL$1,SUMIFS('IncStmt Data'!$H$2:$H$2051,'IncStmt Data'!$G$2:$G$2051,$A25,'IncStmt Data'!$A$2:$A$2051,AL$1),#N/A)</f>
        <v>#N/A</v>
      </c>
      <c r="AM25" s="40" t="e">
        <f>IF(AM$1,SUMIFS('IncStmt Data'!$H$2:$H$2051,'IncStmt Data'!$G$2:$G$2051,$A25,'IncStmt Data'!$A$2:$A$2051,AM$1),#N/A)</f>
        <v>#N/A</v>
      </c>
      <c r="AN25" s="40" t="e">
        <f>IF(AN$1,SUMIFS('IncStmt Data'!$H$2:$H$2051,'IncStmt Data'!$G$2:$G$2051,$A25,'IncStmt Data'!$A$2:$A$2051,AN$1),#N/A)</f>
        <v>#N/A</v>
      </c>
      <c r="AO25" s="40" t="e">
        <f>IF(AO$1,SUMIFS('IncStmt Data'!$H$2:$H$2051,'IncStmt Data'!$G$2:$G$2051,$A25,'IncStmt Data'!$A$2:$A$2051,AO$1),#N/A)</f>
        <v>#N/A</v>
      </c>
      <c r="AP25" s="40" t="e">
        <f>IF(AP$1,SUMIFS('IncStmt Data'!$H$2:$H$2051,'IncStmt Data'!$G$2:$G$2051,$A25,'IncStmt Data'!$A$2:$A$2051,AP$1),#N/A)</f>
        <v>#N/A</v>
      </c>
      <c r="AQ25" s="40" t="e">
        <f>IF(AQ$1,SUMIFS('IncStmt Data'!$H$2:$H$2051,'IncStmt Data'!$G$2:$G$2051,$A25,'IncStmt Data'!$A$2:$A$2051,AQ$1),#N/A)</f>
        <v>#N/A</v>
      </c>
      <c r="AR25" s="40" t="e">
        <f>IF(AR$1,SUMIFS('IncStmt Data'!$H$2:$H$2051,'IncStmt Data'!$G$2:$G$2051,$A25,'IncStmt Data'!$A$2:$A$2051,AR$1),#N/A)</f>
        <v>#N/A</v>
      </c>
      <c r="AS25" s="40" t="e">
        <f>IF(AS$1,SUMIFS('IncStmt Data'!$H$2:$H$2051,'IncStmt Data'!$G$2:$G$2051,$A25,'IncStmt Data'!$A$2:$A$2051,AS$1),#N/A)</f>
        <v>#N/A</v>
      </c>
      <c r="AT25" s="40" t="e">
        <f>IF(AT$1,SUMIFS('IncStmt Data'!$H$2:$H$2051,'IncStmt Data'!$G$2:$G$2051,$A25,'IncStmt Data'!$A$2:$A$2051,AT$1),#N/A)</f>
        <v>#N/A</v>
      </c>
      <c r="AU25" s="40" t="e">
        <f>IF(AU$1,SUMIFS('IncStmt Data'!$H$2:$H$2051,'IncStmt Data'!$G$2:$G$2051,$A25,'IncStmt Data'!$A$2:$A$2051,AU$1),#N/A)</f>
        <v>#N/A</v>
      </c>
      <c r="AV25" s="40" t="e">
        <f>IF(AV$1,SUMIFS('IncStmt Data'!$H$2:$H$2051,'IncStmt Data'!$G$2:$G$2051,$A25,'IncStmt Data'!$A$2:$A$2051,AV$1),#N/A)</f>
        <v>#N/A</v>
      </c>
      <c r="AW25" s="40" t="e">
        <f>IF(AW$1,SUMIFS('IncStmt Data'!$H$2:$H$2051,'IncStmt Data'!$G$2:$G$2051,$A25,'IncStmt Data'!$A$2:$A$2051,AW$1),#N/A)</f>
        <v>#N/A</v>
      </c>
      <c r="AX25" s="40" t="e">
        <f>IF(AX$1,SUMIFS('IncStmt Data'!$H$2:$H$2051,'IncStmt Data'!$G$2:$G$2051,$A25,'IncStmt Data'!$A$2:$A$2051,AX$1),#N/A)</f>
        <v>#N/A</v>
      </c>
      <c r="AY25" s="40" t="e">
        <f>IF(AY$1,SUMIFS('IncStmt Data'!$H$2:$H$2051,'IncStmt Data'!$G$2:$G$2051,$A25,'IncStmt Data'!$A$2:$A$2051,AY$1),#N/A)</f>
        <v>#N/A</v>
      </c>
      <c r="AZ25" s="40" t="e">
        <f>IF(AZ$1,SUMIFS('IncStmt Data'!$H$2:$H$2051,'IncStmt Data'!$G$2:$G$2051,$A25,'IncStmt Data'!$A$2:$A$2051,AZ$1),#N/A)</f>
        <v>#N/A</v>
      </c>
      <c r="BA25" s="40" t="e">
        <f>IF(BA$1,SUMIFS('IncStmt Data'!$H$2:$H$2051,'IncStmt Data'!$G$2:$G$2051,$A25,'IncStmt Data'!$A$2:$A$2051,BA$1),#N/A)</f>
        <v>#N/A</v>
      </c>
      <c r="BB25" s="40" t="e">
        <f>IF(BB$1,SUMIFS('IncStmt Data'!$H$2:$H$2051,'IncStmt Data'!$G$2:$G$2051,$A25,'IncStmt Data'!$A$2:$A$2051,BB$1),#N/A)</f>
        <v>#N/A</v>
      </c>
      <c r="BC25" s="40" t="e">
        <f>IF(BC$1,SUMIFS('IncStmt Data'!$H$2:$H$2051,'IncStmt Data'!$G$2:$G$2051,$A25,'IncStmt Data'!$A$2:$A$2051,BC$1),#N/A)</f>
        <v>#N/A</v>
      </c>
      <c r="BD25" s="40" t="e">
        <f>IF(BD$1,SUMIFS('IncStmt Data'!$H$2:$H$2051,'IncStmt Data'!$G$2:$G$2051,$A25,'IncStmt Data'!$A$2:$A$2051,BD$1),#N/A)</f>
        <v>#N/A</v>
      </c>
      <c r="BE25" s="40" t="e">
        <f>IF(BE$1,SUMIFS('IncStmt Data'!$H$2:$H$2051,'IncStmt Data'!$G$2:$G$2051,$A25,'IncStmt Data'!$A$2:$A$2051,BE$1),#N/A)</f>
        <v>#N/A</v>
      </c>
      <c r="BF25" s="40" t="e">
        <f>IF(BF$1,SUMIFS('IncStmt Data'!$H$2:$H$2051,'IncStmt Data'!$G$2:$G$2051,$A25,'IncStmt Data'!$A$2:$A$2051,BF$1),#N/A)</f>
        <v>#N/A</v>
      </c>
      <c r="BG25" s="40" t="e">
        <f>IF(BG$1,SUMIFS('IncStmt Data'!$H$2:$H$2051,'IncStmt Data'!$G$2:$G$2051,$A25,'IncStmt Data'!$A$2:$A$2051,BG$1),#N/A)</f>
        <v>#N/A</v>
      </c>
      <c r="BH25" s="40" t="e">
        <f>IF(BH$1,SUMIFS('IncStmt Data'!$H$2:$H$2051,'IncStmt Data'!$G$2:$G$2051,$A25,'IncStmt Data'!$A$2:$A$2051,BH$1),#N/A)</f>
        <v>#N/A</v>
      </c>
      <c r="BI25" s="40" t="e">
        <f>IF(BI$1,SUMIFS('IncStmt Data'!$H$2:$H$2051,'IncStmt Data'!$G$2:$G$2051,$A25,'IncStmt Data'!$A$2:$A$2051,BI$1),#N/A)</f>
        <v>#N/A</v>
      </c>
      <c r="BJ25" s="40" t="e">
        <f>IF(BJ$1,SUMIFS('IncStmt Data'!$H$2:$H$2051,'IncStmt Data'!$G$2:$G$2051,$A25,'IncStmt Data'!$A$2:$A$2051,BJ$1),#N/A)</f>
        <v>#N/A</v>
      </c>
      <c r="BK25" s="40" t="e">
        <f>IF(BK$1,SUMIFS('IncStmt Data'!$H$2:$H$2051,'IncStmt Data'!$G$2:$G$2051,$A25,'IncStmt Data'!$A$2:$A$2051,BK$1),#N/A)</f>
        <v>#N/A</v>
      </c>
      <c r="BL25" s="40" t="e">
        <f>IF(BL$1,SUMIFS('IncStmt Data'!$H$2:$H$2051,'IncStmt Data'!$G$2:$G$2051,$A25,'IncStmt Data'!$A$2:$A$2051,BL$1),#N/A)</f>
        <v>#N/A</v>
      </c>
      <c r="BM25" s="40" t="e">
        <f>IF(BM$1,SUMIFS('IncStmt Data'!$H$2:$H$2051,'IncStmt Data'!$G$2:$G$2051,$A25,'IncStmt Data'!$A$2:$A$2051,BM$1),#N/A)</f>
        <v>#N/A</v>
      </c>
      <c r="BN25" s="40" t="e">
        <f>IF(BN$1,SUMIFS('IncStmt Data'!$H$2:$H$2051,'IncStmt Data'!$G$2:$G$2051,$A25,'IncStmt Data'!$A$2:$A$2051,BN$1),#N/A)</f>
        <v>#N/A</v>
      </c>
      <c r="BO25" s="40" t="e">
        <f>IF(BO$1,SUMIFS('IncStmt Data'!$H$2:$H$2051,'IncStmt Data'!$G$2:$G$2051,$A25,'IncStmt Data'!$A$2:$A$2051,BO$1),#N/A)</f>
        <v>#N/A</v>
      </c>
      <c r="BP25" s="40" t="e">
        <f>IF(BP$1,SUMIFS('IncStmt Data'!$H$2:$H$2051,'IncStmt Data'!$G$2:$G$2051,$A25,'IncStmt Data'!$A$2:$A$2051,BP$1),#N/A)</f>
        <v>#N/A</v>
      </c>
      <c r="BQ25" s="40" t="e">
        <f>IF(BQ$1,SUMIFS('IncStmt Data'!$H$2:$H$2051,'IncStmt Data'!$G$2:$G$2051,$A25,'IncStmt Data'!$A$2:$A$2051,BQ$1),#N/A)</f>
        <v>#N/A</v>
      </c>
      <c r="BR25" s="40" t="e">
        <f>IF(BR$1,SUMIFS('IncStmt Data'!$H$2:$H$2051,'IncStmt Data'!$G$2:$G$2051,$A25,'IncStmt Data'!$A$2:$A$2051,BR$1),#N/A)</f>
        <v>#N/A</v>
      </c>
      <c r="BS25" s="40" t="e">
        <f>IF(BS$1,SUMIFS('IncStmt Data'!$H$2:$H$2051,'IncStmt Data'!$G$2:$G$2051,$A25,'IncStmt Data'!$A$2:$A$2051,BS$1),#N/A)</f>
        <v>#N/A</v>
      </c>
      <c r="BT25" s="40" t="e">
        <f>IF(BT$1,SUMIFS('IncStmt Data'!$H$2:$H$2051,'IncStmt Data'!$G$2:$G$2051,$A25,'IncStmt Data'!$A$2:$A$2051,BT$1),#N/A)</f>
        <v>#N/A</v>
      </c>
      <c r="BU25" s="40" t="e">
        <f>IF(BU$1,SUMIFS('IncStmt Data'!$H$2:$H$2051,'IncStmt Data'!$G$2:$G$2051,$A25,'IncStmt Data'!$A$2:$A$2051,BU$1),#N/A)</f>
        <v>#N/A</v>
      </c>
      <c r="BV25" s="40" t="e">
        <f>IF(BV$1,SUMIFS('IncStmt Data'!$H$2:$H$2051,'IncStmt Data'!$G$2:$G$2051,$A25,'IncStmt Data'!$A$2:$A$2051,BV$1),#N/A)</f>
        <v>#N/A</v>
      </c>
      <c r="BW25" s="40" t="e">
        <f>IF(BW$1,SUMIFS('IncStmt Data'!$H$2:$H$2051,'IncStmt Data'!$G$2:$G$2051,$A25,'IncStmt Data'!$A$2:$A$2051,BW$1),#N/A)</f>
        <v>#N/A</v>
      </c>
      <c r="BX25" s="40" t="e">
        <f>IF(BX$1,SUMIFS('IncStmt Data'!$H$2:$H$2051,'IncStmt Data'!$G$2:$G$2051,$A25,'IncStmt Data'!$A$2:$A$2051,BX$1),#N/A)</f>
        <v>#N/A</v>
      </c>
      <c r="BY25" s="40" t="e">
        <f>IF(BY$1,SUMIFS('IncStmt Data'!$H$2:$H$2051,'IncStmt Data'!$G$2:$G$2051,$A25,'IncStmt Data'!$A$2:$A$2051,BY$1),#N/A)</f>
        <v>#N/A</v>
      </c>
      <c r="BZ25" s="40" t="e">
        <f>IF(BZ$1,SUMIFS('IncStmt Data'!$H$2:$H$2051,'IncStmt Data'!$G$2:$G$2051,$A25,'IncStmt Data'!$A$2:$A$2051,BZ$1),#N/A)</f>
        <v>#N/A</v>
      </c>
      <c r="CA25" s="40" t="e">
        <f>IF(CA$1,SUMIFS('IncStmt Data'!$H$2:$H$2051,'IncStmt Data'!$G$2:$G$2051,$A25,'IncStmt Data'!$A$2:$A$2051,CA$1),#N/A)</f>
        <v>#N/A</v>
      </c>
      <c r="CB25" s="40" t="e">
        <f>IF(CB$1,SUMIFS('IncStmt Data'!$H$2:$H$2051,'IncStmt Data'!$G$2:$G$2051,$A25,'IncStmt Data'!$A$2:$A$2051,CB$1),#N/A)</f>
        <v>#N/A</v>
      </c>
      <c r="CC25" s="40" t="e">
        <f>IF(CC$1,SUMIFS('IncStmt Data'!$H$2:$H$2051,'IncStmt Data'!$G$2:$G$2051,$A25,'IncStmt Data'!$A$2:$A$2051,CC$1),#N/A)</f>
        <v>#N/A</v>
      </c>
      <c r="CD25" s="40" t="e">
        <f>IF(CD$1,SUMIFS('IncStmt Data'!$H$2:$H$2051,'IncStmt Data'!$G$2:$G$2051,$A25,'IncStmt Data'!$A$2:$A$2051,CD$1),#N/A)</f>
        <v>#N/A</v>
      </c>
      <c r="CE25" s="40" t="e">
        <f>IF(CE$1,SUMIFS('IncStmt Data'!$H$2:$H$2051,'IncStmt Data'!$G$2:$G$2051,$A25,'IncStmt Data'!$A$2:$A$2051,CE$1),#N/A)</f>
        <v>#N/A</v>
      </c>
      <c r="CF25" s="40" t="e">
        <f>IF(CF$1,SUMIFS('IncStmt Data'!$H$2:$H$2051,'IncStmt Data'!$G$2:$G$2051,$A25,'IncStmt Data'!$A$2:$A$2051,CF$1),#N/A)</f>
        <v>#N/A</v>
      </c>
      <c r="CG25" s="40" t="e">
        <f>IF(CG$1,SUMIFS('IncStmt Data'!$H$2:$H$2051,'IncStmt Data'!$G$2:$G$2051,$A25,'IncStmt Data'!$A$2:$A$2051,CG$1),#N/A)</f>
        <v>#N/A</v>
      </c>
      <c r="CH25" s="40" t="e">
        <f>IF(CH$1,SUMIFS('IncStmt Data'!$H$2:$H$2051,'IncStmt Data'!$G$2:$G$2051,$A25,'IncStmt Data'!$A$2:$A$2051,CH$1),#N/A)</f>
        <v>#N/A</v>
      </c>
      <c r="CI25" s="40" t="e">
        <f>IF(CI$1,SUMIFS('IncStmt Data'!$H$2:$H$2051,'IncStmt Data'!$G$2:$G$2051,$A25,'IncStmt Data'!$A$2:$A$2051,CI$1),#N/A)</f>
        <v>#N/A</v>
      </c>
      <c r="CJ25" s="40" t="e">
        <f>IF(CJ$1,SUMIFS('IncStmt Data'!$H$2:$H$2051,'IncStmt Data'!$G$2:$G$2051,$A25,'IncStmt Data'!$A$2:$A$2051,CJ$1),#N/A)</f>
        <v>#N/A</v>
      </c>
      <c r="CK25" s="40" t="e">
        <f>IF(CK$1,SUMIFS('IncStmt Data'!$H$2:$H$2051,'IncStmt Data'!$G$2:$G$2051,$A25,'IncStmt Data'!$A$2:$A$2051,CK$1),#N/A)</f>
        <v>#N/A</v>
      </c>
      <c r="CL25" s="40" t="e">
        <f>IF(CL$1,SUMIFS('IncStmt Data'!$H$2:$H$2051,'IncStmt Data'!$G$2:$G$2051,$A25,'IncStmt Data'!$A$2:$A$2051,CL$1),#N/A)</f>
        <v>#N/A</v>
      </c>
      <c r="CM25" s="40" t="e">
        <f>IF(CM$1,SUMIFS('IncStmt Data'!$H$2:$H$2051,'IncStmt Data'!$G$2:$G$2051,$A25,'IncStmt Data'!$A$2:$A$2051,CM$1),#N/A)</f>
        <v>#N/A</v>
      </c>
      <c r="CN25" s="40" t="e">
        <f>IF(CN$1,SUMIFS('IncStmt Data'!$H$2:$H$2051,'IncStmt Data'!$G$2:$G$2051,$A25,'IncStmt Data'!$A$2:$A$2051,CN$1),#N/A)</f>
        <v>#N/A</v>
      </c>
      <c r="CO25" s="40" t="e">
        <f>IF(CO$1,SUMIFS('IncStmt Data'!$H$2:$H$2051,'IncStmt Data'!$G$2:$G$2051,$A25,'IncStmt Data'!$A$2:$A$2051,CO$1),#N/A)</f>
        <v>#N/A</v>
      </c>
      <c r="CP25" s="40" t="e">
        <f>IF(CP$1,SUMIFS('IncStmt Data'!$H$2:$H$2051,'IncStmt Data'!$G$2:$G$2051,$A25,'IncStmt Data'!$A$2:$A$2051,CP$1),#N/A)</f>
        <v>#N/A</v>
      </c>
      <c r="CQ25" s="40" t="e">
        <f>IF(CQ$1,SUMIFS('IncStmt Data'!$H$2:$H$2051,'IncStmt Data'!$G$2:$G$2051,$A25,'IncStmt Data'!$A$2:$A$2051,CQ$1),#N/A)</f>
        <v>#N/A</v>
      </c>
      <c r="CR25" s="40" t="e">
        <f>IF(CR$1,SUMIFS('IncStmt Data'!$H$2:$H$2051,'IncStmt Data'!$G$2:$G$2051,$A25,'IncStmt Data'!$A$2:$A$2051,CR$1),#N/A)</f>
        <v>#N/A</v>
      </c>
      <c r="CS25" s="40" t="e">
        <f>IF(CS$1,SUMIFS('IncStmt Data'!$H$2:$H$2051,'IncStmt Data'!$G$2:$G$2051,$A25,'IncStmt Data'!$A$2:$A$2051,CS$1),#N/A)</f>
        <v>#N/A</v>
      </c>
      <c r="CT25" s="40" t="e">
        <f>IF(CT$1,SUMIFS('IncStmt Data'!$H$2:$H$2051,'IncStmt Data'!$G$2:$G$2051,$A25,'IncStmt Data'!$A$2:$A$2051,CT$1),#N/A)</f>
        <v>#N/A</v>
      </c>
      <c r="CU25" s="40" t="e">
        <f>IF(CU$1,SUMIFS('IncStmt Data'!$H$2:$H$2051,'IncStmt Data'!$G$2:$G$2051,$A25,'IncStmt Data'!$A$2:$A$2051,CU$1),#N/A)</f>
        <v>#N/A</v>
      </c>
      <c r="CV25" s="40" t="e">
        <f>IF(CV$1,SUMIFS('IncStmt Data'!$H$2:$H$2051,'IncStmt Data'!$G$2:$G$2051,$A25,'IncStmt Data'!$A$2:$A$2051,CV$1),#N/A)</f>
        <v>#N/A</v>
      </c>
      <c r="CW25" s="40" t="e">
        <f>IF(CW$1,SUMIFS('IncStmt Data'!$H$2:$H$2051,'IncStmt Data'!$G$2:$G$2051,$A25,'IncStmt Data'!$A$2:$A$2051,CW$1),#N/A)</f>
        <v>#N/A</v>
      </c>
      <c r="CX25" s="40" t="e">
        <f>IF(CX$1,SUMIFS('IncStmt Data'!$H$2:$H$2051,'IncStmt Data'!$G$2:$G$2051,$A25,'IncStmt Data'!$A$2:$A$2051,CX$1),#N/A)</f>
        <v>#N/A</v>
      </c>
      <c r="CY25" s="40" t="e">
        <f>IF(CY$1,SUMIFS('IncStmt Data'!$H$2:$H$2051,'IncStmt Data'!$G$2:$G$2051,$A25,'IncStmt Data'!$A$2:$A$2051,CY$1),#N/A)</f>
        <v>#N/A</v>
      </c>
      <c r="CZ25" s="40" t="e">
        <f>IF(CZ$1,SUMIFS('IncStmt Data'!$H$2:$H$2051,'IncStmt Data'!$G$2:$G$2051,$A25,'IncStmt Data'!$A$2:$A$2051,CZ$1),#N/A)</f>
        <v>#N/A</v>
      </c>
      <c r="DA25" s="40">
        <f>SUM(B25:AJ25)</f>
        <v>1727182</v>
      </c>
    </row>
    <row r="26" spans="1:105" s="40" customFormat="1" x14ac:dyDescent="0.2">
      <c r="A26" s="54" t="s">
        <v>31</v>
      </c>
      <c r="B26" s="40">
        <f>IF(B$1,SUMIFS('IncStmt Data'!$H$2:$H$2051,'IncStmt Data'!$G$2:$G$2051,$A26,'IncStmt Data'!$A$2:$A$2051,B$1),#N/A)</f>
        <v>79376</v>
      </c>
      <c r="C26" s="40">
        <f>IF(C$1,SUMIFS('IncStmt Data'!$H$2:$H$2051,'IncStmt Data'!$G$2:$G$2051,$A26,'IncStmt Data'!$A$2:$A$2051,C$1),#N/A)</f>
        <v>59295</v>
      </c>
      <c r="D26" s="40">
        <f>IF(D$1,SUMIFS('IncStmt Data'!$H$2:$H$2051,'IncStmt Data'!$G$2:$G$2051,$A26,'IncStmt Data'!$A$2:$A$2051,D$1),#N/A)</f>
        <v>108445</v>
      </c>
      <c r="E26" s="40">
        <f>IF(E$1,SUMIFS('IncStmt Data'!$H$2:$H$2051,'IncStmt Data'!$G$2:$G$2051,$A26,'IncStmt Data'!$A$2:$A$2051,E$1),#N/A)</f>
        <v>312909</v>
      </c>
      <c r="F26" s="40">
        <f>IF(F$1,SUMIFS('IncStmt Data'!$H$2:$H$2051,'IncStmt Data'!$G$2:$G$2051,$A26,'IncStmt Data'!$A$2:$A$2051,F$1),#N/A)</f>
        <v>399206</v>
      </c>
      <c r="G26" s="40">
        <f>IF(G$1,SUMIFS('IncStmt Data'!$H$2:$H$2051,'IncStmt Data'!$G$2:$G$2051,$A26,'IncStmt Data'!$A$2:$A$2051,G$1),#N/A)</f>
        <v>178540</v>
      </c>
      <c r="H26" s="40">
        <f>IF(H$1,SUMIFS('IncStmt Data'!$H$2:$H$2051,'IncStmt Data'!$G$2:$G$2051,$A26,'IncStmt Data'!$A$2:$A$2051,H$1),#N/A)</f>
        <v>95148</v>
      </c>
      <c r="I26" s="40">
        <f>IF(I$1,SUMIFS('IncStmt Data'!$H$2:$H$2051,'IncStmt Data'!$G$2:$G$2051,$A26,'IncStmt Data'!$A$2:$A$2051,I$1),#N/A)</f>
        <v>219192</v>
      </c>
      <c r="J26" s="40">
        <f>IF(J$1,SUMIFS('IncStmt Data'!$H$2:$H$2051,'IncStmt Data'!$G$2:$G$2051,$A26,'IncStmt Data'!$A$2:$A$2051,J$1),#N/A)</f>
        <v>293474</v>
      </c>
      <c r="K26" s="40">
        <f>IF(K$1,SUMIFS('IncStmt Data'!$H$2:$H$2051,'IncStmt Data'!$G$2:$G$2051,$A26,'IncStmt Data'!$A$2:$A$2051,K$1),#N/A)</f>
        <v>696821</v>
      </c>
      <c r="L26" s="40">
        <f>IF(L$1,SUMIFS('IncStmt Data'!$H$2:$H$2051,'IncStmt Data'!$G$2:$G$2051,$A26,'IncStmt Data'!$A$2:$A$2051,L$1),#N/A)</f>
        <v>559984</v>
      </c>
      <c r="M26" s="40">
        <f>IF(M$1,SUMIFS('IncStmt Data'!$H$2:$H$2051,'IncStmt Data'!$G$2:$G$2051,$A26,'IncStmt Data'!$A$2:$A$2051,M$1),#N/A)</f>
        <v>326882</v>
      </c>
      <c r="N26" s="40">
        <f>IF(N$1,SUMIFS('IncStmt Data'!$H$2:$H$2051,'IncStmt Data'!$G$2:$G$2051,$A26,'IncStmt Data'!$A$2:$A$2051,N$1),#N/A)</f>
        <v>1563911</v>
      </c>
      <c r="O26" s="40">
        <f>IF(O$1,SUMIFS('IncStmt Data'!$H$2:$H$2051,'IncStmt Data'!$G$2:$G$2051,$A26,'IncStmt Data'!$A$2:$A$2051,O$1),#N/A)</f>
        <v>524975</v>
      </c>
      <c r="P26" s="40">
        <f>IF(P$1,SUMIFS('IncStmt Data'!$H$2:$H$2051,'IncStmt Data'!$G$2:$G$2051,$A26,'IncStmt Data'!$A$2:$A$2051,P$1),#N/A)</f>
        <v>295780</v>
      </c>
      <c r="Q26" s="40">
        <f>IF(Q$1,SUMIFS('IncStmt Data'!$H$2:$H$2051,'IncStmt Data'!$G$2:$G$2051,$A26,'IncStmt Data'!$A$2:$A$2051,Q$1),#N/A)</f>
        <v>0</v>
      </c>
      <c r="R26" s="40">
        <f>IF(R$1,SUMIFS('IncStmt Data'!$H$2:$H$2051,'IncStmt Data'!$G$2:$G$2051,$A26,'IncStmt Data'!$A$2:$A$2051,R$1),#N/A)</f>
        <v>0</v>
      </c>
      <c r="S26" s="40">
        <f>IF(S$1,SUMIFS('IncStmt Data'!$H$2:$H$2051,'IncStmt Data'!$G$2:$G$2051,$A26,'IncStmt Data'!$A$2:$A$2051,S$1),#N/A)</f>
        <v>263077</v>
      </c>
      <c r="T26" s="40">
        <f>IF(T$1,SUMIFS('IncStmt Data'!$H$2:$H$2051,'IncStmt Data'!$G$2:$G$2051,$A26,'IncStmt Data'!$A$2:$A$2051,T$1),#N/A)</f>
        <v>116373</v>
      </c>
      <c r="U26" s="40">
        <f>IF(U$1,SUMIFS('IncStmt Data'!$H$2:$H$2051,'IncStmt Data'!$G$2:$G$2051,$A26,'IncStmt Data'!$A$2:$A$2051,U$1),#N/A)</f>
        <v>214941</v>
      </c>
      <c r="V26" s="40">
        <f>IF(V$1,SUMIFS('IncStmt Data'!$H$2:$H$2051,'IncStmt Data'!$G$2:$G$2051,$A26,'IncStmt Data'!$A$2:$A$2051,V$1),#N/A)</f>
        <v>166588</v>
      </c>
      <c r="W26" s="40">
        <f>IF(W$1,SUMIFS('IncStmt Data'!$H$2:$H$2051,'IncStmt Data'!$G$2:$G$2051,$A26,'IncStmt Data'!$A$2:$A$2051,W$1),#N/A)</f>
        <v>296928</v>
      </c>
      <c r="X26" s="40">
        <f>IF(X$1,SUMIFS('IncStmt Data'!$H$2:$H$2051,'IncStmt Data'!$G$2:$G$2051,$A26,'IncStmt Data'!$A$2:$A$2051,X$1),#N/A)</f>
        <v>74703</v>
      </c>
      <c r="Y26" s="40">
        <f>IF(Y$1,SUMIFS('IncStmt Data'!$H$2:$H$2051,'IncStmt Data'!$G$2:$G$2051,$A26,'IncStmt Data'!$A$2:$A$2051,Y$1),#N/A)</f>
        <v>0</v>
      </c>
      <c r="Z26" s="40">
        <f>IF(Z$1,SUMIFS('IncStmt Data'!$H$2:$H$2051,'IncStmt Data'!$G$2:$G$2051,$A26,'IncStmt Data'!$A$2:$A$2051,Z$1),#N/A)</f>
        <v>0</v>
      </c>
      <c r="AA26" s="40">
        <f>IF(AA$1,SUMIFS('IncStmt Data'!$H$2:$H$2051,'IncStmt Data'!$G$2:$G$2051,$A26,'IncStmt Data'!$A$2:$A$2051,AA$1),#N/A)</f>
        <v>0</v>
      </c>
      <c r="AB26" s="40">
        <f>IF(AB$1,SUMIFS('IncStmt Data'!$H$2:$H$2051,'IncStmt Data'!$G$2:$G$2051,$A26,'IncStmt Data'!$A$2:$A$2051,AB$1),#N/A)</f>
        <v>0</v>
      </c>
      <c r="AC26" s="40">
        <f>IF(AC$1,SUMIFS('IncStmt Data'!$H$2:$H$2051,'IncStmt Data'!$G$2:$G$2051,$A26,'IncStmt Data'!$A$2:$A$2051,AC$1),#N/A)</f>
        <v>0</v>
      </c>
      <c r="AD26" s="40">
        <f>IF(AD$1,SUMIFS('IncStmt Data'!$H$2:$H$2051,'IncStmt Data'!$G$2:$G$2051,$A26,'IncStmt Data'!$A$2:$A$2051,AD$1),#N/A)</f>
        <v>332656</v>
      </c>
      <c r="AE26" s="40">
        <f>IF(AE$1,SUMIFS('IncStmt Data'!$H$2:$H$2051,'IncStmt Data'!$G$2:$G$2051,$A26,'IncStmt Data'!$A$2:$A$2051,AE$1),#N/A)</f>
        <v>417486</v>
      </c>
      <c r="AF26" s="40">
        <f>IF(AF$1,SUMIFS('IncStmt Data'!$H$2:$H$2051,'IncStmt Data'!$G$2:$G$2051,$A26,'IncStmt Data'!$A$2:$A$2051,AF$1),#N/A)</f>
        <v>203121</v>
      </c>
      <c r="AG26" s="40">
        <f>IF(AG$1,SUMIFS('IncStmt Data'!$H$2:$H$2051,'IncStmt Data'!$G$2:$G$2051,$A26,'IncStmt Data'!$A$2:$A$2051,AG$1),#N/A)</f>
        <v>303534</v>
      </c>
      <c r="AH26" s="40">
        <f>IF(AH$1,SUMIFS('IncStmt Data'!$H$2:$H$2051,'IncStmt Data'!$G$2:$G$2051,$A26,'IncStmt Data'!$A$2:$A$2051,AH$1),#N/A)</f>
        <v>162597</v>
      </c>
      <c r="AI26" s="40">
        <f>IF(AI$1,SUMIFS('IncStmt Data'!$H$2:$H$2051,'IncStmt Data'!$G$2:$G$2051,$A26,'IncStmt Data'!$A$2:$A$2051,AI$1),#N/A)</f>
        <v>137566</v>
      </c>
      <c r="AJ26" s="40">
        <f>IF(AJ$1,SUMIFS('IncStmt Data'!$H$2:$H$2051,'IncStmt Data'!$G$2:$G$2051,$A26,'IncStmt Data'!$A$2:$A$2051,AJ$1),#N/A)</f>
        <v>122428</v>
      </c>
      <c r="AK26" s="40" t="e">
        <f>IF(AK$1,SUMIFS('IncStmt Data'!$H$2:$H$2051,'IncStmt Data'!$G$2:$G$2051,$A26,'IncStmt Data'!$A$2:$A$2051,AK$1),#N/A)</f>
        <v>#N/A</v>
      </c>
      <c r="AL26" s="40" t="e">
        <f>IF(AL$1,SUMIFS('IncStmt Data'!$H$2:$H$2051,'IncStmt Data'!$G$2:$G$2051,$A26,'IncStmt Data'!$A$2:$A$2051,AL$1),#N/A)</f>
        <v>#N/A</v>
      </c>
      <c r="AM26" s="40" t="e">
        <f>IF(AM$1,SUMIFS('IncStmt Data'!$H$2:$H$2051,'IncStmt Data'!$G$2:$G$2051,$A26,'IncStmt Data'!$A$2:$A$2051,AM$1),#N/A)</f>
        <v>#N/A</v>
      </c>
      <c r="AN26" s="40" t="e">
        <f>IF(AN$1,SUMIFS('IncStmt Data'!$H$2:$H$2051,'IncStmt Data'!$G$2:$G$2051,$A26,'IncStmt Data'!$A$2:$A$2051,AN$1),#N/A)</f>
        <v>#N/A</v>
      </c>
      <c r="AO26" s="40" t="e">
        <f>IF(AO$1,SUMIFS('IncStmt Data'!$H$2:$H$2051,'IncStmt Data'!$G$2:$G$2051,$A26,'IncStmt Data'!$A$2:$A$2051,AO$1),#N/A)</f>
        <v>#N/A</v>
      </c>
      <c r="AP26" s="40" t="e">
        <f>IF(AP$1,SUMIFS('IncStmt Data'!$H$2:$H$2051,'IncStmt Data'!$G$2:$G$2051,$A26,'IncStmt Data'!$A$2:$A$2051,AP$1),#N/A)</f>
        <v>#N/A</v>
      </c>
      <c r="AQ26" s="40" t="e">
        <f>IF(AQ$1,SUMIFS('IncStmt Data'!$H$2:$H$2051,'IncStmt Data'!$G$2:$G$2051,$A26,'IncStmt Data'!$A$2:$A$2051,AQ$1),#N/A)</f>
        <v>#N/A</v>
      </c>
      <c r="AR26" s="40" t="e">
        <f>IF(AR$1,SUMIFS('IncStmt Data'!$H$2:$H$2051,'IncStmt Data'!$G$2:$G$2051,$A26,'IncStmt Data'!$A$2:$A$2051,AR$1),#N/A)</f>
        <v>#N/A</v>
      </c>
      <c r="AS26" s="40" t="e">
        <f>IF(AS$1,SUMIFS('IncStmt Data'!$H$2:$H$2051,'IncStmt Data'!$G$2:$G$2051,$A26,'IncStmt Data'!$A$2:$A$2051,AS$1),#N/A)</f>
        <v>#N/A</v>
      </c>
      <c r="AT26" s="40" t="e">
        <f>IF(AT$1,SUMIFS('IncStmt Data'!$H$2:$H$2051,'IncStmt Data'!$G$2:$G$2051,$A26,'IncStmt Data'!$A$2:$A$2051,AT$1),#N/A)</f>
        <v>#N/A</v>
      </c>
      <c r="AU26" s="40" t="e">
        <f>IF(AU$1,SUMIFS('IncStmt Data'!$H$2:$H$2051,'IncStmt Data'!$G$2:$G$2051,$A26,'IncStmt Data'!$A$2:$A$2051,AU$1),#N/A)</f>
        <v>#N/A</v>
      </c>
      <c r="AV26" s="40" t="e">
        <f>IF(AV$1,SUMIFS('IncStmt Data'!$H$2:$H$2051,'IncStmt Data'!$G$2:$G$2051,$A26,'IncStmt Data'!$A$2:$A$2051,AV$1),#N/A)</f>
        <v>#N/A</v>
      </c>
      <c r="AW26" s="40" t="e">
        <f>IF(AW$1,SUMIFS('IncStmt Data'!$H$2:$H$2051,'IncStmt Data'!$G$2:$G$2051,$A26,'IncStmt Data'!$A$2:$A$2051,AW$1),#N/A)</f>
        <v>#N/A</v>
      </c>
      <c r="AX26" s="40" t="e">
        <f>IF(AX$1,SUMIFS('IncStmt Data'!$H$2:$H$2051,'IncStmt Data'!$G$2:$G$2051,$A26,'IncStmt Data'!$A$2:$A$2051,AX$1),#N/A)</f>
        <v>#N/A</v>
      </c>
      <c r="AY26" s="40" t="e">
        <f>IF(AY$1,SUMIFS('IncStmt Data'!$H$2:$H$2051,'IncStmt Data'!$G$2:$G$2051,$A26,'IncStmt Data'!$A$2:$A$2051,AY$1),#N/A)</f>
        <v>#N/A</v>
      </c>
      <c r="AZ26" s="40" t="e">
        <f>IF(AZ$1,SUMIFS('IncStmt Data'!$H$2:$H$2051,'IncStmt Data'!$G$2:$G$2051,$A26,'IncStmt Data'!$A$2:$A$2051,AZ$1),#N/A)</f>
        <v>#N/A</v>
      </c>
      <c r="BA26" s="40" t="e">
        <f>IF(BA$1,SUMIFS('IncStmt Data'!$H$2:$H$2051,'IncStmt Data'!$G$2:$G$2051,$A26,'IncStmt Data'!$A$2:$A$2051,BA$1),#N/A)</f>
        <v>#N/A</v>
      </c>
      <c r="BB26" s="40" t="e">
        <f>IF(BB$1,SUMIFS('IncStmt Data'!$H$2:$H$2051,'IncStmt Data'!$G$2:$G$2051,$A26,'IncStmt Data'!$A$2:$A$2051,BB$1),#N/A)</f>
        <v>#N/A</v>
      </c>
      <c r="BC26" s="40" t="e">
        <f>IF(BC$1,SUMIFS('IncStmt Data'!$H$2:$H$2051,'IncStmt Data'!$G$2:$G$2051,$A26,'IncStmt Data'!$A$2:$A$2051,BC$1),#N/A)</f>
        <v>#N/A</v>
      </c>
      <c r="BD26" s="40" t="e">
        <f>IF(BD$1,SUMIFS('IncStmt Data'!$H$2:$H$2051,'IncStmt Data'!$G$2:$G$2051,$A26,'IncStmt Data'!$A$2:$A$2051,BD$1),#N/A)</f>
        <v>#N/A</v>
      </c>
      <c r="BE26" s="40" t="e">
        <f>IF(BE$1,SUMIFS('IncStmt Data'!$H$2:$H$2051,'IncStmt Data'!$G$2:$G$2051,$A26,'IncStmt Data'!$A$2:$A$2051,BE$1),#N/A)</f>
        <v>#N/A</v>
      </c>
      <c r="BF26" s="40" t="e">
        <f>IF(BF$1,SUMIFS('IncStmt Data'!$H$2:$H$2051,'IncStmt Data'!$G$2:$G$2051,$A26,'IncStmt Data'!$A$2:$A$2051,BF$1),#N/A)</f>
        <v>#N/A</v>
      </c>
      <c r="BG26" s="40" t="e">
        <f>IF(BG$1,SUMIFS('IncStmt Data'!$H$2:$H$2051,'IncStmt Data'!$G$2:$G$2051,$A26,'IncStmt Data'!$A$2:$A$2051,BG$1),#N/A)</f>
        <v>#N/A</v>
      </c>
      <c r="BH26" s="40" t="e">
        <f>IF(BH$1,SUMIFS('IncStmt Data'!$H$2:$H$2051,'IncStmt Data'!$G$2:$G$2051,$A26,'IncStmt Data'!$A$2:$A$2051,BH$1),#N/A)</f>
        <v>#N/A</v>
      </c>
      <c r="BI26" s="40" t="e">
        <f>IF(BI$1,SUMIFS('IncStmt Data'!$H$2:$H$2051,'IncStmt Data'!$G$2:$G$2051,$A26,'IncStmt Data'!$A$2:$A$2051,BI$1),#N/A)</f>
        <v>#N/A</v>
      </c>
      <c r="BJ26" s="40" t="e">
        <f>IF(BJ$1,SUMIFS('IncStmt Data'!$H$2:$H$2051,'IncStmt Data'!$G$2:$G$2051,$A26,'IncStmt Data'!$A$2:$A$2051,BJ$1),#N/A)</f>
        <v>#N/A</v>
      </c>
      <c r="BK26" s="40" t="e">
        <f>IF(BK$1,SUMIFS('IncStmt Data'!$H$2:$H$2051,'IncStmt Data'!$G$2:$G$2051,$A26,'IncStmt Data'!$A$2:$A$2051,BK$1),#N/A)</f>
        <v>#N/A</v>
      </c>
      <c r="BL26" s="40" t="e">
        <f>IF(BL$1,SUMIFS('IncStmt Data'!$H$2:$H$2051,'IncStmt Data'!$G$2:$G$2051,$A26,'IncStmt Data'!$A$2:$A$2051,BL$1),#N/A)</f>
        <v>#N/A</v>
      </c>
      <c r="BM26" s="40" t="e">
        <f>IF(BM$1,SUMIFS('IncStmt Data'!$H$2:$H$2051,'IncStmt Data'!$G$2:$G$2051,$A26,'IncStmt Data'!$A$2:$A$2051,BM$1),#N/A)</f>
        <v>#N/A</v>
      </c>
      <c r="BN26" s="40" t="e">
        <f>IF(BN$1,SUMIFS('IncStmt Data'!$H$2:$H$2051,'IncStmt Data'!$G$2:$G$2051,$A26,'IncStmt Data'!$A$2:$A$2051,BN$1),#N/A)</f>
        <v>#N/A</v>
      </c>
      <c r="BO26" s="40" t="e">
        <f>IF(BO$1,SUMIFS('IncStmt Data'!$H$2:$H$2051,'IncStmt Data'!$G$2:$G$2051,$A26,'IncStmt Data'!$A$2:$A$2051,BO$1),#N/A)</f>
        <v>#N/A</v>
      </c>
      <c r="BP26" s="40" t="e">
        <f>IF(BP$1,SUMIFS('IncStmt Data'!$H$2:$H$2051,'IncStmt Data'!$G$2:$G$2051,$A26,'IncStmt Data'!$A$2:$A$2051,BP$1),#N/A)</f>
        <v>#N/A</v>
      </c>
      <c r="BQ26" s="40" t="e">
        <f>IF(BQ$1,SUMIFS('IncStmt Data'!$H$2:$H$2051,'IncStmt Data'!$G$2:$G$2051,$A26,'IncStmt Data'!$A$2:$A$2051,BQ$1),#N/A)</f>
        <v>#N/A</v>
      </c>
      <c r="BR26" s="40" t="e">
        <f>IF(BR$1,SUMIFS('IncStmt Data'!$H$2:$H$2051,'IncStmt Data'!$G$2:$G$2051,$A26,'IncStmt Data'!$A$2:$A$2051,BR$1),#N/A)</f>
        <v>#N/A</v>
      </c>
      <c r="BS26" s="40" t="e">
        <f>IF(BS$1,SUMIFS('IncStmt Data'!$H$2:$H$2051,'IncStmt Data'!$G$2:$G$2051,$A26,'IncStmt Data'!$A$2:$A$2051,BS$1),#N/A)</f>
        <v>#N/A</v>
      </c>
      <c r="BT26" s="40" t="e">
        <f>IF(BT$1,SUMIFS('IncStmt Data'!$H$2:$H$2051,'IncStmt Data'!$G$2:$G$2051,$A26,'IncStmt Data'!$A$2:$A$2051,BT$1),#N/A)</f>
        <v>#N/A</v>
      </c>
      <c r="BU26" s="40" t="e">
        <f>IF(BU$1,SUMIFS('IncStmt Data'!$H$2:$H$2051,'IncStmt Data'!$G$2:$G$2051,$A26,'IncStmt Data'!$A$2:$A$2051,BU$1),#N/A)</f>
        <v>#N/A</v>
      </c>
      <c r="BV26" s="40" t="e">
        <f>IF(BV$1,SUMIFS('IncStmt Data'!$H$2:$H$2051,'IncStmt Data'!$G$2:$G$2051,$A26,'IncStmt Data'!$A$2:$A$2051,BV$1),#N/A)</f>
        <v>#N/A</v>
      </c>
      <c r="BW26" s="40" t="e">
        <f>IF(BW$1,SUMIFS('IncStmt Data'!$H$2:$H$2051,'IncStmt Data'!$G$2:$G$2051,$A26,'IncStmt Data'!$A$2:$A$2051,BW$1),#N/A)</f>
        <v>#N/A</v>
      </c>
      <c r="BX26" s="40" t="e">
        <f>IF(BX$1,SUMIFS('IncStmt Data'!$H$2:$H$2051,'IncStmt Data'!$G$2:$G$2051,$A26,'IncStmt Data'!$A$2:$A$2051,BX$1),#N/A)</f>
        <v>#N/A</v>
      </c>
      <c r="BY26" s="40" t="e">
        <f>IF(BY$1,SUMIFS('IncStmt Data'!$H$2:$H$2051,'IncStmt Data'!$G$2:$G$2051,$A26,'IncStmt Data'!$A$2:$A$2051,BY$1),#N/A)</f>
        <v>#N/A</v>
      </c>
      <c r="BZ26" s="40" t="e">
        <f>IF(BZ$1,SUMIFS('IncStmt Data'!$H$2:$H$2051,'IncStmt Data'!$G$2:$G$2051,$A26,'IncStmt Data'!$A$2:$A$2051,BZ$1),#N/A)</f>
        <v>#N/A</v>
      </c>
      <c r="CA26" s="40" t="e">
        <f>IF(CA$1,SUMIFS('IncStmt Data'!$H$2:$H$2051,'IncStmt Data'!$G$2:$G$2051,$A26,'IncStmt Data'!$A$2:$A$2051,CA$1),#N/A)</f>
        <v>#N/A</v>
      </c>
      <c r="CB26" s="40" t="e">
        <f>IF(CB$1,SUMIFS('IncStmt Data'!$H$2:$H$2051,'IncStmt Data'!$G$2:$G$2051,$A26,'IncStmt Data'!$A$2:$A$2051,CB$1),#N/A)</f>
        <v>#N/A</v>
      </c>
      <c r="CC26" s="40" t="e">
        <f>IF(CC$1,SUMIFS('IncStmt Data'!$H$2:$H$2051,'IncStmt Data'!$G$2:$G$2051,$A26,'IncStmt Data'!$A$2:$A$2051,CC$1),#N/A)</f>
        <v>#N/A</v>
      </c>
      <c r="CD26" s="40" t="e">
        <f>IF(CD$1,SUMIFS('IncStmt Data'!$H$2:$H$2051,'IncStmt Data'!$G$2:$G$2051,$A26,'IncStmt Data'!$A$2:$A$2051,CD$1),#N/A)</f>
        <v>#N/A</v>
      </c>
      <c r="CE26" s="40" t="e">
        <f>IF(CE$1,SUMIFS('IncStmt Data'!$H$2:$H$2051,'IncStmt Data'!$G$2:$G$2051,$A26,'IncStmt Data'!$A$2:$A$2051,CE$1),#N/A)</f>
        <v>#N/A</v>
      </c>
      <c r="CF26" s="40" t="e">
        <f>IF(CF$1,SUMIFS('IncStmt Data'!$H$2:$H$2051,'IncStmt Data'!$G$2:$G$2051,$A26,'IncStmt Data'!$A$2:$A$2051,CF$1),#N/A)</f>
        <v>#N/A</v>
      </c>
      <c r="CG26" s="40" t="e">
        <f>IF(CG$1,SUMIFS('IncStmt Data'!$H$2:$H$2051,'IncStmt Data'!$G$2:$G$2051,$A26,'IncStmt Data'!$A$2:$A$2051,CG$1),#N/A)</f>
        <v>#N/A</v>
      </c>
      <c r="CH26" s="40" t="e">
        <f>IF(CH$1,SUMIFS('IncStmt Data'!$H$2:$H$2051,'IncStmt Data'!$G$2:$G$2051,$A26,'IncStmt Data'!$A$2:$A$2051,CH$1),#N/A)</f>
        <v>#N/A</v>
      </c>
      <c r="CI26" s="40" t="e">
        <f>IF(CI$1,SUMIFS('IncStmt Data'!$H$2:$H$2051,'IncStmt Data'!$G$2:$G$2051,$A26,'IncStmt Data'!$A$2:$A$2051,CI$1),#N/A)</f>
        <v>#N/A</v>
      </c>
      <c r="CJ26" s="40" t="e">
        <f>IF(CJ$1,SUMIFS('IncStmt Data'!$H$2:$H$2051,'IncStmt Data'!$G$2:$G$2051,$A26,'IncStmt Data'!$A$2:$A$2051,CJ$1),#N/A)</f>
        <v>#N/A</v>
      </c>
      <c r="CK26" s="40" t="e">
        <f>IF(CK$1,SUMIFS('IncStmt Data'!$H$2:$H$2051,'IncStmt Data'!$G$2:$G$2051,$A26,'IncStmt Data'!$A$2:$A$2051,CK$1),#N/A)</f>
        <v>#N/A</v>
      </c>
      <c r="CL26" s="40" t="e">
        <f>IF(CL$1,SUMIFS('IncStmt Data'!$H$2:$H$2051,'IncStmt Data'!$G$2:$G$2051,$A26,'IncStmt Data'!$A$2:$A$2051,CL$1),#N/A)</f>
        <v>#N/A</v>
      </c>
      <c r="CM26" s="40" t="e">
        <f>IF(CM$1,SUMIFS('IncStmt Data'!$H$2:$H$2051,'IncStmt Data'!$G$2:$G$2051,$A26,'IncStmt Data'!$A$2:$A$2051,CM$1),#N/A)</f>
        <v>#N/A</v>
      </c>
      <c r="CN26" s="40" t="e">
        <f>IF(CN$1,SUMIFS('IncStmt Data'!$H$2:$H$2051,'IncStmt Data'!$G$2:$G$2051,$A26,'IncStmt Data'!$A$2:$A$2051,CN$1),#N/A)</f>
        <v>#N/A</v>
      </c>
      <c r="CO26" s="40" t="e">
        <f>IF(CO$1,SUMIFS('IncStmt Data'!$H$2:$H$2051,'IncStmt Data'!$G$2:$G$2051,$A26,'IncStmt Data'!$A$2:$A$2051,CO$1),#N/A)</f>
        <v>#N/A</v>
      </c>
      <c r="CP26" s="40" t="e">
        <f>IF(CP$1,SUMIFS('IncStmt Data'!$H$2:$H$2051,'IncStmt Data'!$G$2:$G$2051,$A26,'IncStmt Data'!$A$2:$A$2051,CP$1),#N/A)</f>
        <v>#N/A</v>
      </c>
      <c r="CQ26" s="40" t="e">
        <f>IF(CQ$1,SUMIFS('IncStmt Data'!$H$2:$H$2051,'IncStmt Data'!$G$2:$G$2051,$A26,'IncStmt Data'!$A$2:$A$2051,CQ$1),#N/A)</f>
        <v>#N/A</v>
      </c>
      <c r="CR26" s="40" t="e">
        <f>IF(CR$1,SUMIFS('IncStmt Data'!$H$2:$H$2051,'IncStmt Data'!$G$2:$G$2051,$A26,'IncStmt Data'!$A$2:$A$2051,CR$1),#N/A)</f>
        <v>#N/A</v>
      </c>
      <c r="CS26" s="40" t="e">
        <f>IF(CS$1,SUMIFS('IncStmt Data'!$H$2:$H$2051,'IncStmt Data'!$G$2:$G$2051,$A26,'IncStmt Data'!$A$2:$A$2051,CS$1),#N/A)</f>
        <v>#N/A</v>
      </c>
      <c r="CT26" s="40" t="e">
        <f>IF(CT$1,SUMIFS('IncStmt Data'!$H$2:$H$2051,'IncStmt Data'!$G$2:$G$2051,$A26,'IncStmt Data'!$A$2:$A$2051,CT$1),#N/A)</f>
        <v>#N/A</v>
      </c>
      <c r="CU26" s="40" t="e">
        <f>IF(CU$1,SUMIFS('IncStmt Data'!$H$2:$H$2051,'IncStmt Data'!$G$2:$G$2051,$A26,'IncStmt Data'!$A$2:$A$2051,CU$1),#N/A)</f>
        <v>#N/A</v>
      </c>
      <c r="CV26" s="40" t="e">
        <f>IF(CV$1,SUMIFS('IncStmt Data'!$H$2:$H$2051,'IncStmt Data'!$G$2:$G$2051,$A26,'IncStmt Data'!$A$2:$A$2051,CV$1),#N/A)</f>
        <v>#N/A</v>
      </c>
      <c r="CW26" s="40" t="e">
        <f>IF(CW$1,SUMIFS('IncStmt Data'!$H$2:$H$2051,'IncStmt Data'!$G$2:$G$2051,$A26,'IncStmt Data'!$A$2:$A$2051,CW$1),#N/A)</f>
        <v>#N/A</v>
      </c>
      <c r="CX26" s="40" t="e">
        <f>IF(CX$1,SUMIFS('IncStmt Data'!$H$2:$H$2051,'IncStmt Data'!$G$2:$G$2051,$A26,'IncStmt Data'!$A$2:$A$2051,CX$1),#N/A)</f>
        <v>#N/A</v>
      </c>
      <c r="CY26" s="40" t="e">
        <f>IF(CY$1,SUMIFS('IncStmt Data'!$H$2:$H$2051,'IncStmt Data'!$G$2:$G$2051,$A26,'IncStmt Data'!$A$2:$A$2051,CY$1),#N/A)</f>
        <v>#N/A</v>
      </c>
      <c r="CZ26" s="40" t="e">
        <f>IF(CZ$1,SUMIFS('IncStmt Data'!$H$2:$H$2051,'IncStmt Data'!$G$2:$G$2051,$A26,'IncStmt Data'!$A$2:$A$2051,CZ$1),#N/A)</f>
        <v>#N/A</v>
      </c>
      <c r="DA26" s="40">
        <f>SUM(B26:AJ26)</f>
        <v>8525936</v>
      </c>
    </row>
    <row r="27" spans="1:105" s="40" customFormat="1" x14ac:dyDescent="0.2">
      <c r="A27" s="54" t="s">
        <v>140</v>
      </c>
      <c r="B27" s="40">
        <f>IF(B$1,SUMIFS('IncStmt Data'!$H$2:$H$2051,'IncStmt Data'!$G$2:$G$2051,$A27,'IncStmt Data'!$A$2:$A$2051,B$1),#N/A)</f>
        <v>0</v>
      </c>
      <c r="C27" s="40">
        <f>IF(C$1,SUMIFS('IncStmt Data'!$H$2:$H$2051,'IncStmt Data'!$G$2:$G$2051,$A27,'IncStmt Data'!$A$2:$A$2051,C$1),#N/A)</f>
        <v>0</v>
      </c>
      <c r="D27" s="40">
        <f>IF(D$1,SUMIFS('IncStmt Data'!$H$2:$H$2051,'IncStmt Data'!$G$2:$G$2051,$A27,'IncStmt Data'!$A$2:$A$2051,D$1),#N/A)</f>
        <v>0</v>
      </c>
      <c r="E27" s="40">
        <f>IF(E$1,SUMIFS('IncStmt Data'!$H$2:$H$2051,'IncStmt Data'!$G$2:$G$2051,$A27,'IncStmt Data'!$A$2:$A$2051,E$1),#N/A)</f>
        <v>0</v>
      </c>
      <c r="F27" s="40">
        <f>IF(F$1,SUMIFS('IncStmt Data'!$H$2:$H$2051,'IncStmt Data'!$G$2:$G$2051,$A27,'IncStmt Data'!$A$2:$A$2051,F$1),#N/A)</f>
        <v>0</v>
      </c>
      <c r="G27" s="40">
        <f>IF(G$1,SUMIFS('IncStmt Data'!$H$2:$H$2051,'IncStmt Data'!$G$2:$G$2051,$A27,'IncStmt Data'!$A$2:$A$2051,G$1),#N/A)</f>
        <v>0</v>
      </c>
      <c r="H27" s="40">
        <f>IF(H$1,SUMIFS('IncStmt Data'!$H$2:$H$2051,'IncStmt Data'!$G$2:$G$2051,$A27,'IncStmt Data'!$A$2:$A$2051,H$1),#N/A)</f>
        <v>0</v>
      </c>
      <c r="I27" s="40">
        <f>IF(I$1,SUMIFS('IncStmt Data'!$H$2:$H$2051,'IncStmt Data'!$G$2:$G$2051,$A27,'IncStmt Data'!$A$2:$A$2051,I$1),#N/A)</f>
        <v>0</v>
      </c>
      <c r="J27" s="40">
        <f>IF(J$1,SUMIFS('IncStmt Data'!$H$2:$H$2051,'IncStmt Data'!$G$2:$G$2051,$A27,'IncStmt Data'!$A$2:$A$2051,J$1),#N/A)</f>
        <v>0</v>
      </c>
      <c r="K27" s="40">
        <f>IF(K$1,SUMIFS('IncStmt Data'!$H$2:$H$2051,'IncStmt Data'!$G$2:$G$2051,$A27,'IncStmt Data'!$A$2:$A$2051,K$1),#N/A)</f>
        <v>0</v>
      </c>
      <c r="L27" s="40">
        <f>IF(L$1,SUMIFS('IncStmt Data'!$H$2:$H$2051,'IncStmt Data'!$G$2:$G$2051,$A27,'IncStmt Data'!$A$2:$A$2051,L$1),#N/A)</f>
        <v>0</v>
      </c>
      <c r="M27" s="40">
        <f>IF(M$1,SUMIFS('IncStmt Data'!$H$2:$H$2051,'IncStmt Data'!$G$2:$G$2051,$A27,'IncStmt Data'!$A$2:$A$2051,M$1),#N/A)</f>
        <v>0</v>
      </c>
      <c r="N27" s="40">
        <f>IF(N$1,SUMIFS('IncStmt Data'!$H$2:$H$2051,'IncStmt Data'!$G$2:$G$2051,$A27,'IncStmt Data'!$A$2:$A$2051,N$1),#N/A)</f>
        <v>0</v>
      </c>
      <c r="O27" s="40">
        <f>IF(O$1,SUMIFS('IncStmt Data'!$H$2:$H$2051,'IncStmt Data'!$G$2:$G$2051,$A27,'IncStmt Data'!$A$2:$A$2051,O$1),#N/A)</f>
        <v>0</v>
      </c>
      <c r="P27" s="40">
        <f>IF(P$1,SUMIFS('IncStmt Data'!$H$2:$H$2051,'IncStmt Data'!$G$2:$G$2051,$A27,'IncStmt Data'!$A$2:$A$2051,P$1),#N/A)</f>
        <v>0</v>
      </c>
      <c r="Q27" s="40">
        <f>IF(Q$1,SUMIFS('IncStmt Data'!$H$2:$H$2051,'IncStmt Data'!$G$2:$G$2051,$A27,'IncStmt Data'!$A$2:$A$2051,Q$1),#N/A)</f>
        <v>0</v>
      </c>
      <c r="R27" s="40">
        <f>IF(R$1,SUMIFS('IncStmt Data'!$H$2:$H$2051,'IncStmt Data'!$G$2:$G$2051,$A27,'IncStmt Data'!$A$2:$A$2051,R$1),#N/A)</f>
        <v>0</v>
      </c>
      <c r="S27" s="40">
        <f>IF(S$1,SUMIFS('IncStmt Data'!$H$2:$H$2051,'IncStmt Data'!$G$2:$G$2051,$A27,'IncStmt Data'!$A$2:$A$2051,S$1),#N/A)</f>
        <v>0</v>
      </c>
      <c r="T27" s="40">
        <f>IF(T$1,SUMIFS('IncStmt Data'!$H$2:$H$2051,'IncStmt Data'!$G$2:$G$2051,$A27,'IncStmt Data'!$A$2:$A$2051,T$1),#N/A)</f>
        <v>0</v>
      </c>
      <c r="U27" s="40">
        <f>IF(U$1,SUMIFS('IncStmt Data'!$H$2:$H$2051,'IncStmt Data'!$G$2:$G$2051,$A27,'IncStmt Data'!$A$2:$A$2051,U$1),#N/A)</f>
        <v>0</v>
      </c>
      <c r="V27" s="40">
        <f>IF(V$1,SUMIFS('IncStmt Data'!$H$2:$H$2051,'IncStmt Data'!$G$2:$G$2051,$A27,'IncStmt Data'!$A$2:$A$2051,V$1),#N/A)</f>
        <v>0</v>
      </c>
      <c r="W27" s="40">
        <f>IF(W$1,SUMIFS('IncStmt Data'!$H$2:$H$2051,'IncStmt Data'!$G$2:$G$2051,$A27,'IncStmt Data'!$A$2:$A$2051,W$1),#N/A)</f>
        <v>0</v>
      </c>
      <c r="X27" s="40">
        <f>IF(X$1,SUMIFS('IncStmt Data'!$H$2:$H$2051,'IncStmt Data'!$G$2:$G$2051,$A27,'IncStmt Data'!$A$2:$A$2051,X$1),#N/A)</f>
        <v>0</v>
      </c>
      <c r="Y27" s="40">
        <f>IF(Y$1,SUMIFS('IncStmt Data'!$H$2:$H$2051,'IncStmt Data'!$G$2:$G$2051,$A27,'IncStmt Data'!$A$2:$A$2051,Y$1),#N/A)</f>
        <v>0</v>
      </c>
      <c r="Z27" s="40">
        <f>IF(Z$1,SUMIFS('IncStmt Data'!$H$2:$H$2051,'IncStmt Data'!$G$2:$G$2051,$A27,'IncStmt Data'!$A$2:$A$2051,Z$1),#N/A)</f>
        <v>0</v>
      </c>
      <c r="AA27" s="40">
        <f>IF(AA$1,SUMIFS('IncStmt Data'!$H$2:$H$2051,'IncStmt Data'!$G$2:$G$2051,$A27,'IncStmt Data'!$A$2:$A$2051,AA$1),#N/A)</f>
        <v>0</v>
      </c>
      <c r="AB27" s="40">
        <f>IF(AB$1,SUMIFS('IncStmt Data'!$H$2:$H$2051,'IncStmt Data'!$G$2:$G$2051,$A27,'IncStmt Data'!$A$2:$A$2051,AB$1),#N/A)</f>
        <v>0</v>
      </c>
      <c r="AC27" s="40">
        <f>IF(AC$1,SUMIFS('IncStmt Data'!$H$2:$H$2051,'IncStmt Data'!$G$2:$G$2051,$A27,'IncStmt Data'!$A$2:$A$2051,AC$1),#N/A)</f>
        <v>0</v>
      </c>
      <c r="AD27" s="40">
        <f>IF(AD$1,SUMIFS('IncStmt Data'!$H$2:$H$2051,'IncStmt Data'!$G$2:$G$2051,$A27,'IncStmt Data'!$A$2:$A$2051,AD$1),#N/A)</f>
        <v>0</v>
      </c>
      <c r="AE27" s="40">
        <f>IF(AE$1,SUMIFS('IncStmt Data'!$H$2:$H$2051,'IncStmt Data'!$G$2:$G$2051,$A27,'IncStmt Data'!$A$2:$A$2051,AE$1),#N/A)</f>
        <v>0</v>
      </c>
      <c r="AF27" s="40">
        <f>IF(AF$1,SUMIFS('IncStmt Data'!$H$2:$H$2051,'IncStmt Data'!$G$2:$G$2051,$A27,'IncStmt Data'!$A$2:$A$2051,AF$1),#N/A)</f>
        <v>0</v>
      </c>
      <c r="AG27" s="40">
        <f>IF(AG$1,SUMIFS('IncStmt Data'!$H$2:$H$2051,'IncStmt Data'!$G$2:$G$2051,$A27,'IncStmt Data'!$A$2:$A$2051,AG$1),#N/A)</f>
        <v>0</v>
      </c>
      <c r="AH27" s="40">
        <f>IF(AH$1,SUMIFS('IncStmt Data'!$H$2:$H$2051,'IncStmt Data'!$G$2:$G$2051,$A27,'IncStmt Data'!$A$2:$A$2051,AH$1),#N/A)</f>
        <v>0</v>
      </c>
      <c r="AI27" s="40">
        <f>IF(AI$1,SUMIFS('IncStmt Data'!$H$2:$H$2051,'IncStmt Data'!$G$2:$G$2051,$A27,'IncStmt Data'!$A$2:$A$2051,AI$1),#N/A)</f>
        <v>0</v>
      </c>
      <c r="AJ27" s="40">
        <f>IF(AJ$1,SUMIFS('IncStmt Data'!$H$2:$H$2051,'IncStmt Data'!$G$2:$G$2051,$A27,'IncStmt Data'!$A$2:$A$2051,AJ$1),#N/A)</f>
        <v>0</v>
      </c>
      <c r="AK27" s="40" t="e">
        <f>IF(AK$1,SUMIFS('IncStmt Data'!$H$2:$H$2051,'IncStmt Data'!$G$2:$G$2051,$A27,'IncStmt Data'!$A$2:$A$2051,AK$1),#N/A)</f>
        <v>#N/A</v>
      </c>
      <c r="AL27" s="40" t="e">
        <f>IF(AL$1,SUMIFS('IncStmt Data'!$H$2:$H$2051,'IncStmt Data'!$G$2:$G$2051,$A27,'IncStmt Data'!$A$2:$A$2051,AL$1),#N/A)</f>
        <v>#N/A</v>
      </c>
      <c r="AM27" s="40" t="e">
        <f>IF(AM$1,SUMIFS('IncStmt Data'!$H$2:$H$2051,'IncStmt Data'!$G$2:$G$2051,$A27,'IncStmt Data'!$A$2:$A$2051,AM$1),#N/A)</f>
        <v>#N/A</v>
      </c>
      <c r="AN27" s="40" t="e">
        <f>IF(AN$1,SUMIFS('IncStmt Data'!$H$2:$H$2051,'IncStmt Data'!$G$2:$G$2051,$A27,'IncStmt Data'!$A$2:$A$2051,AN$1),#N/A)</f>
        <v>#N/A</v>
      </c>
      <c r="AO27" s="40" t="e">
        <f>IF(AO$1,SUMIFS('IncStmt Data'!$H$2:$H$2051,'IncStmt Data'!$G$2:$G$2051,$A27,'IncStmt Data'!$A$2:$A$2051,AO$1),#N/A)</f>
        <v>#N/A</v>
      </c>
      <c r="AP27" s="40" t="e">
        <f>IF(AP$1,SUMIFS('IncStmt Data'!$H$2:$H$2051,'IncStmt Data'!$G$2:$G$2051,$A27,'IncStmt Data'!$A$2:$A$2051,AP$1),#N/A)</f>
        <v>#N/A</v>
      </c>
      <c r="AQ27" s="40" t="e">
        <f>IF(AQ$1,SUMIFS('IncStmt Data'!$H$2:$H$2051,'IncStmt Data'!$G$2:$G$2051,$A27,'IncStmt Data'!$A$2:$A$2051,AQ$1),#N/A)</f>
        <v>#N/A</v>
      </c>
      <c r="AR27" s="40" t="e">
        <f>IF(AR$1,SUMIFS('IncStmt Data'!$H$2:$H$2051,'IncStmt Data'!$G$2:$G$2051,$A27,'IncStmt Data'!$A$2:$A$2051,AR$1),#N/A)</f>
        <v>#N/A</v>
      </c>
      <c r="AS27" s="40" t="e">
        <f>IF(AS$1,SUMIFS('IncStmt Data'!$H$2:$H$2051,'IncStmt Data'!$G$2:$G$2051,$A27,'IncStmt Data'!$A$2:$A$2051,AS$1),#N/A)</f>
        <v>#N/A</v>
      </c>
      <c r="AT27" s="40" t="e">
        <f>IF(AT$1,SUMIFS('IncStmt Data'!$H$2:$H$2051,'IncStmt Data'!$G$2:$G$2051,$A27,'IncStmt Data'!$A$2:$A$2051,AT$1),#N/A)</f>
        <v>#N/A</v>
      </c>
      <c r="AU27" s="40" t="e">
        <f>IF(AU$1,SUMIFS('IncStmt Data'!$H$2:$H$2051,'IncStmt Data'!$G$2:$G$2051,$A27,'IncStmt Data'!$A$2:$A$2051,AU$1),#N/A)</f>
        <v>#N/A</v>
      </c>
      <c r="AV27" s="40" t="e">
        <f>IF(AV$1,SUMIFS('IncStmt Data'!$H$2:$H$2051,'IncStmt Data'!$G$2:$G$2051,$A27,'IncStmt Data'!$A$2:$A$2051,AV$1),#N/A)</f>
        <v>#N/A</v>
      </c>
      <c r="AW27" s="40" t="e">
        <f>IF(AW$1,SUMIFS('IncStmt Data'!$H$2:$H$2051,'IncStmt Data'!$G$2:$G$2051,$A27,'IncStmt Data'!$A$2:$A$2051,AW$1),#N/A)</f>
        <v>#N/A</v>
      </c>
      <c r="AX27" s="40" t="e">
        <f>IF(AX$1,SUMIFS('IncStmt Data'!$H$2:$H$2051,'IncStmt Data'!$G$2:$G$2051,$A27,'IncStmt Data'!$A$2:$A$2051,AX$1),#N/A)</f>
        <v>#N/A</v>
      </c>
      <c r="AY27" s="40" t="e">
        <f>IF(AY$1,SUMIFS('IncStmt Data'!$H$2:$H$2051,'IncStmt Data'!$G$2:$G$2051,$A27,'IncStmt Data'!$A$2:$A$2051,AY$1),#N/A)</f>
        <v>#N/A</v>
      </c>
      <c r="AZ27" s="40" t="e">
        <f>IF(AZ$1,SUMIFS('IncStmt Data'!$H$2:$H$2051,'IncStmt Data'!$G$2:$G$2051,$A27,'IncStmt Data'!$A$2:$A$2051,AZ$1),#N/A)</f>
        <v>#N/A</v>
      </c>
      <c r="BA27" s="40" t="e">
        <f>IF(BA$1,SUMIFS('IncStmt Data'!$H$2:$H$2051,'IncStmt Data'!$G$2:$G$2051,$A27,'IncStmt Data'!$A$2:$A$2051,BA$1),#N/A)</f>
        <v>#N/A</v>
      </c>
      <c r="BB27" s="40" t="e">
        <f>IF(BB$1,SUMIFS('IncStmt Data'!$H$2:$H$2051,'IncStmt Data'!$G$2:$G$2051,$A27,'IncStmt Data'!$A$2:$A$2051,BB$1),#N/A)</f>
        <v>#N/A</v>
      </c>
      <c r="BC27" s="40" t="e">
        <f>IF(BC$1,SUMIFS('IncStmt Data'!$H$2:$H$2051,'IncStmt Data'!$G$2:$G$2051,$A27,'IncStmt Data'!$A$2:$A$2051,BC$1),#N/A)</f>
        <v>#N/A</v>
      </c>
      <c r="BD27" s="40" t="e">
        <f>IF(BD$1,SUMIFS('IncStmt Data'!$H$2:$H$2051,'IncStmt Data'!$G$2:$G$2051,$A27,'IncStmt Data'!$A$2:$A$2051,BD$1),#N/A)</f>
        <v>#N/A</v>
      </c>
      <c r="BE27" s="40" t="e">
        <f>IF(BE$1,SUMIFS('IncStmt Data'!$H$2:$H$2051,'IncStmt Data'!$G$2:$G$2051,$A27,'IncStmt Data'!$A$2:$A$2051,BE$1),#N/A)</f>
        <v>#N/A</v>
      </c>
      <c r="BF27" s="40" t="e">
        <f>IF(BF$1,SUMIFS('IncStmt Data'!$H$2:$H$2051,'IncStmt Data'!$G$2:$G$2051,$A27,'IncStmt Data'!$A$2:$A$2051,BF$1),#N/A)</f>
        <v>#N/A</v>
      </c>
      <c r="BG27" s="40" t="e">
        <f>IF(BG$1,SUMIFS('IncStmt Data'!$H$2:$H$2051,'IncStmt Data'!$G$2:$G$2051,$A27,'IncStmt Data'!$A$2:$A$2051,BG$1),#N/A)</f>
        <v>#N/A</v>
      </c>
      <c r="BH27" s="40" t="e">
        <f>IF(BH$1,SUMIFS('IncStmt Data'!$H$2:$H$2051,'IncStmt Data'!$G$2:$G$2051,$A27,'IncStmt Data'!$A$2:$A$2051,BH$1),#N/A)</f>
        <v>#N/A</v>
      </c>
      <c r="BI27" s="40" t="e">
        <f>IF(BI$1,SUMIFS('IncStmt Data'!$H$2:$H$2051,'IncStmt Data'!$G$2:$G$2051,$A27,'IncStmt Data'!$A$2:$A$2051,BI$1),#N/A)</f>
        <v>#N/A</v>
      </c>
      <c r="BJ27" s="40" t="e">
        <f>IF(BJ$1,SUMIFS('IncStmt Data'!$H$2:$H$2051,'IncStmt Data'!$G$2:$G$2051,$A27,'IncStmt Data'!$A$2:$A$2051,BJ$1),#N/A)</f>
        <v>#N/A</v>
      </c>
      <c r="BK27" s="40" t="e">
        <f>IF(BK$1,SUMIFS('IncStmt Data'!$H$2:$H$2051,'IncStmt Data'!$G$2:$G$2051,$A27,'IncStmt Data'!$A$2:$A$2051,BK$1),#N/A)</f>
        <v>#N/A</v>
      </c>
      <c r="BL27" s="40" t="e">
        <f>IF(BL$1,SUMIFS('IncStmt Data'!$H$2:$H$2051,'IncStmt Data'!$G$2:$G$2051,$A27,'IncStmt Data'!$A$2:$A$2051,BL$1),#N/A)</f>
        <v>#N/A</v>
      </c>
      <c r="BM27" s="40" t="e">
        <f>IF(BM$1,SUMIFS('IncStmt Data'!$H$2:$H$2051,'IncStmt Data'!$G$2:$G$2051,$A27,'IncStmt Data'!$A$2:$A$2051,BM$1),#N/A)</f>
        <v>#N/A</v>
      </c>
      <c r="BN27" s="40" t="e">
        <f>IF(BN$1,SUMIFS('IncStmt Data'!$H$2:$H$2051,'IncStmt Data'!$G$2:$G$2051,$A27,'IncStmt Data'!$A$2:$A$2051,BN$1),#N/A)</f>
        <v>#N/A</v>
      </c>
      <c r="BO27" s="40" t="e">
        <f>IF(BO$1,SUMIFS('IncStmt Data'!$H$2:$H$2051,'IncStmt Data'!$G$2:$G$2051,$A27,'IncStmt Data'!$A$2:$A$2051,BO$1),#N/A)</f>
        <v>#N/A</v>
      </c>
      <c r="BP27" s="40" t="e">
        <f>IF(BP$1,SUMIFS('IncStmt Data'!$H$2:$H$2051,'IncStmt Data'!$G$2:$G$2051,$A27,'IncStmt Data'!$A$2:$A$2051,BP$1),#N/A)</f>
        <v>#N/A</v>
      </c>
      <c r="BQ27" s="40" t="e">
        <f>IF(BQ$1,SUMIFS('IncStmt Data'!$H$2:$H$2051,'IncStmt Data'!$G$2:$G$2051,$A27,'IncStmt Data'!$A$2:$A$2051,BQ$1),#N/A)</f>
        <v>#N/A</v>
      </c>
      <c r="BR27" s="40" t="e">
        <f>IF(BR$1,SUMIFS('IncStmt Data'!$H$2:$H$2051,'IncStmt Data'!$G$2:$G$2051,$A27,'IncStmt Data'!$A$2:$A$2051,BR$1),#N/A)</f>
        <v>#N/A</v>
      </c>
      <c r="BS27" s="40" t="e">
        <f>IF(BS$1,SUMIFS('IncStmt Data'!$H$2:$H$2051,'IncStmt Data'!$G$2:$G$2051,$A27,'IncStmt Data'!$A$2:$A$2051,BS$1),#N/A)</f>
        <v>#N/A</v>
      </c>
      <c r="BT27" s="40" t="e">
        <f>IF(BT$1,SUMIFS('IncStmt Data'!$H$2:$H$2051,'IncStmt Data'!$G$2:$G$2051,$A27,'IncStmt Data'!$A$2:$A$2051,BT$1),#N/A)</f>
        <v>#N/A</v>
      </c>
      <c r="BU27" s="40" t="e">
        <f>IF(BU$1,SUMIFS('IncStmt Data'!$H$2:$H$2051,'IncStmt Data'!$G$2:$G$2051,$A27,'IncStmt Data'!$A$2:$A$2051,BU$1),#N/A)</f>
        <v>#N/A</v>
      </c>
      <c r="BV27" s="40" t="e">
        <f>IF(BV$1,SUMIFS('IncStmt Data'!$H$2:$H$2051,'IncStmt Data'!$G$2:$G$2051,$A27,'IncStmt Data'!$A$2:$A$2051,BV$1),#N/A)</f>
        <v>#N/A</v>
      </c>
      <c r="BW27" s="40" t="e">
        <f>IF(BW$1,SUMIFS('IncStmt Data'!$H$2:$H$2051,'IncStmt Data'!$G$2:$G$2051,$A27,'IncStmt Data'!$A$2:$A$2051,BW$1),#N/A)</f>
        <v>#N/A</v>
      </c>
      <c r="BX27" s="40" t="e">
        <f>IF(BX$1,SUMIFS('IncStmt Data'!$H$2:$H$2051,'IncStmt Data'!$G$2:$G$2051,$A27,'IncStmt Data'!$A$2:$A$2051,BX$1),#N/A)</f>
        <v>#N/A</v>
      </c>
      <c r="BY27" s="40" t="e">
        <f>IF(BY$1,SUMIFS('IncStmt Data'!$H$2:$H$2051,'IncStmt Data'!$G$2:$G$2051,$A27,'IncStmt Data'!$A$2:$A$2051,BY$1),#N/A)</f>
        <v>#N/A</v>
      </c>
      <c r="BZ27" s="40" t="e">
        <f>IF(BZ$1,SUMIFS('IncStmt Data'!$H$2:$H$2051,'IncStmt Data'!$G$2:$G$2051,$A27,'IncStmt Data'!$A$2:$A$2051,BZ$1),#N/A)</f>
        <v>#N/A</v>
      </c>
      <c r="CA27" s="40" t="e">
        <f>IF(CA$1,SUMIFS('IncStmt Data'!$H$2:$H$2051,'IncStmt Data'!$G$2:$G$2051,$A27,'IncStmt Data'!$A$2:$A$2051,CA$1),#N/A)</f>
        <v>#N/A</v>
      </c>
      <c r="CB27" s="40" t="e">
        <f>IF(CB$1,SUMIFS('IncStmt Data'!$H$2:$H$2051,'IncStmt Data'!$G$2:$G$2051,$A27,'IncStmt Data'!$A$2:$A$2051,CB$1),#N/A)</f>
        <v>#N/A</v>
      </c>
      <c r="CC27" s="40" t="e">
        <f>IF(CC$1,SUMIFS('IncStmt Data'!$H$2:$H$2051,'IncStmt Data'!$G$2:$G$2051,$A27,'IncStmt Data'!$A$2:$A$2051,CC$1),#N/A)</f>
        <v>#N/A</v>
      </c>
      <c r="CD27" s="40" t="e">
        <f>IF(CD$1,SUMIFS('IncStmt Data'!$H$2:$H$2051,'IncStmt Data'!$G$2:$G$2051,$A27,'IncStmt Data'!$A$2:$A$2051,CD$1),#N/A)</f>
        <v>#N/A</v>
      </c>
      <c r="CE27" s="40" t="e">
        <f>IF(CE$1,SUMIFS('IncStmt Data'!$H$2:$H$2051,'IncStmt Data'!$G$2:$G$2051,$A27,'IncStmt Data'!$A$2:$A$2051,CE$1),#N/A)</f>
        <v>#N/A</v>
      </c>
      <c r="CF27" s="40" t="e">
        <f>IF(CF$1,SUMIFS('IncStmt Data'!$H$2:$H$2051,'IncStmt Data'!$G$2:$G$2051,$A27,'IncStmt Data'!$A$2:$A$2051,CF$1),#N/A)</f>
        <v>#N/A</v>
      </c>
      <c r="CG27" s="40" t="e">
        <f>IF(CG$1,SUMIFS('IncStmt Data'!$H$2:$H$2051,'IncStmt Data'!$G$2:$G$2051,$A27,'IncStmt Data'!$A$2:$A$2051,CG$1),#N/A)</f>
        <v>#N/A</v>
      </c>
      <c r="CH27" s="40" t="e">
        <f>IF(CH$1,SUMIFS('IncStmt Data'!$H$2:$H$2051,'IncStmt Data'!$G$2:$G$2051,$A27,'IncStmt Data'!$A$2:$A$2051,CH$1),#N/A)</f>
        <v>#N/A</v>
      </c>
      <c r="CI27" s="40" t="e">
        <f>IF(CI$1,SUMIFS('IncStmt Data'!$H$2:$H$2051,'IncStmt Data'!$G$2:$G$2051,$A27,'IncStmt Data'!$A$2:$A$2051,CI$1),#N/A)</f>
        <v>#N/A</v>
      </c>
      <c r="CJ27" s="40" t="e">
        <f>IF(CJ$1,SUMIFS('IncStmt Data'!$H$2:$H$2051,'IncStmt Data'!$G$2:$G$2051,$A27,'IncStmt Data'!$A$2:$A$2051,CJ$1),#N/A)</f>
        <v>#N/A</v>
      </c>
      <c r="CK27" s="40" t="e">
        <f>IF(CK$1,SUMIFS('IncStmt Data'!$H$2:$H$2051,'IncStmt Data'!$G$2:$G$2051,$A27,'IncStmt Data'!$A$2:$A$2051,CK$1),#N/A)</f>
        <v>#N/A</v>
      </c>
      <c r="CL27" s="40" t="e">
        <f>IF(CL$1,SUMIFS('IncStmt Data'!$H$2:$H$2051,'IncStmt Data'!$G$2:$G$2051,$A27,'IncStmt Data'!$A$2:$A$2051,CL$1),#N/A)</f>
        <v>#N/A</v>
      </c>
      <c r="CM27" s="40" t="e">
        <f>IF(CM$1,SUMIFS('IncStmt Data'!$H$2:$H$2051,'IncStmt Data'!$G$2:$G$2051,$A27,'IncStmt Data'!$A$2:$A$2051,CM$1),#N/A)</f>
        <v>#N/A</v>
      </c>
      <c r="CN27" s="40" t="e">
        <f>IF(CN$1,SUMIFS('IncStmt Data'!$H$2:$H$2051,'IncStmt Data'!$G$2:$G$2051,$A27,'IncStmt Data'!$A$2:$A$2051,CN$1),#N/A)</f>
        <v>#N/A</v>
      </c>
      <c r="CO27" s="40" t="e">
        <f>IF(CO$1,SUMIFS('IncStmt Data'!$H$2:$H$2051,'IncStmt Data'!$G$2:$G$2051,$A27,'IncStmt Data'!$A$2:$A$2051,CO$1),#N/A)</f>
        <v>#N/A</v>
      </c>
      <c r="CP27" s="40" t="e">
        <f>IF(CP$1,SUMIFS('IncStmt Data'!$H$2:$H$2051,'IncStmt Data'!$G$2:$G$2051,$A27,'IncStmt Data'!$A$2:$A$2051,CP$1),#N/A)</f>
        <v>#N/A</v>
      </c>
      <c r="CQ27" s="40" t="e">
        <f>IF(CQ$1,SUMIFS('IncStmt Data'!$H$2:$H$2051,'IncStmt Data'!$G$2:$G$2051,$A27,'IncStmt Data'!$A$2:$A$2051,CQ$1),#N/A)</f>
        <v>#N/A</v>
      </c>
      <c r="CR27" s="40" t="e">
        <f>IF(CR$1,SUMIFS('IncStmt Data'!$H$2:$H$2051,'IncStmt Data'!$G$2:$G$2051,$A27,'IncStmt Data'!$A$2:$A$2051,CR$1),#N/A)</f>
        <v>#N/A</v>
      </c>
      <c r="CS27" s="40" t="e">
        <f>IF(CS$1,SUMIFS('IncStmt Data'!$H$2:$H$2051,'IncStmt Data'!$G$2:$G$2051,$A27,'IncStmt Data'!$A$2:$A$2051,CS$1),#N/A)</f>
        <v>#N/A</v>
      </c>
      <c r="CT27" s="40" t="e">
        <f>IF(CT$1,SUMIFS('IncStmt Data'!$H$2:$H$2051,'IncStmt Data'!$G$2:$G$2051,$A27,'IncStmt Data'!$A$2:$A$2051,CT$1),#N/A)</f>
        <v>#N/A</v>
      </c>
      <c r="CU27" s="40" t="e">
        <f>IF(CU$1,SUMIFS('IncStmt Data'!$H$2:$H$2051,'IncStmt Data'!$G$2:$G$2051,$A27,'IncStmt Data'!$A$2:$A$2051,CU$1),#N/A)</f>
        <v>#N/A</v>
      </c>
      <c r="CV27" s="40" t="e">
        <f>IF(CV$1,SUMIFS('IncStmt Data'!$H$2:$H$2051,'IncStmt Data'!$G$2:$G$2051,$A27,'IncStmt Data'!$A$2:$A$2051,CV$1),#N/A)</f>
        <v>#N/A</v>
      </c>
      <c r="CW27" s="40" t="e">
        <f>IF(CW$1,SUMIFS('IncStmt Data'!$H$2:$H$2051,'IncStmt Data'!$G$2:$G$2051,$A27,'IncStmt Data'!$A$2:$A$2051,CW$1),#N/A)</f>
        <v>#N/A</v>
      </c>
      <c r="CX27" s="40" t="e">
        <f>IF(CX$1,SUMIFS('IncStmt Data'!$H$2:$H$2051,'IncStmt Data'!$G$2:$G$2051,$A27,'IncStmt Data'!$A$2:$A$2051,CX$1),#N/A)</f>
        <v>#N/A</v>
      </c>
      <c r="CY27" s="40" t="e">
        <f>IF(CY$1,SUMIFS('IncStmt Data'!$H$2:$H$2051,'IncStmt Data'!$G$2:$G$2051,$A27,'IncStmt Data'!$A$2:$A$2051,CY$1),#N/A)</f>
        <v>#N/A</v>
      </c>
      <c r="CZ27" s="40" t="e">
        <f>IF(CZ$1,SUMIFS('IncStmt Data'!$H$2:$H$2051,'IncStmt Data'!$G$2:$G$2051,$A27,'IncStmt Data'!$A$2:$A$2051,CZ$1),#N/A)</f>
        <v>#N/A</v>
      </c>
      <c r="DA27" s="40">
        <f>SUM(B27:AJ27)</f>
        <v>0</v>
      </c>
    </row>
    <row r="28" spans="1:105" s="42" customFormat="1" x14ac:dyDescent="0.2">
      <c r="A28" s="54" t="s">
        <v>33</v>
      </c>
      <c r="B28" s="40">
        <f>IF(B$1,SUMIFS('IncStmt Data'!$H$2:$H$2051,'IncStmt Data'!$G$2:$G$2051,$A28,'IncStmt Data'!$A$2:$A$2051,B$1),#N/A)</f>
        <v>40805</v>
      </c>
      <c r="C28" s="40">
        <f>IF(C$1,SUMIFS('IncStmt Data'!$H$2:$H$2051,'IncStmt Data'!$G$2:$G$2051,$A28,'IncStmt Data'!$A$2:$A$2051,C$1),#N/A)</f>
        <v>40496</v>
      </c>
      <c r="D28" s="40">
        <f>IF(D$1,SUMIFS('IncStmt Data'!$H$2:$H$2051,'IncStmt Data'!$G$2:$G$2051,$A28,'IncStmt Data'!$A$2:$A$2051,D$1),#N/A)</f>
        <v>46045</v>
      </c>
      <c r="E28" s="40">
        <f>IF(E$1,SUMIFS('IncStmt Data'!$H$2:$H$2051,'IncStmt Data'!$G$2:$G$2051,$A28,'IncStmt Data'!$A$2:$A$2051,E$1),#N/A)</f>
        <v>101278</v>
      </c>
      <c r="F28" s="40">
        <f>IF(F$1,SUMIFS('IncStmt Data'!$H$2:$H$2051,'IncStmt Data'!$G$2:$G$2051,$A28,'IncStmt Data'!$A$2:$A$2051,F$1),#N/A)</f>
        <v>2693</v>
      </c>
      <c r="G28" s="40">
        <f>IF(G$1,SUMIFS('IncStmt Data'!$H$2:$H$2051,'IncStmt Data'!$G$2:$G$2051,$A28,'IncStmt Data'!$A$2:$A$2051,G$1),#N/A)</f>
        <v>1</v>
      </c>
      <c r="H28" s="40">
        <f>IF(H$1,SUMIFS('IncStmt Data'!$H$2:$H$2051,'IncStmt Data'!$G$2:$G$2051,$A28,'IncStmt Data'!$A$2:$A$2051,H$1),#N/A)</f>
        <v>32356</v>
      </c>
      <c r="I28" s="40">
        <f>IF(I$1,SUMIFS('IncStmt Data'!$H$2:$H$2051,'IncStmt Data'!$G$2:$G$2051,$A28,'IncStmt Data'!$A$2:$A$2051,I$1),#N/A)</f>
        <v>38190</v>
      </c>
      <c r="J28" s="40">
        <f>IF(J$1,SUMIFS('IncStmt Data'!$H$2:$H$2051,'IncStmt Data'!$G$2:$G$2051,$A28,'IncStmt Data'!$A$2:$A$2051,J$1),#N/A)</f>
        <v>57452</v>
      </c>
      <c r="K28" s="40">
        <f>IF(K$1,SUMIFS('IncStmt Data'!$H$2:$H$2051,'IncStmt Data'!$G$2:$G$2051,$A28,'IncStmt Data'!$A$2:$A$2051,K$1),#N/A)</f>
        <v>38306</v>
      </c>
      <c r="L28" s="40">
        <f>IF(L$1,SUMIFS('IncStmt Data'!$H$2:$H$2051,'IncStmt Data'!$G$2:$G$2051,$A28,'IncStmt Data'!$A$2:$A$2051,L$1),#N/A)</f>
        <v>-1</v>
      </c>
      <c r="M28" s="40">
        <f>IF(M$1,SUMIFS('IncStmt Data'!$H$2:$H$2051,'IncStmt Data'!$G$2:$G$2051,$A28,'IncStmt Data'!$A$2:$A$2051,M$1),#N/A)</f>
        <v>2</v>
      </c>
      <c r="N28" s="40">
        <f>IF(N$1,SUMIFS('IncStmt Data'!$H$2:$H$2051,'IncStmt Data'!$G$2:$G$2051,$A28,'IncStmt Data'!$A$2:$A$2051,N$1),#N/A)</f>
        <v>-1</v>
      </c>
      <c r="O28" s="40">
        <f>IF(O$1,SUMIFS('IncStmt Data'!$H$2:$H$2051,'IncStmt Data'!$G$2:$G$2051,$A28,'IncStmt Data'!$A$2:$A$2051,O$1),#N/A)</f>
        <v>46681</v>
      </c>
      <c r="P28" s="40">
        <f>IF(P$1,SUMIFS('IncStmt Data'!$H$2:$H$2051,'IncStmt Data'!$G$2:$G$2051,$A28,'IncStmt Data'!$A$2:$A$2051,P$1),#N/A)</f>
        <v>0</v>
      </c>
      <c r="Q28" s="40">
        <f>IF(Q$1,SUMIFS('IncStmt Data'!$H$2:$H$2051,'IncStmt Data'!$G$2:$G$2051,$A28,'IncStmt Data'!$A$2:$A$2051,Q$1),#N/A)</f>
        <v>0</v>
      </c>
      <c r="R28" s="40">
        <f>IF(R$1,SUMIFS('IncStmt Data'!$H$2:$H$2051,'IncStmt Data'!$G$2:$G$2051,$A28,'IncStmt Data'!$A$2:$A$2051,R$1),#N/A)</f>
        <v>0</v>
      </c>
      <c r="S28" s="40">
        <f>IF(S$1,SUMIFS('IncStmt Data'!$H$2:$H$2051,'IncStmt Data'!$G$2:$G$2051,$A28,'IncStmt Data'!$A$2:$A$2051,S$1),#N/A)</f>
        <v>28651</v>
      </c>
      <c r="T28" s="40">
        <f>IF(T$1,SUMIFS('IncStmt Data'!$H$2:$H$2051,'IncStmt Data'!$G$2:$G$2051,$A28,'IncStmt Data'!$A$2:$A$2051,T$1),#N/A)</f>
        <v>98780</v>
      </c>
      <c r="U28" s="40">
        <f>IF(U$1,SUMIFS('IncStmt Data'!$H$2:$H$2051,'IncStmt Data'!$G$2:$G$2051,$A28,'IncStmt Data'!$A$2:$A$2051,U$1),#N/A)</f>
        <v>105404</v>
      </c>
      <c r="V28" s="40">
        <f>IF(V$1,SUMIFS('IncStmt Data'!$H$2:$H$2051,'IncStmt Data'!$G$2:$G$2051,$A28,'IncStmt Data'!$A$2:$A$2051,V$1),#N/A)</f>
        <v>104278</v>
      </c>
      <c r="W28" s="40">
        <f>IF(W$1,SUMIFS('IncStmt Data'!$H$2:$H$2051,'IncStmt Data'!$G$2:$G$2051,$A28,'IncStmt Data'!$A$2:$A$2051,W$1),#N/A)</f>
        <v>88125</v>
      </c>
      <c r="X28" s="40">
        <f>IF(X$1,SUMIFS('IncStmt Data'!$H$2:$H$2051,'IncStmt Data'!$G$2:$G$2051,$A28,'IncStmt Data'!$A$2:$A$2051,X$1),#N/A)</f>
        <v>71585</v>
      </c>
      <c r="Y28" s="40">
        <f>IF(Y$1,SUMIFS('IncStmt Data'!$H$2:$H$2051,'IncStmt Data'!$G$2:$G$2051,$A28,'IncStmt Data'!$A$2:$A$2051,Y$1),#N/A)</f>
        <v>0</v>
      </c>
      <c r="Z28" s="40">
        <f>IF(Z$1,SUMIFS('IncStmt Data'!$H$2:$H$2051,'IncStmt Data'!$G$2:$G$2051,$A28,'IncStmt Data'!$A$2:$A$2051,Z$1),#N/A)</f>
        <v>0</v>
      </c>
      <c r="AA28" s="40">
        <f>IF(AA$1,SUMIFS('IncStmt Data'!$H$2:$H$2051,'IncStmt Data'!$G$2:$G$2051,$A28,'IncStmt Data'!$A$2:$A$2051,AA$1),#N/A)</f>
        <v>0</v>
      </c>
      <c r="AB28" s="40">
        <f>IF(AB$1,SUMIFS('IncStmt Data'!$H$2:$H$2051,'IncStmt Data'!$G$2:$G$2051,$A28,'IncStmt Data'!$A$2:$A$2051,AB$1),#N/A)</f>
        <v>0</v>
      </c>
      <c r="AC28" s="40">
        <f>IF(AC$1,SUMIFS('IncStmt Data'!$H$2:$H$2051,'IncStmt Data'!$G$2:$G$2051,$A28,'IncStmt Data'!$A$2:$A$2051,AC$1),#N/A)</f>
        <v>0</v>
      </c>
      <c r="AD28" s="40">
        <f>IF(AD$1,SUMIFS('IncStmt Data'!$H$2:$H$2051,'IncStmt Data'!$G$2:$G$2051,$A28,'IncStmt Data'!$A$2:$A$2051,AD$1),#N/A)</f>
        <v>113818</v>
      </c>
      <c r="AE28" s="40">
        <f>IF(AE$1,SUMIFS('IncStmt Data'!$H$2:$H$2051,'IncStmt Data'!$G$2:$G$2051,$A28,'IncStmt Data'!$A$2:$A$2051,AE$1),#N/A)</f>
        <v>166041</v>
      </c>
      <c r="AF28" s="40">
        <f>IF(AF$1,SUMIFS('IncStmt Data'!$H$2:$H$2051,'IncStmt Data'!$G$2:$G$2051,$A28,'IncStmt Data'!$A$2:$A$2051,AF$1),#N/A)</f>
        <v>41282</v>
      </c>
      <c r="AG28" s="40">
        <f>IF(AG$1,SUMIFS('IncStmt Data'!$H$2:$H$2051,'IncStmt Data'!$G$2:$G$2051,$A28,'IncStmt Data'!$A$2:$A$2051,AG$1),#N/A)</f>
        <v>87231</v>
      </c>
      <c r="AH28" s="40">
        <f>IF(AH$1,SUMIFS('IncStmt Data'!$H$2:$H$2051,'IncStmt Data'!$G$2:$G$2051,$A28,'IncStmt Data'!$A$2:$A$2051,AH$1),#N/A)</f>
        <v>125886</v>
      </c>
      <c r="AI28" s="40">
        <f>IF(AI$1,SUMIFS('IncStmt Data'!$H$2:$H$2051,'IncStmt Data'!$G$2:$G$2051,$A28,'IncStmt Data'!$A$2:$A$2051,AI$1),#N/A)</f>
        <v>48729</v>
      </c>
      <c r="AJ28" s="40">
        <f>IF(AJ$1,SUMIFS('IncStmt Data'!$H$2:$H$2051,'IncStmt Data'!$G$2:$G$2051,$A28,'IncStmt Data'!$A$2:$A$2051,AJ$1),#N/A)</f>
        <v>48754</v>
      </c>
      <c r="AK28" s="40" t="e">
        <f>IF(AK$1,SUMIFS('IncStmt Data'!$H$2:$H$2051,'IncStmt Data'!$G$2:$G$2051,$A28,'IncStmt Data'!$A$2:$A$2051,AK$1),#N/A)</f>
        <v>#N/A</v>
      </c>
      <c r="AL28" s="40" t="e">
        <f>IF(AL$1,SUMIFS('IncStmt Data'!$H$2:$H$2051,'IncStmt Data'!$G$2:$G$2051,$A28,'IncStmt Data'!$A$2:$A$2051,AL$1),#N/A)</f>
        <v>#N/A</v>
      </c>
      <c r="AM28" s="40" t="e">
        <f>IF(AM$1,SUMIFS('IncStmt Data'!$H$2:$H$2051,'IncStmt Data'!$G$2:$G$2051,$A28,'IncStmt Data'!$A$2:$A$2051,AM$1),#N/A)</f>
        <v>#N/A</v>
      </c>
      <c r="AN28" s="40" t="e">
        <f>IF(AN$1,SUMIFS('IncStmt Data'!$H$2:$H$2051,'IncStmt Data'!$G$2:$G$2051,$A28,'IncStmt Data'!$A$2:$A$2051,AN$1),#N/A)</f>
        <v>#N/A</v>
      </c>
      <c r="AO28" s="40" t="e">
        <f>IF(AO$1,SUMIFS('IncStmt Data'!$H$2:$H$2051,'IncStmt Data'!$G$2:$G$2051,$A28,'IncStmt Data'!$A$2:$A$2051,AO$1),#N/A)</f>
        <v>#N/A</v>
      </c>
      <c r="AP28" s="40" t="e">
        <f>IF(AP$1,SUMIFS('IncStmt Data'!$H$2:$H$2051,'IncStmt Data'!$G$2:$G$2051,$A28,'IncStmt Data'!$A$2:$A$2051,AP$1),#N/A)</f>
        <v>#N/A</v>
      </c>
      <c r="AQ28" s="40" t="e">
        <f>IF(AQ$1,SUMIFS('IncStmt Data'!$H$2:$H$2051,'IncStmt Data'!$G$2:$G$2051,$A28,'IncStmt Data'!$A$2:$A$2051,AQ$1),#N/A)</f>
        <v>#N/A</v>
      </c>
      <c r="AR28" s="40" t="e">
        <f>IF(AR$1,SUMIFS('IncStmt Data'!$H$2:$H$2051,'IncStmt Data'!$G$2:$G$2051,$A28,'IncStmt Data'!$A$2:$A$2051,AR$1),#N/A)</f>
        <v>#N/A</v>
      </c>
      <c r="AS28" s="40" t="e">
        <f>IF(AS$1,SUMIFS('IncStmt Data'!$H$2:$H$2051,'IncStmt Data'!$G$2:$G$2051,$A28,'IncStmt Data'!$A$2:$A$2051,AS$1),#N/A)</f>
        <v>#N/A</v>
      </c>
      <c r="AT28" s="40" t="e">
        <f>IF(AT$1,SUMIFS('IncStmt Data'!$H$2:$H$2051,'IncStmt Data'!$G$2:$G$2051,$A28,'IncStmt Data'!$A$2:$A$2051,AT$1),#N/A)</f>
        <v>#N/A</v>
      </c>
      <c r="AU28" s="40" t="e">
        <f>IF(AU$1,SUMIFS('IncStmt Data'!$H$2:$H$2051,'IncStmt Data'!$G$2:$G$2051,$A28,'IncStmt Data'!$A$2:$A$2051,AU$1),#N/A)</f>
        <v>#N/A</v>
      </c>
      <c r="AV28" s="40" t="e">
        <f>IF(AV$1,SUMIFS('IncStmt Data'!$H$2:$H$2051,'IncStmt Data'!$G$2:$G$2051,$A28,'IncStmt Data'!$A$2:$A$2051,AV$1),#N/A)</f>
        <v>#N/A</v>
      </c>
      <c r="AW28" s="40" t="e">
        <f>IF(AW$1,SUMIFS('IncStmt Data'!$H$2:$H$2051,'IncStmt Data'!$G$2:$G$2051,$A28,'IncStmt Data'!$A$2:$A$2051,AW$1),#N/A)</f>
        <v>#N/A</v>
      </c>
      <c r="AX28" s="40" t="e">
        <f>IF(AX$1,SUMIFS('IncStmt Data'!$H$2:$H$2051,'IncStmt Data'!$G$2:$G$2051,$A28,'IncStmt Data'!$A$2:$A$2051,AX$1),#N/A)</f>
        <v>#N/A</v>
      </c>
      <c r="AY28" s="40" t="e">
        <f>IF(AY$1,SUMIFS('IncStmt Data'!$H$2:$H$2051,'IncStmt Data'!$G$2:$G$2051,$A28,'IncStmt Data'!$A$2:$A$2051,AY$1),#N/A)</f>
        <v>#N/A</v>
      </c>
      <c r="AZ28" s="40" t="e">
        <f>IF(AZ$1,SUMIFS('IncStmt Data'!$H$2:$H$2051,'IncStmt Data'!$G$2:$G$2051,$A28,'IncStmt Data'!$A$2:$A$2051,AZ$1),#N/A)</f>
        <v>#N/A</v>
      </c>
      <c r="BA28" s="40" t="e">
        <f>IF(BA$1,SUMIFS('IncStmt Data'!$H$2:$H$2051,'IncStmt Data'!$G$2:$G$2051,$A28,'IncStmt Data'!$A$2:$A$2051,BA$1),#N/A)</f>
        <v>#N/A</v>
      </c>
      <c r="BB28" s="40" t="e">
        <f>IF(BB$1,SUMIFS('IncStmt Data'!$H$2:$H$2051,'IncStmt Data'!$G$2:$G$2051,$A28,'IncStmt Data'!$A$2:$A$2051,BB$1),#N/A)</f>
        <v>#N/A</v>
      </c>
      <c r="BC28" s="40" t="e">
        <f>IF(BC$1,SUMIFS('IncStmt Data'!$H$2:$H$2051,'IncStmt Data'!$G$2:$G$2051,$A28,'IncStmt Data'!$A$2:$A$2051,BC$1),#N/A)</f>
        <v>#N/A</v>
      </c>
      <c r="BD28" s="40" t="e">
        <f>IF(BD$1,SUMIFS('IncStmt Data'!$H$2:$H$2051,'IncStmt Data'!$G$2:$G$2051,$A28,'IncStmt Data'!$A$2:$A$2051,BD$1),#N/A)</f>
        <v>#N/A</v>
      </c>
      <c r="BE28" s="40" t="e">
        <f>IF(BE$1,SUMIFS('IncStmt Data'!$H$2:$H$2051,'IncStmt Data'!$G$2:$G$2051,$A28,'IncStmt Data'!$A$2:$A$2051,BE$1),#N/A)</f>
        <v>#N/A</v>
      </c>
      <c r="BF28" s="40" t="e">
        <f>IF(BF$1,SUMIFS('IncStmt Data'!$H$2:$H$2051,'IncStmt Data'!$G$2:$G$2051,$A28,'IncStmt Data'!$A$2:$A$2051,BF$1),#N/A)</f>
        <v>#N/A</v>
      </c>
      <c r="BG28" s="40" t="e">
        <f>IF(BG$1,SUMIFS('IncStmt Data'!$H$2:$H$2051,'IncStmt Data'!$G$2:$G$2051,$A28,'IncStmt Data'!$A$2:$A$2051,BG$1),#N/A)</f>
        <v>#N/A</v>
      </c>
      <c r="BH28" s="40" t="e">
        <f>IF(BH$1,SUMIFS('IncStmt Data'!$H$2:$H$2051,'IncStmt Data'!$G$2:$G$2051,$A28,'IncStmt Data'!$A$2:$A$2051,BH$1),#N/A)</f>
        <v>#N/A</v>
      </c>
      <c r="BI28" s="40" t="e">
        <f>IF(BI$1,SUMIFS('IncStmt Data'!$H$2:$H$2051,'IncStmt Data'!$G$2:$G$2051,$A28,'IncStmt Data'!$A$2:$A$2051,BI$1),#N/A)</f>
        <v>#N/A</v>
      </c>
      <c r="BJ28" s="40" t="e">
        <f>IF(BJ$1,SUMIFS('IncStmt Data'!$H$2:$H$2051,'IncStmt Data'!$G$2:$G$2051,$A28,'IncStmt Data'!$A$2:$A$2051,BJ$1),#N/A)</f>
        <v>#N/A</v>
      </c>
      <c r="BK28" s="40" t="e">
        <f>IF(BK$1,SUMIFS('IncStmt Data'!$H$2:$H$2051,'IncStmt Data'!$G$2:$G$2051,$A28,'IncStmt Data'!$A$2:$A$2051,BK$1),#N/A)</f>
        <v>#N/A</v>
      </c>
      <c r="BL28" s="40" t="e">
        <f>IF(BL$1,SUMIFS('IncStmt Data'!$H$2:$H$2051,'IncStmt Data'!$G$2:$G$2051,$A28,'IncStmt Data'!$A$2:$A$2051,BL$1),#N/A)</f>
        <v>#N/A</v>
      </c>
      <c r="BM28" s="40" t="e">
        <f>IF(BM$1,SUMIFS('IncStmt Data'!$H$2:$H$2051,'IncStmt Data'!$G$2:$G$2051,$A28,'IncStmt Data'!$A$2:$A$2051,BM$1),#N/A)</f>
        <v>#N/A</v>
      </c>
      <c r="BN28" s="40" t="e">
        <f>IF(BN$1,SUMIFS('IncStmt Data'!$H$2:$H$2051,'IncStmt Data'!$G$2:$G$2051,$A28,'IncStmt Data'!$A$2:$A$2051,BN$1),#N/A)</f>
        <v>#N/A</v>
      </c>
      <c r="BO28" s="40" t="e">
        <f>IF(BO$1,SUMIFS('IncStmt Data'!$H$2:$H$2051,'IncStmt Data'!$G$2:$G$2051,$A28,'IncStmt Data'!$A$2:$A$2051,BO$1),#N/A)</f>
        <v>#N/A</v>
      </c>
      <c r="BP28" s="40" t="e">
        <f>IF(BP$1,SUMIFS('IncStmt Data'!$H$2:$H$2051,'IncStmt Data'!$G$2:$G$2051,$A28,'IncStmt Data'!$A$2:$A$2051,BP$1),#N/A)</f>
        <v>#N/A</v>
      </c>
      <c r="BQ28" s="40" t="e">
        <f>IF(BQ$1,SUMIFS('IncStmt Data'!$H$2:$H$2051,'IncStmt Data'!$G$2:$G$2051,$A28,'IncStmt Data'!$A$2:$A$2051,BQ$1),#N/A)</f>
        <v>#N/A</v>
      </c>
      <c r="BR28" s="40" t="e">
        <f>IF(BR$1,SUMIFS('IncStmt Data'!$H$2:$H$2051,'IncStmt Data'!$G$2:$G$2051,$A28,'IncStmt Data'!$A$2:$A$2051,BR$1),#N/A)</f>
        <v>#N/A</v>
      </c>
      <c r="BS28" s="40" t="e">
        <f>IF(BS$1,SUMIFS('IncStmt Data'!$H$2:$H$2051,'IncStmt Data'!$G$2:$G$2051,$A28,'IncStmt Data'!$A$2:$A$2051,BS$1),#N/A)</f>
        <v>#N/A</v>
      </c>
      <c r="BT28" s="40" t="e">
        <f>IF(BT$1,SUMIFS('IncStmt Data'!$H$2:$H$2051,'IncStmt Data'!$G$2:$G$2051,$A28,'IncStmt Data'!$A$2:$A$2051,BT$1),#N/A)</f>
        <v>#N/A</v>
      </c>
      <c r="BU28" s="40" t="e">
        <f>IF(BU$1,SUMIFS('IncStmt Data'!$H$2:$H$2051,'IncStmt Data'!$G$2:$G$2051,$A28,'IncStmt Data'!$A$2:$A$2051,BU$1),#N/A)</f>
        <v>#N/A</v>
      </c>
      <c r="BV28" s="40" t="e">
        <f>IF(BV$1,SUMIFS('IncStmt Data'!$H$2:$H$2051,'IncStmt Data'!$G$2:$G$2051,$A28,'IncStmt Data'!$A$2:$A$2051,BV$1),#N/A)</f>
        <v>#N/A</v>
      </c>
      <c r="BW28" s="40" t="e">
        <f>IF(BW$1,SUMIFS('IncStmt Data'!$H$2:$H$2051,'IncStmt Data'!$G$2:$G$2051,$A28,'IncStmt Data'!$A$2:$A$2051,BW$1),#N/A)</f>
        <v>#N/A</v>
      </c>
      <c r="BX28" s="40" t="e">
        <f>IF(BX$1,SUMIFS('IncStmt Data'!$H$2:$H$2051,'IncStmt Data'!$G$2:$G$2051,$A28,'IncStmt Data'!$A$2:$A$2051,BX$1),#N/A)</f>
        <v>#N/A</v>
      </c>
      <c r="BY28" s="40" t="e">
        <f>IF(BY$1,SUMIFS('IncStmt Data'!$H$2:$H$2051,'IncStmt Data'!$G$2:$G$2051,$A28,'IncStmt Data'!$A$2:$A$2051,BY$1),#N/A)</f>
        <v>#N/A</v>
      </c>
      <c r="BZ28" s="40" t="e">
        <f>IF(BZ$1,SUMIFS('IncStmt Data'!$H$2:$H$2051,'IncStmt Data'!$G$2:$G$2051,$A28,'IncStmt Data'!$A$2:$A$2051,BZ$1),#N/A)</f>
        <v>#N/A</v>
      </c>
      <c r="CA28" s="40" t="e">
        <f>IF(CA$1,SUMIFS('IncStmt Data'!$H$2:$H$2051,'IncStmt Data'!$G$2:$G$2051,$A28,'IncStmt Data'!$A$2:$A$2051,CA$1),#N/A)</f>
        <v>#N/A</v>
      </c>
      <c r="CB28" s="40" t="e">
        <f>IF(CB$1,SUMIFS('IncStmt Data'!$H$2:$H$2051,'IncStmt Data'!$G$2:$G$2051,$A28,'IncStmt Data'!$A$2:$A$2051,CB$1),#N/A)</f>
        <v>#N/A</v>
      </c>
      <c r="CC28" s="40" t="e">
        <f>IF(CC$1,SUMIFS('IncStmt Data'!$H$2:$H$2051,'IncStmt Data'!$G$2:$G$2051,$A28,'IncStmt Data'!$A$2:$A$2051,CC$1),#N/A)</f>
        <v>#N/A</v>
      </c>
      <c r="CD28" s="40" t="e">
        <f>IF(CD$1,SUMIFS('IncStmt Data'!$H$2:$H$2051,'IncStmt Data'!$G$2:$G$2051,$A28,'IncStmt Data'!$A$2:$A$2051,CD$1),#N/A)</f>
        <v>#N/A</v>
      </c>
      <c r="CE28" s="40" t="e">
        <f>IF(CE$1,SUMIFS('IncStmt Data'!$H$2:$H$2051,'IncStmt Data'!$G$2:$G$2051,$A28,'IncStmt Data'!$A$2:$A$2051,CE$1),#N/A)</f>
        <v>#N/A</v>
      </c>
      <c r="CF28" s="40" t="e">
        <f>IF(CF$1,SUMIFS('IncStmt Data'!$H$2:$H$2051,'IncStmt Data'!$G$2:$G$2051,$A28,'IncStmt Data'!$A$2:$A$2051,CF$1),#N/A)</f>
        <v>#N/A</v>
      </c>
      <c r="CG28" s="40" t="e">
        <f>IF(CG$1,SUMIFS('IncStmt Data'!$H$2:$H$2051,'IncStmt Data'!$G$2:$G$2051,$A28,'IncStmt Data'!$A$2:$A$2051,CG$1),#N/A)</f>
        <v>#N/A</v>
      </c>
      <c r="CH28" s="40" t="e">
        <f>IF(CH$1,SUMIFS('IncStmt Data'!$H$2:$H$2051,'IncStmt Data'!$G$2:$G$2051,$A28,'IncStmt Data'!$A$2:$A$2051,CH$1),#N/A)</f>
        <v>#N/A</v>
      </c>
      <c r="CI28" s="40" t="e">
        <f>IF(CI$1,SUMIFS('IncStmt Data'!$H$2:$H$2051,'IncStmt Data'!$G$2:$G$2051,$A28,'IncStmt Data'!$A$2:$A$2051,CI$1),#N/A)</f>
        <v>#N/A</v>
      </c>
      <c r="CJ28" s="40" t="e">
        <f>IF(CJ$1,SUMIFS('IncStmt Data'!$H$2:$H$2051,'IncStmt Data'!$G$2:$G$2051,$A28,'IncStmt Data'!$A$2:$A$2051,CJ$1),#N/A)</f>
        <v>#N/A</v>
      </c>
      <c r="CK28" s="40" t="e">
        <f>IF(CK$1,SUMIFS('IncStmt Data'!$H$2:$H$2051,'IncStmt Data'!$G$2:$G$2051,$A28,'IncStmt Data'!$A$2:$A$2051,CK$1),#N/A)</f>
        <v>#N/A</v>
      </c>
      <c r="CL28" s="40" t="e">
        <f>IF(CL$1,SUMIFS('IncStmt Data'!$H$2:$H$2051,'IncStmt Data'!$G$2:$G$2051,$A28,'IncStmt Data'!$A$2:$A$2051,CL$1),#N/A)</f>
        <v>#N/A</v>
      </c>
      <c r="CM28" s="40" t="e">
        <f>IF(CM$1,SUMIFS('IncStmt Data'!$H$2:$H$2051,'IncStmt Data'!$G$2:$G$2051,$A28,'IncStmt Data'!$A$2:$A$2051,CM$1),#N/A)</f>
        <v>#N/A</v>
      </c>
      <c r="CN28" s="40" t="e">
        <f>IF(CN$1,SUMIFS('IncStmt Data'!$H$2:$H$2051,'IncStmt Data'!$G$2:$G$2051,$A28,'IncStmt Data'!$A$2:$A$2051,CN$1),#N/A)</f>
        <v>#N/A</v>
      </c>
      <c r="CO28" s="40" t="e">
        <f>IF(CO$1,SUMIFS('IncStmt Data'!$H$2:$H$2051,'IncStmt Data'!$G$2:$G$2051,$A28,'IncStmt Data'!$A$2:$A$2051,CO$1),#N/A)</f>
        <v>#N/A</v>
      </c>
      <c r="CP28" s="40" t="e">
        <f>IF(CP$1,SUMIFS('IncStmt Data'!$H$2:$H$2051,'IncStmt Data'!$G$2:$G$2051,$A28,'IncStmt Data'!$A$2:$A$2051,CP$1),#N/A)</f>
        <v>#N/A</v>
      </c>
      <c r="CQ28" s="40" t="e">
        <f>IF(CQ$1,SUMIFS('IncStmt Data'!$H$2:$H$2051,'IncStmt Data'!$G$2:$G$2051,$A28,'IncStmt Data'!$A$2:$A$2051,CQ$1),#N/A)</f>
        <v>#N/A</v>
      </c>
      <c r="CR28" s="40" t="e">
        <f>IF(CR$1,SUMIFS('IncStmt Data'!$H$2:$H$2051,'IncStmt Data'!$G$2:$G$2051,$A28,'IncStmt Data'!$A$2:$A$2051,CR$1),#N/A)</f>
        <v>#N/A</v>
      </c>
      <c r="CS28" s="40" t="e">
        <f>IF(CS$1,SUMIFS('IncStmt Data'!$H$2:$H$2051,'IncStmt Data'!$G$2:$G$2051,$A28,'IncStmt Data'!$A$2:$A$2051,CS$1),#N/A)</f>
        <v>#N/A</v>
      </c>
      <c r="CT28" s="40" t="e">
        <f>IF(CT$1,SUMIFS('IncStmt Data'!$H$2:$H$2051,'IncStmt Data'!$G$2:$G$2051,$A28,'IncStmt Data'!$A$2:$A$2051,CT$1),#N/A)</f>
        <v>#N/A</v>
      </c>
      <c r="CU28" s="40" t="e">
        <f>IF(CU$1,SUMIFS('IncStmt Data'!$H$2:$H$2051,'IncStmt Data'!$G$2:$G$2051,$A28,'IncStmt Data'!$A$2:$A$2051,CU$1),#N/A)</f>
        <v>#N/A</v>
      </c>
      <c r="CV28" s="40" t="e">
        <f>IF(CV$1,SUMIFS('IncStmt Data'!$H$2:$H$2051,'IncStmt Data'!$G$2:$G$2051,$A28,'IncStmt Data'!$A$2:$A$2051,CV$1),#N/A)</f>
        <v>#N/A</v>
      </c>
      <c r="CW28" s="40" t="e">
        <f>IF(CW$1,SUMIFS('IncStmt Data'!$H$2:$H$2051,'IncStmt Data'!$G$2:$G$2051,$A28,'IncStmt Data'!$A$2:$A$2051,CW$1),#N/A)</f>
        <v>#N/A</v>
      </c>
      <c r="CX28" s="40" t="e">
        <f>IF(CX$1,SUMIFS('IncStmt Data'!$H$2:$H$2051,'IncStmt Data'!$G$2:$G$2051,$A28,'IncStmt Data'!$A$2:$A$2051,CX$1),#N/A)</f>
        <v>#N/A</v>
      </c>
      <c r="CY28" s="40" t="e">
        <f>IF(CY$1,SUMIFS('IncStmt Data'!$H$2:$H$2051,'IncStmt Data'!$G$2:$G$2051,$A28,'IncStmt Data'!$A$2:$A$2051,CY$1),#N/A)</f>
        <v>#N/A</v>
      </c>
      <c r="CZ28" s="40" t="e">
        <f>IF(CZ$1,SUMIFS('IncStmt Data'!$H$2:$H$2051,'IncStmt Data'!$G$2:$G$2051,$A28,'IncStmt Data'!$A$2:$A$2051,CZ$1),#N/A)</f>
        <v>#N/A</v>
      </c>
      <c r="DA28" s="40">
        <f>SUM(B28:AJ28)</f>
        <v>1572867</v>
      </c>
    </row>
    <row r="29" spans="1:105" s="40" customFormat="1" x14ac:dyDescent="0.2">
      <c r="A29" s="54" t="s">
        <v>141</v>
      </c>
      <c r="B29" s="40">
        <f>IF(B$1,SUMIFS('IncStmt Data'!$H$2:$H$2051,'IncStmt Data'!$G$2:$G$2051,$A29,'IncStmt Data'!$A$2:$A$2051,B$1),#N/A)</f>
        <v>0</v>
      </c>
      <c r="C29" s="40">
        <f>IF(C$1,SUMIFS('IncStmt Data'!$H$2:$H$2051,'IncStmt Data'!$G$2:$G$2051,$A29,'IncStmt Data'!$A$2:$A$2051,C$1),#N/A)</f>
        <v>0</v>
      </c>
      <c r="D29" s="40">
        <f>IF(D$1,SUMIFS('IncStmt Data'!$H$2:$H$2051,'IncStmt Data'!$G$2:$G$2051,$A29,'IncStmt Data'!$A$2:$A$2051,D$1),#N/A)</f>
        <v>0</v>
      </c>
      <c r="E29" s="40">
        <f>IF(E$1,SUMIFS('IncStmt Data'!$H$2:$H$2051,'IncStmt Data'!$G$2:$G$2051,$A29,'IncStmt Data'!$A$2:$A$2051,E$1),#N/A)</f>
        <v>0</v>
      </c>
      <c r="F29" s="40">
        <f>IF(F$1,SUMIFS('IncStmt Data'!$H$2:$H$2051,'IncStmt Data'!$G$2:$G$2051,$A29,'IncStmt Data'!$A$2:$A$2051,F$1),#N/A)</f>
        <v>0</v>
      </c>
      <c r="G29" s="40">
        <f>IF(G$1,SUMIFS('IncStmt Data'!$H$2:$H$2051,'IncStmt Data'!$G$2:$G$2051,$A29,'IncStmt Data'!$A$2:$A$2051,G$1),#N/A)</f>
        <v>0</v>
      </c>
      <c r="H29" s="40">
        <f>IF(H$1,SUMIFS('IncStmt Data'!$H$2:$H$2051,'IncStmt Data'!$G$2:$G$2051,$A29,'IncStmt Data'!$A$2:$A$2051,H$1),#N/A)</f>
        <v>0</v>
      </c>
      <c r="I29" s="40">
        <f>IF(I$1,SUMIFS('IncStmt Data'!$H$2:$H$2051,'IncStmt Data'!$G$2:$G$2051,$A29,'IncStmt Data'!$A$2:$A$2051,I$1),#N/A)</f>
        <v>0</v>
      </c>
      <c r="J29" s="40">
        <f>IF(J$1,SUMIFS('IncStmt Data'!$H$2:$H$2051,'IncStmt Data'!$G$2:$G$2051,$A29,'IncStmt Data'!$A$2:$A$2051,J$1),#N/A)</f>
        <v>0</v>
      </c>
      <c r="K29" s="40">
        <f>IF(K$1,SUMIFS('IncStmt Data'!$H$2:$H$2051,'IncStmt Data'!$G$2:$G$2051,$A29,'IncStmt Data'!$A$2:$A$2051,K$1),#N/A)</f>
        <v>0</v>
      </c>
      <c r="L29" s="40">
        <f>IF(L$1,SUMIFS('IncStmt Data'!$H$2:$H$2051,'IncStmt Data'!$G$2:$G$2051,$A29,'IncStmt Data'!$A$2:$A$2051,L$1),#N/A)</f>
        <v>0</v>
      </c>
      <c r="M29" s="40">
        <f>IF(M$1,SUMIFS('IncStmt Data'!$H$2:$H$2051,'IncStmt Data'!$G$2:$G$2051,$A29,'IncStmt Data'!$A$2:$A$2051,M$1),#N/A)</f>
        <v>0</v>
      </c>
      <c r="N29" s="40">
        <f>IF(N$1,SUMIFS('IncStmt Data'!$H$2:$H$2051,'IncStmt Data'!$G$2:$G$2051,$A29,'IncStmt Data'!$A$2:$A$2051,N$1),#N/A)</f>
        <v>0</v>
      </c>
      <c r="O29" s="40">
        <f>IF(O$1,SUMIFS('IncStmt Data'!$H$2:$H$2051,'IncStmt Data'!$G$2:$G$2051,$A29,'IncStmt Data'!$A$2:$A$2051,O$1),#N/A)</f>
        <v>0</v>
      </c>
      <c r="P29" s="40">
        <f>IF(P$1,SUMIFS('IncStmt Data'!$H$2:$H$2051,'IncStmt Data'!$G$2:$G$2051,$A29,'IncStmt Data'!$A$2:$A$2051,P$1),#N/A)</f>
        <v>0</v>
      </c>
      <c r="Q29" s="40">
        <f>IF(Q$1,SUMIFS('IncStmt Data'!$H$2:$H$2051,'IncStmt Data'!$G$2:$G$2051,$A29,'IncStmt Data'!$A$2:$A$2051,Q$1),#N/A)</f>
        <v>0</v>
      </c>
      <c r="R29" s="40">
        <f>IF(R$1,SUMIFS('IncStmt Data'!$H$2:$H$2051,'IncStmt Data'!$G$2:$G$2051,$A29,'IncStmt Data'!$A$2:$A$2051,R$1),#N/A)</f>
        <v>0</v>
      </c>
      <c r="S29" s="40">
        <f>IF(S$1,SUMIFS('IncStmt Data'!$H$2:$H$2051,'IncStmt Data'!$G$2:$G$2051,$A29,'IncStmt Data'!$A$2:$A$2051,S$1),#N/A)</f>
        <v>0</v>
      </c>
      <c r="T29" s="40">
        <f>IF(T$1,SUMIFS('IncStmt Data'!$H$2:$H$2051,'IncStmt Data'!$G$2:$G$2051,$A29,'IncStmt Data'!$A$2:$A$2051,T$1),#N/A)</f>
        <v>0</v>
      </c>
      <c r="U29" s="40">
        <f>IF(U$1,SUMIFS('IncStmt Data'!$H$2:$H$2051,'IncStmt Data'!$G$2:$G$2051,$A29,'IncStmt Data'!$A$2:$A$2051,U$1),#N/A)</f>
        <v>0</v>
      </c>
      <c r="V29" s="40">
        <f>IF(V$1,SUMIFS('IncStmt Data'!$H$2:$H$2051,'IncStmt Data'!$G$2:$G$2051,$A29,'IncStmt Data'!$A$2:$A$2051,V$1),#N/A)</f>
        <v>0</v>
      </c>
      <c r="W29" s="40">
        <f>IF(W$1,SUMIFS('IncStmt Data'!$H$2:$H$2051,'IncStmt Data'!$G$2:$G$2051,$A29,'IncStmt Data'!$A$2:$A$2051,W$1),#N/A)</f>
        <v>0</v>
      </c>
      <c r="X29" s="40">
        <f>IF(X$1,SUMIFS('IncStmt Data'!$H$2:$H$2051,'IncStmt Data'!$G$2:$G$2051,$A29,'IncStmt Data'!$A$2:$A$2051,X$1),#N/A)</f>
        <v>0</v>
      </c>
      <c r="Y29" s="40">
        <f>IF(Y$1,SUMIFS('IncStmt Data'!$H$2:$H$2051,'IncStmt Data'!$G$2:$G$2051,$A29,'IncStmt Data'!$A$2:$A$2051,Y$1),#N/A)</f>
        <v>0</v>
      </c>
      <c r="Z29" s="40">
        <f>IF(Z$1,SUMIFS('IncStmt Data'!$H$2:$H$2051,'IncStmt Data'!$G$2:$G$2051,$A29,'IncStmt Data'!$A$2:$A$2051,Z$1),#N/A)</f>
        <v>0</v>
      </c>
      <c r="AA29" s="40">
        <f>IF(AA$1,SUMIFS('IncStmt Data'!$H$2:$H$2051,'IncStmt Data'!$G$2:$G$2051,$A29,'IncStmt Data'!$A$2:$A$2051,AA$1),#N/A)</f>
        <v>0</v>
      </c>
      <c r="AB29" s="40">
        <f>IF(AB$1,SUMIFS('IncStmt Data'!$H$2:$H$2051,'IncStmt Data'!$G$2:$G$2051,$A29,'IncStmt Data'!$A$2:$A$2051,AB$1),#N/A)</f>
        <v>0</v>
      </c>
      <c r="AC29" s="40">
        <f>IF(AC$1,SUMIFS('IncStmt Data'!$H$2:$H$2051,'IncStmt Data'!$G$2:$G$2051,$A29,'IncStmt Data'!$A$2:$A$2051,AC$1),#N/A)</f>
        <v>0</v>
      </c>
      <c r="AD29" s="40">
        <f>IF(AD$1,SUMIFS('IncStmt Data'!$H$2:$H$2051,'IncStmt Data'!$G$2:$G$2051,$A29,'IncStmt Data'!$A$2:$A$2051,AD$1),#N/A)</f>
        <v>0</v>
      </c>
      <c r="AE29" s="40">
        <f>IF(AE$1,SUMIFS('IncStmt Data'!$H$2:$H$2051,'IncStmt Data'!$G$2:$G$2051,$A29,'IncStmt Data'!$A$2:$A$2051,AE$1),#N/A)</f>
        <v>0</v>
      </c>
      <c r="AF29" s="40">
        <f>IF(AF$1,SUMIFS('IncStmt Data'!$H$2:$H$2051,'IncStmt Data'!$G$2:$G$2051,$A29,'IncStmt Data'!$A$2:$A$2051,AF$1),#N/A)</f>
        <v>0</v>
      </c>
      <c r="AG29" s="40">
        <f>IF(AG$1,SUMIFS('IncStmt Data'!$H$2:$H$2051,'IncStmt Data'!$G$2:$G$2051,$A29,'IncStmt Data'!$A$2:$A$2051,AG$1),#N/A)</f>
        <v>0</v>
      </c>
      <c r="AH29" s="40">
        <f>IF(AH$1,SUMIFS('IncStmt Data'!$H$2:$H$2051,'IncStmt Data'!$G$2:$G$2051,$A29,'IncStmt Data'!$A$2:$A$2051,AH$1),#N/A)</f>
        <v>0</v>
      </c>
      <c r="AI29" s="40">
        <f>IF(AI$1,SUMIFS('IncStmt Data'!$H$2:$H$2051,'IncStmt Data'!$G$2:$G$2051,$A29,'IncStmt Data'!$A$2:$A$2051,AI$1),#N/A)</f>
        <v>0</v>
      </c>
      <c r="AJ29" s="40">
        <f>IF(AJ$1,SUMIFS('IncStmt Data'!$H$2:$H$2051,'IncStmt Data'!$G$2:$G$2051,$A29,'IncStmt Data'!$A$2:$A$2051,AJ$1),#N/A)</f>
        <v>0</v>
      </c>
      <c r="AK29" s="40" t="e">
        <f>IF(AK$1,SUMIFS('IncStmt Data'!$H$2:$H$2051,'IncStmt Data'!$G$2:$G$2051,$A29,'IncStmt Data'!$A$2:$A$2051,AK$1),#N/A)</f>
        <v>#N/A</v>
      </c>
      <c r="AL29" s="40" t="e">
        <f>IF(AL$1,SUMIFS('IncStmt Data'!$H$2:$H$2051,'IncStmt Data'!$G$2:$G$2051,$A29,'IncStmt Data'!$A$2:$A$2051,AL$1),#N/A)</f>
        <v>#N/A</v>
      </c>
      <c r="AM29" s="40" t="e">
        <f>IF(AM$1,SUMIFS('IncStmt Data'!$H$2:$H$2051,'IncStmt Data'!$G$2:$G$2051,$A29,'IncStmt Data'!$A$2:$A$2051,AM$1),#N/A)</f>
        <v>#N/A</v>
      </c>
      <c r="AN29" s="40" t="e">
        <f>IF(AN$1,SUMIFS('IncStmt Data'!$H$2:$H$2051,'IncStmt Data'!$G$2:$G$2051,$A29,'IncStmt Data'!$A$2:$A$2051,AN$1),#N/A)</f>
        <v>#N/A</v>
      </c>
      <c r="AO29" s="40" t="e">
        <f>IF(AO$1,SUMIFS('IncStmt Data'!$H$2:$H$2051,'IncStmt Data'!$G$2:$G$2051,$A29,'IncStmt Data'!$A$2:$A$2051,AO$1),#N/A)</f>
        <v>#N/A</v>
      </c>
      <c r="AP29" s="40" t="e">
        <f>IF(AP$1,SUMIFS('IncStmt Data'!$H$2:$H$2051,'IncStmt Data'!$G$2:$G$2051,$A29,'IncStmt Data'!$A$2:$A$2051,AP$1),#N/A)</f>
        <v>#N/A</v>
      </c>
      <c r="AQ29" s="40" t="e">
        <f>IF(AQ$1,SUMIFS('IncStmt Data'!$H$2:$H$2051,'IncStmt Data'!$G$2:$G$2051,$A29,'IncStmt Data'!$A$2:$A$2051,AQ$1),#N/A)</f>
        <v>#N/A</v>
      </c>
      <c r="AR29" s="40" t="e">
        <f>IF(AR$1,SUMIFS('IncStmt Data'!$H$2:$H$2051,'IncStmt Data'!$G$2:$G$2051,$A29,'IncStmt Data'!$A$2:$A$2051,AR$1),#N/A)</f>
        <v>#N/A</v>
      </c>
      <c r="AS29" s="40" t="e">
        <f>IF(AS$1,SUMIFS('IncStmt Data'!$H$2:$H$2051,'IncStmt Data'!$G$2:$G$2051,$A29,'IncStmt Data'!$A$2:$A$2051,AS$1),#N/A)</f>
        <v>#N/A</v>
      </c>
      <c r="AT29" s="40" t="e">
        <f>IF(AT$1,SUMIFS('IncStmt Data'!$H$2:$H$2051,'IncStmt Data'!$G$2:$G$2051,$A29,'IncStmt Data'!$A$2:$A$2051,AT$1),#N/A)</f>
        <v>#N/A</v>
      </c>
      <c r="AU29" s="40" t="e">
        <f>IF(AU$1,SUMIFS('IncStmt Data'!$H$2:$H$2051,'IncStmt Data'!$G$2:$G$2051,$A29,'IncStmt Data'!$A$2:$A$2051,AU$1),#N/A)</f>
        <v>#N/A</v>
      </c>
      <c r="AV29" s="40" t="e">
        <f>IF(AV$1,SUMIFS('IncStmt Data'!$H$2:$H$2051,'IncStmt Data'!$G$2:$G$2051,$A29,'IncStmt Data'!$A$2:$A$2051,AV$1),#N/A)</f>
        <v>#N/A</v>
      </c>
      <c r="AW29" s="40" t="e">
        <f>IF(AW$1,SUMIFS('IncStmt Data'!$H$2:$H$2051,'IncStmt Data'!$G$2:$G$2051,$A29,'IncStmt Data'!$A$2:$A$2051,AW$1),#N/A)</f>
        <v>#N/A</v>
      </c>
      <c r="AX29" s="40" t="e">
        <f>IF(AX$1,SUMIFS('IncStmt Data'!$H$2:$H$2051,'IncStmt Data'!$G$2:$G$2051,$A29,'IncStmt Data'!$A$2:$A$2051,AX$1),#N/A)</f>
        <v>#N/A</v>
      </c>
      <c r="AY29" s="40" t="e">
        <f>IF(AY$1,SUMIFS('IncStmt Data'!$H$2:$H$2051,'IncStmt Data'!$G$2:$G$2051,$A29,'IncStmt Data'!$A$2:$A$2051,AY$1),#N/A)</f>
        <v>#N/A</v>
      </c>
      <c r="AZ29" s="40" t="e">
        <f>IF(AZ$1,SUMIFS('IncStmt Data'!$H$2:$H$2051,'IncStmt Data'!$G$2:$G$2051,$A29,'IncStmt Data'!$A$2:$A$2051,AZ$1),#N/A)</f>
        <v>#N/A</v>
      </c>
      <c r="BA29" s="40" t="e">
        <f>IF(BA$1,SUMIFS('IncStmt Data'!$H$2:$H$2051,'IncStmt Data'!$G$2:$G$2051,$A29,'IncStmt Data'!$A$2:$A$2051,BA$1),#N/A)</f>
        <v>#N/A</v>
      </c>
      <c r="BB29" s="40" t="e">
        <f>IF(BB$1,SUMIFS('IncStmt Data'!$H$2:$H$2051,'IncStmt Data'!$G$2:$G$2051,$A29,'IncStmt Data'!$A$2:$A$2051,BB$1),#N/A)</f>
        <v>#N/A</v>
      </c>
      <c r="BC29" s="40" t="e">
        <f>IF(BC$1,SUMIFS('IncStmt Data'!$H$2:$H$2051,'IncStmt Data'!$G$2:$G$2051,$A29,'IncStmt Data'!$A$2:$A$2051,BC$1),#N/A)</f>
        <v>#N/A</v>
      </c>
      <c r="BD29" s="40" t="e">
        <f>IF(BD$1,SUMIFS('IncStmt Data'!$H$2:$H$2051,'IncStmt Data'!$G$2:$G$2051,$A29,'IncStmt Data'!$A$2:$A$2051,BD$1),#N/A)</f>
        <v>#N/A</v>
      </c>
      <c r="BE29" s="40" t="e">
        <f>IF(BE$1,SUMIFS('IncStmt Data'!$H$2:$H$2051,'IncStmt Data'!$G$2:$G$2051,$A29,'IncStmt Data'!$A$2:$A$2051,BE$1),#N/A)</f>
        <v>#N/A</v>
      </c>
      <c r="BF29" s="40" t="e">
        <f>IF(BF$1,SUMIFS('IncStmt Data'!$H$2:$H$2051,'IncStmt Data'!$G$2:$G$2051,$A29,'IncStmt Data'!$A$2:$A$2051,BF$1),#N/A)</f>
        <v>#N/A</v>
      </c>
      <c r="BG29" s="40" t="e">
        <f>IF(BG$1,SUMIFS('IncStmt Data'!$H$2:$H$2051,'IncStmt Data'!$G$2:$G$2051,$A29,'IncStmt Data'!$A$2:$A$2051,BG$1),#N/A)</f>
        <v>#N/A</v>
      </c>
      <c r="BH29" s="40" t="e">
        <f>IF(BH$1,SUMIFS('IncStmt Data'!$H$2:$H$2051,'IncStmt Data'!$G$2:$G$2051,$A29,'IncStmt Data'!$A$2:$A$2051,BH$1),#N/A)</f>
        <v>#N/A</v>
      </c>
      <c r="BI29" s="40" t="e">
        <f>IF(BI$1,SUMIFS('IncStmt Data'!$H$2:$H$2051,'IncStmt Data'!$G$2:$G$2051,$A29,'IncStmt Data'!$A$2:$A$2051,BI$1),#N/A)</f>
        <v>#N/A</v>
      </c>
      <c r="BJ29" s="40" t="e">
        <f>IF(BJ$1,SUMIFS('IncStmt Data'!$H$2:$H$2051,'IncStmt Data'!$G$2:$G$2051,$A29,'IncStmt Data'!$A$2:$A$2051,BJ$1),#N/A)</f>
        <v>#N/A</v>
      </c>
      <c r="BK29" s="40" t="e">
        <f>IF(BK$1,SUMIFS('IncStmt Data'!$H$2:$H$2051,'IncStmt Data'!$G$2:$G$2051,$A29,'IncStmt Data'!$A$2:$A$2051,BK$1),#N/A)</f>
        <v>#N/A</v>
      </c>
      <c r="BL29" s="40" t="e">
        <f>IF(BL$1,SUMIFS('IncStmt Data'!$H$2:$H$2051,'IncStmt Data'!$G$2:$G$2051,$A29,'IncStmt Data'!$A$2:$A$2051,BL$1),#N/A)</f>
        <v>#N/A</v>
      </c>
      <c r="BM29" s="40" t="e">
        <f>IF(BM$1,SUMIFS('IncStmt Data'!$H$2:$H$2051,'IncStmt Data'!$G$2:$G$2051,$A29,'IncStmt Data'!$A$2:$A$2051,BM$1),#N/A)</f>
        <v>#N/A</v>
      </c>
      <c r="BN29" s="40" t="e">
        <f>IF(BN$1,SUMIFS('IncStmt Data'!$H$2:$H$2051,'IncStmt Data'!$G$2:$G$2051,$A29,'IncStmt Data'!$A$2:$A$2051,BN$1),#N/A)</f>
        <v>#N/A</v>
      </c>
      <c r="BO29" s="40" t="e">
        <f>IF(BO$1,SUMIFS('IncStmt Data'!$H$2:$H$2051,'IncStmt Data'!$G$2:$G$2051,$A29,'IncStmt Data'!$A$2:$A$2051,BO$1),#N/A)</f>
        <v>#N/A</v>
      </c>
      <c r="BP29" s="40" t="e">
        <f>IF(BP$1,SUMIFS('IncStmt Data'!$H$2:$H$2051,'IncStmt Data'!$G$2:$G$2051,$A29,'IncStmt Data'!$A$2:$A$2051,BP$1),#N/A)</f>
        <v>#N/A</v>
      </c>
      <c r="BQ29" s="40" t="e">
        <f>IF(BQ$1,SUMIFS('IncStmt Data'!$H$2:$H$2051,'IncStmt Data'!$G$2:$G$2051,$A29,'IncStmt Data'!$A$2:$A$2051,BQ$1),#N/A)</f>
        <v>#N/A</v>
      </c>
      <c r="BR29" s="40" t="e">
        <f>IF(BR$1,SUMIFS('IncStmt Data'!$H$2:$H$2051,'IncStmt Data'!$G$2:$G$2051,$A29,'IncStmt Data'!$A$2:$A$2051,BR$1),#N/A)</f>
        <v>#N/A</v>
      </c>
      <c r="BS29" s="40" t="e">
        <f>IF(BS$1,SUMIFS('IncStmt Data'!$H$2:$H$2051,'IncStmt Data'!$G$2:$G$2051,$A29,'IncStmt Data'!$A$2:$A$2051,BS$1),#N/A)</f>
        <v>#N/A</v>
      </c>
      <c r="BT29" s="40" t="e">
        <f>IF(BT$1,SUMIFS('IncStmt Data'!$H$2:$H$2051,'IncStmt Data'!$G$2:$G$2051,$A29,'IncStmt Data'!$A$2:$A$2051,BT$1),#N/A)</f>
        <v>#N/A</v>
      </c>
      <c r="BU29" s="40" t="e">
        <f>IF(BU$1,SUMIFS('IncStmt Data'!$H$2:$H$2051,'IncStmt Data'!$G$2:$G$2051,$A29,'IncStmt Data'!$A$2:$A$2051,BU$1),#N/A)</f>
        <v>#N/A</v>
      </c>
      <c r="BV29" s="40" t="e">
        <f>IF(BV$1,SUMIFS('IncStmt Data'!$H$2:$H$2051,'IncStmt Data'!$G$2:$G$2051,$A29,'IncStmt Data'!$A$2:$A$2051,BV$1),#N/A)</f>
        <v>#N/A</v>
      </c>
      <c r="BW29" s="40" t="e">
        <f>IF(BW$1,SUMIFS('IncStmt Data'!$H$2:$H$2051,'IncStmt Data'!$G$2:$G$2051,$A29,'IncStmt Data'!$A$2:$A$2051,BW$1),#N/A)</f>
        <v>#N/A</v>
      </c>
      <c r="BX29" s="40" t="e">
        <f>IF(BX$1,SUMIFS('IncStmt Data'!$H$2:$H$2051,'IncStmt Data'!$G$2:$G$2051,$A29,'IncStmt Data'!$A$2:$A$2051,BX$1),#N/A)</f>
        <v>#N/A</v>
      </c>
      <c r="BY29" s="40" t="e">
        <f>IF(BY$1,SUMIFS('IncStmt Data'!$H$2:$H$2051,'IncStmt Data'!$G$2:$G$2051,$A29,'IncStmt Data'!$A$2:$A$2051,BY$1),#N/A)</f>
        <v>#N/A</v>
      </c>
      <c r="BZ29" s="40" t="e">
        <f>IF(BZ$1,SUMIFS('IncStmt Data'!$H$2:$H$2051,'IncStmt Data'!$G$2:$G$2051,$A29,'IncStmt Data'!$A$2:$A$2051,BZ$1),#N/A)</f>
        <v>#N/A</v>
      </c>
      <c r="CA29" s="40" t="e">
        <f>IF(CA$1,SUMIFS('IncStmt Data'!$H$2:$H$2051,'IncStmt Data'!$G$2:$G$2051,$A29,'IncStmt Data'!$A$2:$A$2051,CA$1),#N/A)</f>
        <v>#N/A</v>
      </c>
      <c r="CB29" s="40" t="e">
        <f>IF(CB$1,SUMIFS('IncStmt Data'!$H$2:$H$2051,'IncStmt Data'!$G$2:$G$2051,$A29,'IncStmt Data'!$A$2:$A$2051,CB$1),#N/A)</f>
        <v>#N/A</v>
      </c>
      <c r="CC29" s="40" t="e">
        <f>IF(CC$1,SUMIFS('IncStmt Data'!$H$2:$H$2051,'IncStmt Data'!$G$2:$G$2051,$A29,'IncStmt Data'!$A$2:$A$2051,CC$1),#N/A)</f>
        <v>#N/A</v>
      </c>
      <c r="CD29" s="40" t="e">
        <f>IF(CD$1,SUMIFS('IncStmt Data'!$H$2:$H$2051,'IncStmt Data'!$G$2:$G$2051,$A29,'IncStmt Data'!$A$2:$A$2051,CD$1),#N/A)</f>
        <v>#N/A</v>
      </c>
      <c r="CE29" s="40" t="e">
        <f>IF(CE$1,SUMIFS('IncStmt Data'!$H$2:$H$2051,'IncStmt Data'!$G$2:$G$2051,$A29,'IncStmt Data'!$A$2:$A$2051,CE$1),#N/A)</f>
        <v>#N/A</v>
      </c>
      <c r="CF29" s="40" t="e">
        <f>IF(CF$1,SUMIFS('IncStmt Data'!$H$2:$H$2051,'IncStmt Data'!$G$2:$G$2051,$A29,'IncStmt Data'!$A$2:$A$2051,CF$1),#N/A)</f>
        <v>#N/A</v>
      </c>
      <c r="CG29" s="40" t="e">
        <f>IF(CG$1,SUMIFS('IncStmt Data'!$H$2:$H$2051,'IncStmt Data'!$G$2:$G$2051,$A29,'IncStmt Data'!$A$2:$A$2051,CG$1),#N/A)</f>
        <v>#N/A</v>
      </c>
      <c r="CH29" s="40" t="e">
        <f>IF(CH$1,SUMIFS('IncStmt Data'!$H$2:$H$2051,'IncStmt Data'!$G$2:$G$2051,$A29,'IncStmt Data'!$A$2:$A$2051,CH$1),#N/A)</f>
        <v>#N/A</v>
      </c>
      <c r="CI29" s="40" t="e">
        <f>IF(CI$1,SUMIFS('IncStmt Data'!$H$2:$H$2051,'IncStmt Data'!$G$2:$G$2051,$A29,'IncStmt Data'!$A$2:$A$2051,CI$1),#N/A)</f>
        <v>#N/A</v>
      </c>
      <c r="CJ29" s="40" t="e">
        <f>IF(CJ$1,SUMIFS('IncStmt Data'!$H$2:$H$2051,'IncStmt Data'!$G$2:$G$2051,$A29,'IncStmt Data'!$A$2:$A$2051,CJ$1),#N/A)</f>
        <v>#N/A</v>
      </c>
      <c r="CK29" s="40" t="e">
        <f>IF(CK$1,SUMIFS('IncStmt Data'!$H$2:$H$2051,'IncStmt Data'!$G$2:$G$2051,$A29,'IncStmt Data'!$A$2:$A$2051,CK$1),#N/A)</f>
        <v>#N/A</v>
      </c>
      <c r="CL29" s="40" t="e">
        <f>IF(CL$1,SUMIFS('IncStmt Data'!$H$2:$H$2051,'IncStmt Data'!$G$2:$G$2051,$A29,'IncStmt Data'!$A$2:$A$2051,CL$1),#N/A)</f>
        <v>#N/A</v>
      </c>
      <c r="CM29" s="40" t="e">
        <f>IF(CM$1,SUMIFS('IncStmt Data'!$H$2:$H$2051,'IncStmt Data'!$G$2:$G$2051,$A29,'IncStmt Data'!$A$2:$A$2051,CM$1),#N/A)</f>
        <v>#N/A</v>
      </c>
      <c r="CN29" s="40" t="e">
        <f>IF(CN$1,SUMIFS('IncStmt Data'!$H$2:$H$2051,'IncStmt Data'!$G$2:$G$2051,$A29,'IncStmt Data'!$A$2:$A$2051,CN$1),#N/A)</f>
        <v>#N/A</v>
      </c>
      <c r="CO29" s="40" t="e">
        <f>IF(CO$1,SUMIFS('IncStmt Data'!$H$2:$H$2051,'IncStmt Data'!$G$2:$G$2051,$A29,'IncStmt Data'!$A$2:$A$2051,CO$1),#N/A)</f>
        <v>#N/A</v>
      </c>
      <c r="CP29" s="40" t="e">
        <f>IF(CP$1,SUMIFS('IncStmt Data'!$H$2:$H$2051,'IncStmt Data'!$G$2:$G$2051,$A29,'IncStmt Data'!$A$2:$A$2051,CP$1),#N/A)</f>
        <v>#N/A</v>
      </c>
      <c r="CQ29" s="40" t="e">
        <f>IF(CQ$1,SUMIFS('IncStmt Data'!$H$2:$H$2051,'IncStmt Data'!$G$2:$G$2051,$A29,'IncStmt Data'!$A$2:$A$2051,CQ$1),#N/A)</f>
        <v>#N/A</v>
      </c>
      <c r="CR29" s="40" t="e">
        <f>IF(CR$1,SUMIFS('IncStmt Data'!$H$2:$H$2051,'IncStmt Data'!$G$2:$G$2051,$A29,'IncStmt Data'!$A$2:$A$2051,CR$1),#N/A)</f>
        <v>#N/A</v>
      </c>
      <c r="CS29" s="40" t="e">
        <f>IF(CS$1,SUMIFS('IncStmt Data'!$H$2:$H$2051,'IncStmt Data'!$G$2:$G$2051,$A29,'IncStmt Data'!$A$2:$A$2051,CS$1),#N/A)</f>
        <v>#N/A</v>
      </c>
      <c r="CT29" s="40" t="e">
        <f>IF(CT$1,SUMIFS('IncStmt Data'!$H$2:$H$2051,'IncStmt Data'!$G$2:$G$2051,$A29,'IncStmt Data'!$A$2:$A$2051,CT$1),#N/A)</f>
        <v>#N/A</v>
      </c>
      <c r="CU29" s="40" t="e">
        <f>IF(CU$1,SUMIFS('IncStmt Data'!$H$2:$H$2051,'IncStmt Data'!$G$2:$G$2051,$A29,'IncStmt Data'!$A$2:$A$2051,CU$1),#N/A)</f>
        <v>#N/A</v>
      </c>
      <c r="CV29" s="40" t="e">
        <f>IF(CV$1,SUMIFS('IncStmt Data'!$H$2:$H$2051,'IncStmt Data'!$G$2:$G$2051,$A29,'IncStmt Data'!$A$2:$A$2051,CV$1),#N/A)</f>
        <v>#N/A</v>
      </c>
      <c r="CW29" s="40" t="e">
        <f>IF(CW$1,SUMIFS('IncStmt Data'!$H$2:$H$2051,'IncStmt Data'!$G$2:$G$2051,$A29,'IncStmt Data'!$A$2:$A$2051,CW$1),#N/A)</f>
        <v>#N/A</v>
      </c>
      <c r="CX29" s="40" t="e">
        <f>IF(CX$1,SUMIFS('IncStmt Data'!$H$2:$H$2051,'IncStmt Data'!$G$2:$G$2051,$A29,'IncStmt Data'!$A$2:$A$2051,CX$1),#N/A)</f>
        <v>#N/A</v>
      </c>
      <c r="CY29" s="40" t="e">
        <f>IF(CY$1,SUMIFS('IncStmt Data'!$H$2:$H$2051,'IncStmt Data'!$G$2:$G$2051,$A29,'IncStmt Data'!$A$2:$A$2051,CY$1),#N/A)</f>
        <v>#N/A</v>
      </c>
      <c r="CZ29" s="40" t="e">
        <f>IF(CZ$1,SUMIFS('IncStmt Data'!$H$2:$H$2051,'IncStmt Data'!$G$2:$G$2051,$A29,'IncStmt Data'!$A$2:$A$2051,CZ$1),#N/A)</f>
        <v>#N/A</v>
      </c>
      <c r="DA29" s="40">
        <f>SUM(B29:AJ29)</f>
        <v>0</v>
      </c>
    </row>
    <row r="30" spans="1:105" s="40" customFormat="1" x14ac:dyDescent="0.2">
      <c r="A30" s="54" t="s">
        <v>142</v>
      </c>
      <c r="B30" s="40">
        <f>IF(B$1,SUMIFS('IncStmt Data'!$H$2:$H$2051,'IncStmt Data'!$G$2:$G$2051,$A30,'IncStmt Data'!$A$2:$A$2051,B$1),#N/A)</f>
        <v>0</v>
      </c>
      <c r="C30" s="40">
        <f>IF(C$1,SUMIFS('IncStmt Data'!$H$2:$H$2051,'IncStmt Data'!$G$2:$G$2051,$A30,'IncStmt Data'!$A$2:$A$2051,C$1),#N/A)</f>
        <v>0</v>
      </c>
      <c r="D30" s="40">
        <f>IF(D$1,SUMIFS('IncStmt Data'!$H$2:$H$2051,'IncStmt Data'!$G$2:$G$2051,$A30,'IncStmt Data'!$A$2:$A$2051,D$1),#N/A)</f>
        <v>0</v>
      </c>
      <c r="E30" s="40">
        <f>IF(E$1,SUMIFS('IncStmt Data'!$H$2:$H$2051,'IncStmt Data'!$G$2:$G$2051,$A30,'IncStmt Data'!$A$2:$A$2051,E$1),#N/A)</f>
        <v>0</v>
      </c>
      <c r="F30" s="40">
        <f>IF(F$1,SUMIFS('IncStmt Data'!$H$2:$H$2051,'IncStmt Data'!$G$2:$G$2051,$A30,'IncStmt Data'!$A$2:$A$2051,F$1),#N/A)</f>
        <v>0</v>
      </c>
      <c r="G30" s="40">
        <f>IF(G$1,SUMIFS('IncStmt Data'!$H$2:$H$2051,'IncStmt Data'!$G$2:$G$2051,$A30,'IncStmt Data'!$A$2:$A$2051,G$1),#N/A)</f>
        <v>0</v>
      </c>
      <c r="H30" s="40">
        <f>IF(H$1,SUMIFS('IncStmt Data'!$H$2:$H$2051,'IncStmt Data'!$G$2:$G$2051,$A30,'IncStmt Data'!$A$2:$A$2051,H$1),#N/A)</f>
        <v>0</v>
      </c>
      <c r="I30" s="40">
        <f>IF(I$1,SUMIFS('IncStmt Data'!$H$2:$H$2051,'IncStmt Data'!$G$2:$G$2051,$A30,'IncStmt Data'!$A$2:$A$2051,I$1),#N/A)</f>
        <v>0</v>
      </c>
      <c r="J30" s="40">
        <f>IF(J$1,SUMIFS('IncStmt Data'!$H$2:$H$2051,'IncStmt Data'!$G$2:$G$2051,$A30,'IncStmt Data'!$A$2:$A$2051,J$1),#N/A)</f>
        <v>0</v>
      </c>
      <c r="K30" s="40">
        <f>IF(K$1,SUMIFS('IncStmt Data'!$H$2:$H$2051,'IncStmt Data'!$G$2:$G$2051,$A30,'IncStmt Data'!$A$2:$A$2051,K$1),#N/A)</f>
        <v>0</v>
      </c>
      <c r="L30" s="40">
        <f>IF(L$1,SUMIFS('IncStmt Data'!$H$2:$H$2051,'IncStmt Data'!$G$2:$G$2051,$A30,'IncStmt Data'!$A$2:$A$2051,L$1),#N/A)</f>
        <v>0</v>
      </c>
      <c r="M30" s="40">
        <f>IF(M$1,SUMIFS('IncStmt Data'!$H$2:$H$2051,'IncStmt Data'!$G$2:$G$2051,$A30,'IncStmt Data'!$A$2:$A$2051,M$1),#N/A)</f>
        <v>0</v>
      </c>
      <c r="N30" s="40">
        <f>IF(N$1,SUMIFS('IncStmt Data'!$H$2:$H$2051,'IncStmt Data'!$G$2:$G$2051,$A30,'IncStmt Data'!$A$2:$A$2051,N$1),#N/A)</f>
        <v>0</v>
      </c>
      <c r="O30" s="40">
        <f>IF(O$1,SUMIFS('IncStmt Data'!$H$2:$H$2051,'IncStmt Data'!$G$2:$G$2051,$A30,'IncStmt Data'!$A$2:$A$2051,O$1),#N/A)</f>
        <v>0</v>
      </c>
      <c r="P30" s="40">
        <f>IF(P$1,SUMIFS('IncStmt Data'!$H$2:$H$2051,'IncStmt Data'!$G$2:$G$2051,$A30,'IncStmt Data'!$A$2:$A$2051,P$1),#N/A)</f>
        <v>0</v>
      </c>
      <c r="Q30" s="40">
        <f>IF(Q$1,SUMIFS('IncStmt Data'!$H$2:$H$2051,'IncStmt Data'!$G$2:$G$2051,$A30,'IncStmt Data'!$A$2:$A$2051,Q$1),#N/A)</f>
        <v>0</v>
      </c>
      <c r="R30" s="40">
        <f>IF(R$1,SUMIFS('IncStmt Data'!$H$2:$H$2051,'IncStmt Data'!$G$2:$G$2051,$A30,'IncStmt Data'!$A$2:$A$2051,R$1),#N/A)</f>
        <v>0</v>
      </c>
      <c r="S30" s="40">
        <f>IF(S$1,SUMIFS('IncStmt Data'!$H$2:$H$2051,'IncStmt Data'!$G$2:$G$2051,$A30,'IncStmt Data'!$A$2:$A$2051,S$1),#N/A)</f>
        <v>0</v>
      </c>
      <c r="T30" s="40">
        <f>IF(T$1,SUMIFS('IncStmt Data'!$H$2:$H$2051,'IncStmt Data'!$G$2:$G$2051,$A30,'IncStmt Data'!$A$2:$A$2051,T$1),#N/A)</f>
        <v>0</v>
      </c>
      <c r="U30" s="40">
        <f>IF(U$1,SUMIFS('IncStmt Data'!$H$2:$H$2051,'IncStmt Data'!$G$2:$G$2051,$A30,'IncStmt Data'!$A$2:$A$2051,U$1),#N/A)</f>
        <v>0</v>
      </c>
      <c r="V30" s="40">
        <f>IF(V$1,SUMIFS('IncStmt Data'!$H$2:$H$2051,'IncStmt Data'!$G$2:$G$2051,$A30,'IncStmt Data'!$A$2:$A$2051,V$1),#N/A)</f>
        <v>0</v>
      </c>
      <c r="W30" s="40">
        <f>IF(W$1,SUMIFS('IncStmt Data'!$H$2:$H$2051,'IncStmt Data'!$G$2:$G$2051,$A30,'IncStmt Data'!$A$2:$A$2051,W$1),#N/A)</f>
        <v>0</v>
      </c>
      <c r="X30" s="40">
        <f>IF(X$1,SUMIFS('IncStmt Data'!$H$2:$H$2051,'IncStmt Data'!$G$2:$G$2051,$A30,'IncStmt Data'!$A$2:$A$2051,X$1),#N/A)</f>
        <v>0</v>
      </c>
      <c r="Y30" s="40">
        <f>IF(Y$1,SUMIFS('IncStmt Data'!$H$2:$H$2051,'IncStmt Data'!$G$2:$G$2051,$A30,'IncStmt Data'!$A$2:$A$2051,Y$1),#N/A)</f>
        <v>0</v>
      </c>
      <c r="Z30" s="40">
        <f>IF(Z$1,SUMIFS('IncStmt Data'!$H$2:$H$2051,'IncStmt Data'!$G$2:$G$2051,$A30,'IncStmt Data'!$A$2:$A$2051,Z$1),#N/A)</f>
        <v>0</v>
      </c>
      <c r="AA30" s="40">
        <f>IF(AA$1,SUMIFS('IncStmt Data'!$H$2:$H$2051,'IncStmt Data'!$G$2:$G$2051,$A30,'IncStmt Data'!$A$2:$A$2051,AA$1),#N/A)</f>
        <v>0</v>
      </c>
      <c r="AB30" s="40">
        <f>IF(AB$1,SUMIFS('IncStmt Data'!$H$2:$H$2051,'IncStmt Data'!$G$2:$G$2051,$A30,'IncStmt Data'!$A$2:$A$2051,AB$1),#N/A)</f>
        <v>0</v>
      </c>
      <c r="AC30" s="40">
        <f>IF(AC$1,SUMIFS('IncStmt Data'!$H$2:$H$2051,'IncStmt Data'!$G$2:$G$2051,$A30,'IncStmt Data'!$A$2:$A$2051,AC$1),#N/A)</f>
        <v>0</v>
      </c>
      <c r="AD30" s="40">
        <f>IF(AD$1,SUMIFS('IncStmt Data'!$H$2:$H$2051,'IncStmt Data'!$G$2:$G$2051,$A30,'IncStmt Data'!$A$2:$A$2051,AD$1),#N/A)</f>
        <v>0</v>
      </c>
      <c r="AE30" s="40">
        <f>IF(AE$1,SUMIFS('IncStmt Data'!$H$2:$H$2051,'IncStmt Data'!$G$2:$G$2051,$A30,'IncStmt Data'!$A$2:$A$2051,AE$1),#N/A)</f>
        <v>0</v>
      </c>
      <c r="AF30" s="40">
        <f>IF(AF$1,SUMIFS('IncStmt Data'!$H$2:$H$2051,'IncStmt Data'!$G$2:$G$2051,$A30,'IncStmt Data'!$A$2:$A$2051,AF$1),#N/A)</f>
        <v>0</v>
      </c>
      <c r="AG30" s="40">
        <f>IF(AG$1,SUMIFS('IncStmt Data'!$H$2:$H$2051,'IncStmt Data'!$G$2:$G$2051,$A30,'IncStmt Data'!$A$2:$A$2051,AG$1),#N/A)</f>
        <v>0</v>
      </c>
      <c r="AH30" s="40">
        <f>IF(AH$1,SUMIFS('IncStmt Data'!$H$2:$H$2051,'IncStmt Data'!$G$2:$G$2051,$A30,'IncStmt Data'!$A$2:$A$2051,AH$1),#N/A)</f>
        <v>0</v>
      </c>
      <c r="AI30" s="40">
        <f>IF(AI$1,SUMIFS('IncStmt Data'!$H$2:$H$2051,'IncStmt Data'!$G$2:$G$2051,$A30,'IncStmt Data'!$A$2:$A$2051,AI$1),#N/A)</f>
        <v>0</v>
      </c>
      <c r="AJ30" s="40">
        <f>IF(AJ$1,SUMIFS('IncStmt Data'!$H$2:$H$2051,'IncStmt Data'!$G$2:$G$2051,$A30,'IncStmt Data'!$A$2:$A$2051,AJ$1),#N/A)</f>
        <v>0</v>
      </c>
      <c r="AK30" s="40" t="e">
        <f>IF(AK$1,SUMIFS('IncStmt Data'!$H$2:$H$2051,'IncStmt Data'!$G$2:$G$2051,$A30,'IncStmt Data'!$A$2:$A$2051,AK$1),#N/A)</f>
        <v>#N/A</v>
      </c>
      <c r="AL30" s="40" t="e">
        <f>IF(AL$1,SUMIFS('IncStmt Data'!$H$2:$H$2051,'IncStmt Data'!$G$2:$G$2051,$A30,'IncStmt Data'!$A$2:$A$2051,AL$1),#N/A)</f>
        <v>#N/A</v>
      </c>
      <c r="AM30" s="40" t="e">
        <f>IF(AM$1,SUMIFS('IncStmt Data'!$H$2:$H$2051,'IncStmt Data'!$G$2:$G$2051,$A30,'IncStmt Data'!$A$2:$A$2051,AM$1),#N/A)</f>
        <v>#N/A</v>
      </c>
      <c r="AN30" s="40" t="e">
        <f>IF(AN$1,SUMIFS('IncStmt Data'!$H$2:$H$2051,'IncStmt Data'!$G$2:$G$2051,$A30,'IncStmt Data'!$A$2:$A$2051,AN$1),#N/A)</f>
        <v>#N/A</v>
      </c>
      <c r="AO30" s="40" t="e">
        <f>IF(AO$1,SUMIFS('IncStmt Data'!$H$2:$H$2051,'IncStmt Data'!$G$2:$G$2051,$A30,'IncStmt Data'!$A$2:$A$2051,AO$1),#N/A)</f>
        <v>#N/A</v>
      </c>
      <c r="AP30" s="40" t="e">
        <f>IF(AP$1,SUMIFS('IncStmt Data'!$H$2:$H$2051,'IncStmt Data'!$G$2:$G$2051,$A30,'IncStmt Data'!$A$2:$A$2051,AP$1),#N/A)</f>
        <v>#N/A</v>
      </c>
      <c r="AQ30" s="40" t="e">
        <f>IF(AQ$1,SUMIFS('IncStmt Data'!$H$2:$H$2051,'IncStmt Data'!$G$2:$G$2051,$A30,'IncStmt Data'!$A$2:$A$2051,AQ$1),#N/A)</f>
        <v>#N/A</v>
      </c>
      <c r="AR30" s="40" t="e">
        <f>IF(AR$1,SUMIFS('IncStmt Data'!$H$2:$H$2051,'IncStmt Data'!$G$2:$G$2051,$A30,'IncStmt Data'!$A$2:$A$2051,AR$1),#N/A)</f>
        <v>#N/A</v>
      </c>
      <c r="AS30" s="40" t="e">
        <f>IF(AS$1,SUMIFS('IncStmt Data'!$H$2:$H$2051,'IncStmt Data'!$G$2:$G$2051,$A30,'IncStmt Data'!$A$2:$A$2051,AS$1),#N/A)</f>
        <v>#N/A</v>
      </c>
      <c r="AT30" s="40" t="e">
        <f>IF(AT$1,SUMIFS('IncStmt Data'!$H$2:$H$2051,'IncStmt Data'!$G$2:$G$2051,$A30,'IncStmt Data'!$A$2:$A$2051,AT$1),#N/A)</f>
        <v>#N/A</v>
      </c>
      <c r="AU30" s="40" t="e">
        <f>IF(AU$1,SUMIFS('IncStmt Data'!$H$2:$H$2051,'IncStmt Data'!$G$2:$G$2051,$A30,'IncStmt Data'!$A$2:$A$2051,AU$1),#N/A)</f>
        <v>#N/A</v>
      </c>
      <c r="AV30" s="40" t="e">
        <f>IF(AV$1,SUMIFS('IncStmt Data'!$H$2:$H$2051,'IncStmt Data'!$G$2:$G$2051,$A30,'IncStmt Data'!$A$2:$A$2051,AV$1),#N/A)</f>
        <v>#N/A</v>
      </c>
      <c r="AW30" s="40" t="e">
        <f>IF(AW$1,SUMIFS('IncStmt Data'!$H$2:$H$2051,'IncStmt Data'!$G$2:$G$2051,$A30,'IncStmt Data'!$A$2:$A$2051,AW$1),#N/A)</f>
        <v>#N/A</v>
      </c>
      <c r="AX30" s="40" t="e">
        <f>IF(AX$1,SUMIFS('IncStmt Data'!$H$2:$H$2051,'IncStmt Data'!$G$2:$G$2051,$A30,'IncStmt Data'!$A$2:$A$2051,AX$1),#N/A)</f>
        <v>#N/A</v>
      </c>
      <c r="AY30" s="40" t="e">
        <f>IF(AY$1,SUMIFS('IncStmt Data'!$H$2:$H$2051,'IncStmt Data'!$G$2:$G$2051,$A30,'IncStmt Data'!$A$2:$A$2051,AY$1),#N/A)</f>
        <v>#N/A</v>
      </c>
      <c r="AZ30" s="40" t="e">
        <f>IF(AZ$1,SUMIFS('IncStmt Data'!$H$2:$H$2051,'IncStmt Data'!$G$2:$G$2051,$A30,'IncStmt Data'!$A$2:$A$2051,AZ$1),#N/A)</f>
        <v>#N/A</v>
      </c>
      <c r="BA30" s="40" t="e">
        <f>IF(BA$1,SUMIFS('IncStmt Data'!$H$2:$H$2051,'IncStmt Data'!$G$2:$G$2051,$A30,'IncStmt Data'!$A$2:$A$2051,BA$1),#N/A)</f>
        <v>#N/A</v>
      </c>
      <c r="BB30" s="40" t="e">
        <f>IF(BB$1,SUMIFS('IncStmt Data'!$H$2:$H$2051,'IncStmt Data'!$G$2:$G$2051,$A30,'IncStmt Data'!$A$2:$A$2051,BB$1),#N/A)</f>
        <v>#N/A</v>
      </c>
      <c r="BC30" s="40" t="e">
        <f>IF(BC$1,SUMIFS('IncStmt Data'!$H$2:$H$2051,'IncStmt Data'!$G$2:$G$2051,$A30,'IncStmt Data'!$A$2:$A$2051,BC$1),#N/A)</f>
        <v>#N/A</v>
      </c>
      <c r="BD30" s="40" t="e">
        <f>IF(BD$1,SUMIFS('IncStmt Data'!$H$2:$H$2051,'IncStmt Data'!$G$2:$G$2051,$A30,'IncStmt Data'!$A$2:$A$2051,BD$1),#N/A)</f>
        <v>#N/A</v>
      </c>
      <c r="BE30" s="40" t="e">
        <f>IF(BE$1,SUMIFS('IncStmt Data'!$H$2:$H$2051,'IncStmt Data'!$G$2:$G$2051,$A30,'IncStmt Data'!$A$2:$A$2051,BE$1),#N/A)</f>
        <v>#N/A</v>
      </c>
      <c r="BF30" s="40" t="e">
        <f>IF(BF$1,SUMIFS('IncStmt Data'!$H$2:$H$2051,'IncStmt Data'!$G$2:$G$2051,$A30,'IncStmt Data'!$A$2:$A$2051,BF$1),#N/A)</f>
        <v>#N/A</v>
      </c>
      <c r="BG30" s="40" t="e">
        <f>IF(BG$1,SUMIFS('IncStmt Data'!$H$2:$H$2051,'IncStmt Data'!$G$2:$G$2051,$A30,'IncStmt Data'!$A$2:$A$2051,BG$1),#N/A)</f>
        <v>#N/A</v>
      </c>
      <c r="BH30" s="40" t="e">
        <f>IF(BH$1,SUMIFS('IncStmt Data'!$H$2:$H$2051,'IncStmt Data'!$G$2:$G$2051,$A30,'IncStmt Data'!$A$2:$A$2051,BH$1),#N/A)</f>
        <v>#N/A</v>
      </c>
      <c r="BI30" s="40" t="e">
        <f>IF(BI$1,SUMIFS('IncStmt Data'!$H$2:$H$2051,'IncStmt Data'!$G$2:$G$2051,$A30,'IncStmt Data'!$A$2:$A$2051,BI$1),#N/A)</f>
        <v>#N/A</v>
      </c>
      <c r="BJ30" s="40" t="e">
        <f>IF(BJ$1,SUMIFS('IncStmt Data'!$H$2:$H$2051,'IncStmt Data'!$G$2:$G$2051,$A30,'IncStmt Data'!$A$2:$A$2051,BJ$1),#N/A)</f>
        <v>#N/A</v>
      </c>
      <c r="BK30" s="40" t="e">
        <f>IF(BK$1,SUMIFS('IncStmt Data'!$H$2:$H$2051,'IncStmt Data'!$G$2:$G$2051,$A30,'IncStmt Data'!$A$2:$A$2051,BK$1),#N/A)</f>
        <v>#N/A</v>
      </c>
      <c r="BL30" s="40" t="e">
        <f>IF(BL$1,SUMIFS('IncStmt Data'!$H$2:$H$2051,'IncStmt Data'!$G$2:$G$2051,$A30,'IncStmt Data'!$A$2:$A$2051,BL$1),#N/A)</f>
        <v>#N/A</v>
      </c>
      <c r="BM30" s="40" t="e">
        <f>IF(BM$1,SUMIFS('IncStmt Data'!$H$2:$H$2051,'IncStmt Data'!$G$2:$G$2051,$A30,'IncStmt Data'!$A$2:$A$2051,BM$1),#N/A)</f>
        <v>#N/A</v>
      </c>
      <c r="BN30" s="40" t="e">
        <f>IF(BN$1,SUMIFS('IncStmt Data'!$H$2:$H$2051,'IncStmt Data'!$G$2:$G$2051,$A30,'IncStmt Data'!$A$2:$A$2051,BN$1),#N/A)</f>
        <v>#N/A</v>
      </c>
      <c r="BO30" s="40" t="e">
        <f>IF(BO$1,SUMIFS('IncStmt Data'!$H$2:$H$2051,'IncStmt Data'!$G$2:$G$2051,$A30,'IncStmt Data'!$A$2:$A$2051,BO$1),#N/A)</f>
        <v>#N/A</v>
      </c>
      <c r="BP30" s="40" t="e">
        <f>IF(BP$1,SUMIFS('IncStmt Data'!$H$2:$H$2051,'IncStmt Data'!$G$2:$G$2051,$A30,'IncStmt Data'!$A$2:$A$2051,BP$1),#N/A)</f>
        <v>#N/A</v>
      </c>
      <c r="BQ30" s="40" t="e">
        <f>IF(BQ$1,SUMIFS('IncStmt Data'!$H$2:$H$2051,'IncStmt Data'!$G$2:$G$2051,$A30,'IncStmt Data'!$A$2:$A$2051,BQ$1),#N/A)</f>
        <v>#N/A</v>
      </c>
      <c r="BR30" s="40" t="e">
        <f>IF(BR$1,SUMIFS('IncStmt Data'!$H$2:$H$2051,'IncStmt Data'!$G$2:$G$2051,$A30,'IncStmt Data'!$A$2:$A$2051,BR$1),#N/A)</f>
        <v>#N/A</v>
      </c>
      <c r="BS30" s="40" t="e">
        <f>IF(BS$1,SUMIFS('IncStmt Data'!$H$2:$H$2051,'IncStmt Data'!$G$2:$G$2051,$A30,'IncStmt Data'!$A$2:$A$2051,BS$1),#N/A)</f>
        <v>#N/A</v>
      </c>
      <c r="BT30" s="40" t="e">
        <f>IF(BT$1,SUMIFS('IncStmt Data'!$H$2:$H$2051,'IncStmt Data'!$G$2:$G$2051,$A30,'IncStmt Data'!$A$2:$A$2051,BT$1),#N/A)</f>
        <v>#N/A</v>
      </c>
      <c r="BU30" s="40" t="e">
        <f>IF(BU$1,SUMIFS('IncStmt Data'!$H$2:$H$2051,'IncStmt Data'!$G$2:$G$2051,$A30,'IncStmt Data'!$A$2:$A$2051,BU$1),#N/A)</f>
        <v>#N/A</v>
      </c>
      <c r="BV30" s="40" t="e">
        <f>IF(BV$1,SUMIFS('IncStmt Data'!$H$2:$H$2051,'IncStmt Data'!$G$2:$G$2051,$A30,'IncStmt Data'!$A$2:$A$2051,BV$1),#N/A)</f>
        <v>#N/A</v>
      </c>
      <c r="BW30" s="40" t="e">
        <f>IF(BW$1,SUMIFS('IncStmt Data'!$H$2:$H$2051,'IncStmt Data'!$G$2:$G$2051,$A30,'IncStmt Data'!$A$2:$A$2051,BW$1),#N/A)</f>
        <v>#N/A</v>
      </c>
      <c r="BX30" s="40" t="e">
        <f>IF(BX$1,SUMIFS('IncStmt Data'!$H$2:$H$2051,'IncStmt Data'!$G$2:$G$2051,$A30,'IncStmt Data'!$A$2:$A$2051,BX$1),#N/A)</f>
        <v>#N/A</v>
      </c>
      <c r="BY30" s="40" t="e">
        <f>IF(BY$1,SUMIFS('IncStmt Data'!$H$2:$H$2051,'IncStmt Data'!$G$2:$G$2051,$A30,'IncStmt Data'!$A$2:$A$2051,BY$1),#N/A)</f>
        <v>#N/A</v>
      </c>
      <c r="BZ30" s="40" t="e">
        <f>IF(BZ$1,SUMIFS('IncStmt Data'!$H$2:$H$2051,'IncStmt Data'!$G$2:$G$2051,$A30,'IncStmt Data'!$A$2:$A$2051,BZ$1),#N/A)</f>
        <v>#N/A</v>
      </c>
      <c r="CA30" s="40" t="e">
        <f>IF(CA$1,SUMIFS('IncStmt Data'!$H$2:$H$2051,'IncStmt Data'!$G$2:$G$2051,$A30,'IncStmt Data'!$A$2:$A$2051,CA$1),#N/A)</f>
        <v>#N/A</v>
      </c>
      <c r="CB30" s="40" t="e">
        <f>IF(CB$1,SUMIFS('IncStmt Data'!$H$2:$H$2051,'IncStmt Data'!$G$2:$G$2051,$A30,'IncStmt Data'!$A$2:$A$2051,CB$1),#N/A)</f>
        <v>#N/A</v>
      </c>
      <c r="CC30" s="40" t="e">
        <f>IF(CC$1,SUMIFS('IncStmt Data'!$H$2:$H$2051,'IncStmt Data'!$G$2:$G$2051,$A30,'IncStmt Data'!$A$2:$A$2051,CC$1),#N/A)</f>
        <v>#N/A</v>
      </c>
      <c r="CD30" s="40" t="e">
        <f>IF(CD$1,SUMIFS('IncStmt Data'!$H$2:$H$2051,'IncStmt Data'!$G$2:$G$2051,$A30,'IncStmt Data'!$A$2:$A$2051,CD$1),#N/A)</f>
        <v>#N/A</v>
      </c>
      <c r="CE30" s="40" t="e">
        <f>IF(CE$1,SUMIFS('IncStmt Data'!$H$2:$H$2051,'IncStmt Data'!$G$2:$G$2051,$A30,'IncStmt Data'!$A$2:$A$2051,CE$1),#N/A)</f>
        <v>#N/A</v>
      </c>
      <c r="CF30" s="40" t="e">
        <f>IF(CF$1,SUMIFS('IncStmt Data'!$H$2:$H$2051,'IncStmt Data'!$G$2:$G$2051,$A30,'IncStmt Data'!$A$2:$A$2051,CF$1),#N/A)</f>
        <v>#N/A</v>
      </c>
      <c r="CG30" s="40" t="e">
        <f>IF(CG$1,SUMIFS('IncStmt Data'!$H$2:$H$2051,'IncStmt Data'!$G$2:$G$2051,$A30,'IncStmt Data'!$A$2:$A$2051,CG$1),#N/A)</f>
        <v>#N/A</v>
      </c>
      <c r="CH30" s="40" t="e">
        <f>IF(CH$1,SUMIFS('IncStmt Data'!$H$2:$H$2051,'IncStmt Data'!$G$2:$G$2051,$A30,'IncStmt Data'!$A$2:$A$2051,CH$1),#N/A)</f>
        <v>#N/A</v>
      </c>
      <c r="CI30" s="40" t="e">
        <f>IF(CI$1,SUMIFS('IncStmt Data'!$H$2:$H$2051,'IncStmt Data'!$G$2:$G$2051,$A30,'IncStmt Data'!$A$2:$A$2051,CI$1),#N/A)</f>
        <v>#N/A</v>
      </c>
      <c r="CJ30" s="40" t="e">
        <f>IF(CJ$1,SUMIFS('IncStmt Data'!$H$2:$H$2051,'IncStmt Data'!$G$2:$G$2051,$A30,'IncStmt Data'!$A$2:$A$2051,CJ$1),#N/A)</f>
        <v>#N/A</v>
      </c>
      <c r="CK30" s="40" t="e">
        <f>IF(CK$1,SUMIFS('IncStmt Data'!$H$2:$H$2051,'IncStmt Data'!$G$2:$G$2051,$A30,'IncStmt Data'!$A$2:$A$2051,CK$1),#N/A)</f>
        <v>#N/A</v>
      </c>
      <c r="CL30" s="40" t="e">
        <f>IF(CL$1,SUMIFS('IncStmt Data'!$H$2:$H$2051,'IncStmt Data'!$G$2:$G$2051,$A30,'IncStmt Data'!$A$2:$A$2051,CL$1),#N/A)</f>
        <v>#N/A</v>
      </c>
      <c r="CM30" s="40" t="e">
        <f>IF(CM$1,SUMIFS('IncStmt Data'!$H$2:$H$2051,'IncStmt Data'!$G$2:$G$2051,$A30,'IncStmt Data'!$A$2:$A$2051,CM$1),#N/A)</f>
        <v>#N/A</v>
      </c>
      <c r="CN30" s="40" t="e">
        <f>IF(CN$1,SUMIFS('IncStmt Data'!$H$2:$H$2051,'IncStmt Data'!$G$2:$G$2051,$A30,'IncStmt Data'!$A$2:$A$2051,CN$1),#N/A)</f>
        <v>#N/A</v>
      </c>
      <c r="CO30" s="40" t="e">
        <f>IF(CO$1,SUMIFS('IncStmt Data'!$H$2:$H$2051,'IncStmt Data'!$G$2:$G$2051,$A30,'IncStmt Data'!$A$2:$A$2051,CO$1),#N/A)</f>
        <v>#N/A</v>
      </c>
      <c r="CP30" s="40" t="e">
        <f>IF(CP$1,SUMIFS('IncStmt Data'!$H$2:$H$2051,'IncStmt Data'!$G$2:$G$2051,$A30,'IncStmt Data'!$A$2:$A$2051,CP$1),#N/A)</f>
        <v>#N/A</v>
      </c>
      <c r="CQ30" s="40" t="e">
        <f>IF(CQ$1,SUMIFS('IncStmt Data'!$H$2:$H$2051,'IncStmt Data'!$G$2:$G$2051,$A30,'IncStmt Data'!$A$2:$A$2051,CQ$1),#N/A)</f>
        <v>#N/A</v>
      </c>
      <c r="CR30" s="40" t="e">
        <f>IF(CR$1,SUMIFS('IncStmt Data'!$H$2:$H$2051,'IncStmt Data'!$G$2:$G$2051,$A30,'IncStmt Data'!$A$2:$A$2051,CR$1),#N/A)</f>
        <v>#N/A</v>
      </c>
      <c r="CS30" s="40" t="e">
        <f>IF(CS$1,SUMIFS('IncStmt Data'!$H$2:$H$2051,'IncStmt Data'!$G$2:$G$2051,$A30,'IncStmt Data'!$A$2:$A$2051,CS$1),#N/A)</f>
        <v>#N/A</v>
      </c>
      <c r="CT30" s="40" t="e">
        <f>IF(CT$1,SUMIFS('IncStmt Data'!$H$2:$H$2051,'IncStmt Data'!$G$2:$G$2051,$A30,'IncStmt Data'!$A$2:$A$2051,CT$1),#N/A)</f>
        <v>#N/A</v>
      </c>
      <c r="CU30" s="40" t="e">
        <f>IF(CU$1,SUMIFS('IncStmt Data'!$H$2:$H$2051,'IncStmt Data'!$G$2:$G$2051,$A30,'IncStmt Data'!$A$2:$A$2051,CU$1),#N/A)</f>
        <v>#N/A</v>
      </c>
      <c r="CV30" s="40" t="e">
        <f>IF(CV$1,SUMIFS('IncStmt Data'!$H$2:$H$2051,'IncStmt Data'!$G$2:$G$2051,$A30,'IncStmt Data'!$A$2:$A$2051,CV$1),#N/A)</f>
        <v>#N/A</v>
      </c>
      <c r="CW30" s="40" t="e">
        <f>IF(CW$1,SUMIFS('IncStmt Data'!$H$2:$H$2051,'IncStmt Data'!$G$2:$G$2051,$A30,'IncStmt Data'!$A$2:$A$2051,CW$1),#N/A)</f>
        <v>#N/A</v>
      </c>
      <c r="CX30" s="40" t="e">
        <f>IF(CX$1,SUMIFS('IncStmt Data'!$H$2:$H$2051,'IncStmt Data'!$G$2:$G$2051,$A30,'IncStmt Data'!$A$2:$A$2051,CX$1),#N/A)</f>
        <v>#N/A</v>
      </c>
      <c r="CY30" s="40" t="e">
        <f>IF(CY$1,SUMIFS('IncStmt Data'!$H$2:$H$2051,'IncStmt Data'!$G$2:$G$2051,$A30,'IncStmt Data'!$A$2:$A$2051,CY$1),#N/A)</f>
        <v>#N/A</v>
      </c>
      <c r="CZ30" s="40" t="e">
        <f>IF(CZ$1,SUMIFS('IncStmt Data'!$H$2:$H$2051,'IncStmt Data'!$G$2:$G$2051,$A30,'IncStmt Data'!$A$2:$A$2051,CZ$1),#N/A)</f>
        <v>#N/A</v>
      </c>
      <c r="DA30" s="40">
        <f>SUM(B30:AJ30)</f>
        <v>0</v>
      </c>
    </row>
    <row r="31" spans="1:105" s="40" customFormat="1" ht="15" x14ac:dyDescent="0.35">
      <c r="A31" s="54" t="s">
        <v>30</v>
      </c>
      <c r="B31" s="48">
        <f>IF(B$1,SUMIFS('IncStmt Data'!$H$2:$H$2051,'IncStmt Data'!$G$2:$G$2051,$A31,'IncStmt Data'!$A$2:$A$2051,B$1),#N/A)</f>
        <v>46174</v>
      </c>
      <c r="C31" s="48">
        <f>IF(C$1,SUMIFS('IncStmt Data'!$H$2:$H$2051,'IncStmt Data'!$G$2:$G$2051,$A31,'IncStmt Data'!$A$2:$A$2051,C$1),#N/A)</f>
        <v>50835</v>
      </c>
      <c r="D31" s="48">
        <f>IF(D$1,SUMIFS('IncStmt Data'!$H$2:$H$2051,'IncStmt Data'!$G$2:$G$2051,$A31,'IncStmt Data'!$A$2:$A$2051,D$1),#N/A)</f>
        <v>66150</v>
      </c>
      <c r="E31" s="48">
        <f>IF(E$1,SUMIFS('IncStmt Data'!$H$2:$H$2051,'IncStmt Data'!$G$2:$G$2051,$A31,'IncStmt Data'!$A$2:$A$2051,E$1),#N/A)</f>
        <v>115971</v>
      </c>
      <c r="F31" s="48">
        <f>IF(F$1,SUMIFS('IncStmt Data'!$H$2:$H$2051,'IncStmt Data'!$G$2:$G$2051,$A31,'IncStmt Data'!$A$2:$A$2051,F$1),#N/A)</f>
        <v>121629</v>
      </c>
      <c r="G31" s="48">
        <f>IF(G$1,SUMIFS('IncStmt Data'!$H$2:$H$2051,'IncStmt Data'!$G$2:$G$2051,$A31,'IncStmt Data'!$A$2:$A$2051,G$1),#N/A)</f>
        <v>56229</v>
      </c>
      <c r="H31" s="48">
        <f>IF(H$1,SUMIFS('IncStmt Data'!$H$2:$H$2051,'IncStmt Data'!$G$2:$G$2051,$A31,'IncStmt Data'!$A$2:$A$2051,H$1),#N/A)</f>
        <v>95513</v>
      </c>
      <c r="I31" s="48">
        <f>IF(I$1,SUMIFS('IncStmt Data'!$H$2:$H$2051,'IncStmt Data'!$G$2:$G$2051,$A31,'IncStmt Data'!$A$2:$A$2051,I$1),#N/A)</f>
        <v>117548</v>
      </c>
      <c r="J31" s="48">
        <f>IF(J$1,SUMIFS('IncStmt Data'!$H$2:$H$2051,'IncStmt Data'!$G$2:$G$2051,$A31,'IncStmt Data'!$A$2:$A$2051,J$1),#N/A)</f>
        <v>122433</v>
      </c>
      <c r="K31" s="48">
        <f>IF(K$1,SUMIFS('IncStmt Data'!$H$2:$H$2051,'IncStmt Data'!$G$2:$G$2051,$A31,'IncStmt Data'!$A$2:$A$2051,K$1),#N/A)</f>
        <v>148496</v>
      </c>
      <c r="L31" s="48">
        <f>IF(L$1,SUMIFS('IncStmt Data'!$H$2:$H$2051,'IncStmt Data'!$G$2:$G$2051,$A31,'IncStmt Data'!$A$2:$A$2051,L$1),#N/A)</f>
        <v>95901</v>
      </c>
      <c r="M31" s="48">
        <f>IF(M$1,SUMIFS('IncStmt Data'!$H$2:$H$2051,'IncStmt Data'!$G$2:$G$2051,$A31,'IncStmt Data'!$A$2:$A$2051,M$1),#N/A)</f>
        <v>91613</v>
      </c>
      <c r="N31" s="48">
        <f>IF(N$1,SUMIFS('IncStmt Data'!$H$2:$H$2051,'IncStmt Data'!$G$2:$G$2051,$A31,'IncStmt Data'!$A$2:$A$2051,N$1),#N/A)</f>
        <v>187668</v>
      </c>
      <c r="O31" s="48">
        <f>IF(O$1,SUMIFS('IncStmt Data'!$H$2:$H$2051,'IncStmt Data'!$G$2:$G$2051,$A31,'IncStmt Data'!$A$2:$A$2051,O$1),#N/A)</f>
        <v>114748</v>
      </c>
      <c r="P31" s="48">
        <f>IF(P$1,SUMIFS('IncStmt Data'!$H$2:$H$2051,'IncStmt Data'!$G$2:$G$2051,$A31,'IncStmt Data'!$A$2:$A$2051,P$1),#N/A)</f>
        <v>138718</v>
      </c>
      <c r="Q31" s="48">
        <f>IF(Q$1,SUMIFS('IncStmt Data'!$H$2:$H$2051,'IncStmt Data'!$G$2:$G$2051,$A31,'IncStmt Data'!$A$2:$A$2051,Q$1),#N/A)</f>
        <v>0</v>
      </c>
      <c r="R31" s="48">
        <f>IF(R$1,SUMIFS('IncStmt Data'!$H$2:$H$2051,'IncStmt Data'!$G$2:$G$2051,$A31,'IncStmt Data'!$A$2:$A$2051,R$1),#N/A)</f>
        <v>0</v>
      </c>
      <c r="S31" s="48">
        <f>IF(S$1,SUMIFS('IncStmt Data'!$H$2:$H$2051,'IncStmt Data'!$G$2:$G$2051,$A31,'IncStmt Data'!$A$2:$A$2051,S$1),#N/A)</f>
        <v>277109</v>
      </c>
      <c r="T31" s="48">
        <f>IF(T$1,SUMIFS('IncStmt Data'!$H$2:$H$2051,'IncStmt Data'!$G$2:$G$2051,$A31,'IncStmt Data'!$A$2:$A$2051,T$1),#N/A)</f>
        <v>341697</v>
      </c>
      <c r="U31" s="48">
        <f>IF(U$1,SUMIFS('IncStmt Data'!$H$2:$H$2051,'IncStmt Data'!$G$2:$G$2051,$A31,'IncStmt Data'!$A$2:$A$2051,U$1),#N/A)</f>
        <v>316277</v>
      </c>
      <c r="V31" s="48">
        <f>IF(V$1,SUMIFS('IncStmt Data'!$H$2:$H$2051,'IncStmt Data'!$G$2:$G$2051,$A31,'IncStmt Data'!$A$2:$A$2051,V$1),#N/A)</f>
        <v>311282</v>
      </c>
      <c r="W31" s="48">
        <f>IF(W$1,SUMIFS('IncStmt Data'!$H$2:$H$2051,'IncStmt Data'!$G$2:$G$2051,$A31,'IncStmt Data'!$A$2:$A$2051,W$1),#N/A)</f>
        <v>306822</v>
      </c>
      <c r="X31" s="48">
        <f>IF(X$1,SUMIFS('IncStmt Data'!$H$2:$H$2051,'IncStmt Data'!$G$2:$G$2051,$A31,'IncStmt Data'!$A$2:$A$2051,X$1),#N/A)</f>
        <v>251689</v>
      </c>
      <c r="Y31" s="48">
        <f>IF(Y$1,SUMIFS('IncStmt Data'!$H$2:$H$2051,'IncStmt Data'!$G$2:$G$2051,$A31,'IncStmt Data'!$A$2:$A$2051,Y$1),#N/A)</f>
        <v>0</v>
      </c>
      <c r="Z31" s="48">
        <f>IF(Z$1,SUMIFS('IncStmt Data'!$H$2:$H$2051,'IncStmt Data'!$G$2:$G$2051,$A31,'IncStmt Data'!$A$2:$A$2051,Z$1),#N/A)</f>
        <v>0</v>
      </c>
      <c r="AA31" s="48">
        <f>IF(AA$1,SUMIFS('IncStmt Data'!$H$2:$H$2051,'IncStmt Data'!$G$2:$G$2051,$A31,'IncStmt Data'!$A$2:$A$2051,AA$1),#N/A)</f>
        <v>0</v>
      </c>
      <c r="AB31" s="48">
        <f>IF(AB$1,SUMIFS('IncStmt Data'!$H$2:$H$2051,'IncStmt Data'!$G$2:$G$2051,$A31,'IncStmt Data'!$A$2:$A$2051,AB$1),#N/A)</f>
        <v>0</v>
      </c>
      <c r="AC31" s="48">
        <f>IF(AC$1,SUMIFS('IncStmt Data'!$H$2:$H$2051,'IncStmt Data'!$G$2:$G$2051,$A31,'IncStmt Data'!$A$2:$A$2051,AC$1),#N/A)</f>
        <v>0</v>
      </c>
      <c r="AD31" s="48">
        <f>IF(AD$1,SUMIFS('IncStmt Data'!$H$2:$H$2051,'IncStmt Data'!$G$2:$G$2051,$A31,'IncStmt Data'!$A$2:$A$2051,AD$1),#N/A)</f>
        <v>161019</v>
      </c>
      <c r="AE31" s="48">
        <f>IF(AE$1,SUMIFS('IncStmt Data'!$H$2:$H$2051,'IncStmt Data'!$G$2:$G$2051,$A31,'IncStmt Data'!$A$2:$A$2051,AE$1),#N/A)</f>
        <v>264407</v>
      </c>
      <c r="AF31" s="48">
        <f>IF(AF$1,SUMIFS('IncStmt Data'!$H$2:$H$2051,'IncStmt Data'!$G$2:$G$2051,$A31,'IncStmt Data'!$A$2:$A$2051,AF$1),#N/A)</f>
        <v>290599</v>
      </c>
      <c r="AG31" s="48">
        <f>IF(AG$1,SUMIFS('IncStmt Data'!$H$2:$H$2051,'IncStmt Data'!$G$2:$G$2051,$A31,'IncStmt Data'!$A$2:$A$2051,AG$1),#N/A)</f>
        <v>527843</v>
      </c>
      <c r="AH31" s="48">
        <f>IF(AH$1,SUMIFS('IncStmt Data'!$H$2:$H$2051,'IncStmt Data'!$G$2:$G$2051,$A31,'IncStmt Data'!$A$2:$A$2051,AH$1),#N/A)</f>
        <v>256874</v>
      </c>
      <c r="AI31" s="48">
        <f>IF(AI$1,SUMIFS('IncStmt Data'!$H$2:$H$2051,'IncStmt Data'!$G$2:$G$2051,$A31,'IncStmt Data'!$A$2:$A$2051,AI$1),#N/A)</f>
        <v>257325</v>
      </c>
      <c r="AJ31" s="48">
        <f>IF(AJ$1,SUMIFS('IncStmt Data'!$H$2:$H$2051,'IncStmt Data'!$G$2:$G$2051,$A31,'IncStmt Data'!$A$2:$A$2051,AJ$1),#N/A)</f>
        <v>245909</v>
      </c>
      <c r="AK31" s="48" t="e">
        <f>IF(AK$1,SUMIFS('IncStmt Data'!$H$2:$H$2051,'IncStmt Data'!$G$2:$G$2051,$A31,'IncStmt Data'!$A$2:$A$2051,AK$1),#N/A)</f>
        <v>#N/A</v>
      </c>
      <c r="AL31" s="48" t="e">
        <f>IF(AL$1,SUMIFS('IncStmt Data'!$H$2:$H$2051,'IncStmt Data'!$G$2:$G$2051,$A31,'IncStmt Data'!$A$2:$A$2051,AL$1),#N/A)</f>
        <v>#N/A</v>
      </c>
      <c r="AM31" s="48" t="e">
        <f>IF(AM$1,SUMIFS('IncStmt Data'!$H$2:$H$2051,'IncStmt Data'!$G$2:$G$2051,$A31,'IncStmt Data'!$A$2:$A$2051,AM$1),#N/A)</f>
        <v>#N/A</v>
      </c>
      <c r="AN31" s="48" t="e">
        <f>IF(AN$1,SUMIFS('IncStmt Data'!$H$2:$H$2051,'IncStmt Data'!$G$2:$G$2051,$A31,'IncStmt Data'!$A$2:$A$2051,AN$1),#N/A)</f>
        <v>#N/A</v>
      </c>
      <c r="AO31" s="48" t="e">
        <f>IF(AO$1,SUMIFS('IncStmt Data'!$H$2:$H$2051,'IncStmt Data'!$G$2:$G$2051,$A31,'IncStmt Data'!$A$2:$A$2051,AO$1),#N/A)</f>
        <v>#N/A</v>
      </c>
      <c r="AP31" s="48" t="e">
        <f>IF(AP$1,SUMIFS('IncStmt Data'!$H$2:$H$2051,'IncStmt Data'!$G$2:$G$2051,$A31,'IncStmt Data'!$A$2:$A$2051,AP$1),#N/A)</f>
        <v>#N/A</v>
      </c>
      <c r="AQ31" s="48" t="e">
        <f>IF(AQ$1,SUMIFS('IncStmt Data'!$H$2:$H$2051,'IncStmt Data'!$G$2:$G$2051,$A31,'IncStmt Data'!$A$2:$A$2051,AQ$1),#N/A)</f>
        <v>#N/A</v>
      </c>
      <c r="AR31" s="48" t="e">
        <f>IF(AR$1,SUMIFS('IncStmt Data'!$H$2:$H$2051,'IncStmt Data'!$G$2:$G$2051,$A31,'IncStmt Data'!$A$2:$A$2051,AR$1),#N/A)</f>
        <v>#N/A</v>
      </c>
      <c r="AS31" s="48" t="e">
        <f>IF(AS$1,SUMIFS('IncStmt Data'!$H$2:$H$2051,'IncStmt Data'!$G$2:$G$2051,$A31,'IncStmt Data'!$A$2:$A$2051,AS$1),#N/A)</f>
        <v>#N/A</v>
      </c>
      <c r="AT31" s="48" t="e">
        <f>IF(AT$1,SUMIFS('IncStmt Data'!$H$2:$H$2051,'IncStmt Data'!$G$2:$G$2051,$A31,'IncStmt Data'!$A$2:$A$2051,AT$1),#N/A)</f>
        <v>#N/A</v>
      </c>
      <c r="AU31" s="48" t="e">
        <f>IF(AU$1,SUMIFS('IncStmt Data'!$H$2:$H$2051,'IncStmt Data'!$G$2:$G$2051,$A31,'IncStmt Data'!$A$2:$A$2051,AU$1),#N/A)</f>
        <v>#N/A</v>
      </c>
      <c r="AV31" s="48" t="e">
        <f>IF(AV$1,SUMIFS('IncStmt Data'!$H$2:$H$2051,'IncStmt Data'!$G$2:$G$2051,$A31,'IncStmt Data'!$A$2:$A$2051,AV$1),#N/A)</f>
        <v>#N/A</v>
      </c>
      <c r="AW31" s="48" t="e">
        <f>IF(AW$1,SUMIFS('IncStmt Data'!$H$2:$H$2051,'IncStmt Data'!$G$2:$G$2051,$A31,'IncStmt Data'!$A$2:$A$2051,AW$1),#N/A)</f>
        <v>#N/A</v>
      </c>
      <c r="AX31" s="48" t="e">
        <f>IF(AX$1,SUMIFS('IncStmt Data'!$H$2:$H$2051,'IncStmt Data'!$G$2:$G$2051,$A31,'IncStmt Data'!$A$2:$A$2051,AX$1),#N/A)</f>
        <v>#N/A</v>
      </c>
      <c r="AY31" s="48" t="e">
        <f>IF(AY$1,SUMIFS('IncStmt Data'!$H$2:$H$2051,'IncStmt Data'!$G$2:$G$2051,$A31,'IncStmt Data'!$A$2:$A$2051,AY$1),#N/A)</f>
        <v>#N/A</v>
      </c>
      <c r="AZ31" s="48" t="e">
        <f>IF(AZ$1,SUMIFS('IncStmt Data'!$H$2:$H$2051,'IncStmt Data'!$G$2:$G$2051,$A31,'IncStmt Data'!$A$2:$A$2051,AZ$1),#N/A)</f>
        <v>#N/A</v>
      </c>
      <c r="BA31" s="48" t="e">
        <f>IF(BA$1,SUMIFS('IncStmt Data'!$H$2:$H$2051,'IncStmt Data'!$G$2:$G$2051,$A31,'IncStmt Data'!$A$2:$A$2051,BA$1),#N/A)</f>
        <v>#N/A</v>
      </c>
      <c r="BB31" s="48" t="e">
        <f>IF(BB$1,SUMIFS('IncStmt Data'!$H$2:$H$2051,'IncStmt Data'!$G$2:$G$2051,$A31,'IncStmt Data'!$A$2:$A$2051,BB$1),#N/A)</f>
        <v>#N/A</v>
      </c>
      <c r="BC31" s="48" t="e">
        <f>IF(BC$1,SUMIFS('IncStmt Data'!$H$2:$H$2051,'IncStmt Data'!$G$2:$G$2051,$A31,'IncStmt Data'!$A$2:$A$2051,BC$1),#N/A)</f>
        <v>#N/A</v>
      </c>
      <c r="BD31" s="48" t="e">
        <f>IF(BD$1,SUMIFS('IncStmt Data'!$H$2:$H$2051,'IncStmt Data'!$G$2:$G$2051,$A31,'IncStmt Data'!$A$2:$A$2051,BD$1),#N/A)</f>
        <v>#N/A</v>
      </c>
      <c r="BE31" s="48" t="e">
        <f>IF(BE$1,SUMIFS('IncStmt Data'!$H$2:$H$2051,'IncStmt Data'!$G$2:$G$2051,$A31,'IncStmt Data'!$A$2:$A$2051,BE$1),#N/A)</f>
        <v>#N/A</v>
      </c>
      <c r="BF31" s="48" t="e">
        <f>IF(BF$1,SUMIFS('IncStmt Data'!$H$2:$H$2051,'IncStmt Data'!$G$2:$G$2051,$A31,'IncStmt Data'!$A$2:$A$2051,BF$1),#N/A)</f>
        <v>#N/A</v>
      </c>
      <c r="BG31" s="48" t="e">
        <f>IF(BG$1,SUMIFS('IncStmt Data'!$H$2:$H$2051,'IncStmt Data'!$G$2:$G$2051,$A31,'IncStmt Data'!$A$2:$A$2051,BG$1),#N/A)</f>
        <v>#N/A</v>
      </c>
      <c r="BH31" s="48" t="e">
        <f>IF(BH$1,SUMIFS('IncStmt Data'!$H$2:$H$2051,'IncStmt Data'!$G$2:$G$2051,$A31,'IncStmt Data'!$A$2:$A$2051,BH$1),#N/A)</f>
        <v>#N/A</v>
      </c>
      <c r="BI31" s="48" t="e">
        <f>IF(BI$1,SUMIFS('IncStmt Data'!$H$2:$H$2051,'IncStmt Data'!$G$2:$G$2051,$A31,'IncStmt Data'!$A$2:$A$2051,BI$1),#N/A)</f>
        <v>#N/A</v>
      </c>
      <c r="BJ31" s="48" t="e">
        <f>IF(BJ$1,SUMIFS('IncStmt Data'!$H$2:$H$2051,'IncStmt Data'!$G$2:$G$2051,$A31,'IncStmt Data'!$A$2:$A$2051,BJ$1),#N/A)</f>
        <v>#N/A</v>
      </c>
      <c r="BK31" s="48" t="e">
        <f>IF(BK$1,SUMIFS('IncStmt Data'!$H$2:$H$2051,'IncStmt Data'!$G$2:$G$2051,$A31,'IncStmt Data'!$A$2:$A$2051,BK$1),#N/A)</f>
        <v>#N/A</v>
      </c>
      <c r="BL31" s="48" t="e">
        <f>IF(BL$1,SUMIFS('IncStmt Data'!$H$2:$H$2051,'IncStmt Data'!$G$2:$G$2051,$A31,'IncStmt Data'!$A$2:$A$2051,BL$1),#N/A)</f>
        <v>#N/A</v>
      </c>
      <c r="BM31" s="48" t="e">
        <f>IF(BM$1,SUMIFS('IncStmt Data'!$H$2:$H$2051,'IncStmt Data'!$G$2:$G$2051,$A31,'IncStmt Data'!$A$2:$A$2051,BM$1),#N/A)</f>
        <v>#N/A</v>
      </c>
      <c r="BN31" s="48" t="e">
        <f>IF(BN$1,SUMIFS('IncStmt Data'!$H$2:$H$2051,'IncStmt Data'!$G$2:$G$2051,$A31,'IncStmt Data'!$A$2:$A$2051,BN$1),#N/A)</f>
        <v>#N/A</v>
      </c>
      <c r="BO31" s="48" t="e">
        <f>IF(BO$1,SUMIFS('IncStmt Data'!$H$2:$H$2051,'IncStmt Data'!$G$2:$G$2051,$A31,'IncStmt Data'!$A$2:$A$2051,BO$1),#N/A)</f>
        <v>#N/A</v>
      </c>
      <c r="BP31" s="48" t="e">
        <f>IF(BP$1,SUMIFS('IncStmt Data'!$H$2:$H$2051,'IncStmt Data'!$G$2:$G$2051,$A31,'IncStmt Data'!$A$2:$A$2051,BP$1),#N/A)</f>
        <v>#N/A</v>
      </c>
      <c r="BQ31" s="48" t="e">
        <f>IF(BQ$1,SUMIFS('IncStmt Data'!$H$2:$H$2051,'IncStmt Data'!$G$2:$G$2051,$A31,'IncStmt Data'!$A$2:$A$2051,BQ$1),#N/A)</f>
        <v>#N/A</v>
      </c>
      <c r="BR31" s="48" t="e">
        <f>IF(BR$1,SUMIFS('IncStmt Data'!$H$2:$H$2051,'IncStmt Data'!$G$2:$G$2051,$A31,'IncStmt Data'!$A$2:$A$2051,BR$1),#N/A)</f>
        <v>#N/A</v>
      </c>
      <c r="BS31" s="48" t="e">
        <f>IF(BS$1,SUMIFS('IncStmt Data'!$H$2:$H$2051,'IncStmt Data'!$G$2:$G$2051,$A31,'IncStmt Data'!$A$2:$A$2051,BS$1),#N/A)</f>
        <v>#N/A</v>
      </c>
      <c r="BT31" s="48" t="e">
        <f>IF(BT$1,SUMIFS('IncStmt Data'!$H$2:$H$2051,'IncStmt Data'!$G$2:$G$2051,$A31,'IncStmt Data'!$A$2:$A$2051,BT$1),#N/A)</f>
        <v>#N/A</v>
      </c>
      <c r="BU31" s="48" t="e">
        <f>IF(BU$1,SUMIFS('IncStmt Data'!$H$2:$H$2051,'IncStmt Data'!$G$2:$G$2051,$A31,'IncStmt Data'!$A$2:$A$2051,BU$1),#N/A)</f>
        <v>#N/A</v>
      </c>
      <c r="BV31" s="48" t="e">
        <f>IF(BV$1,SUMIFS('IncStmt Data'!$H$2:$H$2051,'IncStmt Data'!$G$2:$G$2051,$A31,'IncStmt Data'!$A$2:$A$2051,BV$1),#N/A)</f>
        <v>#N/A</v>
      </c>
      <c r="BW31" s="48" t="e">
        <f>IF(BW$1,SUMIFS('IncStmt Data'!$H$2:$H$2051,'IncStmt Data'!$G$2:$G$2051,$A31,'IncStmt Data'!$A$2:$A$2051,BW$1),#N/A)</f>
        <v>#N/A</v>
      </c>
      <c r="BX31" s="48" t="e">
        <f>IF(BX$1,SUMIFS('IncStmt Data'!$H$2:$H$2051,'IncStmt Data'!$G$2:$G$2051,$A31,'IncStmt Data'!$A$2:$A$2051,BX$1),#N/A)</f>
        <v>#N/A</v>
      </c>
      <c r="BY31" s="48" t="e">
        <f>IF(BY$1,SUMIFS('IncStmt Data'!$H$2:$H$2051,'IncStmt Data'!$G$2:$G$2051,$A31,'IncStmt Data'!$A$2:$A$2051,BY$1),#N/A)</f>
        <v>#N/A</v>
      </c>
      <c r="BZ31" s="48" t="e">
        <f>IF(BZ$1,SUMIFS('IncStmt Data'!$H$2:$H$2051,'IncStmt Data'!$G$2:$G$2051,$A31,'IncStmt Data'!$A$2:$A$2051,BZ$1),#N/A)</f>
        <v>#N/A</v>
      </c>
      <c r="CA31" s="48" t="e">
        <f>IF(CA$1,SUMIFS('IncStmt Data'!$H$2:$H$2051,'IncStmt Data'!$G$2:$G$2051,$A31,'IncStmt Data'!$A$2:$A$2051,CA$1),#N/A)</f>
        <v>#N/A</v>
      </c>
      <c r="CB31" s="48" t="e">
        <f>IF(CB$1,SUMIFS('IncStmt Data'!$H$2:$H$2051,'IncStmt Data'!$G$2:$G$2051,$A31,'IncStmt Data'!$A$2:$A$2051,CB$1),#N/A)</f>
        <v>#N/A</v>
      </c>
      <c r="CC31" s="48" t="e">
        <f>IF(CC$1,SUMIFS('IncStmt Data'!$H$2:$H$2051,'IncStmt Data'!$G$2:$G$2051,$A31,'IncStmt Data'!$A$2:$A$2051,CC$1),#N/A)</f>
        <v>#N/A</v>
      </c>
      <c r="CD31" s="48" t="e">
        <f>IF(CD$1,SUMIFS('IncStmt Data'!$H$2:$H$2051,'IncStmt Data'!$G$2:$G$2051,$A31,'IncStmt Data'!$A$2:$A$2051,CD$1),#N/A)</f>
        <v>#N/A</v>
      </c>
      <c r="CE31" s="48" t="e">
        <f>IF(CE$1,SUMIFS('IncStmt Data'!$H$2:$H$2051,'IncStmt Data'!$G$2:$G$2051,$A31,'IncStmt Data'!$A$2:$A$2051,CE$1),#N/A)</f>
        <v>#N/A</v>
      </c>
      <c r="CF31" s="48" t="e">
        <f>IF(CF$1,SUMIFS('IncStmt Data'!$H$2:$H$2051,'IncStmt Data'!$G$2:$G$2051,$A31,'IncStmt Data'!$A$2:$A$2051,CF$1),#N/A)</f>
        <v>#N/A</v>
      </c>
      <c r="CG31" s="48" t="e">
        <f>IF(CG$1,SUMIFS('IncStmt Data'!$H$2:$H$2051,'IncStmt Data'!$G$2:$G$2051,$A31,'IncStmt Data'!$A$2:$A$2051,CG$1),#N/A)</f>
        <v>#N/A</v>
      </c>
      <c r="CH31" s="48" t="e">
        <f>IF(CH$1,SUMIFS('IncStmt Data'!$H$2:$H$2051,'IncStmt Data'!$G$2:$G$2051,$A31,'IncStmt Data'!$A$2:$A$2051,CH$1),#N/A)</f>
        <v>#N/A</v>
      </c>
      <c r="CI31" s="48" t="e">
        <f>IF(CI$1,SUMIFS('IncStmt Data'!$H$2:$H$2051,'IncStmt Data'!$G$2:$G$2051,$A31,'IncStmt Data'!$A$2:$A$2051,CI$1),#N/A)</f>
        <v>#N/A</v>
      </c>
      <c r="CJ31" s="48" t="e">
        <f>IF(CJ$1,SUMIFS('IncStmt Data'!$H$2:$H$2051,'IncStmt Data'!$G$2:$G$2051,$A31,'IncStmt Data'!$A$2:$A$2051,CJ$1),#N/A)</f>
        <v>#N/A</v>
      </c>
      <c r="CK31" s="48" t="e">
        <f>IF(CK$1,SUMIFS('IncStmt Data'!$H$2:$H$2051,'IncStmt Data'!$G$2:$G$2051,$A31,'IncStmt Data'!$A$2:$A$2051,CK$1),#N/A)</f>
        <v>#N/A</v>
      </c>
      <c r="CL31" s="48" t="e">
        <f>IF(CL$1,SUMIFS('IncStmt Data'!$H$2:$H$2051,'IncStmt Data'!$G$2:$G$2051,$A31,'IncStmt Data'!$A$2:$A$2051,CL$1),#N/A)</f>
        <v>#N/A</v>
      </c>
      <c r="CM31" s="48" t="e">
        <f>IF(CM$1,SUMIFS('IncStmt Data'!$H$2:$H$2051,'IncStmt Data'!$G$2:$G$2051,$A31,'IncStmt Data'!$A$2:$A$2051,CM$1),#N/A)</f>
        <v>#N/A</v>
      </c>
      <c r="CN31" s="48" t="e">
        <f>IF(CN$1,SUMIFS('IncStmt Data'!$H$2:$H$2051,'IncStmt Data'!$G$2:$G$2051,$A31,'IncStmt Data'!$A$2:$A$2051,CN$1),#N/A)</f>
        <v>#N/A</v>
      </c>
      <c r="CO31" s="48" t="e">
        <f>IF(CO$1,SUMIFS('IncStmt Data'!$H$2:$H$2051,'IncStmt Data'!$G$2:$G$2051,$A31,'IncStmt Data'!$A$2:$A$2051,CO$1),#N/A)</f>
        <v>#N/A</v>
      </c>
      <c r="CP31" s="48" t="e">
        <f>IF(CP$1,SUMIFS('IncStmt Data'!$H$2:$H$2051,'IncStmt Data'!$G$2:$G$2051,$A31,'IncStmt Data'!$A$2:$A$2051,CP$1),#N/A)</f>
        <v>#N/A</v>
      </c>
      <c r="CQ31" s="48" t="e">
        <f>IF(CQ$1,SUMIFS('IncStmt Data'!$H$2:$H$2051,'IncStmt Data'!$G$2:$G$2051,$A31,'IncStmt Data'!$A$2:$A$2051,CQ$1),#N/A)</f>
        <v>#N/A</v>
      </c>
      <c r="CR31" s="48" t="e">
        <f>IF(CR$1,SUMIFS('IncStmt Data'!$H$2:$H$2051,'IncStmt Data'!$G$2:$G$2051,$A31,'IncStmt Data'!$A$2:$A$2051,CR$1),#N/A)</f>
        <v>#N/A</v>
      </c>
      <c r="CS31" s="48" t="e">
        <f>IF(CS$1,SUMIFS('IncStmt Data'!$H$2:$H$2051,'IncStmt Data'!$G$2:$G$2051,$A31,'IncStmt Data'!$A$2:$A$2051,CS$1),#N/A)</f>
        <v>#N/A</v>
      </c>
      <c r="CT31" s="48" t="e">
        <f>IF(CT$1,SUMIFS('IncStmt Data'!$H$2:$H$2051,'IncStmt Data'!$G$2:$G$2051,$A31,'IncStmt Data'!$A$2:$A$2051,CT$1),#N/A)</f>
        <v>#N/A</v>
      </c>
      <c r="CU31" s="48" t="e">
        <f>IF(CU$1,SUMIFS('IncStmt Data'!$H$2:$H$2051,'IncStmt Data'!$G$2:$G$2051,$A31,'IncStmt Data'!$A$2:$A$2051,CU$1),#N/A)</f>
        <v>#N/A</v>
      </c>
      <c r="CV31" s="48" t="e">
        <f>IF(CV$1,SUMIFS('IncStmt Data'!$H$2:$H$2051,'IncStmt Data'!$G$2:$G$2051,$A31,'IncStmt Data'!$A$2:$A$2051,CV$1),#N/A)</f>
        <v>#N/A</v>
      </c>
      <c r="CW31" s="48" t="e">
        <f>IF(CW$1,SUMIFS('IncStmt Data'!$H$2:$H$2051,'IncStmt Data'!$G$2:$G$2051,$A31,'IncStmt Data'!$A$2:$A$2051,CW$1),#N/A)</f>
        <v>#N/A</v>
      </c>
      <c r="CX31" s="48" t="e">
        <f>IF(CX$1,SUMIFS('IncStmt Data'!$H$2:$H$2051,'IncStmt Data'!$G$2:$G$2051,$A31,'IncStmt Data'!$A$2:$A$2051,CX$1),#N/A)</f>
        <v>#N/A</v>
      </c>
      <c r="CY31" s="48" t="e">
        <f>IF(CY$1,SUMIFS('IncStmt Data'!$H$2:$H$2051,'IncStmt Data'!$G$2:$G$2051,$A31,'IncStmt Data'!$A$2:$A$2051,CY$1),#N/A)</f>
        <v>#N/A</v>
      </c>
      <c r="CZ31" s="48" t="e">
        <f>IF(CZ$1,SUMIFS('IncStmt Data'!$H$2:$H$2051,'IncStmt Data'!$G$2:$G$2051,$A31,'IncStmt Data'!$A$2:$A$2051,CZ$1),#N/A)</f>
        <v>#N/A</v>
      </c>
      <c r="DA31" s="48">
        <f>SUM(B31:AJ31)</f>
        <v>5378478</v>
      </c>
    </row>
    <row r="32" spans="1:105" s="40" customFormat="1" x14ac:dyDescent="0.2">
      <c r="A32" s="37"/>
      <c r="B32" s="40">
        <f t="shared" ref="B32" si="3">SUM(B20:B31)</f>
        <v>595518</v>
      </c>
      <c r="C32" s="40">
        <f>SUM(C20:C31)</f>
        <v>510589</v>
      </c>
      <c r="D32" s="40">
        <f t="shared" ref="D32:BN32" si="4">SUM(D20:D31)</f>
        <v>688156</v>
      </c>
      <c r="E32" s="40">
        <f t="shared" si="4"/>
        <v>1189906</v>
      </c>
      <c r="F32" s="40">
        <f t="shared" si="4"/>
        <v>1207365</v>
      </c>
      <c r="G32" s="40">
        <f t="shared" si="4"/>
        <v>729866</v>
      </c>
      <c r="H32" s="40">
        <f t="shared" si="4"/>
        <v>601487</v>
      </c>
      <c r="I32" s="40">
        <f t="shared" si="4"/>
        <v>835651</v>
      </c>
      <c r="J32" s="40">
        <f t="shared" si="4"/>
        <v>1161213</v>
      </c>
      <c r="K32" s="40">
        <f t="shared" si="4"/>
        <v>1723496</v>
      </c>
      <c r="L32" s="40">
        <f t="shared" si="4"/>
        <v>1233917</v>
      </c>
      <c r="M32" s="40">
        <f t="shared" si="4"/>
        <v>911123</v>
      </c>
      <c r="N32" s="40">
        <f t="shared" si="4"/>
        <v>2707465</v>
      </c>
      <c r="O32" s="40">
        <f t="shared" si="4"/>
        <v>1151204</v>
      </c>
      <c r="P32" s="40">
        <f t="shared" si="4"/>
        <v>1029758</v>
      </c>
      <c r="Q32" s="40">
        <f t="shared" si="4"/>
        <v>99911</v>
      </c>
      <c r="R32" s="40">
        <f t="shared" si="4"/>
        <v>0</v>
      </c>
      <c r="S32" s="40">
        <f t="shared" si="4"/>
        <v>1090664</v>
      </c>
      <c r="T32" s="40">
        <f t="shared" si="4"/>
        <v>1158854</v>
      </c>
      <c r="U32" s="40">
        <f t="shared" si="4"/>
        <v>1133998</v>
      </c>
      <c r="V32" s="40">
        <f t="shared" si="4"/>
        <v>1120849</v>
      </c>
      <c r="W32" s="40">
        <f t="shared" si="4"/>
        <v>1102566</v>
      </c>
      <c r="X32" s="40">
        <f t="shared" si="4"/>
        <v>815314</v>
      </c>
      <c r="Y32" s="40">
        <f t="shared" si="4"/>
        <v>0</v>
      </c>
      <c r="Z32" s="40">
        <f t="shared" si="4"/>
        <v>0</v>
      </c>
      <c r="AA32" s="40">
        <f t="shared" si="4"/>
        <v>0</v>
      </c>
      <c r="AB32" s="40">
        <f t="shared" si="4"/>
        <v>0</v>
      </c>
      <c r="AC32" s="40">
        <f t="shared" si="4"/>
        <v>0</v>
      </c>
      <c r="AD32" s="40">
        <f t="shared" si="4"/>
        <v>1181226</v>
      </c>
      <c r="AE32" s="40">
        <f>SUM(AE20:AE31)</f>
        <v>1590053</v>
      </c>
      <c r="AF32" s="40">
        <f t="shared" si="4"/>
        <v>957870</v>
      </c>
      <c r="AG32" s="40">
        <f t="shared" si="4"/>
        <v>1367300</v>
      </c>
      <c r="AH32" s="40">
        <f t="shared" si="4"/>
        <v>995951</v>
      </c>
      <c r="AI32" s="40">
        <f t="shared" si="4"/>
        <v>1137467</v>
      </c>
      <c r="AJ32" s="40">
        <f t="shared" si="4"/>
        <v>903372</v>
      </c>
      <c r="AK32" s="40" t="e">
        <f t="shared" si="4"/>
        <v>#N/A</v>
      </c>
      <c r="AL32" s="40" t="e">
        <f t="shared" si="4"/>
        <v>#N/A</v>
      </c>
      <c r="AM32" s="40" t="e">
        <f t="shared" si="4"/>
        <v>#N/A</v>
      </c>
      <c r="AN32" s="40" t="e">
        <f t="shared" si="4"/>
        <v>#N/A</v>
      </c>
      <c r="AO32" s="40" t="e">
        <f t="shared" si="4"/>
        <v>#N/A</v>
      </c>
      <c r="AP32" s="40" t="e">
        <f t="shared" si="4"/>
        <v>#N/A</v>
      </c>
      <c r="AQ32" s="40" t="e">
        <f t="shared" si="4"/>
        <v>#N/A</v>
      </c>
      <c r="AR32" s="40" t="e">
        <f t="shared" si="4"/>
        <v>#N/A</v>
      </c>
      <c r="AS32" s="40" t="e">
        <f t="shared" si="4"/>
        <v>#N/A</v>
      </c>
      <c r="AT32" s="40" t="e">
        <f t="shared" si="4"/>
        <v>#N/A</v>
      </c>
      <c r="AU32" s="40" t="e">
        <f t="shared" si="4"/>
        <v>#N/A</v>
      </c>
      <c r="AV32" s="40" t="e">
        <f t="shared" si="4"/>
        <v>#N/A</v>
      </c>
      <c r="AW32" s="40" t="e">
        <f t="shared" si="4"/>
        <v>#N/A</v>
      </c>
      <c r="AX32" s="40" t="e">
        <f t="shared" si="4"/>
        <v>#N/A</v>
      </c>
      <c r="AY32" s="40" t="e">
        <f t="shared" si="4"/>
        <v>#N/A</v>
      </c>
      <c r="AZ32" s="40" t="e">
        <f t="shared" si="4"/>
        <v>#N/A</v>
      </c>
      <c r="BA32" s="40" t="e">
        <f t="shared" si="4"/>
        <v>#N/A</v>
      </c>
      <c r="BB32" s="40" t="e">
        <f t="shared" si="4"/>
        <v>#N/A</v>
      </c>
      <c r="BC32" s="40" t="e">
        <f t="shared" si="4"/>
        <v>#N/A</v>
      </c>
      <c r="BD32" s="40" t="e">
        <f t="shared" si="4"/>
        <v>#N/A</v>
      </c>
      <c r="BE32" s="40" t="e">
        <f t="shared" si="4"/>
        <v>#N/A</v>
      </c>
      <c r="BF32" s="40" t="e">
        <f t="shared" si="4"/>
        <v>#N/A</v>
      </c>
      <c r="BG32" s="40" t="e">
        <f t="shared" si="4"/>
        <v>#N/A</v>
      </c>
      <c r="BH32" s="40" t="e">
        <f t="shared" si="4"/>
        <v>#N/A</v>
      </c>
      <c r="BI32" s="40" t="e">
        <f t="shared" si="4"/>
        <v>#N/A</v>
      </c>
      <c r="BJ32" s="40" t="e">
        <f t="shared" si="4"/>
        <v>#N/A</v>
      </c>
      <c r="BK32" s="40" t="e">
        <f t="shared" si="4"/>
        <v>#N/A</v>
      </c>
      <c r="BL32" s="40" t="e">
        <f t="shared" si="4"/>
        <v>#N/A</v>
      </c>
      <c r="BM32" s="40" t="e">
        <f t="shared" si="4"/>
        <v>#N/A</v>
      </c>
      <c r="BN32" s="40" t="e">
        <f t="shared" si="4"/>
        <v>#N/A</v>
      </c>
      <c r="BO32" s="40" t="e">
        <f t="shared" ref="BO32:CZ32" si="5">SUM(BO20:BO31)</f>
        <v>#N/A</v>
      </c>
      <c r="BP32" s="40" t="e">
        <f t="shared" si="5"/>
        <v>#N/A</v>
      </c>
      <c r="BQ32" s="40" t="e">
        <f t="shared" si="5"/>
        <v>#N/A</v>
      </c>
      <c r="BR32" s="40" t="e">
        <f t="shared" si="5"/>
        <v>#N/A</v>
      </c>
      <c r="BS32" s="40" t="e">
        <f t="shared" si="5"/>
        <v>#N/A</v>
      </c>
      <c r="BT32" s="40" t="e">
        <f t="shared" si="5"/>
        <v>#N/A</v>
      </c>
      <c r="BU32" s="40" t="e">
        <f t="shared" si="5"/>
        <v>#N/A</v>
      </c>
      <c r="BV32" s="40" t="e">
        <f t="shared" si="5"/>
        <v>#N/A</v>
      </c>
      <c r="BW32" s="40" t="e">
        <f t="shared" si="5"/>
        <v>#N/A</v>
      </c>
      <c r="BX32" s="40" t="e">
        <f t="shared" si="5"/>
        <v>#N/A</v>
      </c>
      <c r="BY32" s="40" t="e">
        <f t="shared" si="5"/>
        <v>#N/A</v>
      </c>
      <c r="BZ32" s="40" t="e">
        <f t="shared" si="5"/>
        <v>#N/A</v>
      </c>
      <c r="CA32" s="40" t="e">
        <f t="shared" si="5"/>
        <v>#N/A</v>
      </c>
      <c r="CB32" s="40" t="e">
        <f t="shared" si="5"/>
        <v>#N/A</v>
      </c>
      <c r="CC32" s="40" t="e">
        <f t="shared" si="5"/>
        <v>#N/A</v>
      </c>
      <c r="CD32" s="40" t="e">
        <f t="shared" si="5"/>
        <v>#N/A</v>
      </c>
      <c r="CE32" s="40" t="e">
        <f t="shared" si="5"/>
        <v>#N/A</v>
      </c>
      <c r="CF32" s="40" t="e">
        <f t="shared" si="5"/>
        <v>#N/A</v>
      </c>
      <c r="CG32" s="40" t="e">
        <f t="shared" si="5"/>
        <v>#N/A</v>
      </c>
      <c r="CH32" s="40" t="e">
        <f t="shared" si="5"/>
        <v>#N/A</v>
      </c>
      <c r="CI32" s="40" t="e">
        <f t="shared" si="5"/>
        <v>#N/A</v>
      </c>
      <c r="CJ32" s="40" t="e">
        <f t="shared" si="5"/>
        <v>#N/A</v>
      </c>
      <c r="CK32" s="40" t="e">
        <f t="shared" si="5"/>
        <v>#N/A</v>
      </c>
      <c r="CL32" s="40" t="e">
        <f t="shared" si="5"/>
        <v>#N/A</v>
      </c>
      <c r="CM32" s="40" t="e">
        <f t="shared" si="5"/>
        <v>#N/A</v>
      </c>
      <c r="CN32" s="40" t="e">
        <f t="shared" si="5"/>
        <v>#N/A</v>
      </c>
      <c r="CO32" s="40" t="e">
        <f t="shared" si="5"/>
        <v>#N/A</v>
      </c>
      <c r="CP32" s="40" t="e">
        <f t="shared" si="5"/>
        <v>#N/A</v>
      </c>
      <c r="CQ32" s="40" t="e">
        <f t="shared" si="5"/>
        <v>#N/A</v>
      </c>
      <c r="CR32" s="40" t="e">
        <f t="shared" si="5"/>
        <v>#N/A</v>
      </c>
      <c r="CS32" s="40" t="e">
        <f t="shared" si="5"/>
        <v>#N/A</v>
      </c>
      <c r="CT32" s="40" t="e">
        <f t="shared" si="5"/>
        <v>#N/A</v>
      </c>
      <c r="CU32" s="40" t="e">
        <f t="shared" si="5"/>
        <v>#N/A</v>
      </c>
      <c r="CV32" s="40" t="e">
        <f t="shared" si="5"/>
        <v>#N/A</v>
      </c>
      <c r="CW32" s="40" t="e">
        <f t="shared" si="5"/>
        <v>#N/A</v>
      </c>
      <c r="CX32" s="40" t="e">
        <f t="shared" si="5"/>
        <v>#N/A</v>
      </c>
      <c r="CY32" s="40" t="e">
        <f t="shared" si="5"/>
        <v>#N/A</v>
      </c>
      <c r="CZ32" s="40" t="e">
        <f t="shared" si="5"/>
        <v>#N/A</v>
      </c>
      <c r="DA32" s="40">
        <f>SUM(B32:AJ32)</f>
        <v>30932109</v>
      </c>
    </row>
    <row r="33" spans="1:105" s="40" customFormat="1" x14ac:dyDescent="0.2">
      <c r="A33" s="37"/>
    </row>
    <row r="34" spans="1:105" s="40" customFormat="1" x14ac:dyDescent="0.2">
      <c r="A34" s="37"/>
    </row>
    <row r="35" spans="1:105" s="40" customFormat="1" x14ac:dyDescent="0.2">
      <c r="A35" s="2"/>
      <c r="I35" s="41"/>
    </row>
    <row r="36" spans="1:105" s="49" customFormat="1" ht="15" x14ac:dyDescent="0.35">
      <c r="A36" s="45" t="s">
        <v>40</v>
      </c>
      <c r="B36" s="44">
        <f>B17-B32</f>
        <v>23968</v>
      </c>
      <c r="C36" s="44">
        <f>C17-C32</f>
        <v>5987</v>
      </c>
      <c r="D36" s="44">
        <f>D17-D32</f>
        <v>60195</v>
      </c>
      <c r="E36" s="44">
        <f t="shared" ref="E36:BN36" si="6">E17-E32</f>
        <v>-205150</v>
      </c>
      <c r="F36" s="44">
        <f t="shared" si="6"/>
        <v>-188460</v>
      </c>
      <c r="G36" s="44">
        <f t="shared" si="6"/>
        <v>26146</v>
      </c>
      <c r="H36" s="44">
        <f t="shared" si="6"/>
        <v>191692</v>
      </c>
      <c r="I36" s="44">
        <f t="shared" si="6"/>
        <v>94508</v>
      </c>
      <c r="J36" s="44">
        <f t="shared" si="6"/>
        <v>580145</v>
      </c>
      <c r="K36" s="44">
        <f t="shared" si="6"/>
        <v>-87271</v>
      </c>
      <c r="L36" s="44">
        <f t="shared" si="6"/>
        <v>-170978</v>
      </c>
      <c r="M36" s="44">
        <f t="shared" si="6"/>
        <v>153815</v>
      </c>
      <c r="N36" s="44">
        <f t="shared" si="6"/>
        <v>15547</v>
      </c>
      <c r="O36" s="44">
        <f t="shared" si="6"/>
        <v>-155844</v>
      </c>
      <c r="P36" s="44">
        <f t="shared" si="6"/>
        <v>-120142</v>
      </c>
      <c r="Q36" s="44">
        <f t="shared" si="6"/>
        <v>-99911</v>
      </c>
      <c r="R36" s="44">
        <f t="shared" si="6"/>
        <v>0</v>
      </c>
      <c r="S36" s="44">
        <f t="shared" si="6"/>
        <v>-5049</v>
      </c>
      <c r="T36" s="44">
        <f t="shared" si="6"/>
        <v>-352625</v>
      </c>
      <c r="U36" s="44">
        <f t="shared" si="6"/>
        <v>-174259</v>
      </c>
      <c r="V36" s="44">
        <f t="shared" si="6"/>
        <v>-211225</v>
      </c>
      <c r="W36" s="44">
        <f t="shared" si="6"/>
        <v>-176776</v>
      </c>
      <c r="X36" s="44">
        <f t="shared" si="6"/>
        <v>-210852</v>
      </c>
      <c r="Y36" s="44">
        <f t="shared" si="6"/>
        <v>0</v>
      </c>
      <c r="Z36" s="44">
        <f t="shared" si="6"/>
        <v>0</v>
      </c>
      <c r="AA36" s="44">
        <f t="shared" si="6"/>
        <v>0</v>
      </c>
      <c r="AB36" s="44">
        <f t="shared" si="6"/>
        <v>0</v>
      </c>
      <c r="AC36" s="44">
        <f t="shared" si="6"/>
        <v>0</v>
      </c>
      <c r="AD36" s="44">
        <f t="shared" si="6"/>
        <v>-2414</v>
      </c>
      <c r="AE36" s="44">
        <f t="shared" si="6"/>
        <v>-29188</v>
      </c>
      <c r="AF36" s="44">
        <f t="shared" si="6"/>
        <v>-213711</v>
      </c>
      <c r="AG36" s="44">
        <f t="shared" si="6"/>
        <v>-334646</v>
      </c>
      <c r="AH36" s="44">
        <f t="shared" si="6"/>
        <v>-2800</v>
      </c>
      <c r="AI36" s="44">
        <f t="shared" si="6"/>
        <v>-208017</v>
      </c>
      <c r="AJ36" s="44">
        <f t="shared" si="6"/>
        <v>-216730</v>
      </c>
      <c r="AK36" s="44" t="e">
        <f t="shared" si="6"/>
        <v>#N/A</v>
      </c>
      <c r="AL36" s="44" t="e">
        <f t="shared" si="6"/>
        <v>#N/A</v>
      </c>
      <c r="AM36" s="44" t="e">
        <f t="shared" si="6"/>
        <v>#N/A</v>
      </c>
      <c r="AN36" s="44" t="e">
        <f t="shared" si="6"/>
        <v>#N/A</v>
      </c>
      <c r="AO36" s="44" t="e">
        <f t="shared" si="6"/>
        <v>#N/A</v>
      </c>
      <c r="AP36" s="44" t="e">
        <f t="shared" si="6"/>
        <v>#N/A</v>
      </c>
      <c r="AQ36" s="44" t="e">
        <f t="shared" si="6"/>
        <v>#N/A</v>
      </c>
      <c r="AR36" s="44" t="e">
        <f t="shared" si="6"/>
        <v>#N/A</v>
      </c>
      <c r="AS36" s="44" t="e">
        <f t="shared" si="6"/>
        <v>#N/A</v>
      </c>
      <c r="AT36" s="44" t="e">
        <f t="shared" si="6"/>
        <v>#N/A</v>
      </c>
      <c r="AU36" s="44" t="e">
        <f t="shared" si="6"/>
        <v>#N/A</v>
      </c>
      <c r="AV36" s="44" t="e">
        <f t="shared" si="6"/>
        <v>#N/A</v>
      </c>
      <c r="AW36" s="44" t="e">
        <f t="shared" si="6"/>
        <v>#N/A</v>
      </c>
      <c r="AX36" s="44" t="e">
        <f t="shared" si="6"/>
        <v>#N/A</v>
      </c>
      <c r="AY36" s="44" t="e">
        <f t="shared" si="6"/>
        <v>#N/A</v>
      </c>
      <c r="AZ36" s="44" t="e">
        <f t="shared" si="6"/>
        <v>#N/A</v>
      </c>
      <c r="BA36" s="44" t="e">
        <f t="shared" si="6"/>
        <v>#N/A</v>
      </c>
      <c r="BB36" s="44" t="e">
        <f t="shared" si="6"/>
        <v>#N/A</v>
      </c>
      <c r="BC36" s="44" t="e">
        <f t="shared" si="6"/>
        <v>#N/A</v>
      </c>
      <c r="BD36" s="44" t="e">
        <f t="shared" si="6"/>
        <v>#N/A</v>
      </c>
      <c r="BE36" s="44" t="e">
        <f t="shared" si="6"/>
        <v>#N/A</v>
      </c>
      <c r="BF36" s="44" t="e">
        <f t="shared" si="6"/>
        <v>#N/A</v>
      </c>
      <c r="BG36" s="44" t="e">
        <f t="shared" si="6"/>
        <v>#N/A</v>
      </c>
      <c r="BH36" s="44" t="e">
        <f t="shared" si="6"/>
        <v>#N/A</v>
      </c>
      <c r="BI36" s="44" t="e">
        <f t="shared" si="6"/>
        <v>#N/A</v>
      </c>
      <c r="BJ36" s="44" t="e">
        <f t="shared" si="6"/>
        <v>#N/A</v>
      </c>
      <c r="BK36" s="44" t="e">
        <f t="shared" si="6"/>
        <v>#N/A</v>
      </c>
      <c r="BL36" s="44" t="e">
        <f t="shared" si="6"/>
        <v>#N/A</v>
      </c>
      <c r="BM36" s="44" t="e">
        <f t="shared" si="6"/>
        <v>#N/A</v>
      </c>
      <c r="BN36" s="44" t="e">
        <f t="shared" si="6"/>
        <v>#N/A</v>
      </c>
      <c r="BO36" s="44" t="e">
        <f t="shared" ref="BO36:CZ36" si="7">BO17-BO32</f>
        <v>#N/A</v>
      </c>
      <c r="BP36" s="44" t="e">
        <f t="shared" si="7"/>
        <v>#N/A</v>
      </c>
      <c r="BQ36" s="44" t="e">
        <f t="shared" si="7"/>
        <v>#N/A</v>
      </c>
      <c r="BR36" s="44" t="e">
        <f t="shared" si="7"/>
        <v>#N/A</v>
      </c>
      <c r="BS36" s="44" t="e">
        <f t="shared" si="7"/>
        <v>#N/A</v>
      </c>
      <c r="BT36" s="44" t="e">
        <f t="shared" si="7"/>
        <v>#N/A</v>
      </c>
      <c r="BU36" s="44" t="e">
        <f t="shared" si="7"/>
        <v>#N/A</v>
      </c>
      <c r="BV36" s="44" t="e">
        <f t="shared" si="7"/>
        <v>#N/A</v>
      </c>
      <c r="BW36" s="44" t="e">
        <f t="shared" si="7"/>
        <v>#N/A</v>
      </c>
      <c r="BX36" s="44" t="e">
        <f t="shared" si="7"/>
        <v>#N/A</v>
      </c>
      <c r="BY36" s="44" t="e">
        <f t="shared" si="7"/>
        <v>#N/A</v>
      </c>
      <c r="BZ36" s="44" t="e">
        <f t="shared" si="7"/>
        <v>#N/A</v>
      </c>
      <c r="CA36" s="44" t="e">
        <f t="shared" si="7"/>
        <v>#N/A</v>
      </c>
      <c r="CB36" s="44" t="e">
        <f t="shared" si="7"/>
        <v>#N/A</v>
      </c>
      <c r="CC36" s="44" t="e">
        <f t="shared" si="7"/>
        <v>#N/A</v>
      </c>
      <c r="CD36" s="44" t="e">
        <f t="shared" si="7"/>
        <v>#N/A</v>
      </c>
      <c r="CE36" s="44" t="e">
        <f t="shared" si="7"/>
        <v>#N/A</v>
      </c>
      <c r="CF36" s="44" t="e">
        <f t="shared" si="7"/>
        <v>#N/A</v>
      </c>
      <c r="CG36" s="44" t="e">
        <f t="shared" si="7"/>
        <v>#N/A</v>
      </c>
      <c r="CH36" s="44" t="e">
        <f t="shared" si="7"/>
        <v>#N/A</v>
      </c>
      <c r="CI36" s="44" t="e">
        <f t="shared" si="7"/>
        <v>#N/A</v>
      </c>
      <c r="CJ36" s="44" t="e">
        <f t="shared" si="7"/>
        <v>#N/A</v>
      </c>
      <c r="CK36" s="44" t="e">
        <f t="shared" si="7"/>
        <v>#N/A</v>
      </c>
      <c r="CL36" s="44" t="e">
        <f t="shared" si="7"/>
        <v>#N/A</v>
      </c>
      <c r="CM36" s="44" t="e">
        <f t="shared" si="7"/>
        <v>#N/A</v>
      </c>
      <c r="CN36" s="44" t="e">
        <f t="shared" si="7"/>
        <v>#N/A</v>
      </c>
      <c r="CO36" s="44" t="e">
        <f t="shared" si="7"/>
        <v>#N/A</v>
      </c>
      <c r="CP36" s="44" t="e">
        <f t="shared" si="7"/>
        <v>#N/A</v>
      </c>
      <c r="CQ36" s="44" t="e">
        <f t="shared" si="7"/>
        <v>#N/A</v>
      </c>
      <c r="CR36" s="44" t="e">
        <f t="shared" si="7"/>
        <v>#N/A</v>
      </c>
      <c r="CS36" s="44" t="e">
        <f t="shared" si="7"/>
        <v>#N/A</v>
      </c>
      <c r="CT36" s="44" t="e">
        <f t="shared" si="7"/>
        <v>#N/A</v>
      </c>
      <c r="CU36" s="44" t="e">
        <f t="shared" si="7"/>
        <v>#N/A</v>
      </c>
      <c r="CV36" s="44" t="e">
        <f t="shared" si="7"/>
        <v>#N/A</v>
      </c>
      <c r="CW36" s="44" t="e">
        <f t="shared" si="7"/>
        <v>#N/A</v>
      </c>
      <c r="CX36" s="44" t="e">
        <f t="shared" si="7"/>
        <v>#N/A</v>
      </c>
      <c r="CY36" s="44" t="e">
        <f t="shared" si="7"/>
        <v>#N/A</v>
      </c>
      <c r="CZ36" s="44" t="e">
        <f t="shared" si="7"/>
        <v>#N/A</v>
      </c>
      <c r="DA36" s="44">
        <f>SUM(B36:AJ36)</f>
        <v>-2014045</v>
      </c>
    </row>
    <row r="38" spans="1:105" s="38" customFormat="1" x14ac:dyDescent="0.2">
      <c r="B38" s="43"/>
      <c r="C38" s="43"/>
      <c r="D38" s="43"/>
      <c r="E38" s="43"/>
      <c r="F38" s="43"/>
      <c r="G38" s="43"/>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L38" s="43"/>
      <c r="AM38" s="43"/>
      <c r="AN38" s="43"/>
      <c r="AO38" s="43"/>
      <c r="AP38" s="43"/>
      <c r="AQ38" s="43"/>
      <c r="AR38" s="43"/>
      <c r="AS38" s="43"/>
    </row>
    <row r="39" spans="1:105" s="37" customFormat="1" x14ac:dyDescent="0.2">
      <c r="B39" s="40"/>
      <c r="C39" s="40"/>
      <c r="D39" s="40"/>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38"/>
      <c r="AL39" s="40"/>
      <c r="AM39" s="40"/>
      <c r="AN39" s="40"/>
      <c r="AO39" s="40"/>
      <c r="AP39" s="40"/>
      <c r="AQ39" s="40"/>
      <c r="AR39" s="40"/>
      <c r="AS39" s="40"/>
    </row>
  </sheetData>
  <printOptions horizontalCentered="1"/>
  <pageMargins left="0.25" right="0.25" top="0.75" bottom="0.75" header="0.3" footer="0.3"/>
  <pageSetup scale="50" fitToWidth="0" orientation="landscape" draft="1" cellComments="atEnd" r:id="rId1"/>
  <headerFooter alignWithMargins="0">
    <oddHeader>&amp;CEnterprise Homes Preservation Fund, LLC
SUMMARIZED STATEMENT OF OPERATIONS
OPERATING PARTNERSHIPS - DETAILS
Unaudited
For period ending December 31, 2017</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2556"/>
  <sheetViews>
    <sheetView topLeftCell="A133" workbookViewId="0">
      <selection activeCell="A2" sqref="A2"/>
    </sheetView>
  </sheetViews>
  <sheetFormatPr defaultRowHeight="15" x14ac:dyDescent="0.25"/>
  <cols>
    <col min="1" max="1" width="11.5703125" customWidth="1"/>
    <col min="2" max="2" width="27.7109375" bestFit="1" customWidth="1"/>
    <col min="3" max="3" width="11" customWidth="1"/>
    <col min="5" max="5" width="22.85546875" customWidth="1"/>
    <col min="6" max="6" width="23.85546875" customWidth="1"/>
    <col min="7" max="7" width="27.5703125" customWidth="1"/>
    <col min="8" max="8" width="10.28515625" customWidth="1"/>
    <col min="9" max="9" width="18.28515625" bestFit="1" customWidth="1"/>
  </cols>
  <sheetData>
    <row r="1" spans="1:9" x14ac:dyDescent="0.25">
      <c r="A1" s="1" t="s">
        <v>6</v>
      </c>
      <c r="B1" s="1" t="s">
        <v>4</v>
      </c>
      <c r="C1" s="1" t="s">
        <v>7</v>
      </c>
      <c r="D1" s="1" t="s">
        <v>8</v>
      </c>
      <c r="E1" s="1" t="s">
        <v>5</v>
      </c>
      <c r="F1" s="1" t="s">
        <v>9</v>
      </c>
      <c r="G1" s="1" t="s">
        <v>10</v>
      </c>
      <c r="H1" s="1" t="s">
        <v>11</v>
      </c>
      <c r="I1" s="59" t="s">
        <v>144</v>
      </c>
    </row>
    <row r="2" spans="1:9" x14ac:dyDescent="0.25">
      <c r="A2">
        <v>70340</v>
      </c>
      <c r="B2" t="s">
        <v>165</v>
      </c>
      <c r="C2" t="s">
        <v>238</v>
      </c>
      <c r="D2">
        <v>4</v>
      </c>
      <c r="E2">
        <v>-5049</v>
      </c>
      <c r="F2" t="s">
        <v>279</v>
      </c>
      <c r="G2" t="s">
        <v>31</v>
      </c>
      <c r="H2">
        <v>0</v>
      </c>
      <c r="I2" t="s">
        <v>368</v>
      </c>
    </row>
    <row r="3" spans="1:9" x14ac:dyDescent="0.25">
      <c r="A3">
        <v>70340</v>
      </c>
      <c r="B3" t="s">
        <v>165</v>
      </c>
      <c r="C3" t="s">
        <v>238</v>
      </c>
      <c r="D3">
        <v>4</v>
      </c>
      <c r="E3">
        <v>-5049</v>
      </c>
      <c r="F3" t="s">
        <v>279</v>
      </c>
      <c r="G3" t="s">
        <v>31</v>
      </c>
      <c r="H3">
        <v>0</v>
      </c>
      <c r="I3" t="s">
        <v>369</v>
      </c>
    </row>
    <row r="4" spans="1:9" x14ac:dyDescent="0.25">
      <c r="A4">
        <v>70340</v>
      </c>
      <c r="B4" t="s">
        <v>165</v>
      </c>
      <c r="C4" t="s">
        <v>238</v>
      </c>
      <c r="D4">
        <v>4</v>
      </c>
      <c r="E4">
        <v>-5049</v>
      </c>
      <c r="F4" t="s">
        <v>279</v>
      </c>
      <c r="G4" t="s">
        <v>31</v>
      </c>
      <c r="H4">
        <v>0</v>
      </c>
      <c r="I4" t="s">
        <v>370</v>
      </c>
    </row>
    <row r="5" spans="1:9" x14ac:dyDescent="0.25">
      <c r="A5">
        <v>70340</v>
      </c>
      <c r="B5" t="s">
        <v>165</v>
      </c>
      <c r="C5" t="s">
        <v>238</v>
      </c>
      <c r="D5">
        <v>4</v>
      </c>
      <c r="E5">
        <v>-5049</v>
      </c>
      <c r="F5" t="s">
        <v>279</v>
      </c>
      <c r="G5" t="s">
        <v>31</v>
      </c>
      <c r="H5">
        <v>0</v>
      </c>
      <c r="I5" t="s">
        <v>371</v>
      </c>
    </row>
    <row r="6" spans="1:9" x14ac:dyDescent="0.25">
      <c r="A6">
        <v>70340</v>
      </c>
      <c r="B6" t="s">
        <v>165</v>
      </c>
      <c r="C6" t="s">
        <v>238</v>
      </c>
      <c r="D6">
        <v>4</v>
      </c>
      <c r="E6">
        <v>-5049</v>
      </c>
      <c r="F6" t="s">
        <v>279</v>
      </c>
      <c r="G6" t="s">
        <v>31</v>
      </c>
      <c r="H6">
        <v>0</v>
      </c>
      <c r="I6" t="s">
        <v>328</v>
      </c>
    </row>
    <row r="7" spans="1:9" x14ac:dyDescent="0.25">
      <c r="A7">
        <v>70340</v>
      </c>
      <c r="B7" t="s">
        <v>165</v>
      </c>
      <c r="C7" t="s">
        <v>238</v>
      </c>
      <c r="D7">
        <v>4</v>
      </c>
      <c r="E7">
        <v>-5049</v>
      </c>
      <c r="F7" t="s">
        <v>279</v>
      </c>
      <c r="G7" t="s">
        <v>33</v>
      </c>
      <c r="H7">
        <v>0</v>
      </c>
      <c r="I7" t="s">
        <v>372</v>
      </c>
    </row>
    <row r="8" spans="1:9" x14ac:dyDescent="0.25">
      <c r="A8">
        <v>70340</v>
      </c>
      <c r="B8" t="s">
        <v>165</v>
      </c>
      <c r="C8" t="s">
        <v>238</v>
      </c>
      <c r="D8">
        <v>4</v>
      </c>
      <c r="E8">
        <v>-5049</v>
      </c>
      <c r="F8" t="s">
        <v>279</v>
      </c>
      <c r="G8" t="s">
        <v>33</v>
      </c>
      <c r="H8">
        <v>0</v>
      </c>
      <c r="I8" t="s">
        <v>329</v>
      </c>
    </row>
    <row r="9" spans="1:9" x14ac:dyDescent="0.25">
      <c r="A9">
        <v>70340</v>
      </c>
      <c r="B9" t="s">
        <v>165</v>
      </c>
      <c r="C9" t="s">
        <v>238</v>
      </c>
      <c r="D9">
        <v>4</v>
      </c>
      <c r="E9">
        <v>-5049</v>
      </c>
      <c r="F9" t="s">
        <v>279</v>
      </c>
      <c r="G9" t="s">
        <v>33</v>
      </c>
      <c r="H9">
        <v>28651</v>
      </c>
      <c r="I9" t="s">
        <v>319</v>
      </c>
    </row>
    <row r="10" spans="1:9" x14ac:dyDescent="0.25">
      <c r="A10">
        <v>70340</v>
      </c>
      <c r="B10" t="s">
        <v>165</v>
      </c>
      <c r="C10" t="s">
        <v>238</v>
      </c>
      <c r="D10">
        <v>4</v>
      </c>
      <c r="E10">
        <v>-5049</v>
      </c>
      <c r="F10" t="s">
        <v>279</v>
      </c>
      <c r="G10" t="s">
        <v>33</v>
      </c>
      <c r="H10">
        <v>0</v>
      </c>
      <c r="I10" t="s">
        <v>373</v>
      </c>
    </row>
    <row r="11" spans="1:9" x14ac:dyDescent="0.25">
      <c r="A11">
        <v>70340</v>
      </c>
      <c r="B11" t="s">
        <v>165</v>
      </c>
      <c r="C11" t="s">
        <v>238</v>
      </c>
      <c r="D11">
        <v>4</v>
      </c>
      <c r="E11">
        <v>-5049</v>
      </c>
      <c r="F11" t="s">
        <v>279</v>
      </c>
      <c r="G11" t="s">
        <v>33</v>
      </c>
      <c r="H11">
        <v>0</v>
      </c>
      <c r="I11" t="s">
        <v>374</v>
      </c>
    </row>
    <row r="12" spans="1:9" x14ac:dyDescent="0.25">
      <c r="A12">
        <v>70340</v>
      </c>
      <c r="B12" t="s">
        <v>165</v>
      </c>
      <c r="C12" t="s">
        <v>238</v>
      </c>
      <c r="D12">
        <v>4</v>
      </c>
      <c r="E12">
        <v>-5049</v>
      </c>
      <c r="F12" t="s">
        <v>279</v>
      </c>
      <c r="G12" t="s">
        <v>33</v>
      </c>
      <c r="H12">
        <v>0</v>
      </c>
      <c r="I12" t="s">
        <v>326</v>
      </c>
    </row>
    <row r="13" spans="1:9" x14ac:dyDescent="0.25">
      <c r="A13">
        <v>70340</v>
      </c>
      <c r="B13" t="s">
        <v>165</v>
      </c>
      <c r="C13" t="s">
        <v>238</v>
      </c>
      <c r="D13">
        <v>4</v>
      </c>
      <c r="E13">
        <v>-5049</v>
      </c>
      <c r="F13" t="s">
        <v>279</v>
      </c>
      <c r="G13" t="s">
        <v>33</v>
      </c>
      <c r="H13">
        <v>0</v>
      </c>
      <c r="I13" t="s">
        <v>375</v>
      </c>
    </row>
    <row r="14" spans="1:9" x14ac:dyDescent="0.25">
      <c r="A14">
        <v>70340</v>
      </c>
      <c r="B14" t="s">
        <v>165</v>
      </c>
      <c r="C14" t="s">
        <v>238</v>
      </c>
      <c r="D14">
        <v>4</v>
      </c>
      <c r="E14">
        <v>-5049</v>
      </c>
      <c r="F14" t="s">
        <v>279</v>
      </c>
      <c r="G14" t="s">
        <v>33</v>
      </c>
      <c r="H14">
        <v>0</v>
      </c>
      <c r="I14" t="s">
        <v>376</v>
      </c>
    </row>
    <row r="15" spans="1:9" x14ac:dyDescent="0.25">
      <c r="A15">
        <v>70340</v>
      </c>
      <c r="B15" t="s">
        <v>165</v>
      </c>
      <c r="C15" t="s">
        <v>238</v>
      </c>
      <c r="D15">
        <v>4</v>
      </c>
      <c r="E15">
        <v>-5049</v>
      </c>
      <c r="F15" t="s">
        <v>279</v>
      </c>
      <c r="G15" t="s">
        <v>33</v>
      </c>
      <c r="H15">
        <v>0</v>
      </c>
      <c r="I15" t="s">
        <v>377</v>
      </c>
    </row>
    <row r="16" spans="1:9" x14ac:dyDescent="0.25">
      <c r="A16">
        <v>70340</v>
      </c>
      <c r="B16" t="s">
        <v>165</v>
      </c>
      <c r="C16" t="s">
        <v>238</v>
      </c>
      <c r="D16">
        <v>4</v>
      </c>
      <c r="E16">
        <v>-5049</v>
      </c>
      <c r="F16" t="s">
        <v>274</v>
      </c>
      <c r="G16" t="s">
        <v>275</v>
      </c>
      <c r="H16">
        <v>994085</v>
      </c>
      <c r="I16" t="s">
        <v>318</v>
      </c>
    </row>
    <row r="17" spans="1:9" x14ac:dyDescent="0.25">
      <c r="A17">
        <v>70340</v>
      </c>
      <c r="B17" t="s">
        <v>165</v>
      </c>
      <c r="C17" t="s">
        <v>238</v>
      </c>
      <c r="D17">
        <v>4</v>
      </c>
      <c r="E17">
        <v>-5049</v>
      </c>
      <c r="F17" t="s">
        <v>274</v>
      </c>
      <c r="G17" t="s">
        <v>300</v>
      </c>
      <c r="H17">
        <v>28194</v>
      </c>
      <c r="I17" t="s">
        <v>301</v>
      </c>
    </row>
    <row r="18" spans="1:9" x14ac:dyDescent="0.25">
      <c r="A18">
        <v>70340</v>
      </c>
      <c r="B18" t="s">
        <v>165</v>
      </c>
      <c r="C18" t="s">
        <v>238</v>
      </c>
      <c r="D18">
        <v>4</v>
      </c>
      <c r="E18">
        <v>-5049</v>
      </c>
      <c r="F18" t="s">
        <v>279</v>
      </c>
      <c r="G18" t="s">
        <v>35</v>
      </c>
      <c r="H18">
        <v>29349</v>
      </c>
      <c r="I18" t="s">
        <v>304</v>
      </c>
    </row>
    <row r="19" spans="1:9" x14ac:dyDescent="0.25">
      <c r="A19">
        <v>70340</v>
      </c>
      <c r="B19" t="s">
        <v>165</v>
      </c>
      <c r="C19" t="s">
        <v>238</v>
      </c>
      <c r="D19">
        <v>4</v>
      </c>
      <c r="E19">
        <v>-5049</v>
      </c>
      <c r="F19" t="s">
        <v>279</v>
      </c>
      <c r="G19" t="s">
        <v>31</v>
      </c>
      <c r="H19">
        <v>194019</v>
      </c>
      <c r="I19" t="s">
        <v>305</v>
      </c>
    </row>
    <row r="20" spans="1:9" x14ac:dyDescent="0.25">
      <c r="A20">
        <v>70340</v>
      </c>
      <c r="B20" t="s">
        <v>165</v>
      </c>
      <c r="C20" t="s">
        <v>238</v>
      </c>
      <c r="D20">
        <v>4</v>
      </c>
      <c r="E20">
        <v>-5049</v>
      </c>
      <c r="F20" t="s">
        <v>279</v>
      </c>
      <c r="G20" t="s">
        <v>33</v>
      </c>
      <c r="H20">
        <v>0</v>
      </c>
      <c r="I20" t="s">
        <v>320</v>
      </c>
    </row>
    <row r="21" spans="1:9" x14ac:dyDescent="0.25">
      <c r="A21">
        <v>70340</v>
      </c>
      <c r="B21" t="s">
        <v>165</v>
      </c>
      <c r="C21" t="s">
        <v>238</v>
      </c>
      <c r="D21">
        <v>4</v>
      </c>
      <c r="E21">
        <v>-5049</v>
      </c>
      <c r="F21" t="s">
        <v>279</v>
      </c>
      <c r="G21" t="s">
        <v>33</v>
      </c>
      <c r="H21">
        <v>0</v>
      </c>
      <c r="I21" t="s">
        <v>306</v>
      </c>
    </row>
    <row r="22" spans="1:9" x14ac:dyDescent="0.25">
      <c r="A22">
        <v>70340</v>
      </c>
      <c r="B22" t="s">
        <v>165</v>
      </c>
      <c r="C22" t="s">
        <v>238</v>
      </c>
      <c r="D22">
        <v>4</v>
      </c>
      <c r="E22">
        <v>-5049</v>
      </c>
      <c r="F22" t="s">
        <v>279</v>
      </c>
      <c r="G22" t="s">
        <v>33</v>
      </c>
      <c r="H22">
        <v>0</v>
      </c>
      <c r="I22" t="s">
        <v>378</v>
      </c>
    </row>
    <row r="23" spans="1:9" x14ac:dyDescent="0.25">
      <c r="A23">
        <v>70340</v>
      </c>
      <c r="B23" t="s">
        <v>165</v>
      </c>
      <c r="C23" t="s">
        <v>238</v>
      </c>
      <c r="D23">
        <v>4</v>
      </c>
      <c r="E23">
        <v>-5049</v>
      </c>
      <c r="F23" t="s">
        <v>279</v>
      </c>
      <c r="G23" t="s">
        <v>31</v>
      </c>
      <c r="H23">
        <v>69058</v>
      </c>
      <c r="I23" t="s">
        <v>307</v>
      </c>
    </row>
    <row r="24" spans="1:9" x14ac:dyDescent="0.25">
      <c r="A24">
        <v>70340</v>
      </c>
      <c r="B24" t="s">
        <v>165</v>
      </c>
      <c r="C24" t="s">
        <v>238</v>
      </c>
      <c r="D24">
        <v>4</v>
      </c>
      <c r="E24">
        <v>-5049</v>
      </c>
      <c r="F24" t="s">
        <v>279</v>
      </c>
      <c r="G24" t="s">
        <v>31</v>
      </c>
      <c r="H24">
        <v>0</v>
      </c>
      <c r="I24" t="s">
        <v>379</v>
      </c>
    </row>
    <row r="25" spans="1:9" x14ac:dyDescent="0.25">
      <c r="A25">
        <v>70340</v>
      </c>
      <c r="B25" t="s">
        <v>165</v>
      </c>
      <c r="C25" t="s">
        <v>238</v>
      </c>
      <c r="D25">
        <v>4</v>
      </c>
      <c r="E25">
        <v>-5049</v>
      </c>
      <c r="F25" t="s">
        <v>279</v>
      </c>
      <c r="G25" t="s">
        <v>30</v>
      </c>
      <c r="H25">
        <v>26260</v>
      </c>
      <c r="I25" t="s">
        <v>308</v>
      </c>
    </row>
    <row r="26" spans="1:9" x14ac:dyDescent="0.25">
      <c r="A26">
        <v>70340</v>
      </c>
      <c r="B26" t="s">
        <v>165</v>
      </c>
      <c r="C26" t="s">
        <v>238</v>
      </c>
      <c r="D26">
        <v>4</v>
      </c>
      <c r="E26">
        <v>-5049</v>
      </c>
      <c r="F26" t="s">
        <v>279</v>
      </c>
      <c r="G26" t="s">
        <v>35</v>
      </c>
      <c r="H26">
        <v>0</v>
      </c>
      <c r="I26" t="s">
        <v>321</v>
      </c>
    </row>
    <row r="27" spans="1:9" x14ac:dyDescent="0.25">
      <c r="A27">
        <v>70340</v>
      </c>
      <c r="B27" t="s">
        <v>165</v>
      </c>
      <c r="C27" t="s">
        <v>238</v>
      </c>
      <c r="D27">
        <v>4</v>
      </c>
      <c r="E27">
        <v>-5049</v>
      </c>
      <c r="F27" t="s">
        <v>279</v>
      </c>
      <c r="G27" t="s">
        <v>33</v>
      </c>
      <c r="H27">
        <v>0</v>
      </c>
      <c r="I27" t="s">
        <v>380</v>
      </c>
    </row>
    <row r="28" spans="1:9" x14ac:dyDescent="0.25">
      <c r="A28">
        <v>70340</v>
      </c>
      <c r="B28" t="s">
        <v>165</v>
      </c>
      <c r="C28" t="s">
        <v>238</v>
      </c>
      <c r="D28">
        <v>4</v>
      </c>
      <c r="E28">
        <v>-5049</v>
      </c>
      <c r="F28" t="s">
        <v>279</v>
      </c>
      <c r="G28" t="s">
        <v>35</v>
      </c>
      <c r="H28">
        <v>363</v>
      </c>
      <c r="I28" t="s">
        <v>309</v>
      </c>
    </row>
    <row r="29" spans="1:9" x14ac:dyDescent="0.25">
      <c r="A29">
        <v>70340</v>
      </c>
      <c r="B29" t="s">
        <v>165</v>
      </c>
      <c r="C29" t="s">
        <v>238</v>
      </c>
      <c r="D29">
        <v>4</v>
      </c>
      <c r="E29">
        <v>-5049</v>
      </c>
      <c r="F29" t="s">
        <v>279</v>
      </c>
      <c r="G29" t="s">
        <v>35</v>
      </c>
      <c r="H29">
        <v>1306</v>
      </c>
      <c r="I29" t="s">
        <v>310</v>
      </c>
    </row>
    <row r="30" spans="1:9" x14ac:dyDescent="0.25">
      <c r="A30">
        <v>70340</v>
      </c>
      <c r="B30" t="s">
        <v>165</v>
      </c>
      <c r="C30" t="s">
        <v>238</v>
      </c>
      <c r="D30">
        <v>4</v>
      </c>
      <c r="E30">
        <v>-5049</v>
      </c>
      <c r="F30" t="s">
        <v>279</v>
      </c>
      <c r="G30" t="s">
        <v>35</v>
      </c>
      <c r="H30">
        <v>17582</v>
      </c>
      <c r="I30" t="s">
        <v>311</v>
      </c>
    </row>
    <row r="31" spans="1:9" x14ac:dyDescent="0.25">
      <c r="A31">
        <v>70340</v>
      </c>
      <c r="B31" t="s">
        <v>165</v>
      </c>
      <c r="C31" t="s">
        <v>238</v>
      </c>
      <c r="D31">
        <v>4</v>
      </c>
      <c r="E31">
        <v>-5049</v>
      </c>
      <c r="F31" t="s">
        <v>279</v>
      </c>
      <c r="G31" t="s">
        <v>35</v>
      </c>
      <c r="H31">
        <v>96</v>
      </c>
      <c r="I31" t="s">
        <v>312</v>
      </c>
    </row>
    <row r="32" spans="1:9" x14ac:dyDescent="0.25">
      <c r="A32">
        <v>70340</v>
      </c>
      <c r="B32" t="s">
        <v>165</v>
      </c>
      <c r="C32" t="s">
        <v>238</v>
      </c>
      <c r="D32">
        <v>4</v>
      </c>
      <c r="E32">
        <v>-5049</v>
      </c>
      <c r="F32" t="s">
        <v>279</v>
      </c>
      <c r="G32" t="s">
        <v>35</v>
      </c>
      <c r="H32">
        <v>1155</v>
      </c>
      <c r="I32" t="s">
        <v>313</v>
      </c>
    </row>
    <row r="33" spans="1:9" x14ac:dyDescent="0.25">
      <c r="A33">
        <v>70340</v>
      </c>
      <c r="B33" t="s">
        <v>165</v>
      </c>
      <c r="C33" t="s">
        <v>238</v>
      </c>
      <c r="D33">
        <v>4</v>
      </c>
      <c r="E33">
        <v>-5049</v>
      </c>
      <c r="F33" t="s">
        <v>279</v>
      </c>
      <c r="G33" t="s">
        <v>37</v>
      </c>
      <c r="H33">
        <v>0</v>
      </c>
      <c r="I33" t="s">
        <v>381</v>
      </c>
    </row>
    <row r="34" spans="1:9" x14ac:dyDescent="0.25">
      <c r="A34">
        <v>70340</v>
      </c>
      <c r="B34" t="s">
        <v>165</v>
      </c>
      <c r="C34" t="s">
        <v>238</v>
      </c>
      <c r="D34">
        <v>4</v>
      </c>
      <c r="E34">
        <v>-5049</v>
      </c>
      <c r="F34" t="s">
        <v>279</v>
      </c>
      <c r="G34" t="s">
        <v>37</v>
      </c>
      <c r="H34">
        <v>29001</v>
      </c>
      <c r="I34" t="s">
        <v>314</v>
      </c>
    </row>
    <row r="35" spans="1:9" x14ac:dyDescent="0.25">
      <c r="A35">
        <v>70340</v>
      </c>
      <c r="B35" t="s">
        <v>165</v>
      </c>
      <c r="C35" t="s">
        <v>238</v>
      </c>
      <c r="D35">
        <v>4</v>
      </c>
      <c r="E35">
        <v>-5049</v>
      </c>
      <c r="F35" t="s">
        <v>279</v>
      </c>
      <c r="G35" t="s">
        <v>35</v>
      </c>
      <c r="H35">
        <v>6852</v>
      </c>
      <c r="I35" t="s">
        <v>315</v>
      </c>
    </row>
    <row r="36" spans="1:9" x14ac:dyDescent="0.25">
      <c r="A36">
        <v>70340</v>
      </c>
      <c r="B36" t="s">
        <v>165</v>
      </c>
      <c r="C36" t="s">
        <v>238</v>
      </c>
      <c r="D36">
        <v>4</v>
      </c>
      <c r="E36">
        <v>-5049</v>
      </c>
      <c r="F36" t="s">
        <v>279</v>
      </c>
      <c r="G36" t="s">
        <v>37</v>
      </c>
      <c r="H36">
        <v>0</v>
      </c>
      <c r="I36" t="s">
        <v>323</v>
      </c>
    </row>
    <row r="37" spans="1:9" x14ac:dyDescent="0.25">
      <c r="A37">
        <v>70340</v>
      </c>
      <c r="B37" t="s">
        <v>165</v>
      </c>
      <c r="C37" t="s">
        <v>238</v>
      </c>
      <c r="D37">
        <v>4</v>
      </c>
      <c r="E37">
        <v>-5049</v>
      </c>
      <c r="F37" t="s">
        <v>279</v>
      </c>
      <c r="G37" t="s">
        <v>37</v>
      </c>
      <c r="H37">
        <v>0</v>
      </c>
      <c r="I37" t="s">
        <v>322</v>
      </c>
    </row>
    <row r="38" spans="1:9" x14ac:dyDescent="0.25">
      <c r="A38">
        <v>70340</v>
      </c>
      <c r="B38" t="s">
        <v>165</v>
      </c>
      <c r="C38" t="s">
        <v>238</v>
      </c>
      <c r="D38">
        <v>4</v>
      </c>
      <c r="E38">
        <v>-5049</v>
      </c>
      <c r="F38" t="s">
        <v>274</v>
      </c>
      <c r="G38" t="s">
        <v>275</v>
      </c>
      <c r="H38">
        <v>-75542</v>
      </c>
      <c r="I38" t="s">
        <v>302</v>
      </c>
    </row>
    <row r="39" spans="1:9" x14ac:dyDescent="0.25">
      <c r="A39">
        <v>70340</v>
      </c>
      <c r="B39" t="s">
        <v>165</v>
      </c>
      <c r="C39" t="s">
        <v>238</v>
      </c>
      <c r="D39">
        <v>4</v>
      </c>
      <c r="E39">
        <v>-5049</v>
      </c>
      <c r="F39" t="s">
        <v>279</v>
      </c>
      <c r="G39" t="s">
        <v>30</v>
      </c>
      <c r="H39">
        <v>250849</v>
      </c>
      <c r="I39" t="s">
        <v>303</v>
      </c>
    </row>
    <row r="40" spans="1:9" x14ac:dyDescent="0.25">
      <c r="A40">
        <v>70340</v>
      </c>
      <c r="B40" t="s">
        <v>165</v>
      </c>
      <c r="C40" t="s">
        <v>238</v>
      </c>
      <c r="D40">
        <v>4</v>
      </c>
      <c r="E40">
        <v>-5049</v>
      </c>
      <c r="F40" t="s">
        <v>279</v>
      </c>
      <c r="G40" t="s">
        <v>37</v>
      </c>
      <c r="H40">
        <v>0</v>
      </c>
      <c r="I40" t="s">
        <v>382</v>
      </c>
    </row>
    <row r="41" spans="1:9" x14ac:dyDescent="0.25">
      <c r="A41">
        <v>70340</v>
      </c>
      <c r="B41" t="s">
        <v>165</v>
      </c>
      <c r="C41" t="s">
        <v>238</v>
      </c>
      <c r="D41">
        <v>4</v>
      </c>
      <c r="E41">
        <v>-5049</v>
      </c>
      <c r="F41" t="s">
        <v>279</v>
      </c>
      <c r="G41" t="s">
        <v>37</v>
      </c>
      <c r="H41">
        <v>7360</v>
      </c>
      <c r="I41" t="s">
        <v>316</v>
      </c>
    </row>
    <row r="42" spans="1:9" x14ac:dyDescent="0.25">
      <c r="A42">
        <v>70340</v>
      </c>
      <c r="B42" t="s">
        <v>165</v>
      </c>
      <c r="C42" t="s">
        <v>238</v>
      </c>
      <c r="D42">
        <v>4</v>
      </c>
      <c r="E42">
        <v>-5049</v>
      </c>
      <c r="F42" t="s">
        <v>279</v>
      </c>
      <c r="G42" t="s">
        <v>36</v>
      </c>
      <c r="H42">
        <v>48547</v>
      </c>
      <c r="I42" t="s">
        <v>317</v>
      </c>
    </row>
    <row r="43" spans="1:9" x14ac:dyDescent="0.25">
      <c r="A43">
        <v>70340</v>
      </c>
      <c r="B43" t="s">
        <v>165</v>
      </c>
      <c r="C43" t="s">
        <v>238</v>
      </c>
      <c r="D43">
        <v>4</v>
      </c>
      <c r="E43">
        <v>-5049</v>
      </c>
      <c r="F43" t="s">
        <v>274</v>
      </c>
      <c r="G43" t="s">
        <v>275</v>
      </c>
      <c r="H43">
        <v>-1313</v>
      </c>
      <c r="I43" t="s">
        <v>276</v>
      </c>
    </row>
    <row r="44" spans="1:9" x14ac:dyDescent="0.25">
      <c r="A44">
        <v>70340</v>
      </c>
      <c r="B44" t="s">
        <v>165</v>
      </c>
      <c r="C44" t="s">
        <v>238</v>
      </c>
      <c r="D44">
        <v>4</v>
      </c>
      <c r="E44">
        <v>-5049</v>
      </c>
      <c r="F44" t="s">
        <v>279</v>
      </c>
      <c r="G44" t="s">
        <v>29</v>
      </c>
      <c r="H44">
        <v>0</v>
      </c>
      <c r="I44" t="s">
        <v>324</v>
      </c>
    </row>
    <row r="45" spans="1:9" x14ac:dyDescent="0.25">
      <c r="A45">
        <v>70340</v>
      </c>
      <c r="B45" t="s">
        <v>165</v>
      </c>
      <c r="C45" t="s">
        <v>238</v>
      </c>
      <c r="D45">
        <v>4</v>
      </c>
      <c r="E45">
        <v>-5049</v>
      </c>
      <c r="F45" t="s">
        <v>274</v>
      </c>
      <c r="G45" t="s">
        <v>277</v>
      </c>
      <c r="H45">
        <v>139</v>
      </c>
      <c r="I45" t="s">
        <v>278</v>
      </c>
    </row>
    <row r="46" spans="1:9" x14ac:dyDescent="0.25">
      <c r="A46">
        <v>70340</v>
      </c>
      <c r="B46" t="s">
        <v>165</v>
      </c>
      <c r="C46" t="s">
        <v>238</v>
      </c>
      <c r="D46">
        <v>4</v>
      </c>
      <c r="E46">
        <v>-5049</v>
      </c>
      <c r="F46" t="s">
        <v>274</v>
      </c>
      <c r="G46" t="s">
        <v>300</v>
      </c>
      <c r="H46">
        <v>0</v>
      </c>
      <c r="I46" t="s">
        <v>383</v>
      </c>
    </row>
    <row r="47" spans="1:9" x14ac:dyDescent="0.25">
      <c r="A47">
        <v>70340</v>
      </c>
      <c r="B47" t="s">
        <v>165</v>
      </c>
      <c r="C47" t="s">
        <v>238</v>
      </c>
      <c r="D47">
        <v>4</v>
      </c>
      <c r="E47">
        <v>-5049</v>
      </c>
      <c r="F47" t="s">
        <v>279</v>
      </c>
      <c r="G47" t="s">
        <v>33</v>
      </c>
      <c r="H47">
        <v>0</v>
      </c>
      <c r="I47" t="s">
        <v>280</v>
      </c>
    </row>
    <row r="48" spans="1:9" x14ac:dyDescent="0.25">
      <c r="A48">
        <v>70340</v>
      </c>
      <c r="B48" t="s">
        <v>165</v>
      </c>
      <c r="C48" t="s">
        <v>238</v>
      </c>
      <c r="D48">
        <v>4</v>
      </c>
      <c r="E48">
        <v>-5049</v>
      </c>
      <c r="F48" t="s">
        <v>279</v>
      </c>
      <c r="G48" t="s">
        <v>29</v>
      </c>
      <c r="H48">
        <v>4339</v>
      </c>
      <c r="I48" t="s">
        <v>281</v>
      </c>
    </row>
    <row r="49" spans="1:9" x14ac:dyDescent="0.25">
      <c r="A49">
        <v>70340</v>
      </c>
      <c r="B49" t="s">
        <v>165</v>
      </c>
      <c r="C49" t="s">
        <v>238</v>
      </c>
      <c r="D49">
        <v>4</v>
      </c>
      <c r="E49">
        <v>-5049</v>
      </c>
      <c r="F49" t="s">
        <v>279</v>
      </c>
      <c r="G49" t="s">
        <v>29</v>
      </c>
      <c r="H49">
        <v>63431</v>
      </c>
      <c r="I49" t="s">
        <v>282</v>
      </c>
    </row>
    <row r="50" spans="1:9" x14ac:dyDescent="0.25">
      <c r="A50">
        <v>70340</v>
      </c>
      <c r="B50" t="s">
        <v>165</v>
      </c>
      <c r="C50" t="s">
        <v>238</v>
      </c>
      <c r="D50">
        <v>4</v>
      </c>
      <c r="E50">
        <v>-5049</v>
      </c>
      <c r="F50" t="s">
        <v>279</v>
      </c>
      <c r="G50" t="s">
        <v>35</v>
      </c>
      <c r="H50">
        <v>82642</v>
      </c>
      <c r="I50" t="s">
        <v>283</v>
      </c>
    </row>
    <row r="51" spans="1:9" x14ac:dyDescent="0.25">
      <c r="A51">
        <v>70340</v>
      </c>
      <c r="B51" t="s">
        <v>165</v>
      </c>
      <c r="C51" t="s">
        <v>238</v>
      </c>
      <c r="D51">
        <v>4</v>
      </c>
      <c r="E51">
        <v>-5049</v>
      </c>
      <c r="F51" t="s">
        <v>279</v>
      </c>
      <c r="G51" t="s">
        <v>29</v>
      </c>
      <c r="H51">
        <v>6306</v>
      </c>
      <c r="I51" t="s">
        <v>284</v>
      </c>
    </row>
    <row r="52" spans="1:9" x14ac:dyDescent="0.25">
      <c r="A52">
        <v>70340</v>
      </c>
      <c r="B52" t="s">
        <v>165</v>
      </c>
      <c r="C52" t="s">
        <v>238</v>
      </c>
      <c r="D52">
        <v>4</v>
      </c>
      <c r="E52">
        <v>-5049</v>
      </c>
      <c r="F52" t="s">
        <v>279</v>
      </c>
      <c r="G52" t="s">
        <v>29</v>
      </c>
      <c r="H52">
        <v>32392</v>
      </c>
      <c r="I52" t="s">
        <v>285</v>
      </c>
    </row>
    <row r="53" spans="1:9" x14ac:dyDescent="0.25">
      <c r="A53">
        <v>70340</v>
      </c>
      <c r="B53" t="s">
        <v>165</v>
      </c>
      <c r="C53" t="s">
        <v>238</v>
      </c>
      <c r="D53">
        <v>4</v>
      </c>
      <c r="E53">
        <v>-5049</v>
      </c>
      <c r="F53" t="s">
        <v>279</v>
      </c>
      <c r="G53" t="s">
        <v>29</v>
      </c>
      <c r="H53">
        <v>7872</v>
      </c>
      <c r="I53" t="s">
        <v>286</v>
      </c>
    </row>
    <row r="54" spans="1:9" x14ac:dyDescent="0.25">
      <c r="A54">
        <v>70340</v>
      </c>
      <c r="B54" t="s">
        <v>165</v>
      </c>
      <c r="C54" t="s">
        <v>238</v>
      </c>
      <c r="D54">
        <v>4</v>
      </c>
      <c r="E54">
        <v>-5049</v>
      </c>
      <c r="F54" t="s">
        <v>279</v>
      </c>
      <c r="G54" t="s">
        <v>29</v>
      </c>
      <c r="H54">
        <v>0</v>
      </c>
      <c r="I54" t="s">
        <v>327</v>
      </c>
    </row>
    <row r="55" spans="1:9" x14ac:dyDescent="0.25">
      <c r="A55">
        <v>70340</v>
      </c>
      <c r="B55" t="s">
        <v>165</v>
      </c>
      <c r="C55" t="s">
        <v>238</v>
      </c>
      <c r="D55">
        <v>4</v>
      </c>
      <c r="E55">
        <v>-5049</v>
      </c>
      <c r="F55" t="s">
        <v>279</v>
      </c>
      <c r="G55" t="s">
        <v>34</v>
      </c>
      <c r="H55">
        <v>1053</v>
      </c>
      <c r="I55" t="s">
        <v>287</v>
      </c>
    </row>
    <row r="56" spans="1:9" x14ac:dyDescent="0.25">
      <c r="A56">
        <v>70340</v>
      </c>
      <c r="B56" t="s">
        <v>165</v>
      </c>
      <c r="C56" t="s">
        <v>238</v>
      </c>
      <c r="D56">
        <v>4</v>
      </c>
      <c r="E56">
        <v>-5049</v>
      </c>
      <c r="F56" t="s">
        <v>279</v>
      </c>
      <c r="G56" t="s">
        <v>29</v>
      </c>
      <c r="H56">
        <v>41651</v>
      </c>
      <c r="I56" t="s">
        <v>288</v>
      </c>
    </row>
    <row r="57" spans="1:9" x14ac:dyDescent="0.25">
      <c r="A57">
        <v>70340</v>
      </c>
      <c r="B57" t="s">
        <v>165</v>
      </c>
      <c r="C57" t="s">
        <v>238</v>
      </c>
      <c r="D57">
        <v>4</v>
      </c>
      <c r="E57">
        <v>-5049</v>
      </c>
      <c r="F57" t="s">
        <v>279</v>
      </c>
      <c r="G57" t="s">
        <v>34</v>
      </c>
      <c r="H57">
        <v>10700</v>
      </c>
      <c r="I57" t="s">
        <v>289</v>
      </c>
    </row>
    <row r="58" spans="1:9" x14ac:dyDescent="0.25">
      <c r="A58">
        <v>70340</v>
      </c>
      <c r="B58" t="s">
        <v>165</v>
      </c>
      <c r="C58" t="s">
        <v>238</v>
      </c>
      <c r="D58">
        <v>4</v>
      </c>
      <c r="E58">
        <v>-5049</v>
      </c>
      <c r="F58" t="s">
        <v>279</v>
      </c>
      <c r="G58" t="s">
        <v>29</v>
      </c>
      <c r="H58">
        <v>5376</v>
      </c>
      <c r="I58" t="s">
        <v>290</v>
      </c>
    </row>
    <row r="59" spans="1:9" x14ac:dyDescent="0.25">
      <c r="A59">
        <v>70340</v>
      </c>
      <c r="B59" t="s">
        <v>165</v>
      </c>
      <c r="C59" t="s">
        <v>238</v>
      </c>
      <c r="D59">
        <v>4</v>
      </c>
      <c r="E59">
        <v>-5049</v>
      </c>
      <c r="F59" t="s">
        <v>279</v>
      </c>
      <c r="G59" t="s">
        <v>32</v>
      </c>
      <c r="H59">
        <v>64187</v>
      </c>
      <c r="I59" t="s">
        <v>291</v>
      </c>
    </row>
    <row r="60" spans="1:9" x14ac:dyDescent="0.25">
      <c r="A60">
        <v>70340</v>
      </c>
      <c r="B60" t="s">
        <v>165</v>
      </c>
      <c r="C60" t="s">
        <v>238</v>
      </c>
      <c r="D60">
        <v>4</v>
      </c>
      <c r="E60">
        <v>-5049</v>
      </c>
      <c r="F60" t="s">
        <v>279</v>
      </c>
      <c r="G60" t="s">
        <v>29</v>
      </c>
      <c r="H60">
        <v>12671</v>
      </c>
      <c r="I60" t="s">
        <v>292</v>
      </c>
    </row>
    <row r="61" spans="1:9" x14ac:dyDescent="0.25">
      <c r="A61">
        <v>70340</v>
      </c>
      <c r="B61" t="s">
        <v>165</v>
      </c>
      <c r="C61" t="s">
        <v>238</v>
      </c>
      <c r="D61">
        <v>4</v>
      </c>
      <c r="E61">
        <v>-5049</v>
      </c>
      <c r="F61" t="s">
        <v>279</v>
      </c>
      <c r="G61" t="s">
        <v>29</v>
      </c>
      <c r="H61">
        <v>0</v>
      </c>
      <c r="I61" t="s">
        <v>384</v>
      </c>
    </row>
    <row r="62" spans="1:9" x14ac:dyDescent="0.25">
      <c r="A62">
        <v>70340</v>
      </c>
      <c r="B62" t="s">
        <v>165</v>
      </c>
      <c r="C62" t="s">
        <v>238</v>
      </c>
      <c r="D62">
        <v>4</v>
      </c>
      <c r="E62">
        <v>-5049</v>
      </c>
      <c r="F62" t="s">
        <v>279</v>
      </c>
      <c r="G62" t="s">
        <v>35</v>
      </c>
      <c r="H62">
        <v>5147</v>
      </c>
      <c r="I62" t="s">
        <v>293</v>
      </c>
    </row>
    <row r="63" spans="1:9" x14ac:dyDescent="0.25">
      <c r="A63">
        <v>70340</v>
      </c>
      <c r="B63" t="s">
        <v>165</v>
      </c>
      <c r="C63" t="s">
        <v>238</v>
      </c>
      <c r="D63">
        <v>4</v>
      </c>
      <c r="E63">
        <v>-5049</v>
      </c>
      <c r="F63" t="s">
        <v>279</v>
      </c>
      <c r="G63" t="s">
        <v>35</v>
      </c>
      <c r="H63">
        <v>5864</v>
      </c>
      <c r="I63" t="s">
        <v>294</v>
      </c>
    </row>
    <row r="64" spans="1:9" x14ac:dyDescent="0.25">
      <c r="A64">
        <v>70340</v>
      </c>
      <c r="B64" t="s">
        <v>165</v>
      </c>
      <c r="C64" t="s">
        <v>238</v>
      </c>
      <c r="D64">
        <v>4</v>
      </c>
      <c r="E64">
        <v>-5049</v>
      </c>
      <c r="F64" t="s">
        <v>279</v>
      </c>
      <c r="G64" t="s">
        <v>35</v>
      </c>
      <c r="H64">
        <v>5111</v>
      </c>
      <c r="I64" t="s">
        <v>295</v>
      </c>
    </row>
    <row r="65" spans="1:9" x14ac:dyDescent="0.25">
      <c r="A65">
        <v>70340</v>
      </c>
      <c r="B65" t="s">
        <v>165</v>
      </c>
      <c r="C65" t="s">
        <v>238</v>
      </c>
      <c r="D65">
        <v>4</v>
      </c>
      <c r="E65">
        <v>-5049</v>
      </c>
      <c r="F65" t="s">
        <v>279</v>
      </c>
      <c r="G65" t="s">
        <v>35</v>
      </c>
      <c r="H65">
        <v>2059</v>
      </c>
      <c r="I65" t="s">
        <v>296</v>
      </c>
    </row>
    <row r="66" spans="1:9" x14ac:dyDescent="0.25">
      <c r="A66">
        <v>70340</v>
      </c>
      <c r="B66" t="s">
        <v>165</v>
      </c>
      <c r="C66" t="s">
        <v>238</v>
      </c>
      <c r="D66">
        <v>4</v>
      </c>
      <c r="E66">
        <v>-5049</v>
      </c>
      <c r="F66" t="s">
        <v>279</v>
      </c>
      <c r="G66" t="s">
        <v>35</v>
      </c>
      <c r="H66">
        <v>4629</v>
      </c>
      <c r="I66" t="s">
        <v>325</v>
      </c>
    </row>
    <row r="67" spans="1:9" x14ac:dyDescent="0.25">
      <c r="A67">
        <v>70340</v>
      </c>
      <c r="B67" t="s">
        <v>165</v>
      </c>
      <c r="C67" t="s">
        <v>238</v>
      </c>
      <c r="D67">
        <v>4</v>
      </c>
      <c r="E67">
        <v>-5049</v>
      </c>
      <c r="F67" t="s">
        <v>279</v>
      </c>
      <c r="G67" t="s">
        <v>29</v>
      </c>
      <c r="H67">
        <v>1285</v>
      </c>
      <c r="I67" t="s">
        <v>297</v>
      </c>
    </row>
    <row r="68" spans="1:9" x14ac:dyDescent="0.25">
      <c r="A68">
        <v>70340</v>
      </c>
      <c r="B68" t="s">
        <v>165</v>
      </c>
      <c r="C68" t="s">
        <v>238</v>
      </c>
      <c r="D68">
        <v>4</v>
      </c>
      <c r="E68">
        <v>-5049</v>
      </c>
      <c r="F68" t="s">
        <v>279</v>
      </c>
      <c r="G68" t="s">
        <v>36</v>
      </c>
      <c r="H68">
        <v>23501</v>
      </c>
      <c r="I68" t="s">
        <v>298</v>
      </c>
    </row>
    <row r="69" spans="1:9" x14ac:dyDescent="0.25">
      <c r="A69">
        <v>70340</v>
      </c>
      <c r="B69" t="s">
        <v>165</v>
      </c>
      <c r="C69" t="s">
        <v>238</v>
      </c>
      <c r="D69">
        <v>4</v>
      </c>
      <c r="E69">
        <v>-5049</v>
      </c>
      <c r="F69" t="s">
        <v>274</v>
      </c>
      <c r="G69" t="s">
        <v>275</v>
      </c>
      <c r="H69">
        <v>140052</v>
      </c>
      <c r="I69" t="s">
        <v>299</v>
      </c>
    </row>
    <row r="70" spans="1:9" x14ac:dyDescent="0.25">
      <c r="A70">
        <v>70340</v>
      </c>
      <c r="B70" t="s">
        <v>165</v>
      </c>
      <c r="C70" t="s">
        <v>238</v>
      </c>
      <c r="D70">
        <v>4</v>
      </c>
      <c r="E70">
        <v>-5049</v>
      </c>
      <c r="F70" t="s">
        <v>274</v>
      </c>
      <c r="G70" t="s">
        <v>275</v>
      </c>
      <c r="H70">
        <v>0</v>
      </c>
      <c r="I70" t="s">
        <v>385</v>
      </c>
    </row>
    <row r="71" spans="1:9" x14ac:dyDescent="0.25">
      <c r="A71">
        <v>70340</v>
      </c>
      <c r="B71" t="s">
        <v>165</v>
      </c>
      <c r="C71" t="s">
        <v>238</v>
      </c>
      <c r="D71">
        <v>4</v>
      </c>
      <c r="E71">
        <v>-5049</v>
      </c>
      <c r="F71" t="s">
        <v>279</v>
      </c>
      <c r="G71" t="s">
        <v>31</v>
      </c>
      <c r="H71">
        <v>0</v>
      </c>
      <c r="I71" t="s">
        <v>364</v>
      </c>
    </row>
    <row r="72" spans="1:9" x14ac:dyDescent="0.25">
      <c r="A72">
        <v>70340</v>
      </c>
      <c r="B72" t="s">
        <v>165</v>
      </c>
      <c r="C72" t="s">
        <v>238</v>
      </c>
      <c r="D72">
        <v>4</v>
      </c>
      <c r="E72">
        <v>-5049</v>
      </c>
      <c r="F72" t="s">
        <v>279</v>
      </c>
      <c r="G72" t="s">
        <v>31</v>
      </c>
      <c r="H72">
        <v>0</v>
      </c>
      <c r="I72" t="s">
        <v>365</v>
      </c>
    </row>
    <row r="73" spans="1:9" x14ac:dyDescent="0.25">
      <c r="A73">
        <v>70340</v>
      </c>
      <c r="B73" t="s">
        <v>165</v>
      </c>
      <c r="C73" t="s">
        <v>238</v>
      </c>
      <c r="D73">
        <v>4</v>
      </c>
      <c r="E73">
        <v>-5049</v>
      </c>
      <c r="F73" t="s">
        <v>279</v>
      </c>
      <c r="G73" t="s">
        <v>31</v>
      </c>
      <c r="H73">
        <v>0</v>
      </c>
      <c r="I73" t="s">
        <v>366</v>
      </c>
    </row>
    <row r="74" spans="1:9" x14ac:dyDescent="0.25">
      <c r="A74">
        <v>70340</v>
      </c>
      <c r="B74" t="s">
        <v>165</v>
      </c>
      <c r="C74" t="s">
        <v>238</v>
      </c>
      <c r="D74">
        <v>4</v>
      </c>
      <c r="E74">
        <v>-5049</v>
      </c>
      <c r="F74" t="s">
        <v>279</v>
      </c>
      <c r="G74" t="s">
        <v>31</v>
      </c>
      <c r="H74">
        <v>0</v>
      </c>
      <c r="I74" t="s">
        <v>367</v>
      </c>
    </row>
    <row r="75" spans="1:9" x14ac:dyDescent="0.25">
      <c r="A75">
        <v>70341</v>
      </c>
      <c r="B75" t="s">
        <v>168</v>
      </c>
      <c r="C75" t="s">
        <v>238</v>
      </c>
      <c r="D75">
        <v>4</v>
      </c>
      <c r="E75">
        <v>-2800</v>
      </c>
      <c r="F75" t="s">
        <v>279</v>
      </c>
      <c r="G75" t="s">
        <v>33</v>
      </c>
      <c r="H75">
        <v>0</v>
      </c>
      <c r="I75" t="s">
        <v>378</v>
      </c>
    </row>
    <row r="76" spans="1:9" x14ac:dyDescent="0.25">
      <c r="A76">
        <v>70341</v>
      </c>
      <c r="B76" t="s">
        <v>168</v>
      </c>
      <c r="C76" t="s">
        <v>238</v>
      </c>
      <c r="D76">
        <v>4</v>
      </c>
      <c r="E76">
        <v>-2800</v>
      </c>
      <c r="F76" t="s">
        <v>279</v>
      </c>
      <c r="G76" t="s">
        <v>31</v>
      </c>
      <c r="H76">
        <v>26995</v>
      </c>
      <c r="I76" t="s">
        <v>307</v>
      </c>
    </row>
    <row r="77" spans="1:9" x14ac:dyDescent="0.25">
      <c r="A77">
        <v>70341</v>
      </c>
      <c r="B77" t="s">
        <v>168</v>
      </c>
      <c r="C77" t="s">
        <v>238</v>
      </c>
      <c r="D77">
        <v>4</v>
      </c>
      <c r="E77">
        <v>-2800</v>
      </c>
      <c r="F77" t="s">
        <v>279</v>
      </c>
      <c r="G77" t="s">
        <v>31</v>
      </c>
      <c r="H77">
        <v>0</v>
      </c>
      <c r="I77" t="s">
        <v>379</v>
      </c>
    </row>
    <row r="78" spans="1:9" x14ac:dyDescent="0.25">
      <c r="A78">
        <v>70341</v>
      </c>
      <c r="B78" t="s">
        <v>168</v>
      </c>
      <c r="C78" t="s">
        <v>238</v>
      </c>
      <c r="D78">
        <v>4</v>
      </c>
      <c r="E78">
        <v>-2800</v>
      </c>
      <c r="F78" t="s">
        <v>279</v>
      </c>
      <c r="G78" t="s">
        <v>30</v>
      </c>
      <c r="H78">
        <v>6750</v>
      </c>
      <c r="I78" t="s">
        <v>308</v>
      </c>
    </row>
    <row r="79" spans="1:9" x14ac:dyDescent="0.25">
      <c r="A79">
        <v>70341</v>
      </c>
      <c r="B79" t="s">
        <v>168</v>
      </c>
      <c r="C79" t="s">
        <v>238</v>
      </c>
      <c r="D79">
        <v>4</v>
      </c>
      <c r="E79">
        <v>-2800</v>
      </c>
      <c r="F79" t="s">
        <v>279</v>
      </c>
      <c r="G79" t="s">
        <v>35</v>
      </c>
      <c r="H79">
        <v>2607</v>
      </c>
      <c r="I79" t="s">
        <v>321</v>
      </c>
    </row>
    <row r="80" spans="1:9" x14ac:dyDescent="0.25">
      <c r="A80">
        <v>70341</v>
      </c>
      <c r="B80" t="s">
        <v>168</v>
      </c>
      <c r="C80" t="s">
        <v>238</v>
      </c>
      <c r="D80">
        <v>4</v>
      </c>
      <c r="E80">
        <v>-2800</v>
      </c>
      <c r="F80" t="s">
        <v>279</v>
      </c>
      <c r="G80" t="s">
        <v>33</v>
      </c>
      <c r="H80">
        <v>0</v>
      </c>
      <c r="I80" t="s">
        <v>380</v>
      </c>
    </row>
    <row r="81" spans="1:9" x14ac:dyDescent="0.25">
      <c r="A81">
        <v>70341</v>
      </c>
      <c r="B81" t="s">
        <v>168</v>
      </c>
      <c r="C81" t="s">
        <v>238</v>
      </c>
      <c r="D81">
        <v>4</v>
      </c>
      <c r="E81">
        <v>-2800</v>
      </c>
      <c r="F81" t="s">
        <v>279</v>
      </c>
      <c r="G81" t="s">
        <v>35</v>
      </c>
      <c r="H81">
        <v>1516</v>
      </c>
      <c r="I81" t="s">
        <v>309</v>
      </c>
    </row>
    <row r="82" spans="1:9" x14ac:dyDescent="0.25">
      <c r="A82">
        <v>70341</v>
      </c>
      <c r="B82" t="s">
        <v>168</v>
      </c>
      <c r="C82" t="s">
        <v>238</v>
      </c>
      <c r="D82">
        <v>4</v>
      </c>
      <c r="E82">
        <v>-2800</v>
      </c>
      <c r="F82" t="s">
        <v>279</v>
      </c>
      <c r="G82" t="s">
        <v>35</v>
      </c>
      <c r="H82">
        <v>2254</v>
      </c>
      <c r="I82" t="s">
        <v>310</v>
      </c>
    </row>
    <row r="83" spans="1:9" x14ac:dyDescent="0.25">
      <c r="A83">
        <v>70341</v>
      </c>
      <c r="B83" t="s">
        <v>168</v>
      </c>
      <c r="C83" t="s">
        <v>238</v>
      </c>
      <c r="D83">
        <v>4</v>
      </c>
      <c r="E83">
        <v>-2800</v>
      </c>
      <c r="F83" t="s">
        <v>279</v>
      </c>
      <c r="G83" t="s">
        <v>35</v>
      </c>
      <c r="H83">
        <v>7725</v>
      </c>
      <c r="I83" t="s">
        <v>311</v>
      </c>
    </row>
    <row r="84" spans="1:9" x14ac:dyDescent="0.25">
      <c r="A84">
        <v>70341</v>
      </c>
      <c r="B84" t="s">
        <v>168</v>
      </c>
      <c r="C84" t="s">
        <v>238</v>
      </c>
      <c r="D84">
        <v>4</v>
      </c>
      <c r="E84">
        <v>-2800</v>
      </c>
      <c r="F84" t="s">
        <v>279</v>
      </c>
      <c r="G84" t="s">
        <v>35</v>
      </c>
      <c r="H84">
        <v>127</v>
      </c>
      <c r="I84" t="s">
        <v>312</v>
      </c>
    </row>
    <row r="85" spans="1:9" x14ac:dyDescent="0.25">
      <c r="A85">
        <v>70341</v>
      </c>
      <c r="B85" t="s">
        <v>168</v>
      </c>
      <c r="C85" t="s">
        <v>238</v>
      </c>
      <c r="D85">
        <v>4</v>
      </c>
      <c r="E85">
        <v>-2800</v>
      </c>
      <c r="F85" t="s">
        <v>279</v>
      </c>
      <c r="G85" t="s">
        <v>35</v>
      </c>
      <c r="H85">
        <v>245</v>
      </c>
      <c r="I85" t="s">
        <v>313</v>
      </c>
    </row>
    <row r="86" spans="1:9" x14ac:dyDescent="0.25">
      <c r="A86">
        <v>70341</v>
      </c>
      <c r="B86" t="s">
        <v>168</v>
      </c>
      <c r="C86" t="s">
        <v>238</v>
      </c>
      <c r="D86">
        <v>4</v>
      </c>
      <c r="E86">
        <v>-2800</v>
      </c>
      <c r="F86" t="s">
        <v>279</v>
      </c>
      <c r="G86" t="s">
        <v>37</v>
      </c>
      <c r="H86">
        <v>0</v>
      </c>
      <c r="I86" t="s">
        <v>381</v>
      </c>
    </row>
    <row r="87" spans="1:9" x14ac:dyDescent="0.25">
      <c r="A87">
        <v>70341</v>
      </c>
      <c r="B87" t="s">
        <v>168</v>
      </c>
      <c r="C87" t="s">
        <v>238</v>
      </c>
      <c r="D87">
        <v>4</v>
      </c>
      <c r="E87">
        <v>-2800</v>
      </c>
      <c r="F87" t="s">
        <v>279</v>
      </c>
      <c r="G87" t="s">
        <v>37</v>
      </c>
      <c r="H87">
        <v>16633</v>
      </c>
      <c r="I87" t="s">
        <v>314</v>
      </c>
    </row>
    <row r="88" spans="1:9" x14ac:dyDescent="0.25">
      <c r="A88">
        <v>70341</v>
      </c>
      <c r="B88" t="s">
        <v>168</v>
      </c>
      <c r="C88" t="s">
        <v>238</v>
      </c>
      <c r="D88">
        <v>4</v>
      </c>
      <c r="E88">
        <v>-2800</v>
      </c>
      <c r="F88" t="s">
        <v>279</v>
      </c>
      <c r="G88" t="s">
        <v>35</v>
      </c>
      <c r="H88">
        <v>1470</v>
      </c>
      <c r="I88" t="s">
        <v>315</v>
      </c>
    </row>
    <row r="89" spans="1:9" x14ac:dyDescent="0.25">
      <c r="A89">
        <v>70341</v>
      </c>
      <c r="B89" t="s">
        <v>168</v>
      </c>
      <c r="C89" t="s">
        <v>238</v>
      </c>
      <c r="D89">
        <v>4</v>
      </c>
      <c r="E89">
        <v>-2800</v>
      </c>
      <c r="F89" t="s">
        <v>279</v>
      </c>
      <c r="G89" t="s">
        <v>37</v>
      </c>
      <c r="H89">
        <v>0</v>
      </c>
      <c r="I89" t="s">
        <v>323</v>
      </c>
    </row>
    <row r="90" spans="1:9" x14ac:dyDescent="0.25">
      <c r="A90">
        <v>70341</v>
      </c>
      <c r="B90" t="s">
        <v>168</v>
      </c>
      <c r="C90" t="s">
        <v>238</v>
      </c>
      <c r="D90">
        <v>4</v>
      </c>
      <c r="E90">
        <v>-2800</v>
      </c>
      <c r="F90" t="s">
        <v>279</v>
      </c>
      <c r="G90" t="s">
        <v>37</v>
      </c>
      <c r="H90">
        <v>0</v>
      </c>
      <c r="I90" t="s">
        <v>322</v>
      </c>
    </row>
    <row r="91" spans="1:9" x14ac:dyDescent="0.25">
      <c r="A91">
        <v>70341</v>
      </c>
      <c r="B91" t="s">
        <v>168</v>
      </c>
      <c r="C91" t="s">
        <v>238</v>
      </c>
      <c r="D91">
        <v>4</v>
      </c>
      <c r="E91">
        <v>-2800</v>
      </c>
      <c r="F91" t="s">
        <v>279</v>
      </c>
      <c r="G91" t="s">
        <v>37</v>
      </c>
      <c r="H91">
        <v>0</v>
      </c>
      <c r="I91" t="s">
        <v>382</v>
      </c>
    </row>
    <row r="92" spans="1:9" x14ac:dyDescent="0.25">
      <c r="A92">
        <v>70341</v>
      </c>
      <c r="B92" t="s">
        <v>168</v>
      </c>
      <c r="C92" t="s">
        <v>238</v>
      </c>
      <c r="D92">
        <v>4</v>
      </c>
      <c r="E92">
        <v>-2800</v>
      </c>
      <c r="F92" t="s">
        <v>279</v>
      </c>
      <c r="G92" t="s">
        <v>37</v>
      </c>
      <c r="H92">
        <v>30345</v>
      </c>
      <c r="I92" t="s">
        <v>316</v>
      </c>
    </row>
    <row r="93" spans="1:9" x14ac:dyDescent="0.25">
      <c r="A93">
        <v>70341</v>
      </c>
      <c r="B93" t="s">
        <v>168</v>
      </c>
      <c r="C93" t="s">
        <v>238</v>
      </c>
      <c r="D93">
        <v>4</v>
      </c>
      <c r="E93">
        <v>-2800</v>
      </c>
      <c r="F93" t="s">
        <v>279</v>
      </c>
      <c r="G93" t="s">
        <v>36</v>
      </c>
      <c r="H93">
        <v>57924</v>
      </c>
      <c r="I93" t="s">
        <v>317</v>
      </c>
    </row>
    <row r="94" spans="1:9" x14ac:dyDescent="0.25">
      <c r="A94">
        <v>70341</v>
      </c>
      <c r="B94" t="s">
        <v>168</v>
      </c>
      <c r="C94" t="s">
        <v>238</v>
      </c>
      <c r="D94">
        <v>4</v>
      </c>
      <c r="E94">
        <v>-2800</v>
      </c>
      <c r="F94" t="s">
        <v>274</v>
      </c>
      <c r="G94" t="s">
        <v>275</v>
      </c>
      <c r="H94">
        <v>0</v>
      </c>
      <c r="I94" t="s">
        <v>276</v>
      </c>
    </row>
    <row r="95" spans="1:9" x14ac:dyDescent="0.25">
      <c r="A95">
        <v>70341</v>
      </c>
      <c r="B95" t="s">
        <v>168</v>
      </c>
      <c r="C95" t="s">
        <v>238</v>
      </c>
      <c r="D95">
        <v>4</v>
      </c>
      <c r="E95">
        <v>-2800</v>
      </c>
      <c r="F95" t="s">
        <v>279</v>
      </c>
      <c r="G95" t="s">
        <v>29</v>
      </c>
      <c r="H95">
        <v>0</v>
      </c>
      <c r="I95" t="s">
        <v>324</v>
      </c>
    </row>
    <row r="96" spans="1:9" x14ac:dyDescent="0.25">
      <c r="A96">
        <v>70341</v>
      </c>
      <c r="B96" t="s">
        <v>168</v>
      </c>
      <c r="C96" t="s">
        <v>238</v>
      </c>
      <c r="D96">
        <v>4</v>
      </c>
      <c r="E96">
        <v>-2800</v>
      </c>
      <c r="F96" t="s">
        <v>274</v>
      </c>
      <c r="G96" t="s">
        <v>277</v>
      </c>
      <c r="H96">
        <v>143</v>
      </c>
      <c r="I96" t="s">
        <v>278</v>
      </c>
    </row>
    <row r="97" spans="1:9" x14ac:dyDescent="0.25">
      <c r="A97">
        <v>70341</v>
      </c>
      <c r="B97" t="s">
        <v>168</v>
      </c>
      <c r="C97" t="s">
        <v>238</v>
      </c>
      <c r="D97">
        <v>4</v>
      </c>
      <c r="E97">
        <v>-2800</v>
      </c>
      <c r="F97" t="s">
        <v>274</v>
      </c>
      <c r="G97" t="s">
        <v>300</v>
      </c>
      <c r="H97">
        <v>0</v>
      </c>
      <c r="I97" t="s">
        <v>383</v>
      </c>
    </row>
    <row r="98" spans="1:9" x14ac:dyDescent="0.25">
      <c r="A98">
        <v>70341</v>
      </c>
      <c r="B98" t="s">
        <v>168</v>
      </c>
      <c r="C98" t="s">
        <v>238</v>
      </c>
      <c r="D98">
        <v>4</v>
      </c>
      <c r="E98">
        <v>-2800</v>
      </c>
      <c r="F98" t="s">
        <v>279</v>
      </c>
      <c r="G98" t="s">
        <v>33</v>
      </c>
      <c r="H98">
        <v>53204</v>
      </c>
      <c r="I98" t="s">
        <v>280</v>
      </c>
    </row>
    <row r="99" spans="1:9" x14ac:dyDescent="0.25">
      <c r="A99">
        <v>70341</v>
      </c>
      <c r="B99" t="s">
        <v>168</v>
      </c>
      <c r="C99" t="s">
        <v>238</v>
      </c>
      <c r="D99">
        <v>4</v>
      </c>
      <c r="E99">
        <v>-2800</v>
      </c>
      <c r="F99" t="s">
        <v>279</v>
      </c>
      <c r="G99" t="s">
        <v>29</v>
      </c>
      <c r="H99">
        <v>3469</v>
      </c>
      <c r="I99" t="s">
        <v>281</v>
      </c>
    </row>
    <row r="100" spans="1:9" x14ac:dyDescent="0.25">
      <c r="A100">
        <v>70341</v>
      </c>
      <c r="B100" t="s">
        <v>168</v>
      </c>
      <c r="C100" t="s">
        <v>238</v>
      </c>
      <c r="D100">
        <v>4</v>
      </c>
      <c r="E100">
        <v>-2800</v>
      </c>
      <c r="F100" t="s">
        <v>279</v>
      </c>
      <c r="G100" t="s">
        <v>29</v>
      </c>
      <c r="H100">
        <v>64918</v>
      </c>
      <c r="I100" t="s">
        <v>282</v>
      </c>
    </row>
    <row r="101" spans="1:9" x14ac:dyDescent="0.25">
      <c r="A101">
        <v>70341</v>
      </c>
      <c r="B101" t="s">
        <v>168</v>
      </c>
      <c r="C101" t="s">
        <v>238</v>
      </c>
      <c r="D101">
        <v>4</v>
      </c>
      <c r="E101">
        <v>-2800</v>
      </c>
      <c r="F101" t="s">
        <v>279</v>
      </c>
      <c r="G101" t="s">
        <v>35</v>
      </c>
      <c r="H101">
        <v>79069</v>
      </c>
      <c r="I101" t="s">
        <v>283</v>
      </c>
    </row>
    <row r="102" spans="1:9" x14ac:dyDescent="0.25">
      <c r="A102">
        <v>70341</v>
      </c>
      <c r="B102" t="s">
        <v>168</v>
      </c>
      <c r="C102" t="s">
        <v>238</v>
      </c>
      <c r="D102">
        <v>4</v>
      </c>
      <c r="E102">
        <v>-2800</v>
      </c>
      <c r="F102" t="s">
        <v>279</v>
      </c>
      <c r="G102" t="s">
        <v>29</v>
      </c>
      <c r="H102">
        <v>6037</v>
      </c>
      <c r="I102" t="s">
        <v>284</v>
      </c>
    </row>
    <row r="103" spans="1:9" x14ac:dyDescent="0.25">
      <c r="A103">
        <v>70341</v>
      </c>
      <c r="B103" t="s">
        <v>168</v>
      </c>
      <c r="C103" t="s">
        <v>238</v>
      </c>
      <c r="D103">
        <v>4</v>
      </c>
      <c r="E103">
        <v>-2800</v>
      </c>
      <c r="F103" t="s">
        <v>279</v>
      </c>
      <c r="G103" t="s">
        <v>29</v>
      </c>
      <c r="H103">
        <v>29894</v>
      </c>
      <c r="I103" t="s">
        <v>285</v>
      </c>
    </row>
    <row r="104" spans="1:9" x14ac:dyDescent="0.25">
      <c r="A104">
        <v>70341</v>
      </c>
      <c r="B104" t="s">
        <v>168</v>
      </c>
      <c r="C104" t="s">
        <v>238</v>
      </c>
      <c r="D104">
        <v>4</v>
      </c>
      <c r="E104">
        <v>-2800</v>
      </c>
      <c r="F104" t="s">
        <v>279</v>
      </c>
      <c r="G104" t="s">
        <v>29</v>
      </c>
      <c r="H104">
        <v>1606</v>
      </c>
      <c r="I104" t="s">
        <v>286</v>
      </c>
    </row>
    <row r="105" spans="1:9" x14ac:dyDescent="0.25">
      <c r="A105">
        <v>70341</v>
      </c>
      <c r="B105" t="s">
        <v>168</v>
      </c>
      <c r="C105" t="s">
        <v>238</v>
      </c>
      <c r="D105">
        <v>4</v>
      </c>
      <c r="E105">
        <v>-2800</v>
      </c>
      <c r="F105" t="s">
        <v>279</v>
      </c>
      <c r="G105" t="s">
        <v>29</v>
      </c>
      <c r="H105">
        <v>0</v>
      </c>
      <c r="I105" t="s">
        <v>327</v>
      </c>
    </row>
    <row r="106" spans="1:9" x14ac:dyDescent="0.25">
      <c r="A106">
        <v>70341</v>
      </c>
      <c r="B106" t="s">
        <v>168</v>
      </c>
      <c r="C106" t="s">
        <v>238</v>
      </c>
      <c r="D106">
        <v>4</v>
      </c>
      <c r="E106">
        <v>-2800</v>
      </c>
      <c r="F106" t="s">
        <v>279</v>
      </c>
      <c r="G106" t="s">
        <v>34</v>
      </c>
      <c r="H106">
        <v>1118</v>
      </c>
      <c r="I106" t="s">
        <v>287</v>
      </c>
    </row>
    <row r="107" spans="1:9" x14ac:dyDescent="0.25">
      <c r="A107">
        <v>70341</v>
      </c>
      <c r="B107" t="s">
        <v>168</v>
      </c>
      <c r="C107" t="s">
        <v>238</v>
      </c>
      <c r="D107">
        <v>4</v>
      </c>
      <c r="E107">
        <v>-2800</v>
      </c>
      <c r="F107" t="s">
        <v>279</v>
      </c>
      <c r="G107" t="s">
        <v>31</v>
      </c>
      <c r="H107">
        <v>0</v>
      </c>
      <c r="I107" t="s">
        <v>364</v>
      </c>
    </row>
    <row r="108" spans="1:9" x14ac:dyDescent="0.25">
      <c r="A108">
        <v>70341</v>
      </c>
      <c r="B108" t="s">
        <v>168</v>
      </c>
      <c r="C108" t="s">
        <v>238</v>
      </c>
      <c r="D108">
        <v>4</v>
      </c>
      <c r="E108">
        <v>-2800</v>
      </c>
      <c r="F108" t="s">
        <v>279</v>
      </c>
      <c r="G108" t="s">
        <v>31</v>
      </c>
      <c r="H108">
        <v>0</v>
      </c>
      <c r="I108" t="s">
        <v>365</v>
      </c>
    </row>
    <row r="109" spans="1:9" x14ac:dyDescent="0.25">
      <c r="A109">
        <v>70341</v>
      </c>
      <c r="B109" t="s">
        <v>168</v>
      </c>
      <c r="C109" t="s">
        <v>238</v>
      </c>
      <c r="D109">
        <v>4</v>
      </c>
      <c r="E109">
        <v>-2800</v>
      </c>
      <c r="F109" t="s">
        <v>279</v>
      </c>
      <c r="G109" t="s">
        <v>31</v>
      </c>
      <c r="H109">
        <v>0</v>
      </c>
      <c r="I109" t="s">
        <v>366</v>
      </c>
    </row>
    <row r="110" spans="1:9" x14ac:dyDescent="0.25">
      <c r="A110">
        <v>70341</v>
      </c>
      <c r="B110" t="s">
        <v>168</v>
      </c>
      <c r="C110" t="s">
        <v>238</v>
      </c>
      <c r="D110">
        <v>4</v>
      </c>
      <c r="E110">
        <v>-2800</v>
      </c>
      <c r="F110" t="s">
        <v>279</v>
      </c>
      <c r="G110" t="s">
        <v>31</v>
      </c>
      <c r="H110">
        <v>0</v>
      </c>
      <c r="I110" t="s">
        <v>367</v>
      </c>
    </row>
    <row r="111" spans="1:9" x14ac:dyDescent="0.25">
      <c r="A111">
        <v>70341</v>
      </c>
      <c r="B111" t="s">
        <v>168</v>
      </c>
      <c r="C111" t="s">
        <v>238</v>
      </c>
      <c r="D111">
        <v>4</v>
      </c>
      <c r="E111">
        <v>-2800</v>
      </c>
      <c r="F111" t="s">
        <v>279</v>
      </c>
      <c r="G111" t="s">
        <v>31</v>
      </c>
      <c r="H111">
        <v>0</v>
      </c>
      <c r="I111" t="s">
        <v>368</v>
      </c>
    </row>
    <row r="112" spans="1:9" x14ac:dyDescent="0.25">
      <c r="A112">
        <v>70341</v>
      </c>
      <c r="B112" t="s">
        <v>168</v>
      </c>
      <c r="C112" t="s">
        <v>238</v>
      </c>
      <c r="D112">
        <v>4</v>
      </c>
      <c r="E112">
        <v>-2800</v>
      </c>
      <c r="F112" t="s">
        <v>279</v>
      </c>
      <c r="G112" t="s">
        <v>31</v>
      </c>
      <c r="H112">
        <v>0</v>
      </c>
      <c r="I112" t="s">
        <v>369</v>
      </c>
    </row>
    <row r="113" spans="1:9" x14ac:dyDescent="0.25">
      <c r="A113">
        <v>70341</v>
      </c>
      <c r="B113" t="s">
        <v>168</v>
      </c>
      <c r="C113" t="s">
        <v>238</v>
      </c>
      <c r="D113">
        <v>4</v>
      </c>
      <c r="E113">
        <v>-2800</v>
      </c>
      <c r="F113" t="s">
        <v>279</v>
      </c>
      <c r="G113" t="s">
        <v>31</v>
      </c>
      <c r="H113">
        <v>0</v>
      </c>
      <c r="I113" t="s">
        <v>370</v>
      </c>
    </row>
    <row r="114" spans="1:9" x14ac:dyDescent="0.25">
      <c r="A114">
        <v>70341</v>
      </c>
      <c r="B114" t="s">
        <v>168</v>
      </c>
      <c r="C114" t="s">
        <v>238</v>
      </c>
      <c r="D114">
        <v>4</v>
      </c>
      <c r="E114">
        <v>-2800</v>
      </c>
      <c r="F114" t="s">
        <v>279</v>
      </c>
      <c r="G114" t="s">
        <v>31</v>
      </c>
      <c r="H114">
        <v>0</v>
      </c>
      <c r="I114" t="s">
        <v>371</v>
      </c>
    </row>
    <row r="115" spans="1:9" x14ac:dyDescent="0.25">
      <c r="A115">
        <v>70341</v>
      </c>
      <c r="B115" t="s">
        <v>168</v>
      </c>
      <c r="C115" t="s">
        <v>238</v>
      </c>
      <c r="D115">
        <v>4</v>
      </c>
      <c r="E115">
        <v>-2800</v>
      </c>
      <c r="F115" t="s">
        <v>279</v>
      </c>
      <c r="G115" t="s">
        <v>31</v>
      </c>
      <c r="H115">
        <v>0</v>
      </c>
      <c r="I115" t="s">
        <v>328</v>
      </c>
    </row>
    <row r="116" spans="1:9" x14ac:dyDescent="0.25">
      <c r="A116">
        <v>70341</v>
      </c>
      <c r="B116" t="s">
        <v>168</v>
      </c>
      <c r="C116" t="s">
        <v>238</v>
      </c>
      <c r="D116">
        <v>4</v>
      </c>
      <c r="E116">
        <v>-2800</v>
      </c>
      <c r="F116" t="s">
        <v>279</v>
      </c>
      <c r="G116" t="s">
        <v>33</v>
      </c>
      <c r="H116">
        <v>0</v>
      </c>
      <c r="I116" t="s">
        <v>372</v>
      </c>
    </row>
    <row r="117" spans="1:9" x14ac:dyDescent="0.25">
      <c r="A117">
        <v>70341</v>
      </c>
      <c r="B117" t="s">
        <v>168</v>
      </c>
      <c r="C117" t="s">
        <v>238</v>
      </c>
      <c r="D117">
        <v>4</v>
      </c>
      <c r="E117">
        <v>-2800</v>
      </c>
      <c r="F117" t="s">
        <v>279</v>
      </c>
      <c r="G117" t="s">
        <v>33</v>
      </c>
      <c r="H117">
        <v>0</v>
      </c>
      <c r="I117" t="s">
        <v>329</v>
      </c>
    </row>
    <row r="118" spans="1:9" x14ac:dyDescent="0.25">
      <c r="A118">
        <v>70341</v>
      </c>
      <c r="B118" t="s">
        <v>168</v>
      </c>
      <c r="C118" t="s">
        <v>238</v>
      </c>
      <c r="D118">
        <v>4</v>
      </c>
      <c r="E118">
        <v>-2800</v>
      </c>
      <c r="F118" t="s">
        <v>279</v>
      </c>
      <c r="G118" t="s">
        <v>33</v>
      </c>
      <c r="H118">
        <v>69549</v>
      </c>
      <c r="I118" t="s">
        <v>319</v>
      </c>
    </row>
    <row r="119" spans="1:9" x14ac:dyDescent="0.25">
      <c r="A119">
        <v>70341</v>
      </c>
      <c r="B119" t="s">
        <v>168</v>
      </c>
      <c r="C119" t="s">
        <v>238</v>
      </c>
      <c r="D119">
        <v>4</v>
      </c>
      <c r="E119">
        <v>-2800</v>
      </c>
      <c r="F119" t="s">
        <v>279</v>
      </c>
      <c r="G119" t="s">
        <v>33</v>
      </c>
      <c r="H119">
        <v>0</v>
      </c>
      <c r="I119" t="s">
        <v>373</v>
      </c>
    </row>
    <row r="120" spans="1:9" x14ac:dyDescent="0.25">
      <c r="A120">
        <v>70341</v>
      </c>
      <c r="B120" t="s">
        <v>168</v>
      </c>
      <c r="C120" t="s">
        <v>238</v>
      </c>
      <c r="D120">
        <v>4</v>
      </c>
      <c r="E120">
        <v>-2800</v>
      </c>
      <c r="F120" t="s">
        <v>279</v>
      </c>
      <c r="G120" t="s">
        <v>33</v>
      </c>
      <c r="H120">
        <v>0</v>
      </c>
      <c r="I120" t="s">
        <v>374</v>
      </c>
    </row>
    <row r="121" spans="1:9" x14ac:dyDescent="0.25">
      <c r="A121">
        <v>70341</v>
      </c>
      <c r="B121" t="s">
        <v>168</v>
      </c>
      <c r="C121" t="s">
        <v>238</v>
      </c>
      <c r="D121">
        <v>4</v>
      </c>
      <c r="E121">
        <v>-2800</v>
      </c>
      <c r="F121" t="s">
        <v>279</v>
      </c>
      <c r="G121" t="s">
        <v>33</v>
      </c>
      <c r="H121">
        <v>0</v>
      </c>
      <c r="I121" t="s">
        <v>326</v>
      </c>
    </row>
    <row r="122" spans="1:9" x14ac:dyDescent="0.25">
      <c r="A122">
        <v>70341</v>
      </c>
      <c r="B122" t="s">
        <v>168</v>
      </c>
      <c r="C122" t="s">
        <v>238</v>
      </c>
      <c r="D122">
        <v>4</v>
      </c>
      <c r="E122">
        <v>-2800</v>
      </c>
      <c r="F122" t="s">
        <v>279</v>
      </c>
      <c r="G122" t="s">
        <v>33</v>
      </c>
      <c r="H122">
        <v>0</v>
      </c>
      <c r="I122" t="s">
        <v>375</v>
      </c>
    </row>
    <row r="123" spans="1:9" x14ac:dyDescent="0.25">
      <c r="A123">
        <v>70341</v>
      </c>
      <c r="B123" t="s">
        <v>168</v>
      </c>
      <c r="C123" t="s">
        <v>238</v>
      </c>
      <c r="D123">
        <v>4</v>
      </c>
      <c r="E123">
        <v>-2800</v>
      </c>
      <c r="F123" t="s">
        <v>279</v>
      </c>
      <c r="G123" t="s">
        <v>33</v>
      </c>
      <c r="H123">
        <v>0</v>
      </c>
      <c r="I123" t="s">
        <v>376</v>
      </c>
    </row>
    <row r="124" spans="1:9" x14ac:dyDescent="0.25">
      <c r="A124">
        <v>70341</v>
      </c>
      <c r="B124" t="s">
        <v>168</v>
      </c>
      <c r="C124" t="s">
        <v>238</v>
      </c>
      <c r="D124">
        <v>4</v>
      </c>
      <c r="E124">
        <v>-2800</v>
      </c>
      <c r="F124" t="s">
        <v>279</v>
      </c>
      <c r="G124" t="s">
        <v>33</v>
      </c>
      <c r="H124">
        <v>0</v>
      </c>
      <c r="I124" t="s">
        <v>377</v>
      </c>
    </row>
    <row r="125" spans="1:9" x14ac:dyDescent="0.25">
      <c r="A125">
        <v>70341</v>
      </c>
      <c r="B125" t="s">
        <v>168</v>
      </c>
      <c r="C125" t="s">
        <v>238</v>
      </c>
      <c r="D125">
        <v>4</v>
      </c>
      <c r="E125">
        <v>-2800</v>
      </c>
      <c r="F125" t="s">
        <v>274</v>
      </c>
      <c r="G125" t="s">
        <v>275</v>
      </c>
      <c r="H125">
        <v>770355</v>
      </c>
      <c r="I125" t="s">
        <v>318</v>
      </c>
    </row>
    <row r="126" spans="1:9" x14ac:dyDescent="0.25">
      <c r="A126">
        <v>70341</v>
      </c>
      <c r="B126" t="s">
        <v>168</v>
      </c>
      <c r="C126" t="s">
        <v>238</v>
      </c>
      <c r="D126">
        <v>4</v>
      </c>
      <c r="E126">
        <v>-2800</v>
      </c>
      <c r="F126" t="s">
        <v>274</v>
      </c>
      <c r="G126" t="s">
        <v>300</v>
      </c>
      <c r="H126">
        <v>17081</v>
      </c>
      <c r="I126" t="s">
        <v>301</v>
      </c>
    </row>
    <row r="127" spans="1:9" x14ac:dyDescent="0.25">
      <c r="A127">
        <v>70341</v>
      </c>
      <c r="B127" t="s">
        <v>168</v>
      </c>
      <c r="C127" t="s">
        <v>238</v>
      </c>
      <c r="D127">
        <v>4</v>
      </c>
      <c r="E127">
        <v>-2800</v>
      </c>
      <c r="F127" t="s">
        <v>274</v>
      </c>
      <c r="G127" t="s">
        <v>275</v>
      </c>
      <c r="H127">
        <v>-46988</v>
      </c>
      <c r="I127" t="s">
        <v>302</v>
      </c>
    </row>
    <row r="128" spans="1:9" x14ac:dyDescent="0.25">
      <c r="A128">
        <v>70341</v>
      </c>
      <c r="B128" t="s">
        <v>168</v>
      </c>
      <c r="C128" t="s">
        <v>238</v>
      </c>
      <c r="D128">
        <v>4</v>
      </c>
      <c r="E128">
        <v>-2800</v>
      </c>
      <c r="F128" t="s">
        <v>279</v>
      </c>
      <c r="G128" t="s">
        <v>30</v>
      </c>
      <c r="H128">
        <v>250124</v>
      </c>
      <c r="I128" t="s">
        <v>303</v>
      </c>
    </row>
    <row r="129" spans="1:9" x14ac:dyDescent="0.25">
      <c r="A129">
        <v>70341</v>
      </c>
      <c r="B129" t="s">
        <v>168</v>
      </c>
      <c r="C129" t="s">
        <v>238</v>
      </c>
      <c r="D129">
        <v>4</v>
      </c>
      <c r="E129">
        <v>-2800</v>
      </c>
      <c r="F129" t="s">
        <v>279</v>
      </c>
      <c r="G129" t="s">
        <v>35</v>
      </c>
      <c r="H129">
        <v>4709</v>
      </c>
      <c r="I129" t="s">
        <v>304</v>
      </c>
    </row>
    <row r="130" spans="1:9" x14ac:dyDescent="0.25">
      <c r="A130">
        <v>70341</v>
      </c>
      <c r="B130" t="s">
        <v>168</v>
      </c>
      <c r="C130" t="s">
        <v>238</v>
      </c>
      <c r="D130">
        <v>4</v>
      </c>
      <c r="E130">
        <v>-2800</v>
      </c>
      <c r="F130" t="s">
        <v>279</v>
      </c>
      <c r="G130" t="s">
        <v>31</v>
      </c>
      <c r="H130">
        <v>135602</v>
      </c>
      <c r="I130" t="s">
        <v>305</v>
      </c>
    </row>
    <row r="131" spans="1:9" x14ac:dyDescent="0.25">
      <c r="A131">
        <v>70341</v>
      </c>
      <c r="B131" t="s">
        <v>168</v>
      </c>
      <c r="C131" t="s">
        <v>238</v>
      </c>
      <c r="D131">
        <v>4</v>
      </c>
      <c r="E131">
        <v>-2800</v>
      </c>
      <c r="F131" t="s">
        <v>279</v>
      </c>
      <c r="G131" t="s">
        <v>33</v>
      </c>
      <c r="H131">
        <v>3133</v>
      </c>
      <c r="I131" t="s">
        <v>320</v>
      </c>
    </row>
    <row r="132" spans="1:9" x14ac:dyDescent="0.25">
      <c r="A132">
        <v>70341</v>
      </c>
      <c r="B132" t="s">
        <v>168</v>
      </c>
      <c r="C132" t="s">
        <v>238</v>
      </c>
      <c r="D132">
        <v>4</v>
      </c>
      <c r="E132">
        <v>-2800</v>
      </c>
      <c r="F132" t="s">
        <v>279</v>
      </c>
      <c r="G132" t="s">
        <v>33</v>
      </c>
      <c r="H132">
        <v>0</v>
      </c>
      <c r="I132" t="s">
        <v>306</v>
      </c>
    </row>
    <row r="133" spans="1:9" x14ac:dyDescent="0.25">
      <c r="A133">
        <v>70341</v>
      </c>
      <c r="B133" t="s">
        <v>168</v>
      </c>
      <c r="C133" t="s">
        <v>238</v>
      </c>
      <c r="D133">
        <v>4</v>
      </c>
      <c r="E133">
        <v>-2800</v>
      </c>
      <c r="F133" t="s">
        <v>279</v>
      </c>
      <c r="G133" t="s">
        <v>29</v>
      </c>
      <c r="H133">
        <v>21007</v>
      </c>
      <c r="I133" t="s">
        <v>288</v>
      </c>
    </row>
    <row r="134" spans="1:9" x14ac:dyDescent="0.25">
      <c r="A134">
        <v>70341</v>
      </c>
      <c r="B134" t="s">
        <v>168</v>
      </c>
      <c r="C134" t="s">
        <v>238</v>
      </c>
      <c r="D134">
        <v>4</v>
      </c>
      <c r="E134">
        <v>-2800</v>
      </c>
      <c r="F134" t="s">
        <v>279</v>
      </c>
      <c r="G134" t="s">
        <v>34</v>
      </c>
      <c r="H134">
        <v>11575</v>
      </c>
      <c r="I134" t="s">
        <v>289</v>
      </c>
    </row>
    <row r="135" spans="1:9" x14ac:dyDescent="0.25">
      <c r="A135">
        <v>70341</v>
      </c>
      <c r="B135" t="s">
        <v>168</v>
      </c>
      <c r="C135" t="s">
        <v>238</v>
      </c>
      <c r="D135">
        <v>4</v>
      </c>
      <c r="E135">
        <v>-2800</v>
      </c>
      <c r="F135" t="s">
        <v>279</v>
      </c>
      <c r="G135" t="s">
        <v>29</v>
      </c>
      <c r="H135">
        <v>6420</v>
      </c>
      <c r="I135" t="s">
        <v>290</v>
      </c>
    </row>
    <row r="136" spans="1:9" x14ac:dyDescent="0.25">
      <c r="A136">
        <v>70341</v>
      </c>
      <c r="B136" t="s">
        <v>168</v>
      </c>
      <c r="C136" t="s">
        <v>238</v>
      </c>
      <c r="D136">
        <v>4</v>
      </c>
      <c r="E136">
        <v>-2800</v>
      </c>
      <c r="F136" t="s">
        <v>279</v>
      </c>
      <c r="G136" t="s">
        <v>32</v>
      </c>
      <c r="H136">
        <v>49823</v>
      </c>
      <c r="I136" t="s">
        <v>291</v>
      </c>
    </row>
    <row r="137" spans="1:9" x14ac:dyDescent="0.25">
      <c r="A137">
        <v>70341</v>
      </c>
      <c r="B137" t="s">
        <v>168</v>
      </c>
      <c r="C137" t="s">
        <v>238</v>
      </c>
      <c r="D137">
        <v>4</v>
      </c>
      <c r="E137">
        <v>-2800</v>
      </c>
      <c r="F137" t="s">
        <v>279</v>
      </c>
      <c r="G137" t="s">
        <v>29</v>
      </c>
      <c r="H137">
        <v>11100</v>
      </c>
      <c r="I137" t="s">
        <v>292</v>
      </c>
    </row>
    <row r="138" spans="1:9" x14ac:dyDescent="0.25">
      <c r="A138">
        <v>70341</v>
      </c>
      <c r="B138" t="s">
        <v>168</v>
      </c>
      <c r="C138" t="s">
        <v>238</v>
      </c>
      <c r="D138">
        <v>4</v>
      </c>
      <c r="E138">
        <v>-2800</v>
      </c>
      <c r="F138" t="s">
        <v>279</v>
      </c>
      <c r="G138" t="s">
        <v>29</v>
      </c>
      <c r="H138">
        <v>0</v>
      </c>
      <c r="I138" t="s">
        <v>384</v>
      </c>
    </row>
    <row r="139" spans="1:9" x14ac:dyDescent="0.25">
      <c r="A139">
        <v>70341</v>
      </c>
      <c r="B139" t="s">
        <v>168</v>
      </c>
      <c r="C139" t="s">
        <v>238</v>
      </c>
      <c r="D139">
        <v>4</v>
      </c>
      <c r="E139">
        <v>-2800</v>
      </c>
      <c r="F139" t="s">
        <v>279</v>
      </c>
      <c r="G139" t="s">
        <v>35</v>
      </c>
      <c r="H139">
        <v>4158</v>
      </c>
      <c r="I139" t="s">
        <v>293</v>
      </c>
    </row>
    <row r="140" spans="1:9" x14ac:dyDescent="0.25">
      <c r="A140">
        <v>70341</v>
      </c>
      <c r="B140" t="s">
        <v>168</v>
      </c>
      <c r="C140" t="s">
        <v>238</v>
      </c>
      <c r="D140">
        <v>4</v>
      </c>
      <c r="E140">
        <v>-2800</v>
      </c>
      <c r="F140" t="s">
        <v>279</v>
      </c>
      <c r="G140" t="s">
        <v>35</v>
      </c>
      <c r="H140">
        <v>863</v>
      </c>
      <c r="I140" t="s">
        <v>294</v>
      </c>
    </row>
    <row r="141" spans="1:9" x14ac:dyDescent="0.25">
      <c r="A141">
        <v>70341</v>
      </c>
      <c r="B141" t="s">
        <v>168</v>
      </c>
      <c r="C141" t="s">
        <v>238</v>
      </c>
      <c r="D141">
        <v>4</v>
      </c>
      <c r="E141">
        <v>-2800</v>
      </c>
      <c r="F141" t="s">
        <v>279</v>
      </c>
      <c r="G141" t="s">
        <v>35</v>
      </c>
      <c r="H141">
        <v>3674</v>
      </c>
      <c r="I141" t="s">
        <v>295</v>
      </c>
    </row>
    <row r="142" spans="1:9" x14ac:dyDescent="0.25">
      <c r="A142">
        <v>70341</v>
      </c>
      <c r="B142" t="s">
        <v>168</v>
      </c>
      <c r="C142" t="s">
        <v>238</v>
      </c>
      <c r="D142">
        <v>4</v>
      </c>
      <c r="E142">
        <v>-2800</v>
      </c>
      <c r="F142" t="s">
        <v>279</v>
      </c>
      <c r="G142" t="s">
        <v>35</v>
      </c>
      <c r="H142">
        <v>4242</v>
      </c>
      <c r="I142" t="s">
        <v>296</v>
      </c>
    </row>
    <row r="143" spans="1:9" x14ac:dyDescent="0.25">
      <c r="A143">
        <v>70341</v>
      </c>
      <c r="B143" t="s">
        <v>168</v>
      </c>
      <c r="C143" t="s">
        <v>238</v>
      </c>
      <c r="D143">
        <v>4</v>
      </c>
      <c r="E143">
        <v>-2800</v>
      </c>
      <c r="F143" t="s">
        <v>279</v>
      </c>
      <c r="G143" t="s">
        <v>35</v>
      </c>
      <c r="H143">
        <v>0</v>
      </c>
      <c r="I143" t="s">
        <v>325</v>
      </c>
    </row>
    <row r="144" spans="1:9" x14ac:dyDescent="0.25">
      <c r="A144">
        <v>70341</v>
      </c>
      <c r="B144" t="s">
        <v>168</v>
      </c>
      <c r="C144" t="s">
        <v>238</v>
      </c>
      <c r="D144">
        <v>4</v>
      </c>
      <c r="E144">
        <v>-2800</v>
      </c>
      <c r="F144" t="s">
        <v>279</v>
      </c>
      <c r="G144" t="s">
        <v>29</v>
      </c>
      <c r="H144">
        <v>2365</v>
      </c>
      <c r="I144" t="s">
        <v>297</v>
      </c>
    </row>
    <row r="145" spans="1:9" x14ac:dyDescent="0.25">
      <c r="A145">
        <v>70341</v>
      </c>
      <c r="B145" t="s">
        <v>168</v>
      </c>
      <c r="C145" t="s">
        <v>238</v>
      </c>
      <c r="D145">
        <v>4</v>
      </c>
      <c r="E145">
        <v>-2800</v>
      </c>
      <c r="F145" t="s">
        <v>279</v>
      </c>
      <c r="G145" t="s">
        <v>36</v>
      </c>
      <c r="H145">
        <v>23701</v>
      </c>
      <c r="I145" t="s">
        <v>298</v>
      </c>
    </row>
    <row r="146" spans="1:9" x14ac:dyDescent="0.25">
      <c r="A146">
        <v>70341</v>
      </c>
      <c r="B146" t="s">
        <v>168</v>
      </c>
      <c r="C146" t="s">
        <v>238</v>
      </c>
      <c r="D146">
        <v>4</v>
      </c>
      <c r="E146">
        <v>-2800</v>
      </c>
      <c r="F146" t="s">
        <v>274</v>
      </c>
      <c r="G146" t="s">
        <v>275</v>
      </c>
      <c r="H146">
        <v>252560</v>
      </c>
      <c r="I146" t="s">
        <v>299</v>
      </c>
    </row>
    <row r="147" spans="1:9" x14ac:dyDescent="0.25">
      <c r="A147">
        <v>70341</v>
      </c>
      <c r="B147" t="s">
        <v>168</v>
      </c>
      <c r="C147" t="s">
        <v>238</v>
      </c>
      <c r="D147">
        <v>4</v>
      </c>
      <c r="E147">
        <v>-2800</v>
      </c>
      <c r="F147" t="s">
        <v>274</v>
      </c>
      <c r="G147" t="s">
        <v>275</v>
      </c>
      <c r="H147">
        <v>0</v>
      </c>
      <c r="I147" t="s">
        <v>385</v>
      </c>
    </row>
    <row r="148" spans="1:9" x14ac:dyDescent="0.25">
      <c r="A148">
        <v>70342</v>
      </c>
      <c r="B148" t="s">
        <v>170</v>
      </c>
      <c r="C148" t="s">
        <v>238</v>
      </c>
      <c r="D148">
        <v>4</v>
      </c>
      <c r="E148">
        <v>23968</v>
      </c>
      <c r="F148" t="s">
        <v>279</v>
      </c>
      <c r="G148" t="s">
        <v>31</v>
      </c>
      <c r="H148">
        <v>0</v>
      </c>
      <c r="I148" t="s">
        <v>364</v>
      </c>
    </row>
    <row r="149" spans="1:9" x14ac:dyDescent="0.25">
      <c r="A149">
        <v>70342</v>
      </c>
      <c r="B149" t="s">
        <v>170</v>
      </c>
      <c r="C149" t="s">
        <v>238</v>
      </c>
      <c r="D149">
        <v>4</v>
      </c>
      <c r="E149">
        <v>23968</v>
      </c>
      <c r="F149" t="s">
        <v>279</v>
      </c>
      <c r="G149" t="s">
        <v>31</v>
      </c>
      <c r="H149">
        <v>0</v>
      </c>
      <c r="I149" t="s">
        <v>365</v>
      </c>
    </row>
    <row r="150" spans="1:9" x14ac:dyDescent="0.25">
      <c r="A150">
        <v>70342</v>
      </c>
      <c r="B150" t="s">
        <v>170</v>
      </c>
      <c r="C150" t="s">
        <v>238</v>
      </c>
      <c r="D150">
        <v>4</v>
      </c>
      <c r="E150">
        <v>23968</v>
      </c>
      <c r="F150" t="s">
        <v>279</v>
      </c>
      <c r="G150" t="s">
        <v>31</v>
      </c>
      <c r="H150">
        <v>0</v>
      </c>
      <c r="I150" t="s">
        <v>366</v>
      </c>
    </row>
    <row r="151" spans="1:9" x14ac:dyDescent="0.25">
      <c r="A151">
        <v>70342</v>
      </c>
      <c r="B151" t="s">
        <v>170</v>
      </c>
      <c r="C151" t="s">
        <v>238</v>
      </c>
      <c r="D151">
        <v>4</v>
      </c>
      <c r="E151">
        <v>23968</v>
      </c>
      <c r="F151" t="s">
        <v>279</v>
      </c>
      <c r="G151" t="s">
        <v>31</v>
      </c>
      <c r="H151">
        <v>0</v>
      </c>
      <c r="I151" t="s">
        <v>367</v>
      </c>
    </row>
    <row r="152" spans="1:9" x14ac:dyDescent="0.25">
      <c r="A152">
        <v>70342</v>
      </c>
      <c r="B152" t="s">
        <v>170</v>
      </c>
      <c r="C152" t="s">
        <v>238</v>
      </c>
      <c r="D152">
        <v>4</v>
      </c>
      <c r="E152">
        <v>23968</v>
      </c>
      <c r="F152" t="s">
        <v>279</v>
      </c>
      <c r="G152" t="s">
        <v>31</v>
      </c>
      <c r="H152">
        <v>0</v>
      </c>
      <c r="I152" t="s">
        <v>368</v>
      </c>
    </row>
    <row r="153" spans="1:9" x14ac:dyDescent="0.25">
      <c r="A153">
        <v>70342</v>
      </c>
      <c r="B153" t="s">
        <v>170</v>
      </c>
      <c r="C153" t="s">
        <v>238</v>
      </c>
      <c r="D153">
        <v>4</v>
      </c>
      <c r="E153">
        <v>23968</v>
      </c>
      <c r="F153" t="s">
        <v>279</v>
      </c>
      <c r="G153" t="s">
        <v>31</v>
      </c>
      <c r="H153">
        <v>0</v>
      </c>
      <c r="I153" t="s">
        <v>369</v>
      </c>
    </row>
    <row r="154" spans="1:9" x14ac:dyDescent="0.25">
      <c r="A154">
        <v>70342</v>
      </c>
      <c r="B154" t="s">
        <v>170</v>
      </c>
      <c r="C154" t="s">
        <v>238</v>
      </c>
      <c r="D154">
        <v>4</v>
      </c>
      <c r="E154">
        <v>23968</v>
      </c>
      <c r="F154" t="s">
        <v>279</v>
      </c>
      <c r="G154" t="s">
        <v>31</v>
      </c>
      <c r="H154">
        <v>0</v>
      </c>
      <c r="I154" t="s">
        <v>370</v>
      </c>
    </row>
    <row r="155" spans="1:9" x14ac:dyDescent="0.25">
      <c r="A155">
        <v>70342</v>
      </c>
      <c r="B155" t="s">
        <v>170</v>
      </c>
      <c r="C155" t="s">
        <v>238</v>
      </c>
      <c r="D155">
        <v>4</v>
      </c>
      <c r="E155">
        <v>23968</v>
      </c>
      <c r="F155" t="s">
        <v>279</v>
      </c>
      <c r="G155" t="s">
        <v>31</v>
      </c>
      <c r="H155">
        <v>0</v>
      </c>
      <c r="I155" t="s">
        <v>371</v>
      </c>
    </row>
    <row r="156" spans="1:9" x14ac:dyDescent="0.25">
      <c r="A156">
        <v>70342</v>
      </c>
      <c r="B156" t="s">
        <v>170</v>
      </c>
      <c r="C156" t="s">
        <v>238</v>
      </c>
      <c r="D156">
        <v>4</v>
      </c>
      <c r="E156">
        <v>23968</v>
      </c>
      <c r="F156" t="s">
        <v>279</v>
      </c>
      <c r="G156" t="s">
        <v>31</v>
      </c>
      <c r="H156">
        <v>0</v>
      </c>
      <c r="I156" t="s">
        <v>328</v>
      </c>
    </row>
    <row r="157" spans="1:9" x14ac:dyDescent="0.25">
      <c r="A157">
        <v>70342</v>
      </c>
      <c r="B157" t="s">
        <v>170</v>
      </c>
      <c r="C157" t="s">
        <v>238</v>
      </c>
      <c r="D157">
        <v>4</v>
      </c>
      <c r="E157">
        <v>23968</v>
      </c>
      <c r="F157" t="s">
        <v>279</v>
      </c>
      <c r="G157" t="s">
        <v>33</v>
      </c>
      <c r="H157">
        <v>0</v>
      </c>
      <c r="I157" t="s">
        <v>372</v>
      </c>
    </row>
    <row r="158" spans="1:9" x14ac:dyDescent="0.25">
      <c r="A158">
        <v>70342</v>
      </c>
      <c r="B158" t="s">
        <v>170</v>
      </c>
      <c r="C158" t="s">
        <v>238</v>
      </c>
      <c r="D158">
        <v>4</v>
      </c>
      <c r="E158">
        <v>23968</v>
      </c>
      <c r="F158" t="s">
        <v>279</v>
      </c>
      <c r="G158" t="s">
        <v>33</v>
      </c>
      <c r="H158">
        <v>0</v>
      </c>
      <c r="I158" t="s">
        <v>329</v>
      </c>
    </row>
    <row r="159" spans="1:9" x14ac:dyDescent="0.25">
      <c r="A159">
        <v>70342</v>
      </c>
      <c r="B159" t="s">
        <v>170</v>
      </c>
      <c r="C159" t="s">
        <v>238</v>
      </c>
      <c r="D159">
        <v>4</v>
      </c>
      <c r="E159">
        <v>23968</v>
      </c>
      <c r="F159" t="s">
        <v>279</v>
      </c>
      <c r="G159" t="s">
        <v>33</v>
      </c>
      <c r="H159">
        <v>0</v>
      </c>
      <c r="I159" t="s">
        <v>319</v>
      </c>
    </row>
    <row r="160" spans="1:9" x14ac:dyDescent="0.25">
      <c r="A160">
        <v>70342</v>
      </c>
      <c r="B160" t="s">
        <v>170</v>
      </c>
      <c r="C160" t="s">
        <v>238</v>
      </c>
      <c r="D160">
        <v>4</v>
      </c>
      <c r="E160">
        <v>23968</v>
      </c>
      <c r="F160" t="s">
        <v>279</v>
      </c>
      <c r="G160" t="s">
        <v>33</v>
      </c>
      <c r="H160">
        <v>0</v>
      </c>
      <c r="I160" t="s">
        <v>373</v>
      </c>
    </row>
    <row r="161" spans="1:9" x14ac:dyDescent="0.25">
      <c r="A161">
        <v>70342</v>
      </c>
      <c r="B161" t="s">
        <v>170</v>
      </c>
      <c r="C161" t="s">
        <v>238</v>
      </c>
      <c r="D161">
        <v>4</v>
      </c>
      <c r="E161">
        <v>23968</v>
      </c>
      <c r="F161" t="s">
        <v>279</v>
      </c>
      <c r="G161" t="s">
        <v>33</v>
      </c>
      <c r="H161">
        <v>0</v>
      </c>
      <c r="I161" t="s">
        <v>374</v>
      </c>
    </row>
    <row r="162" spans="1:9" x14ac:dyDescent="0.25">
      <c r="A162">
        <v>70342</v>
      </c>
      <c r="B162" t="s">
        <v>170</v>
      </c>
      <c r="C162" t="s">
        <v>238</v>
      </c>
      <c r="D162">
        <v>4</v>
      </c>
      <c r="E162">
        <v>23968</v>
      </c>
      <c r="F162" t="s">
        <v>279</v>
      </c>
      <c r="G162" t="s">
        <v>33</v>
      </c>
      <c r="H162">
        <v>8243</v>
      </c>
      <c r="I162" t="s">
        <v>326</v>
      </c>
    </row>
    <row r="163" spans="1:9" x14ac:dyDescent="0.25">
      <c r="A163">
        <v>70342</v>
      </c>
      <c r="B163" t="s">
        <v>170</v>
      </c>
      <c r="C163" t="s">
        <v>238</v>
      </c>
      <c r="D163">
        <v>4</v>
      </c>
      <c r="E163">
        <v>23968</v>
      </c>
      <c r="F163" t="s">
        <v>279</v>
      </c>
      <c r="G163" t="s">
        <v>33</v>
      </c>
      <c r="H163">
        <v>0</v>
      </c>
      <c r="I163" t="s">
        <v>375</v>
      </c>
    </row>
    <row r="164" spans="1:9" x14ac:dyDescent="0.25">
      <c r="A164">
        <v>70342</v>
      </c>
      <c r="B164" t="s">
        <v>170</v>
      </c>
      <c r="C164" t="s">
        <v>238</v>
      </c>
      <c r="D164">
        <v>4</v>
      </c>
      <c r="E164">
        <v>23968</v>
      </c>
      <c r="F164" t="s">
        <v>279</v>
      </c>
      <c r="G164" t="s">
        <v>33</v>
      </c>
      <c r="H164">
        <v>0</v>
      </c>
      <c r="I164" t="s">
        <v>376</v>
      </c>
    </row>
    <row r="165" spans="1:9" x14ac:dyDescent="0.25">
      <c r="A165">
        <v>70342</v>
      </c>
      <c r="B165" t="s">
        <v>170</v>
      </c>
      <c r="C165" t="s">
        <v>238</v>
      </c>
      <c r="D165">
        <v>4</v>
      </c>
      <c r="E165">
        <v>23968</v>
      </c>
      <c r="F165" t="s">
        <v>279</v>
      </c>
      <c r="G165" t="s">
        <v>33</v>
      </c>
      <c r="H165">
        <v>0</v>
      </c>
      <c r="I165" t="s">
        <v>377</v>
      </c>
    </row>
    <row r="166" spans="1:9" x14ac:dyDescent="0.25">
      <c r="A166">
        <v>70342</v>
      </c>
      <c r="B166" t="s">
        <v>170</v>
      </c>
      <c r="C166" t="s">
        <v>238</v>
      </c>
      <c r="D166">
        <v>4</v>
      </c>
      <c r="E166">
        <v>23968</v>
      </c>
      <c r="F166" t="s">
        <v>274</v>
      </c>
      <c r="G166" t="s">
        <v>275</v>
      </c>
      <c r="H166">
        <v>497210</v>
      </c>
      <c r="I166" t="s">
        <v>318</v>
      </c>
    </row>
    <row r="167" spans="1:9" x14ac:dyDescent="0.25">
      <c r="A167">
        <v>70342</v>
      </c>
      <c r="B167" t="s">
        <v>170</v>
      </c>
      <c r="C167" t="s">
        <v>238</v>
      </c>
      <c r="D167">
        <v>4</v>
      </c>
      <c r="E167">
        <v>23968</v>
      </c>
      <c r="F167" t="s">
        <v>274</v>
      </c>
      <c r="G167" t="s">
        <v>300</v>
      </c>
      <c r="H167">
        <v>15137</v>
      </c>
      <c r="I167" t="s">
        <v>301</v>
      </c>
    </row>
    <row r="168" spans="1:9" x14ac:dyDescent="0.25">
      <c r="A168">
        <v>70342</v>
      </c>
      <c r="B168" t="s">
        <v>170</v>
      </c>
      <c r="C168" t="s">
        <v>238</v>
      </c>
      <c r="D168">
        <v>4</v>
      </c>
      <c r="E168">
        <v>23968</v>
      </c>
      <c r="F168" t="s">
        <v>274</v>
      </c>
      <c r="G168" t="s">
        <v>275</v>
      </c>
      <c r="H168">
        <v>-7431</v>
      </c>
      <c r="I168" t="s">
        <v>302</v>
      </c>
    </row>
    <row r="169" spans="1:9" x14ac:dyDescent="0.25">
      <c r="A169">
        <v>70342</v>
      </c>
      <c r="B169" t="s">
        <v>170</v>
      </c>
      <c r="C169" t="s">
        <v>238</v>
      </c>
      <c r="D169">
        <v>4</v>
      </c>
      <c r="E169">
        <v>23968</v>
      </c>
      <c r="F169" t="s">
        <v>279</v>
      </c>
      <c r="G169" t="s">
        <v>30</v>
      </c>
      <c r="H169">
        <v>43348</v>
      </c>
      <c r="I169" t="s">
        <v>303</v>
      </c>
    </row>
    <row r="170" spans="1:9" x14ac:dyDescent="0.25">
      <c r="A170">
        <v>70342</v>
      </c>
      <c r="B170" t="s">
        <v>170</v>
      </c>
      <c r="C170" t="s">
        <v>238</v>
      </c>
      <c r="D170">
        <v>4</v>
      </c>
      <c r="E170">
        <v>23968</v>
      </c>
      <c r="F170" t="s">
        <v>279</v>
      </c>
      <c r="G170" t="s">
        <v>35</v>
      </c>
      <c r="H170">
        <v>4515</v>
      </c>
      <c r="I170" t="s">
        <v>304</v>
      </c>
    </row>
    <row r="171" spans="1:9" x14ac:dyDescent="0.25">
      <c r="A171">
        <v>70342</v>
      </c>
      <c r="B171" t="s">
        <v>170</v>
      </c>
      <c r="C171" t="s">
        <v>238</v>
      </c>
      <c r="D171">
        <v>4</v>
      </c>
      <c r="E171">
        <v>23968</v>
      </c>
      <c r="F171" t="s">
        <v>279</v>
      </c>
      <c r="G171" t="s">
        <v>31</v>
      </c>
      <c r="H171">
        <v>57878</v>
      </c>
      <c r="I171" t="s">
        <v>305</v>
      </c>
    </row>
    <row r="172" spans="1:9" x14ac:dyDescent="0.25">
      <c r="A172">
        <v>70342</v>
      </c>
      <c r="B172" t="s">
        <v>170</v>
      </c>
      <c r="C172" t="s">
        <v>238</v>
      </c>
      <c r="D172">
        <v>4</v>
      </c>
      <c r="E172">
        <v>23968</v>
      </c>
      <c r="F172" t="s">
        <v>279</v>
      </c>
      <c r="G172" t="s">
        <v>33</v>
      </c>
      <c r="H172">
        <v>0</v>
      </c>
      <c r="I172" t="s">
        <v>320</v>
      </c>
    </row>
    <row r="173" spans="1:9" x14ac:dyDescent="0.25">
      <c r="A173">
        <v>70342</v>
      </c>
      <c r="B173" t="s">
        <v>170</v>
      </c>
      <c r="C173" t="s">
        <v>238</v>
      </c>
      <c r="D173">
        <v>4</v>
      </c>
      <c r="E173">
        <v>23968</v>
      </c>
      <c r="F173" t="s">
        <v>279</v>
      </c>
      <c r="G173" t="s">
        <v>33</v>
      </c>
      <c r="H173">
        <v>0</v>
      </c>
      <c r="I173" t="s">
        <v>306</v>
      </c>
    </row>
    <row r="174" spans="1:9" x14ac:dyDescent="0.25">
      <c r="A174">
        <v>70342</v>
      </c>
      <c r="B174" t="s">
        <v>170</v>
      </c>
      <c r="C174" t="s">
        <v>238</v>
      </c>
      <c r="D174">
        <v>4</v>
      </c>
      <c r="E174">
        <v>23968</v>
      </c>
      <c r="F174" t="s">
        <v>279</v>
      </c>
      <c r="G174" t="s">
        <v>33</v>
      </c>
      <c r="H174">
        <v>0</v>
      </c>
      <c r="I174" t="s">
        <v>378</v>
      </c>
    </row>
    <row r="175" spans="1:9" x14ac:dyDescent="0.25">
      <c r="A175">
        <v>70342</v>
      </c>
      <c r="B175" t="s">
        <v>170</v>
      </c>
      <c r="C175" t="s">
        <v>238</v>
      </c>
      <c r="D175">
        <v>4</v>
      </c>
      <c r="E175">
        <v>23968</v>
      </c>
      <c r="F175" t="s">
        <v>279</v>
      </c>
      <c r="G175" t="s">
        <v>31</v>
      </c>
      <c r="H175">
        <v>21498</v>
      </c>
      <c r="I175" t="s">
        <v>307</v>
      </c>
    </row>
    <row r="176" spans="1:9" x14ac:dyDescent="0.25">
      <c r="A176">
        <v>70342</v>
      </c>
      <c r="B176" t="s">
        <v>170</v>
      </c>
      <c r="C176" t="s">
        <v>238</v>
      </c>
      <c r="D176">
        <v>4</v>
      </c>
      <c r="E176">
        <v>23968</v>
      </c>
      <c r="F176" t="s">
        <v>279</v>
      </c>
      <c r="G176" t="s">
        <v>31</v>
      </c>
      <c r="H176">
        <v>0</v>
      </c>
      <c r="I176" t="s">
        <v>379</v>
      </c>
    </row>
    <row r="177" spans="1:9" x14ac:dyDescent="0.25">
      <c r="A177">
        <v>70342</v>
      </c>
      <c r="B177" t="s">
        <v>170</v>
      </c>
      <c r="C177" t="s">
        <v>238</v>
      </c>
      <c r="D177">
        <v>4</v>
      </c>
      <c r="E177">
        <v>23968</v>
      </c>
      <c r="F177" t="s">
        <v>279</v>
      </c>
      <c r="G177" t="s">
        <v>30</v>
      </c>
      <c r="H177">
        <v>2826</v>
      </c>
      <c r="I177" t="s">
        <v>308</v>
      </c>
    </row>
    <row r="178" spans="1:9" x14ac:dyDescent="0.25">
      <c r="A178">
        <v>70342</v>
      </c>
      <c r="B178" t="s">
        <v>170</v>
      </c>
      <c r="C178" t="s">
        <v>238</v>
      </c>
      <c r="D178">
        <v>4</v>
      </c>
      <c r="E178">
        <v>23968</v>
      </c>
      <c r="F178" t="s">
        <v>279</v>
      </c>
      <c r="G178" t="s">
        <v>35</v>
      </c>
      <c r="H178">
        <v>2481</v>
      </c>
      <c r="I178" t="s">
        <v>321</v>
      </c>
    </row>
    <row r="179" spans="1:9" x14ac:dyDescent="0.25">
      <c r="A179">
        <v>70342</v>
      </c>
      <c r="B179" t="s">
        <v>170</v>
      </c>
      <c r="C179" t="s">
        <v>238</v>
      </c>
      <c r="D179">
        <v>4</v>
      </c>
      <c r="E179">
        <v>23968</v>
      </c>
      <c r="F179" t="s">
        <v>279</v>
      </c>
      <c r="G179" t="s">
        <v>33</v>
      </c>
      <c r="H179">
        <v>0</v>
      </c>
      <c r="I179" t="s">
        <v>380</v>
      </c>
    </row>
    <row r="180" spans="1:9" x14ac:dyDescent="0.25">
      <c r="A180">
        <v>70342</v>
      </c>
      <c r="B180" t="s">
        <v>170</v>
      </c>
      <c r="C180" t="s">
        <v>238</v>
      </c>
      <c r="D180">
        <v>4</v>
      </c>
      <c r="E180">
        <v>23968</v>
      </c>
      <c r="F180" t="s">
        <v>279</v>
      </c>
      <c r="G180" t="s">
        <v>35</v>
      </c>
      <c r="H180">
        <v>485</v>
      </c>
      <c r="I180" t="s">
        <v>309</v>
      </c>
    </row>
    <row r="181" spans="1:9" x14ac:dyDescent="0.25">
      <c r="A181">
        <v>70342</v>
      </c>
      <c r="B181" t="s">
        <v>170</v>
      </c>
      <c r="C181" t="s">
        <v>238</v>
      </c>
      <c r="D181">
        <v>4</v>
      </c>
      <c r="E181">
        <v>23968</v>
      </c>
      <c r="F181" t="s">
        <v>279</v>
      </c>
      <c r="G181" t="s">
        <v>35</v>
      </c>
      <c r="H181">
        <v>6040</v>
      </c>
      <c r="I181" t="s">
        <v>310</v>
      </c>
    </row>
    <row r="182" spans="1:9" x14ac:dyDescent="0.25">
      <c r="A182">
        <v>70342</v>
      </c>
      <c r="B182" t="s">
        <v>170</v>
      </c>
      <c r="C182" t="s">
        <v>238</v>
      </c>
      <c r="D182">
        <v>4</v>
      </c>
      <c r="E182">
        <v>23968</v>
      </c>
      <c r="F182" t="s">
        <v>279</v>
      </c>
      <c r="G182" t="s">
        <v>35</v>
      </c>
      <c r="H182">
        <v>15678</v>
      </c>
      <c r="I182" t="s">
        <v>311</v>
      </c>
    </row>
    <row r="183" spans="1:9" x14ac:dyDescent="0.25">
      <c r="A183">
        <v>70342</v>
      </c>
      <c r="B183" t="s">
        <v>170</v>
      </c>
      <c r="C183" t="s">
        <v>238</v>
      </c>
      <c r="D183">
        <v>4</v>
      </c>
      <c r="E183">
        <v>23968</v>
      </c>
      <c r="F183" t="s">
        <v>279</v>
      </c>
      <c r="G183" t="s">
        <v>35</v>
      </c>
      <c r="H183">
        <v>61</v>
      </c>
      <c r="I183" t="s">
        <v>312</v>
      </c>
    </row>
    <row r="184" spans="1:9" x14ac:dyDescent="0.25">
      <c r="A184">
        <v>70342</v>
      </c>
      <c r="B184" t="s">
        <v>170</v>
      </c>
      <c r="C184" t="s">
        <v>238</v>
      </c>
      <c r="D184">
        <v>4</v>
      </c>
      <c r="E184">
        <v>23968</v>
      </c>
      <c r="F184" t="s">
        <v>279</v>
      </c>
      <c r="G184" t="s">
        <v>35</v>
      </c>
      <c r="H184">
        <v>4464</v>
      </c>
      <c r="I184" t="s">
        <v>313</v>
      </c>
    </row>
    <row r="185" spans="1:9" x14ac:dyDescent="0.25">
      <c r="A185">
        <v>70342</v>
      </c>
      <c r="B185" t="s">
        <v>170</v>
      </c>
      <c r="C185" t="s">
        <v>238</v>
      </c>
      <c r="D185">
        <v>4</v>
      </c>
      <c r="E185">
        <v>23968</v>
      </c>
      <c r="F185" t="s">
        <v>279</v>
      </c>
      <c r="G185" t="s">
        <v>37</v>
      </c>
      <c r="H185">
        <v>0</v>
      </c>
      <c r="I185" t="s">
        <v>381</v>
      </c>
    </row>
    <row r="186" spans="1:9" x14ac:dyDescent="0.25">
      <c r="A186">
        <v>70342</v>
      </c>
      <c r="B186" t="s">
        <v>170</v>
      </c>
      <c r="C186" t="s">
        <v>238</v>
      </c>
      <c r="D186">
        <v>4</v>
      </c>
      <c r="E186">
        <v>23968</v>
      </c>
      <c r="F186" t="s">
        <v>279</v>
      </c>
      <c r="G186" t="s">
        <v>37</v>
      </c>
      <c r="H186">
        <v>15792</v>
      </c>
      <c r="I186" t="s">
        <v>314</v>
      </c>
    </row>
    <row r="187" spans="1:9" x14ac:dyDescent="0.25">
      <c r="A187">
        <v>70342</v>
      </c>
      <c r="B187" t="s">
        <v>170</v>
      </c>
      <c r="C187" t="s">
        <v>238</v>
      </c>
      <c r="D187">
        <v>4</v>
      </c>
      <c r="E187">
        <v>23968</v>
      </c>
      <c r="F187" t="s">
        <v>279</v>
      </c>
      <c r="G187" t="s">
        <v>35</v>
      </c>
      <c r="H187">
        <v>2317</v>
      </c>
      <c r="I187" t="s">
        <v>315</v>
      </c>
    </row>
    <row r="188" spans="1:9" x14ac:dyDescent="0.25">
      <c r="A188">
        <v>70342</v>
      </c>
      <c r="B188" t="s">
        <v>170</v>
      </c>
      <c r="C188" t="s">
        <v>238</v>
      </c>
      <c r="D188">
        <v>4</v>
      </c>
      <c r="E188">
        <v>23968</v>
      </c>
      <c r="F188" t="s">
        <v>279</v>
      </c>
      <c r="G188" t="s">
        <v>37</v>
      </c>
      <c r="H188">
        <v>0</v>
      </c>
      <c r="I188" t="s">
        <v>323</v>
      </c>
    </row>
    <row r="189" spans="1:9" x14ac:dyDescent="0.25">
      <c r="A189">
        <v>70342</v>
      </c>
      <c r="B189" t="s">
        <v>170</v>
      </c>
      <c r="C189" t="s">
        <v>238</v>
      </c>
      <c r="D189">
        <v>4</v>
      </c>
      <c r="E189">
        <v>23968</v>
      </c>
      <c r="F189" t="s">
        <v>279</v>
      </c>
      <c r="G189" t="s">
        <v>37</v>
      </c>
      <c r="H189">
        <v>0</v>
      </c>
      <c r="I189" t="s">
        <v>322</v>
      </c>
    </row>
    <row r="190" spans="1:9" x14ac:dyDescent="0.25">
      <c r="A190">
        <v>70342</v>
      </c>
      <c r="B190" t="s">
        <v>170</v>
      </c>
      <c r="C190" t="s">
        <v>238</v>
      </c>
      <c r="D190">
        <v>4</v>
      </c>
      <c r="E190">
        <v>23968</v>
      </c>
      <c r="F190" t="s">
        <v>279</v>
      </c>
      <c r="G190" t="s">
        <v>37</v>
      </c>
      <c r="H190">
        <v>0</v>
      </c>
      <c r="I190" t="s">
        <v>382</v>
      </c>
    </row>
    <row r="191" spans="1:9" x14ac:dyDescent="0.25">
      <c r="A191">
        <v>70342</v>
      </c>
      <c r="B191" t="s">
        <v>170</v>
      </c>
      <c r="C191" t="s">
        <v>238</v>
      </c>
      <c r="D191">
        <v>4</v>
      </c>
      <c r="E191">
        <v>23968</v>
      </c>
      <c r="F191" t="s">
        <v>279</v>
      </c>
      <c r="G191" t="s">
        <v>37</v>
      </c>
      <c r="H191">
        <v>55155</v>
      </c>
      <c r="I191" t="s">
        <v>316</v>
      </c>
    </row>
    <row r="192" spans="1:9" x14ac:dyDescent="0.25">
      <c r="A192">
        <v>70342</v>
      </c>
      <c r="B192" t="s">
        <v>170</v>
      </c>
      <c r="C192" t="s">
        <v>238</v>
      </c>
      <c r="D192">
        <v>4</v>
      </c>
      <c r="E192">
        <v>23968</v>
      </c>
      <c r="F192" t="s">
        <v>279</v>
      </c>
      <c r="G192" t="s">
        <v>36</v>
      </c>
      <c r="H192">
        <v>61636</v>
      </c>
      <c r="I192" t="s">
        <v>317</v>
      </c>
    </row>
    <row r="193" spans="1:9" x14ac:dyDescent="0.25">
      <c r="A193">
        <v>70342</v>
      </c>
      <c r="B193" t="s">
        <v>170</v>
      </c>
      <c r="C193" t="s">
        <v>238</v>
      </c>
      <c r="D193">
        <v>4</v>
      </c>
      <c r="E193">
        <v>23968</v>
      </c>
      <c r="F193" t="s">
        <v>274</v>
      </c>
      <c r="G193" t="s">
        <v>275</v>
      </c>
      <c r="H193">
        <v>0</v>
      </c>
      <c r="I193" t="s">
        <v>276</v>
      </c>
    </row>
    <row r="194" spans="1:9" x14ac:dyDescent="0.25">
      <c r="A194">
        <v>70342</v>
      </c>
      <c r="B194" t="s">
        <v>170</v>
      </c>
      <c r="C194" t="s">
        <v>238</v>
      </c>
      <c r="D194">
        <v>4</v>
      </c>
      <c r="E194">
        <v>23968</v>
      </c>
      <c r="F194" t="s">
        <v>279</v>
      </c>
      <c r="G194" t="s">
        <v>29</v>
      </c>
      <c r="H194">
        <v>0</v>
      </c>
      <c r="I194" t="s">
        <v>324</v>
      </c>
    </row>
    <row r="195" spans="1:9" x14ac:dyDescent="0.25">
      <c r="A195">
        <v>70342</v>
      </c>
      <c r="B195" t="s">
        <v>170</v>
      </c>
      <c r="C195" t="s">
        <v>238</v>
      </c>
      <c r="D195">
        <v>4</v>
      </c>
      <c r="E195">
        <v>23968</v>
      </c>
      <c r="F195" t="s">
        <v>274</v>
      </c>
      <c r="G195" t="s">
        <v>277</v>
      </c>
      <c r="H195">
        <v>1819</v>
      </c>
      <c r="I195" t="s">
        <v>278</v>
      </c>
    </row>
    <row r="196" spans="1:9" x14ac:dyDescent="0.25">
      <c r="A196">
        <v>70342</v>
      </c>
      <c r="B196" t="s">
        <v>170</v>
      </c>
      <c r="C196" t="s">
        <v>238</v>
      </c>
      <c r="D196">
        <v>4</v>
      </c>
      <c r="E196">
        <v>23968</v>
      </c>
      <c r="F196" t="s">
        <v>274</v>
      </c>
      <c r="G196" t="s">
        <v>300</v>
      </c>
      <c r="H196">
        <v>0</v>
      </c>
      <c r="I196" t="s">
        <v>383</v>
      </c>
    </row>
    <row r="197" spans="1:9" x14ac:dyDescent="0.25">
      <c r="A197">
        <v>70342</v>
      </c>
      <c r="B197" t="s">
        <v>170</v>
      </c>
      <c r="C197" t="s">
        <v>238</v>
      </c>
      <c r="D197">
        <v>4</v>
      </c>
      <c r="E197">
        <v>23968</v>
      </c>
      <c r="F197" t="s">
        <v>279</v>
      </c>
      <c r="G197" t="s">
        <v>33</v>
      </c>
      <c r="H197">
        <v>32562</v>
      </c>
      <c r="I197" t="s">
        <v>280</v>
      </c>
    </row>
    <row r="198" spans="1:9" x14ac:dyDescent="0.25">
      <c r="A198">
        <v>70342</v>
      </c>
      <c r="B198" t="s">
        <v>170</v>
      </c>
      <c r="C198" t="s">
        <v>238</v>
      </c>
      <c r="D198">
        <v>4</v>
      </c>
      <c r="E198">
        <v>23968</v>
      </c>
      <c r="F198" t="s">
        <v>279</v>
      </c>
      <c r="G198" t="s">
        <v>29</v>
      </c>
      <c r="H198">
        <v>734</v>
      </c>
      <c r="I198" t="s">
        <v>281</v>
      </c>
    </row>
    <row r="199" spans="1:9" x14ac:dyDescent="0.25">
      <c r="A199">
        <v>70342</v>
      </c>
      <c r="B199" t="s">
        <v>170</v>
      </c>
      <c r="C199" t="s">
        <v>238</v>
      </c>
      <c r="D199">
        <v>4</v>
      </c>
      <c r="E199">
        <v>23968</v>
      </c>
      <c r="F199" t="s">
        <v>279</v>
      </c>
      <c r="G199" t="s">
        <v>29</v>
      </c>
      <c r="H199">
        <v>53217</v>
      </c>
      <c r="I199" t="s">
        <v>282</v>
      </c>
    </row>
    <row r="200" spans="1:9" x14ac:dyDescent="0.25">
      <c r="A200">
        <v>70342</v>
      </c>
      <c r="B200" t="s">
        <v>170</v>
      </c>
      <c r="C200" t="s">
        <v>238</v>
      </c>
      <c r="D200">
        <v>4</v>
      </c>
      <c r="E200">
        <v>23968</v>
      </c>
      <c r="F200" t="s">
        <v>279</v>
      </c>
      <c r="G200" t="s">
        <v>35</v>
      </c>
      <c r="H200">
        <v>54525</v>
      </c>
      <c r="I200" t="s">
        <v>283</v>
      </c>
    </row>
    <row r="201" spans="1:9" x14ac:dyDescent="0.25">
      <c r="A201">
        <v>70342</v>
      </c>
      <c r="B201" t="s">
        <v>170</v>
      </c>
      <c r="C201" t="s">
        <v>238</v>
      </c>
      <c r="D201">
        <v>4</v>
      </c>
      <c r="E201">
        <v>23968</v>
      </c>
      <c r="F201" t="s">
        <v>279</v>
      </c>
      <c r="G201" t="s">
        <v>29</v>
      </c>
      <c r="H201">
        <v>4466</v>
      </c>
      <c r="I201" t="s">
        <v>284</v>
      </c>
    </row>
    <row r="202" spans="1:9" x14ac:dyDescent="0.25">
      <c r="A202">
        <v>70342</v>
      </c>
      <c r="B202" t="s">
        <v>170</v>
      </c>
      <c r="C202" t="s">
        <v>238</v>
      </c>
      <c r="D202">
        <v>4</v>
      </c>
      <c r="E202">
        <v>23968</v>
      </c>
      <c r="F202" t="s">
        <v>279</v>
      </c>
      <c r="G202" t="s">
        <v>29</v>
      </c>
      <c r="H202">
        <v>31562</v>
      </c>
      <c r="I202" t="s">
        <v>285</v>
      </c>
    </row>
    <row r="203" spans="1:9" x14ac:dyDescent="0.25">
      <c r="A203">
        <v>70342</v>
      </c>
      <c r="B203" t="s">
        <v>170</v>
      </c>
      <c r="C203" t="s">
        <v>238</v>
      </c>
      <c r="D203">
        <v>4</v>
      </c>
      <c r="E203">
        <v>23968</v>
      </c>
      <c r="F203" t="s">
        <v>279</v>
      </c>
      <c r="G203" t="s">
        <v>29</v>
      </c>
      <c r="H203">
        <v>0</v>
      </c>
      <c r="I203" t="s">
        <v>286</v>
      </c>
    </row>
    <row r="204" spans="1:9" x14ac:dyDescent="0.25">
      <c r="A204">
        <v>70342</v>
      </c>
      <c r="B204" t="s">
        <v>170</v>
      </c>
      <c r="C204" t="s">
        <v>238</v>
      </c>
      <c r="D204">
        <v>4</v>
      </c>
      <c r="E204">
        <v>23968</v>
      </c>
      <c r="F204" t="s">
        <v>279</v>
      </c>
      <c r="G204" t="s">
        <v>29</v>
      </c>
      <c r="H204">
        <v>0</v>
      </c>
      <c r="I204" t="s">
        <v>327</v>
      </c>
    </row>
    <row r="205" spans="1:9" x14ac:dyDescent="0.25">
      <c r="A205">
        <v>70342</v>
      </c>
      <c r="B205" t="s">
        <v>170</v>
      </c>
      <c r="C205" t="s">
        <v>238</v>
      </c>
      <c r="D205">
        <v>4</v>
      </c>
      <c r="E205">
        <v>23968</v>
      </c>
      <c r="F205" t="s">
        <v>279</v>
      </c>
      <c r="G205" t="s">
        <v>34</v>
      </c>
      <c r="H205">
        <v>4468</v>
      </c>
      <c r="I205" t="s">
        <v>287</v>
      </c>
    </row>
    <row r="206" spans="1:9" x14ac:dyDescent="0.25">
      <c r="A206">
        <v>70342</v>
      </c>
      <c r="B206" t="s">
        <v>170</v>
      </c>
      <c r="C206" t="s">
        <v>238</v>
      </c>
      <c r="D206">
        <v>4</v>
      </c>
      <c r="E206">
        <v>23968</v>
      </c>
      <c r="F206" t="s">
        <v>279</v>
      </c>
      <c r="G206" t="s">
        <v>29</v>
      </c>
      <c r="H206">
        <v>20861</v>
      </c>
      <c r="I206" t="s">
        <v>288</v>
      </c>
    </row>
    <row r="207" spans="1:9" x14ac:dyDescent="0.25">
      <c r="A207">
        <v>70342</v>
      </c>
      <c r="B207" t="s">
        <v>170</v>
      </c>
      <c r="C207" t="s">
        <v>238</v>
      </c>
      <c r="D207">
        <v>4</v>
      </c>
      <c r="E207">
        <v>23968</v>
      </c>
      <c r="F207" t="s">
        <v>279</v>
      </c>
      <c r="G207" t="s">
        <v>34</v>
      </c>
      <c r="H207">
        <v>10075</v>
      </c>
      <c r="I207" t="s">
        <v>289</v>
      </c>
    </row>
    <row r="208" spans="1:9" x14ac:dyDescent="0.25">
      <c r="A208">
        <v>70342</v>
      </c>
      <c r="B208" t="s">
        <v>170</v>
      </c>
      <c r="C208" t="s">
        <v>238</v>
      </c>
      <c r="D208">
        <v>4</v>
      </c>
      <c r="E208">
        <v>23968</v>
      </c>
      <c r="F208" t="s">
        <v>279</v>
      </c>
      <c r="G208" t="s">
        <v>29</v>
      </c>
      <c r="H208">
        <v>5412</v>
      </c>
      <c r="I208" t="s">
        <v>290</v>
      </c>
    </row>
    <row r="209" spans="1:9" x14ac:dyDescent="0.25">
      <c r="A209">
        <v>70342</v>
      </c>
      <c r="B209" t="s">
        <v>170</v>
      </c>
      <c r="C209" t="s">
        <v>238</v>
      </c>
      <c r="D209">
        <v>4</v>
      </c>
      <c r="E209">
        <v>23968</v>
      </c>
      <c r="F209" t="s">
        <v>279</v>
      </c>
      <c r="G209" t="s">
        <v>32</v>
      </c>
      <c r="H209">
        <v>43675</v>
      </c>
      <c r="I209" t="s">
        <v>291</v>
      </c>
    </row>
    <row r="210" spans="1:9" x14ac:dyDescent="0.25">
      <c r="A210">
        <v>70342</v>
      </c>
      <c r="B210" t="s">
        <v>170</v>
      </c>
      <c r="C210" t="s">
        <v>238</v>
      </c>
      <c r="D210">
        <v>4</v>
      </c>
      <c r="E210">
        <v>23968</v>
      </c>
      <c r="F210" t="s">
        <v>279</v>
      </c>
      <c r="G210" t="s">
        <v>29</v>
      </c>
      <c r="H210">
        <v>142</v>
      </c>
      <c r="I210" t="s">
        <v>292</v>
      </c>
    </row>
    <row r="211" spans="1:9" x14ac:dyDescent="0.25">
      <c r="A211">
        <v>70342</v>
      </c>
      <c r="B211" t="s">
        <v>170</v>
      </c>
      <c r="C211" t="s">
        <v>238</v>
      </c>
      <c r="D211">
        <v>4</v>
      </c>
      <c r="E211">
        <v>23968</v>
      </c>
      <c r="F211" t="s">
        <v>279</v>
      </c>
      <c r="G211" t="s">
        <v>29</v>
      </c>
      <c r="H211">
        <v>0</v>
      </c>
      <c r="I211" t="s">
        <v>384</v>
      </c>
    </row>
    <row r="212" spans="1:9" x14ac:dyDescent="0.25">
      <c r="A212">
        <v>70342</v>
      </c>
      <c r="B212" t="s">
        <v>170</v>
      </c>
      <c r="C212" t="s">
        <v>238</v>
      </c>
      <c r="D212">
        <v>4</v>
      </c>
      <c r="E212">
        <v>23968</v>
      </c>
      <c r="F212" t="s">
        <v>279</v>
      </c>
      <c r="G212" t="s">
        <v>35</v>
      </c>
      <c r="H212">
        <v>4244</v>
      </c>
      <c r="I212" t="s">
        <v>293</v>
      </c>
    </row>
    <row r="213" spans="1:9" x14ac:dyDescent="0.25">
      <c r="A213">
        <v>70342</v>
      </c>
      <c r="B213" t="s">
        <v>170</v>
      </c>
      <c r="C213" t="s">
        <v>238</v>
      </c>
      <c r="D213">
        <v>4</v>
      </c>
      <c r="E213">
        <v>23968</v>
      </c>
      <c r="F213" t="s">
        <v>279</v>
      </c>
      <c r="G213" t="s">
        <v>35</v>
      </c>
      <c r="H213">
        <v>38</v>
      </c>
      <c r="I213" t="s">
        <v>294</v>
      </c>
    </row>
    <row r="214" spans="1:9" x14ac:dyDescent="0.25">
      <c r="A214">
        <v>70342</v>
      </c>
      <c r="B214" t="s">
        <v>170</v>
      </c>
      <c r="C214" t="s">
        <v>238</v>
      </c>
      <c r="D214">
        <v>4</v>
      </c>
      <c r="E214">
        <v>23968</v>
      </c>
      <c r="F214" t="s">
        <v>279</v>
      </c>
      <c r="G214" t="s">
        <v>35</v>
      </c>
      <c r="H214">
        <v>4035</v>
      </c>
      <c r="I214" t="s">
        <v>295</v>
      </c>
    </row>
    <row r="215" spans="1:9" x14ac:dyDescent="0.25">
      <c r="A215">
        <v>70342</v>
      </c>
      <c r="B215" t="s">
        <v>170</v>
      </c>
      <c r="C215" t="s">
        <v>238</v>
      </c>
      <c r="D215">
        <v>4</v>
      </c>
      <c r="E215">
        <v>23968</v>
      </c>
      <c r="F215" t="s">
        <v>279</v>
      </c>
      <c r="G215" t="s">
        <v>35</v>
      </c>
      <c r="H215">
        <v>1361</v>
      </c>
      <c r="I215" t="s">
        <v>296</v>
      </c>
    </row>
    <row r="216" spans="1:9" x14ac:dyDescent="0.25">
      <c r="A216">
        <v>70342</v>
      </c>
      <c r="B216" t="s">
        <v>170</v>
      </c>
      <c r="C216" t="s">
        <v>238</v>
      </c>
      <c r="D216">
        <v>4</v>
      </c>
      <c r="E216">
        <v>23968</v>
      </c>
      <c r="F216" t="s">
        <v>279</v>
      </c>
      <c r="G216" t="s">
        <v>35</v>
      </c>
      <c r="H216">
        <v>0</v>
      </c>
      <c r="I216" t="s">
        <v>325</v>
      </c>
    </row>
    <row r="217" spans="1:9" x14ac:dyDescent="0.25">
      <c r="A217">
        <v>70342</v>
      </c>
      <c r="B217" t="s">
        <v>170</v>
      </c>
      <c r="C217" t="s">
        <v>238</v>
      </c>
      <c r="D217">
        <v>4</v>
      </c>
      <c r="E217">
        <v>23968</v>
      </c>
      <c r="F217" t="s">
        <v>279</v>
      </c>
      <c r="G217" t="s">
        <v>29</v>
      </c>
      <c r="H217">
        <v>1174</v>
      </c>
      <c r="I217" t="s">
        <v>297</v>
      </c>
    </row>
    <row r="218" spans="1:9" x14ac:dyDescent="0.25">
      <c r="A218">
        <v>70342</v>
      </c>
      <c r="B218" t="s">
        <v>170</v>
      </c>
      <c r="C218" t="s">
        <v>238</v>
      </c>
      <c r="D218">
        <v>4</v>
      </c>
      <c r="E218">
        <v>23968</v>
      </c>
      <c r="F218" t="s">
        <v>279</v>
      </c>
      <c r="G218" t="s">
        <v>36</v>
      </c>
      <c r="H218">
        <v>20550</v>
      </c>
      <c r="I218" t="s">
        <v>298</v>
      </c>
    </row>
    <row r="219" spans="1:9" x14ac:dyDescent="0.25">
      <c r="A219">
        <v>70342</v>
      </c>
      <c r="B219" t="s">
        <v>170</v>
      </c>
      <c r="C219" t="s">
        <v>238</v>
      </c>
      <c r="D219">
        <v>4</v>
      </c>
      <c r="E219">
        <v>23968</v>
      </c>
      <c r="F219" t="s">
        <v>274</v>
      </c>
      <c r="G219" t="s">
        <v>275</v>
      </c>
      <c r="H219">
        <v>112751</v>
      </c>
      <c r="I219" t="s">
        <v>299</v>
      </c>
    </row>
    <row r="220" spans="1:9" x14ac:dyDescent="0.25">
      <c r="A220">
        <v>70342</v>
      </c>
      <c r="B220" t="s">
        <v>170</v>
      </c>
      <c r="C220" t="s">
        <v>238</v>
      </c>
      <c r="D220">
        <v>4</v>
      </c>
      <c r="E220">
        <v>23968</v>
      </c>
      <c r="F220" t="s">
        <v>274</v>
      </c>
      <c r="G220" t="s">
        <v>275</v>
      </c>
      <c r="H220">
        <v>0</v>
      </c>
      <c r="I220" t="s">
        <v>385</v>
      </c>
    </row>
    <row r="221" spans="1:9" x14ac:dyDescent="0.25">
      <c r="A221">
        <v>70343</v>
      </c>
      <c r="B221" t="s">
        <v>172</v>
      </c>
      <c r="C221" t="s">
        <v>238</v>
      </c>
      <c r="D221">
        <v>4</v>
      </c>
      <c r="E221">
        <v>5987</v>
      </c>
      <c r="F221" t="s">
        <v>279</v>
      </c>
      <c r="G221" t="s">
        <v>31</v>
      </c>
      <c r="H221">
        <v>0</v>
      </c>
      <c r="I221" t="s">
        <v>364</v>
      </c>
    </row>
    <row r="222" spans="1:9" x14ac:dyDescent="0.25">
      <c r="A222">
        <v>70343</v>
      </c>
      <c r="B222" t="s">
        <v>172</v>
      </c>
      <c r="C222" t="s">
        <v>238</v>
      </c>
      <c r="D222">
        <v>4</v>
      </c>
      <c r="E222">
        <v>5987</v>
      </c>
      <c r="F222" t="s">
        <v>279</v>
      </c>
      <c r="G222" t="s">
        <v>31</v>
      </c>
      <c r="H222">
        <v>0</v>
      </c>
      <c r="I222" t="s">
        <v>365</v>
      </c>
    </row>
    <row r="223" spans="1:9" x14ac:dyDescent="0.25">
      <c r="A223">
        <v>70343</v>
      </c>
      <c r="B223" t="s">
        <v>172</v>
      </c>
      <c r="C223" t="s">
        <v>238</v>
      </c>
      <c r="D223">
        <v>4</v>
      </c>
      <c r="E223">
        <v>5987</v>
      </c>
      <c r="F223" t="s">
        <v>279</v>
      </c>
      <c r="G223" t="s">
        <v>31</v>
      </c>
      <c r="H223">
        <v>0</v>
      </c>
      <c r="I223" t="s">
        <v>366</v>
      </c>
    </row>
    <row r="224" spans="1:9" x14ac:dyDescent="0.25">
      <c r="A224">
        <v>70343</v>
      </c>
      <c r="B224" t="s">
        <v>172</v>
      </c>
      <c r="C224" t="s">
        <v>238</v>
      </c>
      <c r="D224">
        <v>4</v>
      </c>
      <c r="E224">
        <v>5987</v>
      </c>
      <c r="F224" t="s">
        <v>279</v>
      </c>
      <c r="G224" t="s">
        <v>31</v>
      </c>
      <c r="H224">
        <v>0</v>
      </c>
      <c r="I224" t="s">
        <v>367</v>
      </c>
    </row>
    <row r="225" spans="1:9" x14ac:dyDescent="0.25">
      <c r="A225">
        <v>70343</v>
      </c>
      <c r="B225" t="s">
        <v>172</v>
      </c>
      <c r="C225" t="s">
        <v>238</v>
      </c>
      <c r="D225">
        <v>4</v>
      </c>
      <c r="E225">
        <v>5987</v>
      </c>
      <c r="F225" t="s">
        <v>279</v>
      </c>
      <c r="G225" t="s">
        <v>31</v>
      </c>
      <c r="H225">
        <v>0</v>
      </c>
      <c r="I225" t="s">
        <v>368</v>
      </c>
    </row>
    <row r="226" spans="1:9" x14ac:dyDescent="0.25">
      <c r="A226">
        <v>70343</v>
      </c>
      <c r="B226" t="s">
        <v>172</v>
      </c>
      <c r="C226" t="s">
        <v>238</v>
      </c>
      <c r="D226">
        <v>4</v>
      </c>
      <c r="E226">
        <v>5987</v>
      </c>
      <c r="F226" t="s">
        <v>279</v>
      </c>
      <c r="G226" t="s">
        <v>31</v>
      </c>
      <c r="H226">
        <v>0</v>
      </c>
      <c r="I226" t="s">
        <v>369</v>
      </c>
    </row>
    <row r="227" spans="1:9" x14ac:dyDescent="0.25">
      <c r="A227">
        <v>70343</v>
      </c>
      <c r="B227" t="s">
        <v>172</v>
      </c>
      <c r="C227" t="s">
        <v>238</v>
      </c>
      <c r="D227">
        <v>4</v>
      </c>
      <c r="E227">
        <v>5987</v>
      </c>
      <c r="F227" t="s">
        <v>279</v>
      </c>
      <c r="G227" t="s">
        <v>31</v>
      </c>
      <c r="H227">
        <v>0</v>
      </c>
      <c r="I227" t="s">
        <v>370</v>
      </c>
    </row>
    <row r="228" spans="1:9" x14ac:dyDescent="0.25">
      <c r="A228">
        <v>70343</v>
      </c>
      <c r="B228" t="s">
        <v>172</v>
      </c>
      <c r="C228" t="s">
        <v>238</v>
      </c>
      <c r="D228">
        <v>4</v>
      </c>
      <c r="E228">
        <v>5987</v>
      </c>
      <c r="F228" t="s">
        <v>279</v>
      </c>
      <c r="G228" t="s">
        <v>31</v>
      </c>
      <c r="H228">
        <v>0</v>
      </c>
      <c r="I228" t="s">
        <v>371</v>
      </c>
    </row>
    <row r="229" spans="1:9" x14ac:dyDescent="0.25">
      <c r="A229">
        <v>70343</v>
      </c>
      <c r="B229" t="s">
        <v>172</v>
      </c>
      <c r="C229" t="s">
        <v>238</v>
      </c>
      <c r="D229">
        <v>4</v>
      </c>
      <c r="E229">
        <v>5987</v>
      </c>
      <c r="F229" t="s">
        <v>279</v>
      </c>
      <c r="G229" t="s">
        <v>31</v>
      </c>
      <c r="H229">
        <v>0</v>
      </c>
      <c r="I229" t="s">
        <v>328</v>
      </c>
    </row>
    <row r="230" spans="1:9" x14ac:dyDescent="0.25">
      <c r="A230">
        <v>70343</v>
      </c>
      <c r="B230" t="s">
        <v>172</v>
      </c>
      <c r="C230" t="s">
        <v>238</v>
      </c>
      <c r="D230">
        <v>4</v>
      </c>
      <c r="E230">
        <v>5987</v>
      </c>
      <c r="F230" t="s">
        <v>279</v>
      </c>
      <c r="G230" t="s">
        <v>33</v>
      </c>
      <c r="H230">
        <v>0</v>
      </c>
      <c r="I230" t="s">
        <v>372</v>
      </c>
    </row>
    <row r="231" spans="1:9" x14ac:dyDescent="0.25">
      <c r="A231">
        <v>70343</v>
      </c>
      <c r="B231" t="s">
        <v>172</v>
      </c>
      <c r="C231" t="s">
        <v>238</v>
      </c>
      <c r="D231">
        <v>4</v>
      </c>
      <c r="E231">
        <v>5987</v>
      </c>
      <c r="F231" t="s">
        <v>279</v>
      </c>
      <c r="G231" t="s">
        <v>33</v>
      </c>
      <c r="H231">
        <v>0</v>
      </c>
      <c r="I231" t="s">
        <v>329</v>
      </c>
    </row>
    <row r="232" spans="1:9" x14ac:dyDescent="0.25">
      <c r="A232">
        <v>70343</v>
      </c>
      <c r="B232" t="s">
        <v>172</v>
      </c>
      <c r="C232" t="s">
        <v>238</v>
      </c>
      <c r="D232">
        <v>4</v>
      </c>
      <c r="E232">
        <v>5987</v>
      </c>
      <c r="F232" t="s">
        <v>279</v>
      </c>
      <c r="G232" t="s">
        <v>33</v>
      </c>
      <c r="H232">
        <v>6926</v>
      </c>
      <c r="I232" t="s">
        <v>319</v>
      </c>
    </row>
    <row r="233" spans="1:9" x14ac:dyDescent="0.25">
      <c r="A233">
        <v>70343</v>
      </c>
      <c r="B233" t="s">
        <v>172</v>
      </c>
      <c r="C233" t="s">
        <v>238</v>
      </c>
      <c r="D233">
        <v>4</v>
      </c>
      <c r="E233">
        <v>5987</v>
      </c>
      <c r="F233" t="s">
        <v>279</v>
      </c>
      <c r="G233" t="s">
        <v>33</v>
      </c>
      <c r="H233">
        <v>0</v>
      </c>
      <c r="I233" t="s">
        <v>373</v>
      </c>
    </row>
    <row r="234" spans="1:9" x14ac:dyDescent="0.25">
      <c r="A234">
        <v>70343</v>
      </c>
      <c r="B234" t="s">
        <v>172</v>
      </c>
      <c r="C234" t="s">
        <v>238</v>
      </c>
      <c r="D234">
        <v>4</v>
      </c>
      <c r="E234">
        <v>5987</v>
      </c>
      <c r="F234" t="s">
        <v>279</v>
      </c>
      <c r="G234" t="s">
        <v>33</v>
      </c>
      <c r="H234">
        <v>0</v>
      </c>
      <c r="I234" t="s">
        <v>374</v>
      </c>
    </row>
    <row r="235" spans="1:9" x14ac:dyDescent="0.25">
      <c r="A235">
        <v>70343</v>
      </c>
      <c r="B235" t="s">
        <v>172</v>
      </c>
      <c r="C235" t="s">
        <v>238</v>
      </c>
      <c r="D235">
        <v>4</v>
      </c>
      <c r="E235">
        <v>5987</v>
      </c>
      <c r="F235" t="s">
        <v>279</v>
      </c>
      <c r="G235" t="s">
        <v>33</v>
      </c>
      <c r="H235">
        <v>0</v>
      </c>
      <c r="I235" t="s">
        <v>326</v>
      </c>
    </row>
    <row r="236" spans="1:9" x14ac:dyDescent="0.25">
      <c r="A236">
        <v>70343</v>
      </c>
      <c r="B236" t="s">
        <v>172</v>
      </c>
      <c r="C236" t="s">
        <v>238</v>
      </c>
      <c r="D236">
        <v>4</v>
      </c>
      <c r="E236">
        <v>5987</v>
      </c>
      <c r="F236" t="s">
        <v>279</v>
      </c>
      <c r="G236" t="s">
        <v>33</v>
      </c>
      <c r="H236">
        <v>0</v>
      </c>
      <c r="I236" t="s">
        <v>375</v>
      </c>
    </row>
    <row r="237" spans="1:9" x14ac:dyDescent="0.25">
      <c r="A237">
        <v>70343</v>
      </c>
      <c r="B237" t="s">
        <v>172</v>
      </c>
      <c r="C237" t="s">
        <v>238</v>
      </c>
      <c r="D237">
        <v>4</v>
      </c>
      <c r="E237">
        <v>5987</v>
      </c>
      <c r="F237" t="s">
        <v>279</v>
      </c>
      <c r="G237" t="s">
        <v>33</v>
      </c>
      <c r="H237">
        <v>0</v>
      </c>
      <c r="I237" t="s">
        <v>376</v>
      </c>
    </row>
    <row r="238" spans="1:9" x14ac:dyDescent="0.25">
      <c r="A238">
        <v>70343</v>
      </c>
      <c r="B238" t="s">
        <v>172</v>
      </c>
      <c r="C238" t="s">
        <v>238</v>
      </c>
      <c r="D238">
        <v>4</v>
      </c>
      <c r="E238">
        <v>5987</v>
      </c>
      <c r="F238" t="s">
        <v>279</v>
      </c>
      <c r="G238" t="s">
        <v>33</v>
      </c>
      <c r="H238">
        <v>0</v>
      </c>
      <c r="I238" t="s">
        <v>377</v>
      </c>
    </row>
    <row r="239" spans="1:9" x14ac:dyDescent="0.25">
      <c r="A239">
        <v>70343</v>
      </c>
      <c r="B239" t="s">
        <v>172</v>
      </c>
      <c r="C239" t="s">
        <v>238</v>
      </c>
      <c r="D239">
        <v>4</v>
      </c>
      <c r="E239">
        <v>5987</v>
      </c>
      <c r="F239" t="s">
        <v>274</v>
      </c>
      <c r="G239" t="s">
        <v>275</v>
      </c>
      <c r="H239">
        <v>464866</v>
      </c>
      <c r="I239" t="s">
        <v>318</v>
      </c>
    </row>
    <row r="240" spans="1:9" x14ac:dyDescent="0.25">
      <c r="A240">
        <v>70343</v>
      </c>
      <c r="B240" t="s">
        <v>172</v>
      </c>
      <c r="C240" t="s">
        <v>238</v>
      </c>
      <c r="D240">
        <v>4</v>
      </c>
      <c r="E240">
        <v>5987</v>
      </c>
      <c r="F240" t="s">
        <v>274</v>
      </c>
      <c r="G240" t="s">
        <v>300</v>
      </c>
      <c r="H240">
        <v>13773</v>
      </c>
      <c r="I240" t="s">
        <v>301</v>
      </c>
    </row>
    <row r="241" spans="1:9" x14ac:dyDescent="0.25">
      <c r="A241">
        <v>70343</v>
      </c>
      <c r="B241" t="s">
        <v>172</v>
      </c>
      <c r="C241" t="s">
        <v>238</v>
      </c>
      <c r="D241">
        <v>4</v>
      </c>
      <c r="E241">
        <v>5987</v>
      </c>
      <c r="F241" t="s">
        <v>274</v>
      </c>
      <c r="G241" t="s">
        <v>275</v>
      </c>
      <c r="H241">
        <v>-13882</v>
      </c>
      <c r="I241" t="s">
        <v>302</v>
      </c>
    </row>
    <row r="242" spans="1:9" x14ac:dyDescent="0.25">
      <c r="A242">
        <v>70343</v>
      </c>
      <c r="B242" t="s">
        <v>172</v>
      </c>
      <c r="C242" t="s">
        <v>238</v>
      </c>
      <c r="D242">
        <v>4</v>
      </c>
      <c r="E242">
        <v>5987</v>
      </c>
      <c r="F242" t="s">
        <v>279</v>
      </c>
      <c r="G242" t="s">
        <v>30</v>
      </c>
      <c r="H242">
        <v>47187</v>
      </c>
      <c r="I242" t="s">
        <v>303</v>
      </c>
    </row>
    <row r="243" spans="1:9" x14ac:dyDescent="0.25">
      <c r="A243">
        <v>70343</v>
      </c>
      <c r="B243" t="s">
        <v>172</v>
      </c>
      <c r="C243" t="s">
        <v>238</v>
      </c>
      <c r="D243">
        <v>4</v>
      </c>
      <c r="E243">
        <v>5987</v>
      </c>
      <c r="F243" t="s">
        <v>279</v>
      </c>
      <c r="G243" t="s">
        <v>35</v>
      </c>
      <c r="H243">
        <v>4365</v>
      </c>
      <c r="I243" t="s">
        <v>304</v>
      </c>
    </row>
    <row r="244" spans="1:9" x14ac:dyDescent="0.25">
      <c r="A244">
        <v>70343</v>
      </c>
      <c r="B244" t="s">
        <v>172</v>
      </c>
      <c r="C244" t="s">
        <v>238</v>
      </c>
      <c r="D244">
        <v>4</v>
      </c>
      <c r="E244">
        <v>5987</v>
      </c>
      <c r="F244" t="s">
        <v>279</v>
      </c>
      <c r="G244" t="s">
        <v>31</v>
      </c>
      <c r="H244">
        <v>50486</v>
      </c>
      <c r="I244" t="s">
        <v>305</v>
      </c>
    </row>
    <row r="245" spans="1:9" x14ac:dyDescent="0.25">
      <c r="A245">
        <v>70343</v>
      </c>
      <c r="B245" t="s">
        <v>172</v>
      </c>
      <c r="C245" t="s">
        <v>238</v>
      </c>
      <c r="D245">
        <v>4</v>
      </c>
      <c r="E245">
        <v>5987</v>
      </c>
      <c r="F245" t="s">
        <v>279</v>
      </c>
      <c r="G245" t="s">
        <v>33</v>
      </c>
      <c r="H245">
        <v>0</v>
      </c>
      <c r="I245" t="s">
        <v>320</v>
      </c>
    </row>
    <row r="246" spans="1:9" x14ac:dyDescent="0.25">
      <c r="A246">
        <v>70343</v>
      </c>
      <c r="B246" t="s">
        <v>172</v>
      </c>
      <c r="C246" t="s">
        <v>238</v>
      </c>
      <c r="D246">
        <v>4</v>
      </c>
      <c r="E246">
        <v>5987</v>
      </c>
      <c r="F246" t="s">
        <v>279</v>
      </c>
      <c r="G246" t="s">
        <v>33</v>
      </c>
      <c r="H246">
        <v>0</v>
      </c>
      <c r="I246" t="s">
        <v>306</v>
      </c>
    </row>
    <row r="247" spans="1:9" x14ac:dyDescent="0.25">
      <c r="A247">
        <v>70343</v>
      </c>
      <c r="B247" t="s">
        <v>172</v>
      </c>
      <c r="C247" t="s">
        <v>238</v>
      </c>
      <c r="D247">
        <v>4</v>
      </c>
      <c r="E247">
        <v>5987</v>
      </c>
      <c r="F247" t="s">
        <v>279</v>
      </c>
      <c r="G247" t="s">
        <v>33</v>
      </c>
      <c r="H247">
        <v>0</v>
      </c>
      <c r="I247" t="s">
        <v>378</v>
      </c>
    </row>
    <row r="248" spans="1:9" x14ac:dyDescent="0.25">
      <c r="A248">
        <v>70343</v>
      </c>
      <c r="B248" t="s">
        <v>172</v>
      </c>
      <c r="C248" t="s">
        <v>238</v>
      </c>
      <c r="D248">
        <v>4</v>
      </c>
      <c r="E248">
        <v>5987</v>
      </c>
      <c r="F248" t="s">
        <v>274</v>
      </c>
      <c r="G248" t="s">
        <v>275</v>
      </c>
      <c r="H248">
        <v>50546</v>
      </c>
      <c r="I248" t="s">
        <v>299</v>
      </c>
    </row>
    <row r="249" spans="1:9" x14ac:dyDescent="0.25">
      <c r="A249">
        <v>70343</v>
      </c>
      <c r="B249" t="s">
        <v>172</v>
      </c>
      <c r="C249" t="s">
        <v>238</v>
      </c>
      <c r="D249">
        <v>4</v>
      </c>
      <c r="E249">
        <v>5987</v>
      </c>
      <c r="F249" t="s">
        <v>274</v>
      </c>
      <c r="G249" t="s">
        <v>275</v>
      </c>
      <c r="H249">
        <v>0</v>
      </c>
      <c r="I249" t="s">
        <v>385</v>
      </c>
    </row>
    <row r="250" spans="1:9" x14ac:dyDescent="0.25">
      <c r="A250">
        <v>70343</v>
      </c>
      <c r="B250" t="s">
        <v>172</v>
      </c>
      <c r="C250" t="s">
        <v>238</v>
      </c>
      <c r="D250">
        <v>4</v>
      </c>
      <c r="E250">
        <v>5987</v>
      </c>
      <c r="F250" t="s">
        <v>279</v>
      </c>
      <c r="G250" t="s">
        <v>34</v>
      </c>
      <c r="H250">
        <v>10075</v>
      </c>
      <c r="I250" t="s">
        <v>289</v>
      </c>
    </row>
    <row r="251" spans="1:9" x14ac:dyDescent="0.25">
      <c r="A251">
        <v>70343</v>
      </c>
      <c r="B251" t="s">
        <v>172</v>
      </c>
      <c r="C251" t="s">
        <v>238</v>
      </c>
      <c r="D251">
        <v>4</v>
      </c>
      <c r="E251">
        <v>5987</v>
      </c>
      <c r="F251" t="s">
        <v>279</v>
      </c>
      <c r="G251" t="s">
        <v>29</v>
      </c>
      <c r="H251">
        <v>6095</v>
      </c>
      <c r="I251" t="s">
        <v>290</v>
      </c>
    </row>
    <row r="252" spans="1:9" x14ac:dyDescent="0.25">
      <c r="A252">
        <v>70343</v>
      </c>
      <c r="B252" t="s">
        <v>172</v>
      </c>
      <c r="C252" t="s">
        <v>238</v>
      </c>
      <c r="D252">
        <v>4</v>
      </c>
      <c r="E252">
        <v>5987</v>
      </c>
      <c r="F252" t="s">
        <v>279</v>
      </c>
      <c r="G252" t="s">
        <v>32</v>
      </c>
      <c r="H252">
        <v>29439</v>
      </c>
      <c r="I252" t="s">
        <v>291</v>
      </c>
    </row>
    <row r="253" spans="1:9" x14ac:dyDescent="0.25">
      <c r="A253">
        <v>70343</v>
      </c>
      <c r="B253" t="s">
        <v>172</v>
      </c>
      <c r="C253" t="s">
        <v>238</v>
      </c>
      <c r="D253">
        <v>4</v>
      </c>
      <c r="E253">
        <v>5987</v>
      </c>
      <c r="F253" t="s">
        <v>279</v>
      </c>
      <c r="G253" t="s">
        <v>29</v>
      </c>
      <c r="H253">
        <v>-115</v>
      </c>
      <c r="I253" t="s">
        <v>292</v>
      </c>
    </row>
    <row r="254" spans="1:9" x14ac:dyDescent="0.25">
      <c r="A254">
        <v>70343</v>
      </c>
      <c r="B254" t="s">
        <v>172</v>
      </c>
      <c r="C254" t="s">
        <v>238</v>
      </c>
      <c r="D254">
        <v>4</v>
      </c>
      <c r="E254">
        <v>5987</v>
      </c>
      <c r="F254" t="s">
        <v>279</v>
      </c>
      <c r="G254" t="s">
        <v>29</v>
      </c>
      <c r="H254">
        <v>0</v>
      </c>
      <c r="I254" t="s">
        <v>384</v>
      </c>
    </row>
    <row r="255" spans="1:9" x14ac:dyDescent="0.25">
      <c r="A255">
        <v>70343</v>
      </c>
      <c r="B255" t="s">
        <v>172</v>
      </c>
      <c r="C255" t="s">
        <v>238</v>
      </c>
      <c r="D255">
        <v>4</v>
      </c>
      <c r="E255">
        <v>5987</v>
      </c>
      <c r="F255" t="s">
        <v>279</v>
      </c>
      <c r="G255" t="s">
        <v>35</v>
      </c>
      <c r="H255">
        <v>4283</v>
      </c>
      <c r="I255" t="s">
        <v>293</v>
      </c>
    </row>
    <row r="256" spans="1:9" x14ac:dyDescent="0.25">
      <c r="A256">
        <v>70343</v>
      </c>
      <c r="B256" t="s">
        <v>172</v>
      </c>
      <c r="C256" t="s">
        <v>238</v>
      </c>
      <c r="D256">
        <v>4</v>
      </c>
      <c r="E256">
        <v>5987</v>
      </c>
      <c r="F256" t="s">
        <v>279</v>
      </c>
      <c r="G256" t="s">
        <v>35</v>
      </c>
      <c r="H256">
        <v>0</v>
      </c>
      <c r="I256" t="s">
        <v>294</v>
      </c>
    </row>
    <row r="257" spans="1:9" x14ac:dyDescent="0.25">
      <c r="A257">
        <v>70343</v>
      </c>
      <c r="B257" t="s">
        <v>172</v>
      </c>
      <c r="C257" t="s">
        <v>238</v>
      </c>
      <c r="D257">
        <v>4</v>
      </c>
      <c r="E257">
        <v>5987</v>
      </c>
      <c r="F257" t="s">
        <v>279</v>
      </c>
      <c r="G257" t="s">
        <v>35</v>
      </c>
      <c r="H257">
        <v>2283</v>
      </c>
      <c r="I257" t="s">
        <v>295</v>
      </c>
    </row>
    <row r="258" spans="1:9" x14ac:dyDescent="0.25">
      <c r="A258">
        <v>70343</v>
      </c>
      <c r="B258" t="s">
        <v>172</v>
      </c>
      <c r="C258" t="s">
        <v>238</v>
      </c>
      <c r="D258">
        <v>4</v>
      </c>
      <c r="E258">
        <v>5987</v>
      </c>
      <c r="F258" t="s">
        <v>279</v>
      </c>
      <c r="G258" t="s">
        <v>35</v>
      </c>
      <c r="H258">
        <v>1406</v>
      </c>
      <c r="I258" t="s">
        <v>296</v>
      </c>
    </row>
    <row r="259" spans="1:9" x14ac:dyDescent="0.25">
      <c r="A259">
        <v>70343</v>
      </c>
      <c r="B259" t="s">
        <v>172</v>
      </c>
      <c r="C259" t="s">
        <v>238</v>
      </c>
      <c r="D259">
        <v>4</v>
      </c>
      <c r="E259">
        <v>5987</v>
      </c>
      <c r="F259" t="s">
        <v>279</v>
      </c>
      <c r="G259" t="s">
        <v>35</v>
      </c>
      <c r="H259">
        <v>0</v>
      </c>
      <c r="I259" t="s">
        <v>325</v>
      </c>
    </row>
    <row r="260" spans="1:9" x14ac:dyDescent="0.25">
      <c r="A260">
        <v>70343</v>
      </c>
      <c r="B260" t="s">
        <v>172</v>
      </c>
      <c r="C260" t="s">
        <v>238</v>
      </c>
      <c r="D260">
        <v>4</v>
      </c>
      <c r="E260">
        <v>5987</v>
      </c>
      <c r="F260" t="s">
        <v>279</v>
      </c>
      <c r="G260" t="s">
        <v>29</v>
      </c>
      <c r="H260">
        <v>1385</v>
      </c>
      <c r="I260" t="s">
        <v>297</v>
      </c>
    </row>
    <row r="261" spans="1:9" x14ac:dyDescent="0.25">
      <c r="A261">
        <v>70343</v>
      </c>
      <c r="B261" t="s">
        <v>172</v>
      </c>
      <c r="C261" t="s">
        <v>238</v>
      </c>
      <c r="D261">
        <v>4</v>
      </c>
      <c r="E261">
        <v>5987</v>
      </c>
      <c r="F261" t="s">
        <v>279</v>
      </c>
      <c r="G261" t="s">
        <v>36</v>
      </c>
      <c r="H261">
        <v>17251</v>
      </c>
      <c r="I261" t="s">
        <v>298</v>
      </c>
    </row>
    <row r="262" spans="1:9" x14ac:dyDescent="0.25">
      <c r="A262">
        <v>70343</v>
      </c>
      <c r="B262" t="s">
        <v>172</v>
      </c>
      <c r="C262" t="s">
        <v>238</v>
      </c>
      <c r="D262">
        <v>4</v>
      </c>
      <c r="E262">
        <v>5987</v>
      </c>
      <c r="F262" t="s">
        <v>279</v>
      </c>
      <c r="G262" t="s">
        <v>31</v>
      </c>
      <c r="H262">
        <v>8809</v>
      </c>
      <c r="I262" t="s">
        <v>307</v>
      </c>
    </row>
    <row r="263" spans="1:9" x14ac:dyDescent="0.25">
      <c r="A263">
        <v>70343</v>
      </c>
      <c r="B263" t="s">
        <v>172</v>
      </c>
      <c r="C263" t="s">
        <v>238</v>
      </c>
      <c r="D263">
        <v>4</v>
      </c>
      <c r="E263">
        <v>5987</v>
      </c>
      <c r="F263" t="s">
        <v>279</v>
      </c>
      <c r="G263" t="s">
        <v>31</v>
      </c>
      <c r="H263">
        <v>0</v>
      </c>
      <c r="I263" t="s">
        <v>379</v>
      </c>
    </row>
    <row r="264" spans="1:9" x14ac:dyDescent="0.25">
      <c r="A264">
        <v>70343</v>
      </c>
      <c r="B264" t="s">
        <v>172</v>
      </c>
      <c r="C264" t="s">
        <v>238</v>
      </c>
      <c r="D264">
        <v>4</v>
      </c>
      <c r="E264">
        <v>5987</v>
      </c>
      <c r="F264" t="s">
        <v>279</v>
      </c>
      <c r="G264" t="s">
        <v>30</v>
      </c>
      <c r="H264">
        <v>3648</v>
      </c>
      <c r="I264" t="s">
        <v>308</v>
      </c>
    </row>
    <row r="265" spans="1:9" x14ac:dyDescent="0.25">
      <c r="A265">
        <v>70343</v>
      </c>
      <c r="B265" t="s">
        <v>172</v>
      </c>
      <c r="C265" t="s">
        <v>238</v>
      </c>
      <c r="D265">
        <v>4</v>
      </c>
      <c r="E265">
        <v>5987</v>
      </c>
      <c r="F265" t="s">
        <v>279</v>
      </c>
      <c r="G265" t="s">
        <v>35</v>
      </c>
      <c r="H265">
        <v>1564</v>
      </c>
      <c r="I265" t="s">
        <v>321</v>
      </c>
    </row>
    <row r="266" spans="1:9" x14ac:dyDescent="0.25">
      <c r="A266">
        <v>70343</v>
      </c>
      <c r="B266" t="s">
        <v>172</v>
      </c>
      <c r="C266" t="s">
        <v>238</v>
      </c>
      <c r="D266">
        <v>4</v>
      </c>
      <c r="E266">
        <v>5987</v>
      </c>
      <c r="F266" t="s">
        <v>279</v>
      </c>
      <c r="G266" t="s">
        <v>33</v>
      </c>
      <c r="H266">
        <v>0</v>
      </c>
      <c r="I266" t="s">
        <v>380</v>
      </c>
    </row>
    <row r="267" spans="1:9" x14ac:dyDescent="0.25">
      <c r="A267">
        <v>70343</v>
      </c>
      <c r="B267" t="s">
        <v>172</v>
      </c>
      <c r="C267" t="s">
        <v>238</v>
      </c>
      <c r="D267">
        <v>4</v>
      </c>
      <c r="E267">
        <v>5987</v>
      </c>
      <c r="F267" t="s">
        <v>279</v>
      </c>
      <c r="G267" t="s">
        <v>35</v>
      </c>
      <c r="H267">
        <v>0</v>
      </c>
      <c r="I267" t="s">
        <v>309</v>
      </c>
    </row>
    <row r="268" spans="1:9" x14ac:dyDescent="0.25">
      <c r="A268">
        <v>70343</v>
      </c>
      <c r="B268" t="s">
        <v>172</v>
      </c>
      <c r="C268" t="s">
        <v>238</v>
      </c>
      <c r="D268">
        <v>4</v>
      </c>
      <c r="E268">
        <v>5987</v>
      </c>
      <c r="F268" t="s">
        <v>279</v>
      </c>
      <c r="G268" t="s">
        <v>35</v>
      </c>
      <c r="H268">
        <v>1139</v>
      </c>
      <c r="I268" t="s">
        <v>310</v>
      </c>
    </row>
    <row r="269" spans="1:9" x14ac:dyDescent="0.25">
      <c r="A269">
        <v>70343</v>
      </c>
      <c r="B269" t="s">
        <v>172</v>
      </c>
      <c r="C269" t="s">
        <v>238</v>
      </c>
      <c r="D269">
        <v>4</v>
      </c>
      <c r="E269">
        <v>5987</v>
      </c>
      <c r="F269" t="s">
        <v>279</v>
      </c>
      <c r="G269" t="s">
        <v>35</v>
      </c>
      <c r="H269">
        <v>15191</v>
      </c>
      <c r="I269" t="s">
        <v>311</v>
      </c>
    </row>
    <row r="270" spans="1:9" x14ac:dyDescent="0.25">
      <c r="A270">
        <v>70343</v>
      </c>
      <c r="B270" t="s">
        <v>172</v>
      </c>
      <c r="C270" t="s">
        <v>238</v>
      </c>
      <c r="D270">
        <v>4</v>
      </c>
      <c r="E270">
        <v>5987</v>
      </c>
      <c r="F270" t="s">
        <v>279</v>
      </c>
      <c r="G270" t="s">
        <v>35</v>
      </c>
      <c r="H270">
        <v>49</v>
      </c>
      <c r="I270" t="s">
        <v>312</v>
      </c>
    </row>
    <row r="271" spans="1:9" x14ac:dyDescent="0.25">
      <c r="A271">
        <v>70343</v>
      </c>
      <c r="B271" t="s">
        <v>172</v>
      </c>
      <c r="C271" t="s">
        <v>238</v>
      </c>
      <c r="D271">
        <v>4</v>
      </c>
      <c r="E271">
        <v>5987</v>
      </c>
      <c r="F271" t="s">
        <v>279</v>
      </c>
      <c r="G271" t="s">
        <v>35</v>
      </c>
      <c r="H271">
        <v>4330</v>
      </c>
      <c r="I271" t="s">
        <v>313</v>
      </c>
    </row>
    <row r="272" spans="1:9" x14ac:dyDescent="0.25">
      <c r="A272">
        <v>70343</v>
      </c>
      <c r="B272" t="s">
        <v>172</v>
      </c>
      <c r="C272" t="s">
        <v>238</v>
      </c>
      <c r="D272">
        <v>4</v>
      </c>
      <c r="E272">
        <v>5987</v>
      </c>
      <c r="F272" t="s">
        <v>279</v>
      </c>
      <c r="G272" t="s">
        <v>37</v>
      </c>
      <c r="H272">
        <v>0</v>
      </c>
      <c r="I272" t="s">
        <v>381</v>
      </c>
    </row>
    <row r="273" spans="1:9" x14ac:dyDescent="0.25">
      <c r="A273">
        <v>70343</v>
      </c>
      <c r="B273" t="s">
        <v>172</v>
      </c>
      <c r="C273" t="s">
        <v>238</v>
      </c>
      <c r="D273">
        <v>4</v>
      </c>
      <c r="E273">
        <v>5987</v>
      </c>
      <c r="F273" t="s">
        <v>279</v>
      </c>
      <c r="G273" t="s">
        <v>37</v>
      </c>
      <c r="H273">
        <v>16203</v>
      </c>
      <c r="I273" t="s">
        <v>314</v>
      </c>
    </row>
    <row r="274" spans="1:9" x14ac:dyDescent="0.25">
      <c r="A274">
        <v>70343</v>
      </c>
      <c r="B274" t="s">
        <v>172</v>
      </c>
      <c r="C274" t="s">
        <v>238</v>
      </c>
      <c r="D274">
        <v>4</v>
      </c>
      <c r="E274">
        <v>5987</v>
      </c>
      <c r="F274" t="s">
        <v>279</v>
      </c>
      <c r="G274" t="s">
        <v>35</v>
      </c>
      <c r="H274">
        <v>2317</v>
      </c>
      <c r="I274" t="s">
        <v>315</v>
      </c>
    </row>
    <row r="275" spans="1:9" x14ac:dyDescent="0.25">
      <c r="A275">
        <v>70343</v>
      </c>
      <c r="B275" t="s">
        <v>172</v>
      </c>
      <c r="C275" t="s">
        <v>238</v>
      </c>
      <c r="D275">
        <v>4</v>
      </c>
      <c r="E275">
        <v>5987</v>
      </c>
      <c r="F275" t="s">
        <v>279</v>
      </c>
      <c r="G275" t="s">
        <v>37</v>
      </c>
      <c r="H275">
        <v>0</v>
      </c>
      <c r="I275" t="s">
        <v>323</v>
      </c>
    </row>
    <row r="276" spans="1:9" x14ac:dyDescent="0.25">
      <c r="A276">
        <v>70343</v>
      </c>
      <c r="B276" t="s">
        <v>172</v>
      </c>
      <c r="C276" t="s">
        <v>238</v>
      </c>
      <c r="D276">
        <v>4</v>
      </c>
      <c r="E276">
        <v>5987</v>
      </c>
      <c r="F276" t="s">
        <v>279</v>
      </c>
      <c r="G276" t="s">
        <v>37</v>
      </c>
      <c r="H276">
        <v>0</v>
      </c>
      <c r="I276" t="s">
        <v>322</v>
      </c>
    </row>
    <row r="277" spans="1:9" x14ac:dyDescent="0.25">
      <c r="A277">
        <v>70343</v>
      </c>
      <c r="B277" t="s">
        <v>172</v>
      </c>
      <c r="C277" t="s">
        <v>238</v>
      </c>
      <c r="D277">
        <v>4</v>
      </c>
      <c r="E277">
        <v>5987</v>
      </c>
      <c r="F277" t="s">
        <v>279</v>
      </c>
      <c r="G277" t="s">
        <v>37</v>
      </c>
      <c r="H277">
        <v>0</v>
      </c>
      <c r="I277" t="s">
        <v>382</v>
      </c>
    </row>
    <row r="278" spans="1:9" x14ac:dyDescent="0.25">
      <c r="A278">
        <v>70343</v>
      </c>
      <c r="B278" t="s">
        <v>172</v>
      </c>
      <c r="C278" t="s">
        <v>238</v>
      </c>
      <c r="D278">
        <v>4</v>
      </c>
      <c r="E278">
        <v>5987</v>
      </c>
      <c r="F278" t="s">
        <v>279</v>
      </c>
      <c r="G278" t="s">
        <v>37</v>
      </c>
      <c r="H278">
        <v>49927</v>
      </c>
      <c r="I278" t="s">
        <v>316</v>
      </c>
    </row>
    <row r="279" spans="1:9" x14ac:dyDescent="0.25">
      <c r="A279">
        <v>70343</v>
      </c>
      <c r="B279" t="s">
        <v>172</v>
      </c>
      <c r="C279" t="s">
        <v>238</v>
      </c>
      <c r="D279">
        <v>4</v>
      </c>
      <c r="E279">
        <v>5987</v>
      </c>
      <c r="F279" t="s">
        <v>279</v>
      </c>
      <c r="G279" t="s">
        <v>36</v>
      </c>
      <c r="H279">
        <v>48901</v>
      </c>
      <c r="I279" t="s">
        <v>317</v>
      </c>
    </row>
    <row r="280" spans="1:9" x14ac:dyDescent="0.25">
      <c r="A280">
        <v>70343</v>
      </c>
      <c r="B280" t="s">
        <v>172</v>
      </c>
      <c r="C280" t="s">
        <v>238</v>
      </c>
      <c r="D280">
        <v>4</v>
      </c>
      <c r="E280">
        <v>5987</v>
      </c>
      <c r="F280" t="s">
        <v>274</v>
      </c>
      <c r="G280" t="s">
        <v>275</v>
      </c>
      <c r="H280">
        <v>0</v>
      </c>
      <c r="I280" t="s">
        <v>276</v>
      </c>
    </row>
    <row r="281" spans="1:9" x14ac:dyDescent="0.25">
      <c r="A281">
        <v>70343</v>
      </c>
      <c r="B281" t="s">
        <v>172</v>
      </c>
      <c r="C281" t="s">
        <v>238</v>
      </c>
      <c r="D281">
        <v>4</v>
      </c>
      <c r="E281">
        <v>5987</v>
      </c>
      <c r="F281" t="s">
        <v>279</v>
      </c>
      <c r="G281" t="s">
        <v>29</v>
      </c>
      <c r="H281">
        <v>0</v>
      </c>
      <c r="I281" t="s">
        <v>324</v>
      </c>
    </row>
    <row r="282" spans="1:9" x14ac:dyDescent="0.25">
      <c r="A282">
        <v>70343</v>
      </c>
      <c r="B282" t="s">
        <v>172</v>
      </c>
      <c r="C282" t="s">
        <v>238</v>
      </c>
      <c r="D282">
        <v>4</v>
      </c>
      <c r="E282">
        <v>5987</v>
      </c>
      <c r="F282" t="s">
        <v>274</v>
      </c>
      <c r="G282" t="s">
        <v>277</v>
      </c>
      <c r="H282">
        <v>1273</v>
      </c>
      <c r="I282" t="s">
        <v>278</v>
      </c>
    </row>
    <row r="283" spans="1:9" x14ac:dyDescent="0.25">
      <c r="A283">
        <v>70343</v>
      </c>
      <c r="B283" t="s">
        <v>172</v>
      </c>
      <c r="C283" t="s">
        <v>238</v>
      </c>
      <c r="D283">
        <v>4</v>
      </c>
      <c r="E283">
        <v>5987</v>
      </c>
      <c r="F283" t="s">
        <v>274</v>
      </c>
      <c r="G283" t="s">
        <v>300</v>
      </c>
      <c r="H283">
        <v>0</v>
      </c>
      <c r="I283" t="s">
        <v>383</v>
      </c>
    </row>
    <row r="284" spans="1:9" x14ac:dyDescent="0.25">
      <c r="A284">
        <v>70343</v>
      </c>
      <c r="B284" t="s">
        <v>172</v>
      </c>
      <c r="C284" t="s">
        <v>238</v>
      </c>
      <c r="D284">
        <v>4</v>
      </c>
      <c r="E284">
        <v>5987</v>
      </c>
      <c r="F284" t="s">
        <v>279</v>
      </c>
      <c r="G284" t="s">
        <v>33</v>
      </c>
      <c r="H284">
        <v>33570</v>
      </c>
      <c r="I284" t="s">
        <v>280</v>
      </c>
    </row>
    <row r="285" spans="1:9" x14ac:dyDescent="0.25">
      <c r="A285">
        <v>70343</v>
      </c>
      <c r="B285" t="s">
        <v>172</v>
      </c>
      <c r="C285" t="s">
        <v>238</v>
      </c>
      <c r="D285">
        <v>4</v>
      </c>
      <c r="E285">
        <v>5987</v>
      </c>
      <c r="F285" t="s">
        <v>279</v>
      </c>
      <c r="G285" t="s">
        <v>29</v>
      </c>
      <c r="H285">
        <v>1152</v>
      </c>
      <c r="I285" t="s">
        <v>281</v>
      </c>
    </row>
    <row r="286" spans="1:9" x14ac:dyDescent="0.25">
      <c r="A286">
        <v>70343</v>
      </c>
      <c r="B286" t="s">
        <v>172</v>
      </c>
      <c r="C286" t="s">
        <v>238</v>
      </c>
      <c r="D286">
        <v>4</v>
      </c>
      <c r="E286">
        <v>5987</v>
      </c>
      <c r="F286" t="s">
        <v>279</v>
      </c>
      <c r="G286" t="s">
        <v>29</v>
      </c>
      <c r="H286">
        <v>42616</v>
      </c>
      <c r="I286" t="s">
        <v>282</v>
      </c>
    </row>
    <row r="287" spans="1:9" x14ac:dyDescent="0.25">
      <c r="A287">
        <v>70343</v>
      </c>
      <c r="B287" t="s">
        <v>172</v>
      </c>
      <c r="C287" t="s">
        <v>238</v>
      </c>
      <c r="D287">
        <v>4</v>
      </c>
      <c r="E287">
        <v>5987</v>
      </c>
      <c r="F287" t="s">
        <v>279</v>
      </c>
      <c r="G287" t="s">
        <v>35</v>
      </c>
      <c r="H287">
        <v>48691</v>
      </c>
      <c r="I287" t="s">
        <v>283</v>
      </c>
    </row>
    <row r="288" spans="1:9" x14ac:dyDescent="0.25">
      <c r="A288">
        <v>70343</v>
      </c>
      <c r="B288" t="s">
        <v>172</v>
      </c>
      <c r="C288" t="s">
        <v>238</v>
      </c>
      <c r="D288">
        <v>4</v>
      </c>
      <c r="E288">
        <v>5987</v>
      </c>
      <c r="F288" t="s">
        <v>279</v>
      </c>
      <c r="G288" t="s">
        <v>29</v>
      </c>
      <c r="H288">
        <v>4547</v>
      </c>
      <c r="I288" t="s">
        <v>284</v>
      </c>
    </row>
    <row r="289" spans="1:9" x14ac:dyDescent="0.25">
      <c r="A289">
        <v>70343</v>
      </c>
      <c r="B289" t="s">
        <v>172</v>
      </c>
      <c r="C289" t="s">
        <v>238</v>
      </c>
      <c r="D289">
        <v>4</v>
      </c>
      <c r="E289">
        <v>5987</v>
      </c>
      <c r="F289" t="s">
        <v>279</v>
      </c>
      <c r="G289" t="s">
        <v>29</v>
      </c>
      <c r="H289">
        <v>25336</v>
      </c>
      <c r="I289" t="s">
        <v>285</v>
      </c>
    </row>
    <row r="290" spans="1:9" x14ac:dyDescent="0.25">
      <c r="A290">
        <v>70343</v>
      </c>
      <c r="B290" t="s">
        <v>172</v>
      </c>
      <c r="C290" t="s">
        <v>238</v>
      </c>
      <c r="D290">
        <v>4</v>
      </c>
      <c r="E290">
        <v>5987</v>
      </c>
      <c r="F290" t="s">
        <v>279</v>
      </c>
      <c r="G290" t="s">
        <v>29</v>
      </c>
      <c r="H290">
        <v>239</v>
      </c>
      <c r="I290" t="s">
        <v>286</v>
      </c>
    </row>
    <row r="291" spans="1:9" x14ac:dyDescent="0.25">
      <c r="A291">
        <v>70343</v>
      </c>
      <c r="B291" t="s">
        <v>172</v>
      </c>
      <c r="C291" t="s">
        <v>238</v>
      </c>
      <c r="D291">
        <v>4</v>
      </c>
      <c r="E291">
        <v>5987</v>
      </c>
      <c r="F291" t="s">
        <v>279</v>
      </c>
      <c r="G291" t="s">
        <v>29</v>
      </c>
      <c r="H291">
        <v>0</v>
      </c>
      <c r="I291" t="s">
        <v>327</v>
      </c>
    </row>
    <row r="292" spans="1:9" x14ac:dyDescent="0.25">
      <c r="A292">
        <v>70343</v>
      </c>
      <c r="B292" t="s">
        <v>172</v>
      </c>
      <c r="C292" t="s">
        <v>238</v>
      </c>
      <c r="D292">
        <v>4</v>
      </c>
      <c r="E292">
        <v>5987</v>
      </c>
      <c r="F292" t="s">
        <v>279</v>
      </c>
      <c r="G292" t="s">
        <v>34</v>
      </c>
      <c r="H292">
        <v>3791</v>
      </c>
      <c r="I292" t="s">
        <v>287</v>
      </c>
    </row>
    <row r="293" spans="1:9" x14ac:dyDescent="0.25">
      <c r="A293">
        <v>70343</v>
      </c>
      <c r="B293" t="s">
        <v>172</v>
      </c>
      <c r="C293" t="s">
        <v>238</v>
      </c>
      <c r="D293">
        <v>4</v>
      </c>
      <c r="E293">
        <v>5987</v>
      </c>
      <c r="F293" t="s">
        <v>279</v>
      </c>
      <c r="G293" t="s">
        <v>29</v>
      </c>
      <c r="H293">
        <v>17503</v>
      </c>
      <c r="I293" t="s">
        <v>288</v>
      </c>
    </row>
    <row r="294" spans="1:9" x14ac:dyDescent="0.25">
      <c r="A294">
        <v>70344</v>
      </c>
      <c r="B294" t="s">
        <v>174</v>
      </c>
      <c r="C294" t="s">
        <v>238</v>
      </c>
      <c r="D294">
        <v>4</v>
      </c>
      <c r="E294">
        <v>60195</v>
      </c>
      <c r="F294" t="s">
        <v>279</v>
      </c>
      <c r="G294" t="s">
        <v>35</v>
      </c>
      <c r="H294">
        <v>722</v>
      </c>
      <c r="I294" t="s">
        <v>293</v>
      </c>
    </row>
    <row r="295" spans="1:9" x14ac:dyDescent="0.25">
      <c r="A295">
        <v>70344</v>
      </c>
      <c r="B295" t="s">
        <v>174</v>
      </c>
      <c r="C295" t="s">
        <v>238</v>
      </c>
      <c r="D295">
        <v>4</v>
      </c>
      <c r="E295">
        <v>60195</v>
      </c>
      <c r="F295" t="s">
        <v>279</v>
      </c>
      <c r="G295" t="s">
        <v>35</v>
      </c>
      <c r="H295">
        <v>324</v>
      </c>
      <c r="I295" t="s">
        <v>294</v>
      </c>
    </row>
    <row r="296" spans="1:9" x14ac:dyDescent="0.25">
      <c r="A296">
        <v>70344</v>
      </c>
      <c r="B296" t="s">
        <v>174</v>
      </c>
      <c r="C296" t="s">
        <v>238</v>
      </c>
      <c r="D296">
        <v>4</v>
      </c>
      <c r="E296">
        <v>60195</v>
      </c>
      <c r="F296" t="s">
        <v>279</v>
      </c>
      <c r="G296" t="s">
        <v>35</v>
      </c>
      <c r="H296">
        <v>3233</v>
      </c>
      <c r="I296" t="s">
        <v>295</v>
      </c>
    </row>
    <row r="297" spans="1:9" x14ac:dyDescent="0.25">
      <c r="A297">
        <v>70344</v>
      </c>
      <c r="B297" t="s">
        <v>174</v>
      </c>
      <c r="C297" t="s">
        <v>238</v>
      </c>
      <c r="D297">
        <v>4</v>
      </c>
      <c r="E297">
        <v>60195</v>
      </c>
      <c r="F297" t="s">
        <v>279</v>
      </c>
      <c r="G297" t="s">
        <v>35</v>
      </c>
      <c r="H297">
        <v>2241</v>
      </c>
      <c r="I297" t="s">
        <v>296</v>
      </c>
    </row>
    <row r="298" spans="1:9" x14ac:dyDescent="0.25">
      <c r="A298">
        <v>70344</v>
      </c>
      <c r="B298" t="s">
        <v>174</v>
      </c>
      <c r="C298" t="s">
        <v>238</v>
      </c>
      <c r="D298">
        <v>4</v>
      </c>
      <c r="E298">
        <v>60195</v>
      </c>
      <c r="F298" t="s">
        <v>279</v>
      </c>
      <c r="G298" t="s">
        <v>35</v>
      </c>
      <c r="H298">
        <v>0</v>
      </c>
      <c r="I298" t="s">
        <v>325</v>
      </c>
    </row>
    <row r="299" spans="1:9" x14ac:dyDescent="0.25">
      <c r="A299">
        <v>70344</v>
      </c>
      <c r="B299" t="s">
        <v>174</v>
      </c>
      <c r="C299" t="s">
        <v>238</v>
      </c>
      <c r="D299">
        <v>4</v>
      </c>
      <c r="E299">
        <v>60195</v>
      </c>
      <c r="F299" t="s">
        <v>279</v>
      </c>
      <c r="G299" t="s">
        <v>29</v>
      </c>
      <c r="H299">
        <v>4762</v>
      </c>
      <c r="I299" t="s">
        <v>297</v>
      </c>
    </row>
    <row r="300" spans="1:9" x14ac:dyDescent="0.25">
      <c r="A300">
        <v>70344</v>
      </c>
      <c r="B300" t="s">
        <v>174</v>
      </c>
      <c r="C300" t="s">
        <v>238</v>
      </c>
      <c r="D300">
        <v>4</v>
      </c>
      <c r="E300">
        <v>60195</v>
      </c>
      <c r="F300" t="s">
        <v>279</v>
      </c>
      <c r="G300" t="s">
        <v>36</v>
      </c>
      <c r="H300">
        <v>21261</v>
      </c>
      <c r="I300" t="s">
        <v>298</v>
      </c>
    </row>
    <row r="301" spans="1:9" x14ac:dyDescent="0.25">
      <c r="A301">
        <v>70344</v>
      </c>
      <c r="B301" t="s">
        <v>174</v>
      </c>
      <c r="C301" t="s">
        <v>238</v>
      </c>
      <c r="D301">
        <v>4</v>
      </c>
      <c r="E301">
        <v>60195</v>
      </c>
      <c r="F301" t="s">
        <v>274</v>
      </c>
      <c r="G301" t="s">
        <v>275</v>
      </c>
      <c r="H301">
        <v>65025</v>
      </c>
      <c r="I301" t="s">
        <v>299</v>
      </c>
    </row>
    <row r="302" spans="1:9" x14ac:dyDescent="0.25">
      <c r="A302">
        <v>70344</v>
      </c>
      <c r="B302" t="s">
        <v>174</v>
      </c>
      <c r="C302" t="s">
        <v>238</v>
      </c>
      <c r="D302">
        <v>4</v>
      </c>
      <c r="E302">
        <v>60195</v>
      </c>
      <c r="F302" t="s">
        <v>274</v>
      </c>
      <c r="G302" t="s">
        <v>275</v>
      </c>
      <c r="H302">
        <v>0</v>
      </c>
      <c r="I302" t="s">
        <v>385</v>
      </c>
    </row>
    <row r="303" spans="1:9" x14ac:dyDescent="0.25">
      <c r="A303">
        <v>70344</v>
      </c>
      <c r="B303" t="s">
        <v>174</v>
      </c>
      <c r="C303" t="s">
        <v>238</v>
      </c>
      <c r="D303">
        <v>4</v>
      </c>
      <c r="E303">
        <v>60195</v>
      </c>
      <c r="F303" t="s">
        <v>279</v>
      </c>
      <c r="G303" t="s">
        <v>31</v>
      </c>
      <c r="H303">
        <v>0</v>
      </c>
      <c r="I303" t="s">
        <v>364</v>
      </c>
    </row>
    <row r="304" spans="1:9" x14ac:dyDescent="0.25">
      <c r="A304">
        <v>70344</v>
      </c>
      <c r="B304" t="s">
        <v>174</v>
      </c>
      <c r="C304" t="s">
        <v>238</v>
      </c>
      <c r="D304">
        <v>4</v>
      </c>
      <c r="E304">
        <v>60195</v>
      </c>
      <c r="F304" t="s">
        <v>279</v>
      </c>
      <c r="G304" t="s">
        <v>31</v>
      </c>
      <c r="H304">
        <v>0</v>
      </c>
      <c r="I304" t="s">
        <v>365</v>
      </c>
    </row>
    <row r="305" spans="1:9" x14ac:dyDescent="0.25">
      <c r="A305">
        <v>70344</v>
      </c>
      <c r="B305" t="s">
        <v>174</v>
      </c>
      <c r="C305" t="s">
        <v>238</v>
      </c>
      <c r="D305">
        <v>4</v>
      </c>
      <c r="E305">
        <v>60195</v>
      </c>
      <c r="F305" t="s">
        <v>279</v>
      </c>
      <c r="G305" t="s">
        <v>31</v>
      </c>
      <c r="H305">
        <v>0</v>
      </c>
      <c r="I305" t="s">
        <v>366</v>
      </c>
    </row>
    <row r="306" spans="1:9" x14ac:dyDescent="0.25">
      <c r="A306">
        <v>70344</v>
      </c>
      <c r="B306" t="s">
        <v>174</v>
      </c>
      <c r="C306" t="s">
        <v>238</v>
      </c>
      <c r="D306">
        <v>4</v>
      </c>
      <c r="E306">
        <v>60195</v>
      </c>
      <c r="F306" t="s">
        <v>279</v>
      </c>
      <c r="G306" t="s">
        <v>31</v>
      </c>
      <c r="H306">
        <v>0</v>
      </c>
      <c r="I306" t="s">
        <v>367</v>
      </c>
    </row>
    <row r="307" spans="1:9" x14ac:dyDescent="0.25">
      <c r="A307">
        <v>70344</v>
      </c>
      <c r="B307" t="s">
        <v>174</v>
      </c>
      <c r="C307" t="s">
        <v>238</v>
      </c>
      <c r="D307">
        <v>4</v>
      </c>
      <c r="E307">
        <v>60195</v>
      </c>
      <c r="F307" t="s">
        <v>279</v>
      </c>
      <c r="G307" t="s">
        <v>31</v>
      </c>
      <c r="H307">
        <v>0</v>
      </c>
      <c r="I307" t="s">
        <v>368</v>
      </c>
    </row>
    <row r="308" spans="1:9" x14ac:dyDescent="0.25">
      <c r="A308">
        <v>70344</v>
      </c>
      <c r="B308" t="s">
        <v>174</v>
      </c>
      <c r="C308" t="s">
        <v>238</v>
      </c>
      <c r="D308">
        <v>4</v>
      </c>
      <c r="E308">
        <v>60195</v>
      </c>
      <c r="F308" t="s">
        <v>279</v>
      </c>
      <c r="G308" t="s">
        <v>31</v>
      </c>
      <c r="H308">
        <v>0</v>
      </c>
      <c r="I308" t="s">
        <v>369</v>
      </c>
    </row>
    <row r="309" spans="1:9" x14ac:dyDescent="0.25">
      <c r="A309">
        <v>70344</v>
      </c>
      <c r="B309" t="s">
        <v>174</v>
      </c>
      <c r="C309" t="s">
        <v>238</v>
      </c>
      <c r="D309">
        <v>4</v>
      </c>
      <c r="E309">
        <v>60195</v>
      </c>
      <c r="F309" t="s">
        <v>279</v>
      </c>
      <c r="G309" t="s">
        <v>31</v>
      </c>
      <c r="H309">
        <v>0</v>
      </c>
      <c r="I309" t="s">
        <v>370</v>
      </c>
    </row>
    <row r="310" spans="1:9" x14ac:dyDescent="0.25">
      <c r="A310">
        <v>70344</v>
      </c>
      <c r="B310" t="s">
        <v>174</v>
      </c>
      <c r="C310" t="s">
        <v>238</v>
      </c>
      <c r="D310">
        <v>4</v>
      </c>
      <c r="E310">
        <v>60195</v>
      </c>
      <c r="F310" t="s">
        <v>279</v>
      </c>
      <c r="G310" t="s">
        <v>31</v>
      </c>
      <c r="H310">
        <v>0</v>
      </c>
      <c r="I310" t="s">
        <v>371</v>
      </c>
    </row>
    <row r="311" spans="1:9" x14ac:dyDescent="0.25">
      <c r="A311">
        <v>70344</v>
      </c>
      <c r="B311" t="s">
        <v>174</v>
      </c>
      <c r="C311" t="s">
        <v>238</v>
      </c>
      <c r="D311">
        <v>4</v>
      </c>
      <c r="E311">
        <v>60195</v>
      </c>
      <c r="F311" t="s">
        <v>279</v>
      </c>
      <c r="G311" t="s">
        <v>31</v>
      </c>
      <c r="H311">
        <v>0</v>
      </c>
      <c r="I311" t="s">
        <v>328</v>
      </c>
    </row>
    <row r="312" spans="1:9" x14ac:dyDescent="0.25">
      <c r="A312">
        <v>70344</v>
      </c>
      <c r="B312" t="s">
        <v>174</v>
      </c>
      <c r="C312" t="s">
        <v>238</v>
      </c>
      <c r="D312">
        <v>4</v>
      </c>
      <c r="E312">
        <v>60195</v>
      </c>
      <c r="F312" t="s">
        <v>279</v>
      </c>
      <c r="G312" t="s">
        <v>33</v>
      </c>
      <c r="H312">
        <v>0</v>
      </c>
      <c r="I312" t="s">
        <v>372</v>
      </c>
    </row>
    <row r="313" spans="1:9" x14ac:dyDescent="0.25">
      <c r="A313">
        <v>70344</v>
      </c>
      <c r="B313" t="s">
        <v>174</v>
      </c>
      <c r="C313" t="s">
        <v>238</v>
      </c>
      <c r="D313">
        <v>4</v>
      </c>
      <c r="E313">
        <v>60195</v>
      </c>
      <c r="F313" t="s">
        <v>279</v>
      </c>
      <c r="G313" t="s">
        <v>33</v>
      </c>
      <c r="H313">
        <v>0</v>
      </c>
      <c r="I313" t="s">
        <v>329</v>
      </c>
    </row>
    <row r="314" spans="1:9" x14ac:dyDescent="0.25">
      <c r="A314">
        <v>70344</v>
      </c>
      <c r="B314" t="s">
        <v>174</v>
      </c>
      <c r="C314" t="s">
        <v>238</v>
      </c>
      <c r="D314">
        <v>4</v>
      </c>
      <c r="E314">
        <v>60195</v>
      </c>
      <c r="F314" t="s">
        <v>279</v>
      </c>
      <c r="G314" t="s">
        <v>33</v>
      </c>
      <c r="H314">
        <v>0</v>
      </c>
      <c r="I314" t="s">
        <v>319</v>
      </c>
    </row>
    <row r="315" spans="1:9" x14ac:dyDescent="0.25">
      <c r="A315">
        <v>70344</v>
      </c>
      <c r="B315" t="s">
        <v>174</v>
      </c>
      <c r="C315" t="s">
        <v>238</v>
      </c>
      <c r="D315">
        <v>4</v>
      </c>
      <c r="E315">
        <v>60195</v>
      </c>
      <c r="F315" t="s">
        <v>279</v>
      </c>
      <c r="G315" t="s">
        <v>33</v>
      </c>
      <c r="H315">
        <v>0</v>
      </c>
      <c r="I315" t="s">
        <v>373</v>
      </c>
    </row>
    <row r="316" spans="1:9" x14ac:dyDescent="0.25">
      <c r="A316">
        <v>70344</v>
      </c>
      <c r="B316" t="s">
        <v>174</v>
      </c>
      <c r="C316" t="s">
        <v>238</v>
      </c>
      <c r="D316">
        <v>4</v>
      </c>
      <c r="E316">
        <v>60195</v>
      </c>
      <c r="F316" t="s">
        <v>279</v>
      </c>
      <c r="G316" t="s">
        <v>33</v>
      </c>
      <c r="H316">
        <v>0</v>
      </c>
      <c r="I316" t="s">
        <v>374</v>
      </c>
    </row>
    <row r="317" spans="1:9" x14ac:dyDescent="0.25">
      <c r="A317">
        <v>70344</v>
      </c>
      <c r="B317" t="s">
        <v>174</v>
      </c>
      <c r="C317" t="s">
        <v>238</v>
      </c>
      <c r="D317">
        <v>4</v>
      </c>
      <c r="E317">
        <v>60195</v>
      </c>
      <c r="F317" t="s">
        <v>279</v>
      </c>
      <c r="G317" t="s">
        <v>33</v>
      </c>
      <c r="H317">
        <v>0</v>
      </c>
      <c r="I317" t="s">
        <v>326</v>
      </c>
    </row>
    <row r="318" spans="1:9" x14ac:dyDescent="0.25">
      <c r="A318">
        <v>70344</v>
      </c>
      <c r="B318" t="s">
        <v>174</v>
      </c>
      <c r="C318" t="s">
        <v>238</v>
      </c>
      <c r="D318">
        <v>4</v>
      </c>
      <c r="E318">
        <v>60195</v>
      </c>
      <c r="F318" t="s">
        <v>279</v>
      </c>
      <c r="G318" t="s">
        <v>33</v>
      </c>
      <c r="H318">
        <v>0</v>
      </c>
      <c r="I318" t="s">
        <v>375</v>
      </c>
    </row>
    <row r="319" spans="1:9" x14ac:dyDescent="0.25">
      <c r="A319">
        <v>70344</v>
      </c>
      <c r="B319" t="s">
        <v>174</v>
      </c>
      <c r="C319" t="s">
        <v>238</v>
      </c>
      <c r="D319">
        <v>4</v>
      </c>
      <c r="E319">
        <v>60195</v>
      </c>
      <c r="F319" t="s">
        <v>279</v>
      </c>
      <c r="G319" t="s">
        <v>33</v>
      </c>
      <c r="H319">
        <v>0</v>
      </c>
      <c r="I319" t="s">
        <v>376</v>
      </c>
    </row>
    <row r="320" spans="1:9" x14ac:dyDescent="0.25">
      <c r="A320">
        <v>70344</v>
      </c>
      <c r="B320" t="s">
        <v>174</v>
      </c>
      <c r="C320" t="s">
        <v>238</v>
      </c>
      <c r="D320">
        <v>4</v>
      </c>
      <c r="E320">
        <v>60195</v>
      </c>
      <c r="F320" t="s">
        <v>279</v>
      </c>
      <c r="G320" t="s">
        <v>33</v>
      </c>
      <c r="H320">
        <v>0</v>
      </c>
      <c r="I320" t="s">
        <v>377</v>
      </c>
    </row>
    <row r="321" spans="1:9" x14ac:dyDescent="0.25">
      <c r="A321">
        <v>70344</v>
      </c>
      <c r="B321" t="s">
        <v>174</v>
      </c>
      <c r="C321" t="s">
        <v>238</v>
      </c>
      <c r="D321">
        <v>4</v>
      </c>
      <c r="E321">
        <v>60195</v>
      </c>
      <c r="F321" t="s">
        <v>274</v>
      </c>
      <c r="G321" t="s">
        <v>275</v>
      </c>
      <c r="H321">
        <v>687933</v>
      </c>
      <c r="I321" t="s">
        <v>318</v>
      </c>
    </row>
    <row r="322" spans="1:9" x14ac:dyDescent="0.25">
      <c r="A322">
        <v>70344</v>
      </c>
      <c r="B322" t="s">
        <v>174</v>
      </c>
      <c r="C322" t="s">
        <v>238</v>
      </c>
      <c r="D322">
        <v>4</v>
      </c>
      <c r="E322">
        <v>60195</v>
      </c>
      <c r="F322" t="s">
        <v>274</v>
      </c>
      <c r="G322" t="s">
        <v>300</v>
      </c>
      <c r="H322">
        <v>21120</v>
      </c>
      <c r="I322" t="s">
        <v>301</v>
      </c>
    </row>
    <row r="323" spans="1:9" x14ac:dyDescent="0.25">
      <c r="A323">
        <v>70344</v>
      </c>
      <c r="B323" t="s">
        <v>174</v>
      </c>
      <c r="C323" t="s">
        <v>238</v>
      </c>
      <c r="D323">
        <v>4</v>
      </c>
      <c r="E323">
        <v>60195</v>
      </c>
      <c r="F323" t="s">
        <v>274</v>
      </c>
      <c r="G323" t="s">
        <v>275</v>
      </c>
      <c r="H323">
        <v>-27669</v>
      </c>
      <c r="I323" t="s">
        <v>302</v>
      </c>
    </row>
    <row r="324" spans="1:9" x14ac:dyDescent="0.25">
      <c r="A324">
        <v>70344</v>
      </c>
      <c r="B324" t="s">
        <v>174</v>
      </c>
      <c r="C324" t="s">
        <v>238</v>
      </c>
      <c r="D324">
        <v>4</v>
      </c>
      <c r="E324">
        <v>60195</v>
      </c>
      <c r="F324" t="s">
        <v>279</v>
      </c>
      <c r="G324" t="s">
        <v>30</v>
      </c>
      <c r="H324">
        <v>60710</v>
      </c>
      <c r="I324" t="s">
        <v>303</v>
      </c>
    </row>
    <row r="325" spans="1:9" x14ac:dyDescent="0.25">
      <c r="A325">
        <v>70344</v>
      </c>
      <c r="B325" t="s">
        <v>174</v>
      </c>
      <c r="C325" t="s">
        <v>238</v>
      </c>
      <c r="D325">
        <v>4</v>
      </c>
      <c r="E325">
        <v>60195</v>
      </c>
      <c r="F325" t="s">
        <v>279</v>
      </c>
      <c r="G325" t="s">
        <v>35</v>
      </c>
      <c r="H325">
        <v>11416</v>
      </c>
      <c r="I325" t="s">
        <v>304</v>
      </c>
    </row>
    <row r="326" spans="1:9" x14ac:dyDescent="0.25">
      <c r="A326">
        <v>70344</v>
      </c>
      <c r="B326" t="s">
        <v>174</v>
      </c>
      <c r="C326" t="s">
        <v>238</v>
      </c>
      <c r="D326">
        <v>4</v>
      </c>
      <c r="E326">
        <v>60195</v>
      </c>
      <c r="F326" t="s">
        <v>279</v>
      </c>
      <c r="G326" t="s">
        <v>31</v>
      </c>
      <c r="H326">
        <v>80327</v>
      </c>
      <c r="I326" t="s">
        <v>305</v>
      </c>
    </row>
    <row r="327" spans="1:9" x14ac:dyDescent="0.25">
      <c r="A327">
        <v>70344</v>
      </c>
      <c r="B327" t="s">
        <v>174</v>
      </c>
      <c r="C327" t="s">
        <v>238</v>
      </c>
      <c r="D327">
        <v>4</v>
      </c>
      <c r="E327">
        <v>60195</v>
      </c>
      <c r="F327" t="s">
        <v>279</v>
      </c>
      <c r="G327" t="s">
        <v>33</v>
      </c>
      <c r="H327">
        <v>0</v>
      </c>
      <c r="I327" t="s">
        <v>320</v>
      </c>
    </row>
    <row r="328" spans="1:9" x14ac:dyDescent="0.25">
      <c r="A328">
        <v>70344</v>
      </c>
      <c r="B328" t="s">
        <v>174</v>
      </c>
      <c r="C328" t="s">
        <v>238</v>
      </c>
      <c r="D328">
        <v>4</v>
      </c>
      <c r="E328">
        <v>60195</v>
      </c>
      <c r="F328" t="s">
        <v>279</v>
      </c>
      <c r="G328" t="s">
        <v>33</v>
      </c>
      <c r="H328">
        <v>0</v>
      </c>
      <c r="I328" t="s">
        <v>306</v>
      </c>
    </row>
    <row r="329" spans="1:9" x14ac:dyDescent="0.25">
      <c r="A329">
        <v>70344</v>
      </c>
      <c r="B329" t="s">
        <v>174</v>
      </c>
      <c r="C329" t="s">
        <v>238</v>
      </c>
      <c r="D329">
        <v>4</v>
      </c>
      <c r="E329">
        <v>60195</v>
      </c>
      <c r="F329" t="s">
        <v>279</v>
      </c>
      <c r="G329" t="s">
        <v>33</v>
      </c>
      <c r="H329">
        <v>0</v>
      </c>
      <c r="I329" t="s">
        <v>378</v>
      </c>
    </row>
    <row r="330" spans="1:9" x14ac:dyDescent="0.25">
      <c r="A330">
        <v>70344</v>
      </c>
      <c r="B330" t="s">
        <v>174</v>
      </c>
      <c r="C330" t="s">
        <v>238</v>
      </c>
      <c r="D330">
        <v>4</v>
      </c>
      <c r="E330">
        <v>60195</v>
      </c>
      <c r="F330" t="s">
        <v>279</v>
      </c>
      <c r="G330" t="s">
        <v>31</v>
      </c>
      <c r="H330">
        <v>28118</v>
      </c>
      <c r="I330" t="s">
        <v>307</v>
      </c>
    </row>
    <row r="331" spans="1:9" x14ac:dyDescent="0.25">
      <c r="A331">
        <v>70344</v>
      </c>
      <c r="B331" t="s">
        <v>174</v>
      </c>
      <c r="C331" t="s">
        <v>238</v>
      </c>
      <c r="D331">
        <v>4</v>
      </c>
      <c r="E331">
        <v>60195</v>
      </c>
      <c r="F331" t="s">
        <v>279</v>
      </c>
      <c r="G331" t="s">
        <v>31</v>
      </c>
      <c r="H331">
        <v>0</v>
      </c>
      <c r="I331" t="s">
        <v>379</v>
      </c>
    </row>
    <row r="332" spans="1:9" x14ac:dyDescent="0.25">
      <c r="A332">
        <v>70344</v>
      </c>
      <c r="B332" t="s">
        <v>174</v>
      </c>
      <c r="C332" t="s">
        <v>238</v>
      </c>
      <c r="D332">
        <v>4</v>
      </c>
      <c r="E332">
        <v>60195</v>
      </c>
      <c r="F332" t="s">
        <v>279</v>
      </c>
      <c r="G332" t="s">
        <v>30</v>
      </c>
      <c r="H332">
        <v>5440</v>
      </c>
      <c r="I332" t="s">
        <v>308</v>
      </c>
    </row>
    <row r="333" spans="1:9" x14ac:dyDescent="0.25">
      <c r="A333">
        <v>70344</v>
      </c>
      <c r="B333" t="s">
        <v>174</v>
      </c>
      <c r="C333" t="s">
        <v>238</v>
      </c>
      <c r="D333">
        <v>4</v>
      </c>
      <c r="E333">
        <v>60195</v>
      </c>
      <c r="F333" t="s">
        <v>279</v>
      </c>
      <c r="G333" t="s">
        <v>35</v>
      </c>
      <c r="H333">
        <v>9264</v>
      </c>
      <c r="I333" t="s">
        <v>321</v>
      </c>
    </row>
    <row r="334" spans="1:9" x14ac:dyDescent="0.25">
      <c r="A334">
        <v>70344</v>
      </c>
      <c r="B334" t="s">
        <v>174</v>
      </c>
      <c r="C334" t="s">
        <v>238</v>
      </c>
      <c r="D334">
        <v>4</v>
      </c>
      <c r="E334">
        <v>60195</v>
      </c>
      <c r="F334" t="s">
        <v>279</v>
      </c>
      <c r="G334" t="s">
        <v>33</v>
      </c>
      <c r="H334">
        <v>0</v>
      </c>
      <c r="I334" t="s">
        <v>380</v>
      </c>
    </row>
    <row r="335" spans="1:9" x14ac:dyDescent="0.25">
      <c r="A335">
        <v>70344</v>
      </c>
      <c r="B335" t="s">
        <v>174</v>
      </c>
      <c r="C335" t="s">
        <v>238</v>
      </c>
      <c r="D335">
        <v>4</v>
      </c>
      <c r="E335">
        <v>60195</v>
      </c>
      <c r="F335" t="s">
        <v>279</v>
      </c>
      <c r="G335" t="s">
        <v>35</v>
      </c>
      <c r="H335">
        <v>924</v>
      </c>
      <c r="I335" t="s">
        <v>309</v>
      </c>
    </row>
    <row r="336" spans="1:9" x14ac:dyDescent="0.25">
      <c r="A336">
        <v>70344</v>
      </c>
      <c r="B336" t="s">
        <v>174</v>
      </c>
      <c r="C336" t="s">
        <v>238</v>
      </c>
      <c r="D336">
        <v>4</v>
      </c>
      <c r="E336">
        <v>60195</v>
      </c>
      <c r="F336" t="s">
        <v>279</v>
      </c>
      <c r="G336" t="s">
        <v>35</v>
      </c>
      <c r="H336">
        <v>4374</v>
      </c>
      <c r="I336" t="s">
        <v>310</v>
      </c>
    </row>
    <row r="337" spans="1:9" x14ac:dyDescent="0.25">
      <c r="A337">
        <v>70344</v>
      </c>
      <c r="B337" t="s">
        <v>174</v>
      </c>
      <c r="C337" t="s">
        <v>238</v>
      </c>
      <c r="D337">
        <v>4</v>
      </c>
      <c r="E337">
        <v>60195</v>
      </c>
      <c r="F337" t="s">
        <v>279</v>
      </c>
      <c r="G337" t="s">
        <v>35</v>
      </c>
      <c r="H337">
        <v>14485</v>
      </c>
      <c r="I337" t="s">
        <v>311</v>
      </c>
    </row>
    <row r="338" spans="1:9" x14ac:dyDescent="0.25">
      <c r="A338">
        <v>70344</v>
      </c>
      <c r="B338" t="s">
        <v>174</v>
      </c>
      <c r="C338" t="s">
        <v>238</v>
      </c>
      <c r="D338">
        <v>4</v>
      </c>
      <c r="E338">
        <v>60195</v>
      </c>
      <c r="F338" t="s">
        <v>279</v>
      </c>
      <c r="G338" t="s">
        <v>35</v>
      </c>
      <c r="H338">
        <v>49</v>
      </c>
      <c r="I338" t="s">
        <v>312</v>
      </c>
    </row>
    <row r="339" spans="1:9" x14ac:dyDescent="0.25">
      <c r="A339">
        <v>70344</v>
      </c>
      <c r="B339" t="s">
        <v>174</v>
      </c>
      <c r="C339" t="s">
        <v>238</v>
      </c>
      <c r="D339">
        <v>4</v>
      </c>
      <c r="E339">
        <v>60195</v>
      </c>
      <c r="F339" t="s">
        <v>279</v>
      </c>
      <c r="G339" t="s">
        <v>35</v>
      </c>
      <c r="H339">
        <v>4375</v>
      </c>
      <c r="I339" t="s">
        <v>313</v>
      </c>
    </row>
    <row r="340" spans="1:9" x14ac:dyDescent="0.25">
      <c r="A340">
        <v>70344</v>
      </c>
      <c r="B340" t="s">
        <v>174</v>
      </c>
      <c r="C340" t="s">
        <v>238</v>
      </c>
      <c r="D340">
        <v>4</v>
      </c>
      <c r="E340">
        <v>60195</v>
      </c>
      <c r="F340" t="s">
        <v>279</v>
      </c>
      <c r="G340" t="s">
        <v>37</v>
      </c>
      <c r="H340">
        <v>0</v>
      </c>
      <c r="I340" t="s">
        <v>381</v>
      </c>
    </row>
    <row r="341" spans="1:9" x14ac:dyDescent="0.25">
      <c r="A341">
        <v>70344</v>
      </c>
      <c r="B341" t="s">
        <v>174</v>
      </c>
      <c r="C341" t="s">
        <v>238</v>
      </c>
      <c r="D341">
        <v>4</v>
      </c>
      <c r="E341">
        <v>60195</v>
      </c>
      <c r="F341" t="s">
        <v>279</v>
      </c>
      <c r="G341" t="s">
        <v>37</v>
      </c>
      <c r="H341">
        <v>19293</v>
      </c>
      <c r="I341" t="s">
        <v>314</v>
      </c>
    </row>
    <row r="342" spans="1:9" x14ac:dyDescent="0.25">
      <c r="A342">
        <v>70344</v>
      </c>
      <c r="B342" t="s">
        <v>174</v>
      </c>
      <c r="C342" t="s">
        <v>238</v>
      </c>
      <c r="D342">
        <v>4</v>
      </c>
      <c r="E342">
        <v>60195</v>
      </c>
      <c r="F342" t="s">
        <v>279</v>
      </c>
      <c r="G342" t="s">
        <v>35</v>
      </c>
      <c r="H342">
        <v>2061</v>
      </c>
      <c r="I342" t="s">
        <v>315</v>
      </c>
    </row>
    <row r="343" spans="1:9" x14ac:dyDescent="0.25">
      <c r="A343">
        <v>70344</v>
      </c>
      <c r="B343" t="s">
        <v>174</v>
      </c>
      <c r="C343" t="s">
        <v>238</v>
      </c>
      <c r="D343">
        <v>4</v>
      </c>
      <c r="E343">
        <v>60195</v>
      </c>
      <c r="F343" t="s">
        <v>279</v>
      </c>
      <c r="G343" t="s">
        <v>37</v>
      </c>
      <c r="H343">
        <v>0</v>
      </c>
      <c r="I343" t="s">
        <v>323</v>
      </c>
    </row>
    <row r="344" spans="1:9" x14ac:dyDescent="0.25">
      <c r="A344">
        <v>70344</v>
      </c>
      <c r="B344" t="s">
        <v>174</v>
      </c>
      <c r="C344" t="s">
        <v>238</v>
      </c>
      <c r="D344">
        <v>4</v>
      </c>
      <c r="E344">
        <v>60195</v>
      </c>
      <c r="F344" t="s">
        <v>279</v>
      </c>
      <c r="G344" t="s">
        <v>37</v>
      </c>
      <c r="H344">
        <v>0</v>
      </c>
      <c r="I344" t="s">
        <v>322</v>
      </c>
    </row>
    <row r="345" spans="1:9" x14ac:dyDescent="0.25">
      <c r="A345">
        <v>70344</v>
      </c>
      <c r="B345" t="s">
        <v>174</v>
      </c>
      <c r="C345" t="s">
        <v>238</v>
      </c>
      <c r="D345">
        <v>4</v>
      </c>
      <c r="E345">
        <v>60195</v>
      </c>
      <c r="F345" t="s">
        <v>279</v>
      </c>
      <c r="G345" t="s">
        <v>37</v>
      </c>
      <c r="H345">
        <v>0</v>
      </c>
      <c r="I345" t="s">
        <v>382</v>
      </c>
    </row>
    <row r="346" spans="1:9" x14ac:dyDescent="0.25">
      <c r="A346">
        <v>70344</v>
      </c>
      <c r="B346" t="s">
        <v>174</v>
      </c>
      <c r="C346" t="s">
        <v>238</v>
      </c>
      <c r="D346">
        <v>4</v>
      </c>
      <c r="E346">
        <v>60195</v>
      </c>
      <c r="F346" t="s">
        <v>279</v>
      </c>
      <c r="G346" t="s">
        <v>37</v>
      </c>
      <c r="H346">
        <v>38380</v>
      </c>
      <c r="I346" t="s">
        <v>316</v>
      </c>
    </row>
    <row r="347" spans="1:9" x14ac:dyDescent="0.25">
      <c r="A347">
        <v>70344</v>
      </c>
      <c r="B347" t="s">
        <v>174</v>
      </c>
      <c r="C347" t="s">
        <v>238</v>
      </c>
      <c r="D347">
        <v>4</v>
      </c>
      <c r="E347">
        <v>60195</v>
      </c>
      <c r="F347" t="s">
        <v>279</v>
      </c>
      <c r="G347" t="s">
        <v>36</v>
      </c>
      <c r="H347">
        <v>67852</v>
      </c>
      <c r="I347" t="s">
        <v>317</v>
      </c>
    </row>
    <row r="348" spans="1:9" x14ac:dyDescent="0.25">
      <c r="A348">
        <v>70344</v>
      </c>
      <c r="B348" t="s">
        <v>174</v>
      </c>
      <c r="C348" t="s">
        <v>238</v>
      </c>
      <c r="D348">
        <v>4</v>
      </c>
      <c r="E348">
        <v>60195</v>
      </c>
      <c r="F348" t="s">
        <v>274</v>
      </c>
      <c r="G348" t="s">
        <v>275</v>
      </c>
      <c r="H348">
        <v>0</v>
      </c>
      <c r="I348" t="s">
        <v>276</v>
      </c>
    </row>
    <row r="349" spans="1:9" x14ac:dyDescent="0.25">
      <c r="A349">
        <v>70344</v>
      </c>
      <c r="B349" t="s">
        <v>174</v>
      </c>
      <c r="C349" t="s">
        <v>238</v>
      </c>
      <c r="D349">
        <v>4</v>
      </c>
      <c r="E349">
        <v>60195</v>
      </c>
      <c r="F349" t="s">
        <v>279</v>
      </c>
      <c r="G349" t="s">
        <v>29</v>
      </c>
      <c r="H349">
        <v>0</v>
      </c>
      <c r="I349" t="s">
        <v>324</v>
      </c>
    </row>
    <row r="350" spans="1:9" x14ac:dyDescent="0.25">
      <c r="A350">
        <v>70344</v>
      </c>
      <c r="B350" t="s">
        <v>174</v>
      </c>
      <c r="C350" t="s">
        <v>238</v>
      </c>
      <c r="D350">
        <v>4</v>
      </c>
      <c r="E350">
        <v>60195</v>
      </c>
      <c r="F350" t="s">
        <v>274</v>
      </c>
      <c r="G350" t="s">
        <v>277</v>
      </c>
      <c r="H350">
        <v>1942</v>
      </c>
      <c r="I350" t="s">
        <v>278</v>
      </c>
    </row>
    <row r="351" spans="1:9" x14ac:dyDescent="0.25">
      <c r="A351">
        <v>70344</v>
      </c>
      <c r="B351" t="s">
        <v>174</v>
      </c>
      <c r="C351" t="s">
        <v>238</v>
      </c>
      <c r="D351">
        <v>4</v>
      </c>
      <c r="E351">
        <v>60195</v>
      </c>
      <c r="F351" t="s">
        <v>274</v>
      </c>
      <c r="G351" t="s">
        <v>300</v>
      </c>
      <c r="H351">
        <v>0</v>
      </c>
      <c r="I351" t="s">
        <v>383</v>
      </c>
    </row>
    <row r="352" spans="1:9" x14ac:dyDescent="0.25">
      <c r="A352">
        <v>70344</v>
      </c>
      <c r="B352" t="s">
        <v>174</v>
      </c>
      <c r="C352" t="s">
        <v>238</v>
      </c>
      <c r="D352">
        <v>4</v>
      </c>
      <c r="E352">
        <v>60195</v>
      </c>
      <c r="F352" t="s">
        <v>279</v>
      </c>
      <c r="G352" t="s">
        <v>33</v>
      </c>
      <c r="H352">
        <v>46045</v>
      </c>
      <c r="I352" t="s">
        <v>280</v>
      </c>
    </row>
    <row r="353" spans="1:9" x14ac:dyDescent="0.25">
      <c r="A353">
        <v>70344</v>
      </c>
      <c r="B353" t="s">
        <v>174</v>
      </c>
      <c r="C353" t="s">
        <v>238</v>
      </c>
      <c r="D353">
        <v>4</v>
      </c>
      <c r="E353">
        <v>60195</v>
      </c>
      <c r="F353" t="s">
        <v>279</v>
      </c>
      <c r="G353" t="s">
        <v>29</v>
      </c>
      <c r="H353">
        <v>687</v>
      </c>
      <c r="I353" t="s">
        <v>281</v>
      </c>
    </row>
    <row r="354" spans="1:9" x14ac:dyDescent="0.25">
      <c r="A354">
        <v>70344</v>
      </c>
      <c r="B354" t="s">
        <v>174</v>
      </c>
      <c r="C354" t="s">
        <v>238</v>
      </c>
      <c r="D354">
        <v>4</v>
      </c>
      <c r="E354">
        <v>60195</v>
      </c>
      <c r="F354" t="s">
        <v>279</v>
      </c>
      <c r="G354" t="s">
        <v>29</v>
      </c>
      <c r="H354">
        <v>60129</v>
      </c>
      <c r="I354" t="s">
        <v>282</v>
      </c>
    </row>
    <row r="355" spans="1:9" x14ac:dyDescent="0.25">
      <c r="A355">
        <v>70344</v>
      </c>
      <c r="B355" t="s">
        <v>174</v>
      </c>
      <c r="C355" t="s">
        <v>238</v>
      </c>
      <c r="D355">
        <v>4</v>
      </c>
      <c r="E355">
        <v>60195</v>
      </c>
      <c r="F355" t="s">
        <v>279</v>
      </c>
      <c r="G355" t="s">
        <v>35</v>
      </c>
      <c r="H355">
        <v>49945</v>
      </c>
      <c r="I355" t="s">
        <v>283</v>
      </c>
    </row>
    <row r="356" spans="1:9" x14ac:dyDescent="0.25">
      <c r="A356">
        <v>70344</v>
      </c>
      <c r="B356" t="s">
        <v>174</v>
      </c>
      <c r="C356" t="s">
        <v>238</v>
      </c>
      <c r="D356">
        <v>4</v>
      </c>
      <c r="E356">
        <v>60195</v>
      </c>
      <c r="F356" t="s">
        <v>279</v>
      </c>
      <c r="G356" t="s">
        <v>29</v>
      </c>
      <c r="H356">
        <v>4516</v>
      </c>
      <c r="I356" t="s">
        <v>284</v>
      </c>
    </row>
    <row r="357" spans="1:9" x14ac:dyDescent="0.25">
      <c r="A357">
        <v>70344</v>
      </c>
      <c r="B357" t="s">
        <v>174</v>
      </c>
      <c r="C357" t="s">
        <v>238</v>
      </c>
      <c r="D357">
        <v>4</v>
      </c>
      <c r="E357">
        <v>60195</v>
      </c>
      <c r="F357" t="s">
        <v>279</v>
      </c>
      <c r="G357" t="s">
        <v>29</v>
      </c>
      <c r="H357">
        <v>31243</v>
      </c>
      <c r="I357" t="s">
        <v>285</v>
      </c>
    </row>
    <row r="358" spans="1:9" x14ac:dyDescent="0.25">
      <c r="A358">
        <v>70344</v>
      </c>
      <c r="B358" t="s">
        <v>174</v>
      </c>
      <c r="C358" t="s">
        <v>238</v>
      </c>
      <c r="D358">
        <v>4</v>
      </c>
      <c r="E358">
        <v>60195</v>
      </c>
      <c r="F358" t="s">
        <v>279</v>
      </c>
      <c r="G358" t="s">
        <v>29</v>
      </c>
      <c r="H358">
        <v>801</v>
      </c>
      <c r="I358" t="s">
        <v>286</v>
      </c>
    </row>
    <row r="359" spans="1:9" x14ac:dyDescent="0.25">
      <c r="A359">
        <v>70344</v>
      </c>
      <c r="B359" t="s">
        <v>174</v>
      </c>
      <c r="C359" t="s">
        <v>238</v>
      </c>
      <c r="D359">
        <v>4</v>
      </c>
      <c r="E359">
        <v>60195</v>
      </c>
      <c r="F359" t="s">
        <v>279</v>
      </c>
      <c r="G359" t="s">
        <v>29</v>
      </c>
      <c r="H359">
        <v>0</v>
      </c>
      <c r="I359" t="s">
        <v>327</v>
      </c>
    </row>
    <row r="360" spans="1:9" x14ac:dyDescent="0.25">
      <c r="A360">
        <v>70344</v>
      </c>
      <c r="B360" t="s">
        <v>174</v>
      </c>
      <c r="C360" t="s">
        <v>238</v>
      </c>
      <c r="D360">
        <v>4</v>
      </c>
      <c r="E360">
        <v>60195</v>
      </c>
      <c r="F360" t="s">
        <v>279</v>
      </c>
      <c r="G360" t="s">
        <v>34</v>
      </c>
      <c r="H360">
        <v>5271</v>
      </c>
      <c r="I360" t="s">
        <v>287</v>
      </c>
    </row>
    <row r="361" spans="1:9" x14ac:dyDescent="0.25">
      <c r="A361">
        <v>70344</v>
      </c>
      <c r="B361" t="s">
        <v>174</v>
      </c>
      <c r="C361" t="s">
        <v>238</v>
      </c>
      <c r="D361">
        <v>4</v>
      </c>
      <c r="E361">
        <v>60195</v>
      </c>
      <c r="F361" t="s">
        <v>279</v>
      </c>
      <c r="G361" t="s">
        <v>29</v>
      </c>
      <c r="H361">
        <v>25154</v>
      </c>
      <c r="I361" t="s">
        <v>288</v>
      </c>
    </row>
    <row r="362" spans="1:9" x14ac:dyDescent="0.25">
      <c r="A362">
        <v>70344</v>
      </c>
      <c r="B362" t="s">
        <v>174</v>
      </c>
      <c r="C362" t="s">
        <v>238</v>
      </c>
      <c r="D362">
        <v>4</v>
      </c>
      <c r="E362">
        <v>60195</v>
      </c>
      <c r="F362" t="s">
        <v>279</v>
      </c>
      <c r="G362" t="s">
        <v>34</v>
      </c>
      <c r="H362">
        <v>10075</v>
      </c>
      <c r="I362" t="s">
        <v>289</v>
      </c>
    </row>
    <row r="363" spans="1:9" x14ac:dyDescent="0.25">
      <c r="A363">
        <v>70344</v>
      </c>
      <c r="B363" t="s">
        <v>174</v>
      </c>
      <c r="C363" t="s">
        <v>238</v>
      </c>
      <c r="D363">
        <v>4</v>
      </c>
      <c r="E363">
        <v>60195</v>
      </c>
      <c r="F363" t="s">
        <v>279</v>
      </c>
      <c r="G363" t="s">
        <v>29</v>
      </c>
      <c r="H363">
        <v>6816</v>
      </c>
      <c r="I363" t="s">
        <v>290</v>
      </c>
    </row>
    <row r="364" spans="1:9" x14ac:dyDescent="0.25">
      <c r="A364">
        <v>70344</v>
      </c>
      <c r="B364" t="s">
        <v>174</v>
      </c>
      <c r="C364" t="s">
        <v>238</v>
      </c>
      <c r="D364">
        <v>4</v>
      </c>
      <c r="E364">
        <v>60195</v>
      </c>
      <c r="F364" t="s">
        <v>279</v>
      </c>
      <c r="G364" t="s">
        <v>32</v>
      </c>
      <c r="H364">
        <v>65939</v>
      </c>
      <c r="I364" t="s">
        <v>291</v>
      </c>
    </row>
    <row r="365" spans="1:9" x14ac:dyDescent="0.25">
      <c r="A365">
        <v>70344</v>
      </c>
      <c r="B365" t="s">
        <v>174</v>
      </c>
      <c r="C365" t="s">
        <v>238</v>
      </c>
      <c r="D365">
        <v>4</v>
      </c>
      <c r="E365">
        <v>60195</v>
      </c>
      <c r="F365" t="s">
        <v>279</v>
      </c>
      <c r="G365" t="s">
        <v>29</v>
      </c>
      <c r="H365">
        <v>1924</v>
      </c>
      <c r="I365" t="s">
        <v>292</v>
      </c>
    </row>
    <row r="366" spans="1:9" x14ac:dyDescent="0.25">
      <c r="A366">
        <v>70344</v>
      </c>
      <c r="B366" t="s">
        <v>174</v>
      </c>
      <c r="C366" t="s">
        <v>238</v>
      </c>
      <c r="D366">
        <v>4</v>
      </c>
      <c r="E366">
        <v>60195</v>
      </c>
      <c r="F366" t="s">
        <v>279</v>
      </c>
      <c r="G366" t="s">
        <v>29</v>
      </c>
      <c r="H366">
        <v>0</v>
      </c>
      <c r="I366" t="s">
        <v>384</v>
      </c>
    </row>
    <row r="367" spans="1:9" x14ac:dyDescent="0.25">
      <c r="A367">
        <v>70345</v>
      </c>
      <c r="B367" t="s">
        <v>176</v>
      </c>
      <c r="C367" t="s">
        <v>238</v>
      </c>
      <c r="D367">
        <v>4</v>
      </c>
      <c r="E367">
        <v>-208017</v>
      </c>
      <c r="F367" t="s">
        <v>279</v>
      </c>
      <c r="G367" t="s">
        <v>31</v>
      </c>
      <c r="H367">
        <v>0</v>
      </c>
      <c r="I367" t="s">
        <v>364</v>
      </c>
    </row>
    <row r="368" spans="1:9" x14ac:dyDescent="0.25">
      <c r="A368">
        <v>70345</v>
      </c>
      <c r="B368" t="s">
        <v>176</v>
      </c>
      <c r="C368" t="s">
        <v>238</v>
      </c>
      <c r="D368">
        <v>4</v>
      </c>
      <c r="E368">
        <v>-208017</v>
      </c>
      <c r="F368" t="s">
        <v>279</v>
      </c>
      <c r="G368" t="s">
        <v>31</v>
      </c>
      <c r="H368">
        <v>0</v>
      </c>
      <c r="I368" t="s">
        <v>365</v>
      </c>
    </row>
    <row r="369" spans="1:9" x14ac:dyDescent="0.25">
      <c r="A369">
        <v>70345</v>
      </c>
      <c r="B369" t="s">
        <v>176</v>
      </c>
      <c r="C369" t="s">
        <v>238</v>
      </c>
      <c r="D369">
        <v>4</v>
      </c>
      <c r="E369">
        <v>-208017</v>
      </c>
      <c r="F369" t="s">
        <v>279</v>
      </c>
      <c r="G369" t="s">
        <v>31</v>
      </c>
      <c r="H369">
        <v>0</v>
      </c>
      <c r="I369" t="s">
        <v>366</v>
      </c>
    </row>
    <row r="370" spans="1:9" x14ac:dyDescent="0.25">
      <c r="A370">
        <v>70345</v>
      </c>
      <c r="B370" t="s">
        <v>176</v>
      </c>
      <c r="C370" t="s">
        <v>238</v>
      </c>
      <c r="D370">
        <v>4</v>
      </c>
      <c r="E370">
        <v>-208017</v>
      </c>
      <c r="F370" t="s">
        <v>279</v>
      </c>
      <c r="G370" t="s">
        <v>31</v>
      </c>
      <c r="H370">
        <v>0</v>
      </c>
      <c r="I370" t="s">
        <v>367</v>
      </c>
    </row>
    <row r="371" spans="1:9" x14ac:dyDescent="0.25">
      <c r="A371">
        <v>70345</v>
      </c>
      <c r="B371" t="s">
        <v>176</v>
      </c>
      <c r="C371" t="s">
        <v>238</v>
      </c>
      <c r="D371">
        <v>4</v>
      </c>
      <c r="E371">
        <v>-208017</v>
      </c>
      <c r="F371" t="s">
        <v>279</v>
      </c>
      <c r="G371" t="s">
        <v>31</v>
      </c>
      <c r="H371">
        <v>0</v>
      </c>
      <c r="I371" t="s">
        <v>368</v>
      </c>
    </row>
    <row r="372" spans="1:9" x14ac:dyDescent="0.25">
      <c r="A372">
        <v>70345</v>
      </c>
      <c r="B372" t="s">
        <v>176</v>
      </c>
      <c r="C372" t="s">
        <v>238</v>
      </c>
      <c r="D372">
        <v>4</v>
      </c>
      <c r="E372">
        <v>-208017</v>
      </c>
      <c r="F372" t="s">
        <v>279</v>
      </c>
      <c r="G372" t="s">
        <v>31</v>
      </c>
      <c r="H372">
        <v>0</v>
      </c>
      <c r="I372" t="s">
        <v>369</v>
      </c>
    </row>
    <row r="373" spans="1:9" x14ac:dyDescent="0.25">
      <c r="A373">
        <v>70345</v>
      </c>
      <c r="B373" t="s">
        <v>176</v>
      </c>
      <c r="C373" t="s">
        <v>238</v>
      </c>
      <c r="D373">
        <v>4</v>
      </c>
      <c r="E373">
        <v>-208017</v>
      </c>
      <c r="F373" t="s">
        <v>279</v>
      </c>
      <c r="G373" t="s">
        <v>31</v>
      </c>
      <c r="H373">
        <v>0</v>
      </c>
      <c r="I373" t="s">
        <v>370</v>
      </c>
    </row>
    <row r="374" spans="1:9" x14ac:dyDescent="0.25">
      <c r="A374">
        <v>70345</v>
      </c>
      <c r="B374" t="s">
        <v>176</v>
      </c>
      <c r="C374" t="s">
        <v>238</v>
      </c>
      <c r="D374">
        <v>4</v>
      </c>
      <c r="E374">
        <v>-208017</v>
      </c>
      <c r="F374" t="s">
        <v>279</v>
      </c>
      <c r="G374" t="s">
        <v>31</v>
      </c>
      <c r="H374">
        <v>0</v>
      </c>
      <c r="I374" t="s">
        <v>371</v>
      </c>
    </row>
    <row r="375" spans="1:9" x14ac:dyDescent="0.25">
      <c r="A375">
        <v>70345</v>
      </c>
      <c r="B375" t="s">
        <v>176</v>
      </c>
      <c r="C375" t="s">
        <v>238</v>
      </c>
      <c r="D375">
        <v>4</v>
      </c>
      <c r="E375">
        <v>-208017</v>
      </c>
      <c r="F375" t="s">
        <v>279</v>
      </c>
      <c r="G375" t="s">
        <v>31</v>
      </c>
      <c r="H375">
        <v>0</v>
      </c>
      <c r="I375" t="s">
        <v>328</v>
      </c>
    </row>
    <row r="376" spans="1:9" x14ac:dyDescent="0.25">
      <c r="A376">
        <v>70345</v>
      </c>
      <c r="B376" t="s">
        <v>176</v>
      </c>
      <c r="C376" t="s">
        <v>238</v>
      </c>
      <c r="D376">
        <v>4</v>
      </c>
      <c r="E376">
        <v>-208017</v>
      </c>
      <c r="F376" t="s">
        <v>279</v>
      </c>
      <c r="G376" t="s">
        <v>33</v>
      </c>
      <c r="H376">
        <v>0</v>
      </c>
      <c r="I376" t="s">
        <v>372</v>
      </c>
    </row>
    <row r="377" spans="1:9" x14ac:dyDescent="0.25">
      <c r="A377">
        <v>70345</v>
      </c>
      <c r="B377" t="s">
        <v>176</v>
      </c>
      <c r="C377" t="s">
        <v>238</v>
      </c>
      <c r="D377">
        <v>4</v>
      </c>
      <c r="E377">
        <v>-208017</v>
      </c>
      <c r="F377" t="s">
        <v>279</v>
      </c>
      <c r="G377" t="s">
        <v>33</v>
      </c>
      <c r="H377">
        <v>0</v>
      </c>
      <c r="I377" t="s">
        <v>329</v>
      </c>
    </row>
    <row r="378" spans="1:9" x14ac:dyDescent="0.25">
      <c r="A378">
        <v>70345</v>
      </c>
      <c r="B378" t="s">
        <v>176</v>
      </c>
      <c r="C378" t="s">
        <v>238</v>
      </c>
      <c r="D378">
        <v>4</v>
      </c>
      <c r="E378">
        <v>-208017</v>
      </c>
      <c r="F378" t="s">
        <v>279</v>
      </c>
      <c r="G378" t="s">
        <v>33</v>
      </c>
      <c r="H378">
        <v>0</v>
      </c>
      <c r="I378" t="s">
        <v>319</v>
      </c>
    </row>
    <row r="379" spans="1:9" x14ac:dyDescent="0.25">
      <c r="A379">
        <v>70345</v>
      </c>
      <c r="B379" t="s">
        <v>176</v>
      </c>
      <c r="C379" t="s">
        <v>238</v>
      </c>
      <c r="D379">
        <v>4</v>
      </c>
      <c r="E379">
        <v>-208017</v>
      </c>
      <c r="F379" t="s">
        <v>279</v>
      </c>
      <c r="G379" t="s">
        <v>33</v>
      </c>
      <c r="H379">
        <v>0</v>
      </c>
      <c r="I379" t="s">
        <v>373</v>
      </c>
    </row>
    <row r="380" spans="1:9" x14ac:dyDescent="0.25">
      <c r="A380">
        <v>70345</v>
      </c>
      <c r="B380" t="s">
        <v>176</v>
      </c>
      <c r="C380" t="s">
        <v>238</v>
      </c>
      <c r="D380">
        <v>4</v>
      </c>
      <c r="E380">
        <v>-208017</v>
      </c>
      <c r="F380" t="s">
        <v>279</v>
      </c>
      <c r="G380" t="s">
        <v>33</v>
      </c>
      <c r="H380">
        <v>0</v>
      </c>
      <c r="I380" t="s">
        <v>374</v>
      </c>
    </row>
    <row r="381" spans="1:9" x14ac:dyDescent="0.25">
      <c r="A381">
        <v>70345</v>
      </c>
      <c r="B381" t="s">
        <v>176</v>
      </c>
      <c r="C381" t="s">
        <v>238</v>
      </c>
      <c r="D381">
        <v>4</v>
      </c>
      <c r="E381">
        <v>-208017</v>
      </c>
      <c r="F381" t="s">
        <v>279</v>
      </c>
      <c r="G381" t="s">
        <v>33</v>
      </c>
      <c r="H381">
        <v>0</v>
      </c>
      <c r="I381" t="s">
        <v>326</v>
      </c>
    </row>
    <row r="382" spans="1:9" x14ac:dyDescent="0.25">
      <c r="A382">
        <v>70345</v>
      </c>
      <c r="B382" t="s">
        <v>176</v>
      </c>
      <c r="C382" t="s">
        <v>238</v>
      </c>
      <c r="D382">
        <v>4</v>
      </c>
      <c r="E382">
        <v>-208017</v>
      </c>
      <c r="F382" t="s">
        <v>279</v>
      </c>
      <c r="G382" t="s">
        <v>33</v>
      </c>
      <c r="H382">
        <v>0</v>
      </c>
      <c r="I382" t="s">
        <v>375</v>
      </c>
    </row>
    <row r="383" spans="1:9" x14ac:dyDescent="0.25">
      <c r="A383">
        <v>70345</v>
      </c>
      <c r="B383" t="s">
        <v>176</v>
      </c>
      <c r="C383" t="s">
        <v>238</v>
      </c>
      <c r="D383">
        <v>4</v>
      </c>
      <c r="E383">
        <v>-208017</v>
      </c>
      <c r="F383" t="s">
        <v>279</v>
      </c>
      <c r="G383" t="s">
        <v>33</v>
      </c>
      <c r="H383">
        <v>0</v>
      </c>
      <c r="I383" t="s">
        <v>376</v>
      </c>
    </row>
    <row r="384" spans="1:9" x14ac:dyDescent="0.25">
      <c r="A384">
        <v>70345</v>
      </c>
      <c r="B384" t="s">
        <v>176</v>
      </c>
      <c r="C384" t="s">
        <v>238</v>
      </c>
      <c r="D384">
        <v>4</v>
      </c>
      <c r="E384">
        <v>-208017</v>
      </c>
      <c r="F384" t="s">
        <v>279</v>
      </c>
      <c r="G384" t="s">
        <v>33</v>
      </c>
      <c r="H384">
        <v>0</v>
      </c>
      <c r="I384" t="s">
        <v>377</v>
      </c>
    </row>
    <row r="385" spans="1:9" x14ac:dyDescent="0.25">
      <c r="A385">
        <v>70345</v>
      </c>
      <c r="B385" t="s">
        <v>176</v>
      </c>
      <c r="C385" t="s">
        <v>238</v>
      </c>
      <c r="D385">
        <v>4</v>
      </c>
      <c r="E385">
        <v>-208017</v>
      </c>
      <c r="F385" t="s">
        <v>274</v>
      </c>
      <c r="G385" t="s">
        <v>275</v>
      </c>
      <c r="H385">
        <v>659189</v>
      </c>
      <c r="I385" t="s">
        <v>318</v>
      </c>
    </row>
    <row r="386" spans="1:9" x14ac:dyDescent="0.25">
      <c r="A386">
        <v>70345</v>
      </c>
      <c r="B386" t="s">
        <v>176</v>
      </c>
      <c r="C386" t="s">
        <v>238</v>
      </c>
      <c r="D386">
        <v>4</v>
      </c>
      <c r="E386">
        <v>-208017</v>
      </c>
      <c r="F386" t="s">
        <v>274</v>
      </c>
      <c r="G386" t="s">
        <v>300</v>
      </c>
      <c r="H386">
        <v>24256</v>
      </c>
      <c r="I386" t="s">
        <v>301</v>
      </c>
    </row>
    <row r="387" spans="1:9" x14ac:dyDescent="0.25">
      <c r="A387">
        <v>70345</v>
      </c>
      <c r="B387" t="s">
        <v>176</v>
      </c>
      <c r="C387" t="s">
        <v>238</v>
      </c>
      <c r="D387">
        <v>4</v>
      </c>
      <c r="E387">
        <v>-208017</v>
      </c>
      <c r="F387" t="s">
        <v>274</v>
      </c>
      <c r="G387" t="s">
        <v>275</v>
      </c>
      <c r="H387">
        <v>-40254</v>
      </c>
      <c r="I387" t="s">
        <v>302</v>
      </c>
    </row>
    <row r="388" spans="1:9" x14ac:dyDescent="0.25">
      <c r="A388">
        <v>70345</v>
      </c>
      <c r="B388" t="s">
        <v>176</v>
      </c>
      <c r="C388" t="s">
        <v>238</v>
      </c>
      <c r="D388">
        <v>4</v>
      </c>
      <c r="E388">
        <v>-208017</v>
      </c>
      <c r="F388" t="s">
        <v>279</v>
      </c>
      <c r="G388" t="s">
        <v>30</v>
      </c>
      <c r="H388">
        <v>249076</v>
      </c>
      <c r="I388" t="s">
        <v>303</v>
      </c>
    </row>
    <row r="389" spans="1:9" x14ac:dyDescent="0.25">
      <c r="A389">
        <v>70345</v>
      </c>
      <c r="B389" t="s">
        <v>176</v>
      </c>
      <c r="C389" t="s">
        <v>238</v>
      </c>
      <c r="D389">
        <v>4</v>
      </c>
      <c r="E389">
        <v>-208017</v>
      </c>
      <c r="F389" t="s">
        <v>279</v>
      </c>
      <c r="G389" t="s">
        <v>35</v>
      </c>
      <c r="H389">
        <v>11376</v>
      </c>
      <c r="I389" t="s">
        <v>304</v>
      </c>
    </row>
    <row r="390" spans="1:9" x14ac:dyDescent="0.25">
      <c r="A390">
        <v>70345</v>
      </c>
      <c r="B390" t="s">
        <v>176</v>
      </c>
      <c r="C390" t="s">
        <v>238</v>
      </c>
      <c r="D390">
        <v>4</v>
      </c>
      <c r="E390">
        <v>-208017</v>
      </c>
      <c r="F390" t="s">
        <v>279</v>
      </c>
      <c r="G390" t="s">
        <v>31</v>
      </c>
      <c r="H390">
        <v>125603</v>
      </c>
      <c r="I390" t="s">
        <v>305</v>
      </c>
    </row>
    <row r="391" spans="1:9" x14ac:dyDescent="0.25">
      <c r="A391">
        <v>70345</v>
      </c>
      <c r="B391" t="s">
        <v>176</v>
      </c>
      <c r="C391" t="s">
        <v>238</v>
      </c>
      <c r="D391">
        <v>4</v>
      </c>
      <c r="E391">
        <v>-208017</v>
      </c>
      <c r="F391" t="s">
        <v>279</v>
      </c>
      <c r="G391" t="s">
        <v>33</v>
      </c>
      <c r="H391">
        <v>3134</v>
      </c>
      <c r="I391" t="s">
        <v>320</v>
      </c>
    </row>
    <row r="392" spans="1:9" x14ac:dyDescent="0.25">
      <c r="A392">
        <v>70345</v>
      </c>
      <c r="B392" t="s">
        <v>176</v>
      </c>
      <c r="C392" t="s">
        <v>238</v>
      </c>
      <c r="D392">
        <v>4</v>
      </c>
      <c r="E392">
        <v>-208017</v>
      </c>
      <c r="F392" t="s">
        <v>279</v>
      </c>
      <c r="G392" t="s">
        <v>33</v>
      </c>
      <c r="H392">
        <v>0</v>
      </c>
      <c r="I392" t="s">
        <v>306</v>
      </c>
    </row>
    <row r="393" spans="1:9" x14ac:dyDescent="0.25">
      <c r="A393">
        <v>70345</v>
      </c>
      <c r="B393" t="s">
        <v>176</v>
      </c>
      <c r="C393" t="s">
        <v>238</v>
      </c>
      <c r="D393">
        <v>4</v>
      </c>
      <c r="E393">
        <v>-208017</v>
      </c>
      <c r="F393" t="s">
        <v>279</v>
      </c>
      <c r="G393" t="s">
        <v>33</v>
      </c>
      <c r="H393">
        <v>0</v>
      </c>
      <c r="I393" t="s">
        <v>378</v>
      </c>
    </row>
    <row r="394" spans="1:9" x14ac:dyDescent="0.25">
      <c r="A394">
        <v>70345</v>
      </c>
      <c r="B394" t="s">
        <v>176</v>
      </c>
      <c r="C394" t="s">
        <v>238</v>
      </c>
      <c r="D394">
        <v>4</v>
      </c>
      <c r="E394">
        <v>-208017</v>
      </c>
      <c r="F394" t="s">
        <v>279</v>
      </c>
      <c r="G394" t="s">
        <v>31</v>
      </c>
      <c r="H394">
        <v>11963</v>
      </c>
      <c r="I394" t="s">
        <v>307</v>
      </c>
    </row>
    <row r="395" spans="1:9" x14ac:dyDescent="0.25">
      <c r="A395">
        <v>70345</v>
      </c>
      <c r="B395" t="s">
        <v>176</v>
      </c>
      <c r="C395" t="s">
        <v>238</v>
      </c>
      <c r="D395">
        <v>4</v>
      </c>
      <c r="E395">
        <v>-208017</v>
      </c>
      <c r="F395" t="s">
        <v>279</v>
      </c>
      <c r="G395" t="s">
        <v>31</v>
      </c>
      <c r="H395">
        <v>0</v>
      </c>
      <c r="I395" t="s">
        <v>379</v>
      </c>
    </row>
    <row r="396" spans="1:9" x14ac:dyDescent="0.25">
      <c r="A396">
        <v>70345</v>
      </c>
      <c r="B396" t="s">
        <v>176</v>
      </c>
      <c r="C396" t="s">
        <v>238</v>
      </c>
      <c r="D396">
        <v>4</v>
      </c>
      <c r="E396">
        <v>-208017</v>
      </c>
      <c r="F396" t="s">
        <v>279</v>
      </c>
      <c r="G396" t="s">
        <v>30</v>
      </c>
      <c r="H396">
        <v>8249</v>
      </c>
      <c r="I396" t="s">
        <v>308</v>
      </c>
    </row>
    <row r="397" spans="1:9" x14ac:dyDescent="0.25">
      <c r="A397">
        <v>70345</v>
      </c>
      <c r="B397" t="s">
        <v>176</v>
      </c>
      <c r="C397" t="s">
        <v>238</v>
      </c>
      <c r="D397">
        <v>4</v>
      </c>
      <c r="E397">
        <v>-208017</v>
      </c>
      <c r="F397" t="s">
        <v>279</v>
      </c>
      <c r="G397" t="s">
        <v>35</v>
      </c>
      <c r="H397">
        <v>10433</v>
      </c>
      <c r="I397" t="s">
        <v>321</v>
      </c>
    </row>
    <row r="398" spans="1:9" x14ac:dyDescent="0.25">
      <c r="A398">
        <v>70345</v>
      </c>
      <c r="B398" t="s">
        <v>176</v>
      </c>
      <c r="C398" t="s">
        <v>238</v>
      </c>
      <c r="D398">
        <v>4</v>
      </c>
      <c r="E398">
        <v>-208017</v>
      </c>
      <c r="F398" t="s">
        <v>279</v>
      </c>
      <c r="G398" t="s">
        <v>33</v>
      </c>
      <c r="H398">
        <v>0</v>
      </c>
      <c r="I398" t="s">
        <v>380</v>
      </c>
    </row>
    <row r="399" spans="1:9" x14ac:dyDescent="0.25">
      <c r="A399">
        <v>70345</v>
      </c>
      <c r="B399" t="s">
        <v>176</v>
      </c>
      <c r="C399" t="s">
        <v>238</v>
      </c>
      <c r="D399">
        <v>4</v>
      </c>
      <c r="E399">
        <v>-208017</v>
      </c>
      <c r="F399" t="s">
        <v>279</v>
      </c>
      <c r="G399" t="s">
        <v>35</v>
      </c>
      <c r="H399">
        <v>25</v>
      </c>
      <c r="I399" t="s">
        <v>309</v>
      </c>
    </row>
    <row r="400" spans="1:9" x14ac:dyDescent="0.25">
      <c r="A400">
        <v>70345</v>
      </c>
      <c r="B400" t="s">
        <v>176</v>
      </c>
      <c r="C400" t="s">
        <v>238</v>
      </c>
      <c r="D400">
        <v>4</v>
      </c>
      <c r="E400">
        <v>-208017</v>
      </c>
      <c r="F400" t="s">
        <v>279</v>
      </c>
      <c r="G400" t="s">
        <v>35</v>
      </c>
      <c r="H400">
        <v>1220</v>
      </c>
      <c r="I400" t="s">
        <v>310</v>
      </c>
    </row>
    <row r="401" spans="1:9" x14ac:dyDescent="0.25">
      <c r="A401">
        <v>70345</v>
      </c>
      <c r="B401" t="s">
        <v>176</v>
      </c>
      <c r="C401" t="s">
        <v>238</v>
      </c>
      <c r="D401">
        <v>4</v>
      </c>
      <c r="E401">
        <v>-208017</v>
      </c>
      <c r="F401" t="s">
        <v>279</v>
      </c>
      <c r="G401" t="s">
        <v>35</v>
      </c>
      <c r="H401">
        <v>19877</v>
      </c>
      <c r="I401" t="s">
        <v>311</v>
      </c>
    </row>
    <row r="402" spans="1:9" x14ac:dyDescent="0.25">
      <c r="A402">
        <v>70345</v>
      </c>
      <c r="B402" t="s">
        <v>176</v>
      </c>
      <c r="C402" t="s">
        <v>238</v>
      </c>
      <c r="D402">
        <v>4</v>
      </c>
      <c r="E402">
        <v>-208017</v>
      </c>
      <c r="F402" t="s">
        <v>279</v>
      </c>
      <c r="G402" t="s">
        <v>35</v>
      </c>
      <c r="H402">
        <v>127</v>
      </c>
      <c r="I402" t="s">
        <v>312</v>
      </c>
    </row>
    <row r="403" spans="1:9" x14ac:dyDescent="0.25">
      <c r="A403">
        <v>70345</v>
      </c>
      <c r="B403" t="s">
        <v>176</v>
      </c>
      <c r="C403" t="s">
        <v>238</v>
      </c>
      <c r="D403">
        <v>4</v>
      </c>
      <c r="E403">
        <v>-208017</v>
      </c>
      <c r="F403" t="s">
        <v>279</v>
      </c>
      <c r="G403" t="s">
        <v>35</v>
      </c>
      <c r="H403">
        <v>10553</v>
      </c>
      <c r="I403" t="s">
        <v>313</v>
      </c>
    </row>
    <row r="404" spans="1:9" x14ac:dyDescent="0.25">
      <c r="A404">
        <v>70345</v>
      </c>
      <c r="B404" t="s">
        <v>176</v>
      </c>
      <c r="C404" t="s">
        <v>238</v>
      </c>
      <c r="D404">
        <v>4</v>
      </c>
      <c r="E404">
        <v>-208017</v>
      </c>
      <c r="F404" t="s">
        <v>279</v>
      </c>
      <c r="G404" t="s">
        <v>37</v>
      </c>
      <c r="H404">
        <v>0</v>
      </c>
      <c r="I404" t="s">
        <v>381</v>
      </c>
    </row>
    <row r="405" spans="1:9" x14ac:dyDescent="0.25">
      <c r="A405">
        <v>70345</v>
      </c>
      <c r="B405" t="s">
        <v>176</v>
      </c>
      <c r="C405" t="s">
        <v>238</v>
      </c>
      <c r="D405">
        <v>4</v>
      </c>
      <c r="E405">
        <v>-208017</v>
      </c>
      <c r="F405" t="s">
        <v>279</v>
      </c>
      <c r="G405" t="s">
        <v>37</v>
      </c>
      <c r="H405">
        <v>15633</v>
      </c>
      <c r="I405" t="s">
        <v>314</v>
      </c>
    </row>
    <row r="406" spans="1:9" x14ac:dyDescent="0.25">
      <c r="A406">
        <v>70345</v>
      </c>
      <c r="B406" t="s">
        <v>176</v>
      </c>
      <c r="C406" t="s">
        <v>238</v>
      </c>
      <c r="D406">
        <v>4</v>
      </c>
      <c r="E406">
        <v>-208017</v>
      </c>
      <c r="F406" t="s">
        <v>279</v>
      </c>
      <c r="G406" t="s">
        <v>35</v>
      </c>
      <c r="H406">
        <v>10368</v>
      </c>
      <c r="I406" t="s">
        <v>315</v>
      </c>
    </row>
    <row r="407" spans="1:9" x14ac:dyDescent="0.25">
      <c r="A407">
        <v>70345</v>
      </c>
      <c r="B407" t="s">
        <v>176</v>
      </c>
      <c r="C407" t="s">
        <v>238</v>
      </c>
      <c r="D407">
        <v>4</v>
      </c>
      <c r="E407">
        <v>-208017</v>
      </c>
      <c r="F407" t="s">
        <v>279</v>
      </c>
      <c r="G407" t="s">
        <v>37</v>
      </c>
      <c r="H407">
        <v>0</v>
      </c>
      <c r="I407" t="s">
        <v>323</v>
      </c>
    </row>
    <row r="408" spans="1:9" x14ac:dyDescent="0.25">
      <c r="A408">
        <v>70345</v>
      </c>
      <c r="B408" t="s">
        <v>176</v>
      </c>
      <c r="C408" t="s">
        <v>238</v>
      </c>
      <c r="D408">
        <v>4</v>
      </c>
      <c r="E408">
        <v>-208017</v>
      </c>
      <c r="F408" t="s">
        <v>279</v>
      </c>
      <c r="G408" t="s">
        <v>37</v>
      </c>
      <c r="H408">
        <v>7</v>
      </c>
      <c r="I408" t="s">
        <v>322</v>
      </c>
    </row>
    <row r="409" spans="1:9" x14ac:dyDescent="0.25">
      <c r="A409">
        <v>70345</v>
      </c>
      <c r="B409" t="s">
        <v>176</v>
      </c>
      <c r="C409" t="s">
        <v>238</v>
      </c>
      <c r="D409">
        <v>4</v>
      </c>
      <c r="E409">
        <v>-208017</v>
      </c>
      <c r="F409" t="s">
        <v>279</v>
      </c>
      <c r="G409" t="s">
        <v>37</v>
      </c>
      <c r="H409">
        <v>0</v>
      </c>
      <c r="I409" t="s">
        <v>382</v>
      </c>
    </row>
    <row r="410" spans="1:9" x14ac:dyDescent="0.25">
      <c r="A410">
        <v>70345</v>
      </c>
      <c r="B410" t="s">
        <v>176</v>
      </c>
      <c r="C410" t="s">
        <v>238</v>
      </c>
      <c r="D410">
        <v>4</v>
      </c>
      <c r="E410">
        <v>-208017</v>
      </c>
      <c r="F410" t="s">
        <v>279</v>
      </c>
      <c r="G410" t="s">
        <v>37</v>
      </c>
      <c r="H410">
        <v>87344</v>
      </c>
      <c r="I410" t="s">
        <v>316</v>
      </c>
    </row>
    <row r="411" spans="1:9" x14ac:dyDescent="0.25">
      <c r="A411">
        <v>70345</v>
      </c>
      <c r="B411" t="s">
        <v>176</v>
      </c>
      <c r="C411" t="s">
        <v>238</v>
      </c>
      <c r="D411">
        <v>4</v>
      </c>
      <c r="E411">
        <v>-208017</v>
      </c>
      <c r="F411" t="s">
        <v>279</v>
      </c>
      <c r="G411" t="s">
        <v>36</v>
      </c>
      <c r="H411">
        <v>140157</v>
      </c>
      <c r="I411" t="s">
        <v>317</v>
      </c>
    </row>
    <row r="412" spans="1:9" x14ac:dyDescent="0.25">
      <c r="A412">
        <v>70345</v>
      </c>
      <c r="B412" t="s">
        <v>176</v>
      </c>
      <c r="C412" t="s">
        <v>238</v>
      </c>
      <c r="D412">
        <v>4</v>
      </c>
      <c r="E412">
        <v>-208017</v>
      </c>
      <c r="F412" t="s">
        <v>274</v>
      </c>
      <c r="G412" t="s">
        <v>275</v>
      </c>
      <c r="H412">
        <v>0</v>
      </c>
      <c r="I412" t="s">
        <v>276</v>
      </c>
    </row>
    <row r="413" spans="1:9" x14ac:dyDescent="0.25">
      <c r="A413">
        <v>70345</v>
      </c>
      <c r="B413" t="s">
        <v>176</v>
      </c>
      <c r="C413" t="s">
        <v>238</v>
      </c>
      <c r="D413">
        <v>4</v>
      </c>
      <c r="E413">
        <v>-208017</v>
      </c>
      <c r="F413" t="s">
        <v>279</v>
      </c>
      <c r="G413" t="s">
        <v>29</v>
      </c>
      <c r="H413">
        <v>0</v>
      </c>
      <c r="I413" t="s">
        <v>324</v>
      </c>
    </row>
    <row r="414" spans="1:9" x14ac:dyDescent="0.25">
      <c r="A414">
        <v>70345</v>
      </c>
      <c r="B414" t="s">
        <v>176</v>
      </c>
      <c r="C414" t="s">
        <v>238</v>
      </c>
      <c r="D414">
        <v>4</v>
      </c>
      <c r="E414">
        <v>-208017</v>
      </c>
      <c r="F414" t="s">
        <v>274</v>
      </c>
      <c r="G414" t="s">
        <v>277</v>
      </c>
      <c r="H414">
        <v>2567</v>
      </c>
      <c r="I414" t="s">
        <v>278</v>
      </c>
    </row>
    <row r="415" spans="1:9" x14ac:dyDescent="0.25">
      <c r="A415">
        <v>70345</v>
      </c>
      <c r="B415" t="s">
        <v>176</v>
      </c>
      <c r="C415" t="s">
        <v>238</v>
      </c>
      <c r="D415">
        <v>4</v>
      </c>
      <c r="E415">
        <v>-208017</v>
      </c>
      <c r="F415" t="s">
        <v>274</v>
      </c>
      <c r="G415" t="s">
        <v>300</v>
      </c>
      <c r="H415">
        <v>0</v>
      </c>
      <c r="I415" t="s">
        <v>383</v>
      </c>
    </row>
    <row r="416" spans="1:9" x14ac:dyDescent="0.25">
      <c r="A416">
        <v>70345</v>
      </c>
      <c r="B416" t="s">
        <v>176</v>
      </c>
      <c r="C416" t="s">
        <v>238</v>
      </c>
      <c r="D416">
        <v>4</v>
      </c>
      <c r="E416">
        <v>-208017</v>
      </c>
      <c r="F416" t="s">
        <v>279</v>
      </c>
      <c r="G416" t="s">
        <v>33</v>
      </c>
      <c r="H416">
        <v>45595</v>
      </c>
      <c r="I416" t="s">
        <v>280</v>
      </c>
    </row>
    <row r="417" spans="1:9" x14ac:dyDescent="0.25">
      <c r="A417">
        <v>70345</v>
      </c>
      <c r="B417" t="s">
        <v>176</v>
      </c>
      <c r="C417" t="s">
        <v>238</v>
      </c>
      <c r="D417">
        <v>4</v>
      </c>
      <c r="E417">
        <v>-208017</v>
      </c>
      <c r="F417" t="s">
        <v>279</v>
      </c>
      <c r="G417" t="s">
        <v>29</v>
      </c>
      <c r="H417">
        <v>474</v>
      </c>
      <c r="I417" t="s">
        <v>281</v>
      </c>
    </row>
    <row r="418" spans="1:9" x14ac:dyDescent="0.25">
      <c r="A418">
        <v>70345</v>
      </c>
      <c r="B418" t="s">
        <v>176</v>
      </c>
      <c r="C418" t="s">
        <v>238</v>
      </c>
      <c r="D418">
        <v>4</v>
      </c>
      <c r="E418">
        <v>-208017</v>
      </c>
      <c r="F418" t="s">
        <v>279</v>
      </c>
      <c r="G418" t="s">
        <v>29</v>
      </c>
      <c r="H418">
        <v>94095</v>
      </c>
      <c r="I418" t="s">
        <v>282</v>
      </c>
    </row>
    <row r="419" spans="1:9" x14ac:dyDescent="0.25">
      <c r="A419">
        <v>70345</v>
      </c>
      <c r="B419" t="s">
        <v>176</v>
      </c>
      <c r="C419" t="s">
        <v>238</v>
      </c>
      <c r="D419">
        <v>4</v>
      </c>
      <c r="E419">
        <v>-208017</v>
      </c>
      <c r="F419" t="s">
        <v>279</v>
      </c>
      <c r="G419" t="s">
        <v>35</v>
      </c>
      <c r="H419">
        <v>87572</v>
      </c>
      <c r="I419" t="s">
        <v>283</v>
      </c>
    </row>
    <row r="420" spans="1:9" x14ac:dyDescent="0.25">
      <c r="A420">
        <v>70345</v>
      </c>
      <c r="B420" t="s">
        <v>176</v>
      </c>
      <c r="C420" t="s">
        <v>238</v>
      </c>
      <c r="D420">
        <v>4</v>
      </c>
      <c r="E420">
        <v>-208017</v>
      </c>
      <c r="F420" t="s">
        <v>279</v>
      </c>
      <c r="G420" t="s">
        <v>29</v>
      </c>
      <c r="H420">
        <v>8191</v>
      </c>
      <c r="I420" t="s">
        <v>284</v>
      </c>
    </row>
    <row r="421" spans="1:9" x14ac:dyDescent="0.25">
      <c r="A421">
        <v>70345</v>
      </c>
      <c r="B421" t="s">
        <v>176</v>
      </c>
      <c r="C421" t="s">
        <v>238</v>
      </c>
      <c r="D421">
        <v>4</v>
      </c>
      <c r="E421">
        <v>-208017</v>
      </c>
      <c r="F421" t="s">
        <v>279</v>
      </c>
      <c r="G421" t="s">
        <v>29</v>
      </c>
      <c r="H421">
        <v>39349</v>
      </c>
      <c r="I421" t="s">
        <v>285</v>
      </c>
    </row>
    <row r="422" spans="1:9" x14ac:dyDescent="0.25">
      <c r="A422">
        <v>70345</v>
      </c>
      <c r="B422" t="s">
        <v>176</v>
      </c>
      <c r="C422" t="s">
        <v>238</v>
      </c>
      <c r="D422">
        <v>4</v>
      </c>
      <c r="E422">
        <v>-208017</v>
      </c>
      <c r="F422" t="s">
        <v>279</v>
      </c>
      <c r="G422" t="s">
        <v>29</v>
      </c>
      <c r="H422">
        <v>6956</v>
      </c>
      <c r="I422" t="s">
        <v>286</v>
      </c>
    </row>
    <row r="423" spans="1:9" x14ac:dyDescent="0.25">
      <c r="A423">
        <v>70345</v>
      </c>
      <c r="B423" t="s">
        <v>176</v>
      </c>
      <c r="C423" t="s">
        <v>238</v>
      </c>
      <c r="D423">
        <v>4</v>
      </c>
      <c r="E423">
        <v>-208017</v>
      </c>
      <c r="F423" t="s">
        <v>279</v>
      </c>
      <c r="G423" t="s">
        <v>29</v>
      </c>
      <c r="H423">
        <v>0</v>
      </c>
      <c r="I423" t="s">
        <v>327</v>
      </c>
    </row>
    <row r="424" spans="1:9" x14ac:dyDescent="0.25">
      <c r="A424">
        <v>70345</v>
      </c>
      <c r="B424" t="s">
        <v>176</v>
      </c>
      <c r="C424" t="s">
        <v>238</v>
      </c>
      <c r="D424">
        <v>4</v>
      </c>
      <c r="E424">
        <v>-208017</v>
      </c>
      <c r="F424" t="s">
        <v>279</v>
      </c>
      <c r="G424" t="s">
        <v>34</v>
      </c>
      <c r="H424">
        <v>6330</v>
      </c>
      <c r="I424" t="s">
        <v>287</v>
      </c>
    </row>
    <row r="425" spans="1:9" x14ac:dyDescent="0.25">
      <c r="A425">
        <v>70345</v>
      </c>
      <c r="B425" t="s">
        <v>176</v>
      </c>
      <c r="C425" t="s">
        <v>238</v>
      </c>
      <c r="D425">
        <v>4</v>
      </c>
      <c r="E425">
        <v>-208017</v>
      </c>
      <c r="F425" t="s">
        <v>279</v>
      </c>
      <c r="G425" t="s">
        <v>29</v>
      </c>
      <c r="H425">
        <v>24864</v>
      </c>
      <c r="I425" t="s">
        <v>288</v>
      </c>
    </row>
    <row r="426" spans="1:9" x14ac:dyDescent="0.25">
      <c r="A426">
        <v>70345</v>
      </c>
      <c r="B426" t="s">
        <v>176</v>
      </c>
      <c r="C426" t="s">
        <v>238</v>
      </c>
      <c r="D426">
        <v>4</v>
      </c>
      <c r="E426">
        <v>-208017</v>
      </c>
      <c r="F426" t="s">
        <v>279</v>
      </c>
      <c r="G426" t="s">
        <v>34</v>
      </c>
      <c r="H426">
        <v>10075</v>
      </c>
      <c r="I426" t="s">
        <v>289</v>
      </c>
    </row>
    <row r="427" spans="1:9" x14ac:dyDescent="0.25">
      <c r="A427">
        <v>70345</v>
      </c>
      <c r="B427" t="s">
        <v>176</v>
      </c>
      <c r="C427" t="s">
        <v>238</v>
      </c>
      <c r="D427">
        <v>4</v>
      </c>
      <c r="E427">
        <v>-208017</v>
      </c>
      <c r="F427" t="s">
        <v>279</v>
      </c>
      <c r="G427" t="s">
        <v>29</v>
      </c>
      <c r="H427">
        <v>5267</v>
      </c>
      <c r="I427" t="s">
        <v>290</v>
      </c>
    </row>
    <row r="428" spans="1:9" x14ac:dyDescent="0.25">
      <c r="A428">
        <v>70345</v>
      </c>
      <c r="B428" t="s">
        <v>176</v>
      </c>
      <c r="C428" t="s">
        <v>238</v>
      </c>
      <c r="D428">
        <v>4</v>
      </c>
      <c r="E428">
        <v>-208017</v>
      </c>
      <c r="F428" t="s">
        <v>279</v>
      </c>
      <c r="G428" t="s">
        <v>32</v>
      </c>
      <c r="H428">
        <v>60681</v>
      </c>
      <c r="I428" t="s">
        <v>291</v>
      </c>
    </row>
    <row r="429" spans="1:9" x14ac:dyDescent="0.25">
      <c r="A429">
        <v>70345</v>
      </c>
      <c r="B429" t="s">
        <v>176</v>
      </c>
      <c r="C429" t="s">
        <v>238</v>
      </c>
      <c r="D429">
        <v>4</v>
      </c>
      <c r="E429">
        <v>-208017</v>
      </c>
      <c r="F429" t="s">
        <v>279</v>
      </c>
      <c r="G429" t="s">
        <v>29</v>
      </c>
      <c r="H429">
        <v>150</v>
      </c>
      <c r="I429" t="s">
        <v>292</v>
      </c>
    </row>
    <row r="430" spans="1:9" x14ac:dyDescent="0.25">
      <c r="A430">
        <v>70345</v>
      </c>
      <c r="B430" t="s">
        <v>176</v>
      </c>
      <c r="C430" t="s">
        <v>238</v>
      </c>
      <c r="D430">
        <v>4</v>
      </c>
      <c r="E430">
        <v>-208017</v>
      </c>
      <c r="F430" t="s">
        <v>279</v>
      </c>
      <c r="G430" t="s">
        <v>29</v>
      </c>
      <c r="H430">
        <v>0</v>
      </c>
      <c r="I430" t="s">
        <v>384</v>
      </c>
    </row>
    <row r="431" spans="1:9" x14ac:dyDescent="0.25">
      <c r="A431">
        <v>70345</v>
      </c>
      <c r="B431" t="s">
        <v>176</v>
      </c>
      <c r="C431" t="s">
        <v>238</v>
      </c>
      <c r="D431">
        <v>4</v>
      </c>
      <c r="E431">
        <v>-208017</v>
      </c>
      <c r="F431" t="s">
        <v>279</v>
      </c>
      <c r="G431" t="s">
        <v>35</v>
      </c>
      <c r="H431">
        <v>0</v>
      </c>
      <c r="I431" t="s">
        <v>293</v>
      </c>
    </row>
    <row r="432" spans="1:9" x14ac:dyDescent="0.25">
      <c r="A432">
        <v>70345</v>
      </c>
      <c r="B432" t="s">
        <v>176</v>
      </c>
      <c r="C432" t="s">
        <v>238</v>
      </c>
      <c r="D432">
        <v>4</v>
      </c>
      <c r="E432">
        <v>-208017</v>
      </c>
      <c r="F432" t="s">
        <v>279</v>
      </c>
      <c r="G432" t="s">
        <v>35</v>
      </c>
      <c r="H432">
        <v>2435</v>
      </c>
      <c r="I432" t="s">
        <v>294</v>
      </c>
    </row>
    <row r="433" spans="1:9" x14ac:dyDescent="0.25">
      <c r="A433">
        <v>70345</v>
      </c>
      <c r="B433" t="s">
        <v>176</v>
      </c>
      <c r="C433" t="s">
        <v>238</v>
      </c>
      <c r="D433">
        <v>4</v>
      </c>
      <c r="E433">
        <v>-208017</v>
      </c>
      <c r="F433" t="s">
        <v>279</v>
      </c>
      <c r="G433" t="s">
        <v>35</v>
      </c>
      <c r="H433">
        <v>5143</v>
      </c>
      <c r="I433" t="s">
        <v>295</v>
      </c>
    </row>
    <row r="434" spans="1:9" x14ac:dyDescent="0.25">
      <c r="A434">
        <v>70345</v>
      </c>
      <c r="B434" t="s">
        <v>176</v>
      </c>
      <c r="C434" t="s">
        <v>238</v>
      </c>
      <c r="D434">
        <v>4</v>
      </c>
      <c r="E434">
        <v>-208017</v>
      </c>
      <c r="F434" t="s">
        <v>279</v>
      </c>
      <c r="G434" t="s">
        <v>35</v>
      </c>
      <c r="H434">
        <v>7242</v>
      </c>
      <c r="I434" t="s">
        <v>296</v>
      </c>
    </row>
    <row r="435" spans="1:9" x14ac:dyDescent="0.25">
      <c r="A435">
        <v>70345</v>
      </c>
      <c r="B435" t="s">
        <v>176</v>
      </c>
      <c r="C435" t="s">
        <v>238</v>
      </c>
      <c r="D435">
        <v>4</v>
      </c>
      <c r="E435">
        <v>-208017</v>
      </c>
      <c r="F435" t="s">
        <v>279</v>
      </c>
      <c r="G435" t="s">
        <v>35</v>
      </c>
      <c r="H435">
        <v>0</v>
      </c>
      <c r="I435" t="s">
        <v>325</v>
      </c>
    </row>
    <row r="436" spans="1:9" x14ac:dyDescent="0.25">
      <c r="A436">
        <v>70345</v>
      </c>
      <c r="B436" t="s">
        <v>176</v>
      </c>
      <c r="C436" t="s">
        <v>238</v>
      </c>
      <c r="D436">
        <v>4</v>
      </c>
      <c r="E436">
        <v>-208017</v>
      </c>
      <c r="F436" t="s">
        <v>279</v>
      </c>
      <c r="G436" t="s">
        <v>29</v>
      </c>
      <c r="H436">
        <v>393</v>
      </c>
      <c r="I436" t="s">
        <v>297</v>
      </c>
    </row>
    <row r="437" spans="1:9" x14ac:dyDescent="0.25">
      <c r="A437">
        <v>70345</v>
      </c>
      <c r="B437" t="s">
        <v>176</v>
      </c>
      <c r="C437" t="s">
        <v>238</v>
      </c>
      <c r="D437">
        <v>4</v>
      </c>
      <c r="E437">
        <v>-208017</v>
      </c>
      <c r="F437" t="s">
        <v>279</v>
      </c>
      <c r="G437" t="s">
        <v>36</v>
      </c>
      <c r="H437">
        <v>27510</v>
      </c>
      <c r="I437" t="s">
        <v>298</v>
      </c>
    </row>
    <row r="438" spans="1:9" x14ac:dyDescent="0.25">
      <c r="A438">
        <v>70345</v>
      </c>
      <c r="B438" t="s">
        <v>176</v>
      </c>
      <c r="C438" t="s">
        <v>238</v>
      </c>
      <c r="D438">
        <v>4</v>
      </c>
      <c r="E438">
        <v>-208017</v>
      </c>
      <c r="F438" t="s">
        <v>274</v>
      </c>
      <c r="G438" t="s">
        <v>275</v>
      </c>
      <c r="H438">
        <v>283692</v>
      </c>
      <c r="I438" t="s">
        <v>299</v>
      </c>
    </row>
    <row r="439" spans="1:9" x14ac:dyDescent="0.25">
      <c r="A439">
        <v>70345</v>
      </c>
      <c r="B439" t="s">
        <v>176</v>
      </c>
      <c r="C439" t="s">
        <v>238</v>
      </c>
      <c r="D439">
        <v>4</v>
      </c>
      <c r="E439">
        <v>-208017</v>
      </c>
      <c r="F439" t="s">
        <v>274</v>
      </c>
      <c r="G439" t="s">
        <v>275</v>
      </c>
      <c r="H439">
        <v>0</v>
      </c>
      <c r="I439" t="s">
        <v>385</v>
      </c>
    </row>
    <row r="440" spans="1:9" x14ac:dyDescent="0.25">
      <c r="A440">
        <v>70346</v>
      </c>
      <c r="B440" t="s">
        <v>178</v>
      </c>
      <c r="C440" t="s">
        <v>238</v>
      </c>
      <c r="D440">
        <v>4</v>
      </c>
      <c r="E440">
        <v>-205150</v>
      </c>
      <c r="F440" t="s">
        <v>279</v>
      </c>
      <c r="G440" t="s">
        <v>31</v>
      </c>
      <c r="H440">
        <v>0</v>
      </c>
      <c r="I440" t="s">
        <v>364</v>
      </c>
    </row>
    <row r="441" spans="1:9" x14ac:dyDescent="0.25">
      <c r="A441">
        <v>70346</v>
      </c>
      <c r="B441" t="s">
        <v>178</v>
      </c>
      <c r="C441" t="s">
        <v>238</v>
      </c>
      <c r="D441">
        <v>4</v>
      </c>
      <c r="E441">
        <v>-205150</v>
      </c>
      <c r="F441" t="s">
        <v>279</v>
      </c>
      <c r="G441" t="s">
        <v>31</v>
      </c>
      <c r="H441">
        <v>0</v>
      </c>
      <c r="I441" t="s">
        <v>365</v>
      </c>
    </row>
    <row r="442" spans="1:9" x14ac:dyDescent="0.25">
      <c r="A442">
        <v>70346</v>
      </c>
      <c r="B442" t="s">
        <v>178</v>
      </c>
      <c r="C442" t="s">
        <v>238</v>
      </c>
      <c r="D442">
        <v>4</v>
      </c>
      <c r="E442">
        <v>-205150</v>
      </c>
      <c r="F442" t="s">
        <v>279</v>
      </c>
      <c r="G442" t="s">
        <v>31</v>
      </c>
      <c r="H442">
        <v>0</v>
      </c>
      <c r="I442" t="s">
        <v>366</v>
      </c>
    </row>
    <row r="443" spans="1:9" x14ac:dyDescent="0.25">
      <c r="A443">
        <v>70346</v>
      </c>
      <c r="B443" t="s">
        <v>178</v>
      </c>
      <c r="C443" t="s">
        <v>238</v>
      </c>
      <c r="D443">
        <v>4</v>
      </c>
      <c r="E443">
        <v>-205150</v>
      </c>
      <c r="F443" t="s">
        <v>279</v>
      </c>
      <c r="G443" t="s">
        <v>31</v>
      </c>
      <c r="H443">
        <v>0</v>
      </c>
      <c r="I443" t="s">
        <v>367</v>
      </c>
    </row>
    <row r="444" spans="1:9" x14ac:dyDescent="0.25">
      <c r="A444">
        <v>70346</v>
      </c>
      <c r="B444" t="s">
        <v>178</v>
      </c>
      <c r="C444" t="s">
        <v>238</v>
      </c>
      <c r="D444">
        <v>4</v>
      </c>
      <c r="E444">
        <v>-205150</v>
      </c>
      <c r="F444" t="s">
        <v>279</v>
      </c>
      <c r="G444" t="s">
        <v>31</v>
      </c>
      <c r="H444">
        <v>0</v>
      </c>
      <c r="I444" t="s">
        <v>368</v>
      </c>
    </row>
    <row r="445" spans="1:9" x14ac:dyDescent="0.25">
      <c r="A445">
        <v>70346</v>
      </c>
      <c r="B445" t="s">
        <v>178</v>
      </c>
      <c r="C445" t="s">
        <v>238</v>
      </c>
      <c r="D445">
        <v>4</v>
      </c>
      <c r="E445">
        <v>-205150</v>
      </c>
      <c r="F445" t="s">
        <v>279</v>
      </c>
      <c r="G445" t="s">
        <v>31</v>
      </c>
      <c r="H445">
        <v>0</v>
      </c>
      <c r="I445" t="s">
        <v>369</v>
      </c>
    </row>
    <row r="446" spans="1:9" x14ac:dyDescent="0.25">
      <c r="A446">
        <v>70346</v>
      </c>
      <c r="B446" t="s">
        <v>178</v>
      </c>
      <c r="C446" t="s">
        <v>238</v>
      </c>
      <c r="D446">
        <v>4</v>
      </c>
      <c r="E446">
        <v>-205150</v>
      </c>
      <c r="F446" t="s">
        <v>279</v>
      </c>
      <c r="G446" t="s">
        <v>31</v>
      </c>
      <c r="H446">
        <v>0</v>
      </c>
      <c r="I446" t="s">
        <v>370</v>
      </c>
    </row>
    <row r="447" spans="1:9" x14ac:dyDescent="0.25">
      <c r="A447">
        <v>70346</v>
      </c>
      <c r="B447" t="s">
        <v>178</v>
      </c>
      <c r="C447" t="s">
        <v>238</v>
      </c>
      <c r="D447">
        <v>4</v>
      </c>
      <c r="E447">
        <v>-205150</v>
      </c>
      <c r="F447" t="s">
        <v>279</v>
      </c>
      <c r="G447" t="s">
        <v>31</v>
      </c>
      <c r="H447">
        <v>0</v>
      </c>
      <c r="I447" t="s">
        <v>371</v>
      </c>
    </row>
    <row r="448" spans="1:9" x14ac:dyDescent="0.25">
      <c r="A448">
        <v>70346</v>
      </c>
      <c r="B448" t="s">
        <v>178</v>
      </c>
      <c r="C448" t="s">
        <v>238</v>
      </c>
      <c r="D448">
        <v>4</v>
      </c>
      <c r="E448">
        <v>-205150</v>
      </c>
      <c r="F448" t="s">
        <v>279</v>
      </c>
      <c r="G448" t="s">
        <v>31</v>
      </c>
      <c r="H448">
        <v>0</v>
      </c>
      <c r="I448" t="s">
        <v>328</v>
      </c>
    </row>
    <row r="449" spans="1:9" x14ac:dyDescent="0.25">
      <c r="A449">
        <v>70346</v>
      </c>
      <c r="B449" t="s">
        <v>178</v>
      </c>
      <c r="C449" t="s">
        <v>238</v>
      </c>
      <c r="D449">
        <v>4</v>
      </c>
      <c r="E449">
        <v>-205150</v>
      </c>
      <c r="F449" t="s">
        <v>279</v>
      </c>
      <c r="G449" t="s">
        <v>33</v>
      </c>
      <c r="H449">
        <v>0</v>
      </c>
      <c r="I449" t="s">
        <v>372</v>
      </c>
    </row>
    <row r="450" spans="1:9" x14ac:dyDescent="0.25">
      <c r="A450">
        <v>70346</v>
      </c>
      <c r="B450" t="s">
        <v>178</v>
      </c>
      <c r="C450" t="s">
        <v>238</v>
      </c>
      <c r="D450">
        <v>4</v>
      </c>
      <c r="E450">
        <v>-205150</v>
      </c>
      <c r="F450" t="s">
        <v>279</v>
      </c>
      <c r="G450" t="s">
        <v>33</v>
      </c>
      <c r="H450">
        <v>0</v>
      </c>
      <c r="I450" t="s">
        <v>329</v>
      </c>
    </row>
    <row r="451" spans="1:9" x14ac:dyDescent="0.25">
      <c r="A451">
        <v>70346</v>
      </c>
      <c r="B451" t="s">
        <v>178</v>
      </c>
      <c r="C451" t="s">
        <v>238</v>
      </c>
      <c r="D451">
        <v>4</v>
      </c>
      <c r="E451">
        <v>-205150</v>
      </c>
      <c r="F451" t="s">
        <v>279</v>
      </c>
      <c r="G451" t="s">
        <v>33</v>
      </c>
      <c r="H451">
        <v>34400</v>
      </c>
      <c r="I451" t="s">
        <v>319</v>
      </c>
    </row>
    <row r="452" spans="1:9" x14ac:dyDescent="0.25">
      <c r="A452">
        <v>70346</v>
      </c>
      <c r="B452" t="s">
        <v>178</v>
      </c>
      <c r="C452" t="s">
        <v>238</v>
      </c>
      <c r="D452">
        <v>4</v>
      </c>
      <c r="E452">
        <v>-205150</v>
      </c>
      <c r="F452" t="s">
        <v>279</v>
      </c>
      <c r="G452" t="s">
        <v>33</v>
      </c>
      <c r="H452">
        <v>0</v>
      </c>
      <c r="I452" t="s">
        <v>373</v>
      </c>
    </row>
    <row r="453" spans="1:9" x14ac:dyDescent="0.25">
      <c r="A453">
        <v>70346</v>
      </c>
      <c r="B453" t="s">
        <v>178</v>
      </c>
      <c r="C453" t="s">
        <v>238</v>
      </c>
      <c r="D453">
        <v>4</v>
      </c>
      <c r="E453">
        <v>-205150</v>
      </c>
      <c r="F453" t="s">
        <v>279</v>
      </c>
      <c r="G453" t="s">
        <v>33</v>
      </c>
      <c r="H453">
        <v>0</v>
      </c>
      <c r="I453" t="s">
        <v>374</v>
      </c>
    </row>
    <row r="454" spans="1:9" x14ac:dyDescent="0.25">
      <c r="A454">
        <v>70346</v>
      </c>
      <c r="B454" t="s">
        <v>178</v>
      </c>
      <c r="C454" t="s">
        <v>238</v>
      </c>
      <c r="D454">
        <v>4</v>
      </c>
      <c r="E454">
        <v>-205150</v>
      </c>
      <c r="F454" t="s">
        <v>279</v>
      </c>
      <c r="G454" t="s">
        <v>33</v>
      </c>
      <c r="H454">
        <v>0</v>
      </c>
      <c r="I454" t="s">
        <v>326</v>
      </c>
    </row>
    <row r="455" spans="1:9" x14ac:dyDescent="0.25">
      <c r="A455">
        <v>70346</v>
      </c>
      <c r="B455" t="s">
        <v>178</v>
      </c>
      <c r="C455" t="s">
        <v>238</v>
      </c>
      <c r="D455">
        <v>4</v>
      </c>
      <c r="E455">
        <v>-205150</v>
      </c>
      <c r="F455" t="s">
        <v>279</v>
      </c>
      <c r="G455" t="s">
        <v>33</v>
      </c>
      <c r="H455">
        <v>0</v>
      </c>
      <c r="I455" t="s">
        <v>375</v>
      </c>
    </row>
    <row r="456" spans="1:9" x14ac:dyDescent="0.25">
      <c r="A456">
        <v>70346</v>
      </c>
      <c r="B456" t="s">
        <v>178</v>
      </c>
      <c r="C456" t="s">
        <v>238</v>
      </c>
      <c r="D456">
        <v>4</v>
      </c>
      <c r="E456">
        <v>-205150</v>
      </c>
      <c r="F456" t="s">
        <v>279</v>
      </c>
      <c r="G456" t="s">
        <v>33</v>
      </c>
      <c r="H456">
        <v>0</v>
      </c>
      <c r="I456" t="s">
        <v>376</v>
      </c>
    </row>
    <row r="457" spans="1:9" x14ac:dyDescent="0.25">
      <c r="A457">
        <v>70346</v>
      </c>
      <c r="B457" t="s">
        <v>178</v>
      </c>
      <c r="C457" t="s">
        <v>238</v>
      </c>
      <c r="D457">
        <v>4</v>
      </c>
      <c r="E457">
        <v>-205150</v>
      </c>
      <c r="F457" t="s">
        <v>279</v>
      </c>
      <c r="G457" t="s">
        <v>33</v>
      </c>
      <c r="H457">
        <v>0</v>
      </c>
      <c r="I457" t="s">
        <v>377</v>
      </c>
    </row>
    <row r="458" spans="1:9" x14ac:dyDescent="0.25">
      <c r="A458">
        <v>70346</v>
      </c>
      <c r="B458" t="s">
        <v>178</v>
      </c>
      <c r="C458" t="s">
        <v>238</v>
      </c>
      <c r="D458">
        <v>4</v>
      </c>
      <c r="E458">
        <v>-205150</v>
      </c>
      <c r="F458" t="s">
        <v>274</v>
      </c>
      <c r="G458" t="s">
        <v>275</v>
      </c>
      <c r="H458">
        <v>853464</v>
      </c>
      <c r="I458" t="s">
        <v>318</v>
      </c>
    </row>
    <row r="459" spans="1:9" x14ac:dyDescent="0.25">
      <c r="A459">
        <v>70346</v>
      </c>
      <c r="B459" t="s">
        <v>178</v>
      </c>
      <c r="C459" t="s">
        <v>238</v>
      </c>
      <c r="D459">
        <v>4</v>
      </c>
      <c r="E459">
        <v>-205150</v>
      </c>
      <c r="F459" t="s">
        <v>274</v>
      </c>
      <c r="G459" t="s">
        <v>300</v>
      </c>
      <c r="H459">
        <v>20851</v>
      </c>
      <c r="I459" t="s">
        <v>301</v>
      </c>
    </row>
    <row r="460" spans="1:9" x14ac:dyDescent="0.25">
      <c r="A460">
        <v>70346</v>
      </c>
      <c r="B460" t="s">
        <v>178</v>
      </c>
      <c r="C460" t="s">
        <v>238</v>
      </c>
      <c r="D460">
        <v>4</v>
      </c>
      <c r="E460">
        <v>-205150</v>
      </c>
      <c r="F460" t="s">
        <v>274</v>
      </c>
      <c r="G460" t="s">
        <v>275</v>
      </c>
      <c r="H460">
        <v>-4776</v>
      </c>
      <c r="I460" t="s">
        <v>302</v>
      </c>
    </row>
    <row r="461" spans="1:9" x14ac:dyDescent="0.25">
      <c r="A461">
        <v>70346</v>
      </c>
      <c r="B461" t="s">
        <v>178</v>
      </c>
      <c r="C461" t="s">
        <v>238</v>
      </c>
      <c r="D461">
        <v>4</v>
      </c>
      <c r="E461">
        <v>-205150</v>
      </c>
      <c r="F461" t="s">
        <v>279</v>
      </c>
      <c r="G461" t="s">
        <v>30</v>
      </c>
      <c r="H461">
        <v>109322</v>
      </c>
      <c r="I461" t="s">
        <v>303</v>
      </c>
    </row>
    <row r="462" spans="1:9" x14ac:dyDescent="0.25">
      <c r="A462">
        <v>70346</v>
      </c>
      <c r="B462" t="s">
        <v>178</v>
      </c>
      <c r="C462" t="s">
        <v>238</v>
      </c>
      <c r="D462">
        <v>4</v>
      </c>
      <c r="E462">
        <v>-205150</v>
      </c>
      <c r="F462" t="s">
        <v>279</v>
      </c>
      <c r="G462" t="s">
        <v>35</v>
      </c>
      <c r="H462">
        <v>8923</v>
      </c>
      <c r="I462" t="s">
        <v>304</v>
      </c>
    </row>
    <row r="463" spans="1:9" x14ac:dyDescent="0.25">
      <c r="A463">
        <v>70346</v>
      </c>
      <c r="B463" t="s">
        <v>178</v>
      </c>
      <c r="C463" t="s">
        <v>238</v>
      </c>
      <c r="D463">
        <v>4</v>
      </c>
      <c r="E463">
        <v>-205150</v>
      </c>
      <c r="F463" t="s">
        <v>279</v>
      </c>
      <c r="G463" t="s">
        <v>31</v>
      </c>
      <c r="H463">
        <v>295292</v>
      </c>
      <c r="I463" t="s">
        <v>305</v>
      </c>
    </row>
    <row r="464" spans="1:9" x14ac:dyDescent="0.25">
      <c r="A464">
        <v>70346</v>
      </c>
      <c r="B464" t="s">
        <v>178</v>
      </c>
      <c r="C464" t="s">
        <v>238</v>
      </c>
      <c r="D464">
        <v>4</v>
      </c>
      <c r="E464">
        <v>-205150</v>
      </c>
      <c r="F464" t="s">
        <v>279</v>
      </c>
      <c r="G464" t="s">
        <v>33</v>
      </c>
      <c r="H464">
        <v>0</v>
      </c>
      <c r="I464" t="s">
        <v>320</v>
      </c>
    </row>
    <row r="465" spans="1:9" x14ac:dyDescent="0.25">
      <c r="A465">
        <v>70346</v>
      </c>
      <c r="B465" t="s">
        <v>178</v>
      </c>
      <c r="C465" t="s">
        <v>238</v>
      </c>
      <c r="D465">
        <v>4</v>
      </c>
      <c r="E465">
        <v>-205150</v>
      </c>
      <c r="F465" t="s">
        <v>279</v>
      </c>
      <c r="G465" t="s">
        <v>33</v>
      </c>
      <c r="H465">
        <v>0</v>
      </c>
      <c r="I465" t="s">
        <v>306</v>
      </c>
    </row>
    <row r="466" spans="1:9" x14ac:dyDescent="0.25">
      <c r="A466">
        <v>70346</v>
      </c>
      <c r="B466" t="s">
        <v>178</v>
      </c>
      <c r="C466" t="s">
        <v>238</v>
      </c>
      <c r="D466">
        <v>4</v>
      </c>
      <c r="E466">
        <v>-205150</v>
      </c>
      <c r="F466" t="s">
        <v>279</v>
      </c>
      <c r="G466" t="s">
        <v>33</v>
      </c>
      <c r="H466">
        <v>0</v>
      </c>
      <c r="I466" t="s">
        <v>378</v>
      </c>
    </row>
    <row r="467" spans="1:9" x14ac:dyDescent="0.25">
      <c r="A467">
        <v>70346</v>
      </c>
      <c r="B467" t="s">
        <v>178</v>
      </c>
      <c r="C467" t="s">
        <v>238</v>
      </c>
      <c r="D467">
        <v>4</v>
      </c>
      <c r="E467">
        <v>-205150</v>
      </c>
      <c r="F467" t="s">
        <v>279</v>
      </c>
      <c r="G467" t="s">
        <v>31</v>
      </c>
      <c r="H467">
        <v>17617</v>
      </c>
      <c r="I467" t="s">
        <v>307</v>
      </c>
    </row>
    <row r="468" spans="1:9" x14ac:dyDescent="0.25">
      <c r="A468">
        <v>70346</v>
      </c>
      <c r="B468" t="s">
        <v>178</v>
      </c>
      <c r="C468" t="s">
        <v>238</v>
      </c>
      <c r="D468">
        <v>4</v>
      </c>
      <c r="E468">
        <v>-205150</v>
      </c>
      <c r="F468" t="s">
        <v>279</v>
      </c>
      <c r="G468" t="s">
        <v>31</v>
      </c>
      <c r="H468">
        <v>0</v>
      </c>
      <c r="I468" t="s">
        <v>379</v>
      </c>
    </row>
    <row r="469" spans="1:9" x14ac:dyDescent="0.25">
      <c r="A469">
        <v>70346</v>
      </c>
      <c r="B469" t="s">
        <v>178</v>
      </c>
      <c r="C469" t="s">
        <v>238</v>
      </c>
      <c r="D469">
        <v>4</v>
      </c>
      <c r="E469">
        <v>-205150</v>
      </c>
      <c r="F469" t="s">
        <v>279</v>
      </c>
      <c r="G469" t="s">
        <v>30</v>
      </c>
      <c r="H469">
        <v>6649</v>
      </c>
      <c r="I469" t="s">
        <v>308</v>
      </c>
    </row>
    <row r="470" spans="1:9" x14ac:dyDescent="0.25">
      <c r="A470">
        <v>70346</v>
      </c>
      <c r="B470" t="s">
        <v>178</v>
      </c>
      <c r="C470" t="s">
        <v>238</v>
      </c>
      <c r="D470">
        <v>4</v>
      </c>
      <c r="E470">
        <v>-205150</v>
      </c>
      <c r="F470" t="s">
        <v>279</v>
      </c>
      <c r="G470" t="s">
        <v>35</v>
      </c>
      <c r="H470">
        <v>7019</v>
      </c>
      <c r="I470" t="s">
        <v>321</v>
      </c>
    </row>
    <row r="471" spans="1:9" x14ac:dyDescent="0.25">
      <c r="A471">
        <v>70346</v>
      </c>
      <c r="B471" t="s">
        <v>178</v>
      </c>
      <c r="C471" t="s">
        <v>238</v>
      </c>
      <c r="D471">
        <v>4</v>
      </c>
      <c r="E471">
        <v>-205150</v>
      </c>
      <c r="F471" t="s">
        <v>279</v>
      </c>
      <c r="G471" t="s">
        <v>33</v>
      </c>
      <c r="H471">
        <v>0</v>
      </c>
      <c r="I471" t="s">
        <v>380</v>
      </c>
    </row>
    <row r="472" spans="1:9" x14ac:dyDescent="0.25">
      <c r="A472">
        <v>70346</v>
      </c>
      <c r="B472" t="s">
        <v>178</v>
      </c>
      <c r="C472" t="s">
        <v>238</v>
      </c>
      <c r="D472">
        <v>4</v>
      </c>
      <c r="E472">
        <v>-205150</v>
      </c>
      <c r="F472" t="s">
        <v>279</v>
      </c>
      <c r="G472" t="s">
        <v>35</v>
      </c>
      <c r="H472">
        <v>2911</v>
      </c>
      <c r="I472" t="s">
        <v>309</v>
      </c>
    </row>
    <row r="473" spans="1:9" x14ac:dyDescent="0.25">
      <c r="A473">
        <v>70346</v>
      </c>
      <c r="B473" t="s">
        <v>178</v>
      </c>
      <c r="C473" t="s">
        <v>238</v>
      </c>
      <c r="D473">
        <v>4</v>
      </c>
      <c r="E473">
        <v>-205150</v>
      </c>
      <c r="F473" t="s">
        <v>279</v>
      </c>
      <c r="G473" t="s">
        <v>35</v>
      </c>
      <c r="H473">
        <v>2781</v>
      </c>
      <c r="I473" t="s">
        <v>310</v>
      </c>
    </row>
    <row r="474" spans="1:9" x14ac:dyDescent="0.25">
      <c r="A474">
        <v>70346</v>
      </c>
      <c r="B474" t="s">
        <v>178</v>
      </c>
      <c r="C474" t="s">
        <v>238</v>
      </c>
      <c r="D474">
        <v>4</v>
      </c>
      <c r="E474">
        <v>-205150</v>
      </c>
      <c r="F474" t="s">
        <v>279</v>
      </c>
      <c r="G474" t="s">
        <v>35</v>
      </c>
      <c r="H474">
        <v>21264</v>
      </c>
      <c r="I474" t="s">
        <v>311</v>
      </c>
    </row>
    <row r="475" spans="1:9" x14ac:dyDescent="0.25">
      <c r="A475">
        <v>70346</v>
      </c>
      <c r="B475" t="s">
        <v>178</v>
      </c>
      <c r="C475" t="s">
        <v>238</v>
      </c>
      <c r="D475">
        <v>4</v>
      </c>
      <c r="E475">
        <v>-205150</v>
      </c>
      <c r="F475" t="s">
        <v>279</v>
      </c>
      <c r="G475" t="s">
        <v>35</v>
      </c>
      <c r="H475">
        <v>114</v>
      </c>
      <c r="I475" t="s">
        <v>312</v>
      </c>
    </row>
    <row r="476" spans="1:9" x14ac:dyDescent="0.25">
      <c r="A476">
        <v>70346</v>
      </c>
      <c r="B476" t="s">
        <v>178</v>
      </c>
      <c r="C476" t="s">
        <v>238</v>
      </c>
      <c r="D476">
        <v>4</v>
      </c>
      <c r="E476">
        <v>-205150</v>
      </c>
      <c r="F476" t="s">
        <v>279</v>
      </c>
      <c r="G476" t="s">
        <v>35</v>
      </c>
      <c r="H476">
        <v>10026</v>
      </c>
      <c r="I476" t="s">
        <v>313</v>
      </c>
    </row>
    <row r="477" spans="1:9" x14ac:dyDescent="0.25">
      <c r="A477">
        <v>70346</v>
      </c>
      <c r="B477" t="s">
        <v>178</v>
      </c>
      <c r="C477" t="s">
        <v>238</v>
      </c>
      <c r="D477">
        <v>4</v>
      </c>
      <c r="E477">
        <v>-205150</v>
      </c>
      <c r="F477" t="s">
        <v>279</v>
      </c>
      <c r="G477" t="s">
        <v>37</v>
      </c>
      <c r="H477">
        <v>0</v>
      </c>
      <c r="I477" t="s">
        <v>381</v>
      </c>
    </row>
    <row r="478" spans="1:9" x14ac:dyDescent="0.25">
      <c r="A478">
        <v>70346</v>
      </c>
      <c r="B478" t="s">
        <v>178</v>
      </c>
      <c r="C478" t="s">
        <v>238</v>
      </c>
      <c r="D478">
        <v>4</v>
      </c>
      <c r="E478">
        <v>-205150</v>
      </c>
      <c r="F478" t="s">
        <v>279</v>
      </c>
      <c r="G478" t="s">
        <v>37</v>
      </c>
      <c r="H478">
        <v>23964</v>
      </c>
      <c r="I478" t="s">
        <v>314</v>
      </c>
    </row>
    <row r="479" spans="1:9" x14ac:dyDescent="0.25">
      <c r="A479">
        <v>70346</v>
      </c>
      <c r="B479" t="s">
        <v>178</v>
      </c>
      <c r="C479" t="s">
        <v>238</v>
      </c>
      <c r="D479">
        <v>4</v>
      </c>
      <c r="E479">
        <v>-205150</v>
      </c>
      <c r="F479" t="s">
        <v>279</v>
      </c>
      <c r="G479" t="s">
        <v>35</v>
      </c>
      <c r="H479">
        <v>2170</v>
      </c>
      <c r="I479" t="s">
        <v>315</v>
      </c>
    </row>
    <row r="480" spans="1:9" x14ac:dyDescent="0.25">
      <c r="A480">
        <v>70346</v>
      </c>
      <c r="B480" t="s">
        <v>178</v>
      </c>
      <c r="C480" t="s">
        <v>238</v>
      </c>
      <c r="D480">
        <v>4</v>
      </c>
      <c r="E480">
        <v>-205150</v>
      </c>
      <c r="F480" t="s">
        <v>279</v>
      </c>
      <c r="G480" t="s">
        <v>37</v>
      </c>
      <c r="H480">
        <v>120</v>
      </c>
      <c r="I480" t="s">
        <v>323</v>
      </c>
    </row>
    <row r="481" spans="1:9" x14ac:dyDescent="0.25">
      <c r="A481">
        <v>70346</v>
      </c>
      <c r="B481" t="s">
        <v>178</v>
      </c>
      <c r="C481" t="s">
        <v>238</v>
      </c>
      <c r="D481">
        <v>4</v>
      </c>
      <c r="E481">
        <v>-205150</v>
      </c>
      <c r="F481" t="s">
        <v>279</v>
      </c>
      <c r="G481" t="s">
        <v>37</v>
      </c>
      <c r="H481">
        <v>12</v>
      </c>
      <c r="I481" t="s">
        <v>322</v>
      </c>
    </row>
    <row r="482" spans="1:9" x14ac:dyDescent="0.25">
      <c r="A482">
        <v>70346</v>
      </c>
      <c r="B482" t="s">
        <v>178</v>
      </c>
      <c r="C482" t="s">
        <v>238</v>
      </c>
      <c r="D482">
        <v>4</v>
      </c>
      <c r="E482">
        <v>-205150</v>
      </c>
      <c r="F482" t="s">
        <v>279</v>
      </c>
      <c r="G482" t="s">
        <v>37</v>
      </c>
      <c r="H482">
        <v>0</v>
      </c>
      <c r="I482" t="s">
        <v>382</v>
      </c>
    </row>
    <row r="483" spans="1:9" x14ac:dyDescent="0.25">
      <c r="A483">
        <v>70346</v>
      </c>
      <c r="B483" t="s">
        <v>178</v>
      </c>
      <c r="C483" t="s">
        <v>238</v>
      </c>
      <c r="D483">
        <v>4</v>
      </c>
      <c r="E483">
        <v>-205150</v>
      </c>
      <c r="F483" t="s">
        <v>279</v>
      </c>
      <c r="G483" t="s">
        <v>37</v>
      </c>
      <c r="H483">
        <v>65760</v>
      </c>
      <c r="I483" t="s">
        <v>316</v>
      </c>
    </row>
    <row r="484" spans="1:9" x14ac:dyDescent="0.25">
      <c r="A484">
        <v>70346</v>
      </c>
      <c r="B484" t="s">
        <v>178</v>
      </c>
      <c r="C484" t="s">
        <v>238</v>
      </c>
      <c r="D484">
        <v>4</v>
      </c>
      <c r="E484">
        <v>-205150</v>
      </c>
      <c r="F484" t="s">
        <v>279</v>
      </c>
      <c r="G484" t="s">
        <v>36</v>
      </c>
      <c r="H484">
        <v>79814</v>
      </c>
      <c r="I484" t="s">
        <v>317</v>
      </c>
    </row>
    <row r="485" spans="1:9" x14ac:dyDescent="0.25">
      <c r="A485">
        <v>70346</v>
      </c>
      <c r="B485" t="s">
        <v>178</v>
      </c>
      <c r="C485" t="s">
        <v>238</v>
      </c>
      <c r="D485">
        <v>4</v>
      </c>
      <c r="E485">
        <v>-205150</v>
      </c>
      <c r="F485" t="s">
        <v>274</v>
      </c>
      <c r="G485" t="s">
        <v>275</v>
      </c>
      <c r="H485">
        <v>0</v>
      </c>
      <c r="I485" t="s">
        <v>276</v>
      </c>
    </row>
    <row r="486" spans="1:9" x14ac:dyDescent="0.25">
      <c r="A486">
        <v>70346</v>
      </c>
      <c r="B486" t="s">
        <v>178</v>
      </c>
      <c r="C486" t="s">
        <v>238</v>
      </c>
      <c r="D486">
        <v>4</v>
      </c>
      <c r="E486">
        <v>-205150</v>
      </c>
      <c r="F486" t="s">
        <v>279</v>
      </c>
      <c r="G486" t="s">
        <v>29</v>
      </c>
      <c r="H486">
        <v>2024</v>
      </c>
      <c r="I486" t="s">
        <v>324</v>
      </c>
    </row>
    <row r="487" spans="1:9" x14ac:dyDescent="0.25">
      <c r="A487">
        <v>70346</v>
      </c>
      <c r="B487" t="s">
        <v>178</v>
      </c>
      <c r="C487" t="s">
        <v>238</v>
      </c>
      <c r="D487">
        <v>4</v>
      </c>
      <c r="E487">
        <v>-205150</v>
      </c>
      <c r="F487" t="s">
        <v>274</v>
      </c>
      <c r="G487" t="s">
        <v>277</v>
      </c>
      <c r="H487">
        <v>2562</v>
      </c>
      <c r="I487" t="s">
        <v>278</v>
      </c>
    </row>
    <row r="488" spans="1:9" x14ac:dyDescent="0.25">
      <c r="A488">
        <v>70346</v>
      </c>
      <c r="B488" t="s">
        <v>178</v>
      </c>
      <c r="C488" t="s">
        <v>238</v>
      </c>
      <c r="D488">
        <v>4</v>
      </c>
      <c r="E488">
        <v>-205150</v>
      </c>
      <c r="F488" t="s">
        <v>274</v>
      </c>
      <c r="G488" t="s">
        <v>300</v>
      </c>
      <c r="H488">
        <v>0</v>
      </c>
      <c r="I488" t="s">
        <v>383</v>
      </c>
    </row>
    <row r="489" spans="1:9" x14ac:dyDescent="0.25">
      <c r="A489">
        <v>70346</v>
      </c>
      <c r="B489" t="s">
        <v>178</v>
      </c>
      <c r="C489" t="s">
        <v>238</v>
      </c>
      <c r="D489">
        <v>4</v>
      </c>
      <c r="E489">
        <v>-205150</v>
      </c>
      <c r="F489" t="s">
        <v>279</v>
      </c>
      <c r="G489" t="s">
        <v>33</v>
      </c>
      <c r="H489">
        <v>66878</v>
      </c>
      <c r="I489" t="s">
        <v>280</v>
      </c>
    </row>
    <row r="490" spans="1:9" x14ac:dyDescent="0.25">
      <c r="A490">
        <v>70346</v>
      </c>
      <c r="B490" t="s">
        <v>178</v>
      </c>
      <c r="C490" t="s">
        <v>238</v>
      </c>
      <c r="D490">
        <v>4</v>
      </c>
      <c r="E490">
        <v>-205150</v>
      </c>
      <c r="F490" t="s">
        <v>279</v>
      </c>
      <c r="G490" t="s">
        <v>29</v>
      </c>
      <c r="H490">
        <v>386</v>
      </c>
      <c r="I490" t="s">
        <v>281</v>
      </c>
    </row>
    <row r="491" spans="1:9" x14ac:dyDescent="0.25">
      <c r="A491">
        <v>70346</v>
      </c>
      <c r="B491" t="s">
        <v>178</v>
      </c>
      <c r="C491" t="s">
        <v>238</v>
      </c>
      <c r="D491">
        <v>4</v>
      </c>
      <c r="E491">
        <v>-205150</v>
      </c>
      <c r="F491" t="s">
        <v>279</v>
      </c>
      <c r="G491" t="s">
        <v>29</v>
      </c>
      <c r="H491">
        <v>105758</v>
      </c>
      <c r="I491" t="s">
        <v>282</v>
      </c>
    </row>
    <row r="492" spans="1:9" x14ac:dyDescent="0.25">
      <c r="A492">
        <v>70346</v>
      </c>
      <c r="B492" t="s">
        <v>178</v>
      </c>
      <c r="C492" t="s">
        <v>238</v>
      </c>
      <c r="D492">
        <v>4</v>
      </c>
      <c r="E492">
        <v>-205150</v>
      </c>
      <c r="F492" t="s">
        <v>279</v>
      </c>
      <c r="G492" t="s">
        <v>35</v>
      </c>
      <c r="H492">
        <v>79094</v>
      </c>
      <c r="I492" t="s">
        <v>283</v>
      </c>
    </row>
    <row r="493" spans="1:9" x14ac:dyDescent="0.25">
      <c r="A493">
        <v>70346</v>
      </c>
      <c r="B493" t="s">
        <v>178</v>
      </c>
      <c r="C493" t="s">
        <v>238</v>
      </c>
      <c r="D493">
        <v>4</v>
      </c>
      <c r="E493">
        <v>-205150</v>
      </c>
      <c r="F493" t="s">
        <v>279</v>
      </c>
      <c r="G493" t="s">
        <v>29</v>
      </c>
      <c r="H493">
        <v>8120</v>
      </c>
      <c r="I493" t="s">
        <v>284</v>
      </c>
    </row>
    <row r="494" spans="1:9" x14ac:dyDescent="0.25">
      <c r="A494">
        <v>70346</v>
      </c>
      <c r="B494" t="s">
        <v>178</v>
      </c>
      <c r="C494" t="s">
        <v>238</v>
      </c>
      <c r="D494">
        <v>4</v>
      </c>
      <c r="E494">
        <v>-205150</v>
      </c>
      <c r="F494" t="s">
        <v>279</v>
      </c>
      <c r="G494" t="s">
        <v>29</v>
      </c>
      <c r="H494">
        <v>44684</v>
      </c>
      <c r="I494" t="s">
        <v>285</v>
      </c>
    </row>
    <row r="495" spans="1:9" x14ac:dyDescent="0.25">
      <c r="A495">
        <v>70346</v>
      </c>
      <c r="B495" t="s">
        <v>178</v>
      </c>
      <c r="C495" t="s">
        <v>238</v>
      </c>
      <c r="D495">
        <v>4</v>
      </c>
      <c r="E495">
        <v>-205150</v>
      </c>
      <c r="F495" t="s">
        <v>279</v>
      </c>
      <c r="G495" t="s">
        <v>29</v>
      </c>
      <c r="H495">
        <v>491</v>
      </c>
      <c r="I495" t="s">
        <v>286</v>
      </c>
    </row>
    <row r="496" spans="1:9" x14ac:dyDescent="0.25">
      <c r="A496">
        <v>70346</v>
      </c>
      <c r="B496" t="s">
        <v>178</v>
      </c>
      <c r="C496" t="s">
        <v>238</v>
      </c>
      <c r="D496">
        <v>4</v>
      </c>
      <c r="E496">
        <v>-205150</v>
      </c>
      <c r="F496" t="s">
        <v>279</v>
      </c>
      <c r="G496" t="s">
        <v>29</v>
      </c>
      <c r="H496">
        <v>0</v>
      </c>
      <c r="I496" t="s">
        <v>327</v>
      </c>
    </row>
    <row r="497" spans="1:9" x14ac:dyDescent="0.25">
      <c r="A497">
        <v>70346</v>
      </c>
      <c r="B497" t="s">
        <v>178</v>
      </c>
      <c r="C497" t="s">
        <v>238</v>
      </c>
      <c r="D497">
        <v>4</v>
      </c>
      <c r="E497">
        <v>-205150</v>
      </c>
      <c r="F497" t="s">
        <v>279</v>
      </c>
      <c r="G497" t="s">
        <v>34</v>
      </c>
      <c r="H497">
        <v>6573</v>
      </c>
      <c r="I497" t="s">
        <v>287</v>
      </c>
    </row>
    <row r="498" spans="1:9" x14ac:dyDescent="0.25">
      <c r="A498">
        <v>70346</v>
      </c>
      <c r="B498" t="s">
        <v>178</v>
      </c>
      <c r="C498" t="s">
        <v>238</v>
      </c>
      <c r="D498">
        <v>4</v>
      </c>
      <c r="E498">
        <v>-205150</v>
      </c>
      <c r="F498" t="s">
        <v>279</v>
      </c>
      <c r="G498" t="s">
        <v>29</v>
      </c>
      <c r="H498">
        <v>36659</v>
      </c>
      <c r="I498" t="s">
        <v>288</v>
      </c>
    </row>
    <row r="499" spans="1:9" x14ac:dyDescent="0.25">
      <c r="A499">
        <v>70346</v>
      </c>
      <c r="B499" t="s">
        <v>178</v>
      </c>
      <c r="C499" t="s">
        <v>238</v>
      </c>
      <c r="D499">
        <v>4</v>
      </c>
      <c r="E499">
        <v>-205150</v>
      </c>
      <c r="F499" t="s">
        <v>279</v>
      </c>
      <c r="G499" t="s">
        <v>34</v>
      </c>
      <c r="H499">
        <v>10075</v>
      </c>
      <c r="I499" t="s">
        <v>289</v>
      </c>
    </row>
    <row r="500" spans="1:9" x14ac:dyDescent="0.25">
      <c r="A500">
        <v>70346</v>
      </c>
      <c r="B500" t="s">
        <v>178</v>
      </c>
      <c r="C500" t="s">
        <v>238</v>
      </c>
      <c r="D500">
        <v>4</v>
      </c>
      <c r="E500">
        <v>-205150</v>
      </c>
      <c r="F500" t="s">
        <v>279</v>
      </c>
      <c r="G500" t="s">
        <v>29</v>
      </c>
      <c r="H500">
        <v>9307</v>
      </c>
      <c r="I500" t="s">
        <v>290</v>
      </c>
    </row>
    <row r="501" spans="1:9" x14ac:dyDescent="0.25">
      <c r="A501">
        <v>70346</v>
      </c>
      <c r="B501" t="s">
        <v>178</v>
      </c>
      <c r="C501" t="s">
        <v>238</v>
      </c>
      <c r="D501">
        <v>4</v>
      </c>
      <c r="E501">
        <v>-205150</v>
      </c>
      <c r="F501" t="s">
        <v>279</v>
      </c>
      <c r="G501" t="s">
        <v>32</v>
      </c>
      <c r="H501">
        <v>85679</v>
      </c>
      <c r="I501" t="s">
        <v>291</v>
      </c>
    </row>
    <row r="502" spans="1:9" x14ac:dyDescent="0.25">
      <c r="A502">
        <v>70346</v>
      </c>
      <c r="B502" t="s">
        <v>178</v>
      </c>
      <c r="C502" t="s">
        <v>238</v>
      </c>
      <c r="D502">
        <v>4</v>
      </c>
      <c r="E502">
        <v>-205150</v>
      </c>
      <c r="F502" t="s">
        <v>279</v>
      </c>
      <c r="G502" t="s">
        <v>29</v>
      </c>
      <c r="H502">
        <v>140</v>
      </c>
      <c r="I502" t="s">
        <v>292</v>
      </c>
    </row>
    <row r="503" spans="1:9" x14ac:dyDescent="0.25">
      <c r="A503">
        <v>70346</v>
      </c>
      <c r="B503" t="s">
        <v>178</v>
      </c>
      <c r="C503" t="s">
        <v>238</v>
      </c>
      <c r="D503">
        <v>4</v>
      </c>
      <c r="E503">
        <v>-205150</v>
      </c>
      <c r="F503" t="s">
        <v>279</v>
      </c>
      <c r="G503" t="s">
        <v>29</v>
      </c>
      <c r="H503">
        <v>0</v>
      </c>
      <c r="I503" t="s">
        <v>384</v>
      </c>
    </row>
    <row r="504" spans="1:9" x14ac:dyDescent="0.25">
      <c r="A504">
        <v>70346</v>
      </c>
      <c r="B504" t="s">
        <v>178</v>
      </c>
      <c r="C504" t="s">
        <v>238</v>
      </c>
      <c r="D504">
        <v>4</v>
      </c>
      <c r="E504">
        <v>-205150</v>
      </c>
      <c r="F504" t="s">
        <v>279</v>
      </c>
      <c r="G504" t="s">
        <v>35</v>
      </c>
      <c r="H504">
        <v>2860</v>
      </c>
      <c r="I504" t="s">
        <v>293</v>
      </c>
    </row>
    <row r="505" spans="1:9" x14ac:dyDescent="0.25">
      <c r="A505">
        <v>70346</v>
      </c>
      <c r="B505" t="s">
        <v>178</v>
      </c>
      <c r="C505" t="s">
        <v>238</v>
      </c>
      <c r="D505">
        <v>4</v>
      </c>
      <c r="E505">
        <v>-205150</v>
      </c>
      <c r="F505" t="s">
        <v>279</v>
      </c>
      <c r="G505" t="s">
        <v>35</v>
      </c>
      <c r="H505">
        <v>438</v>
      </c>
      <c r="I505" t="s">
        <v>294</v>
      </c>
    </row>
    <row r="506" spans="1:9" x14ac:dyDescent="0.25">
      <c r="A506">
        <v>70346</v>
      </c>
      <c r="B506" t="s">
        <v>178</v>
      </c>
      <c r="C506" t="s">
        <v>238</v>
      </c>
      <c r="D506">
        <v>4</v>
      </c>
      <c r="E506">
        <v>-205150</v>
      </c>
      <c r="F506" t="s">
        <v>279</v>
      </c>
      <c r="G506" t="s">
        <v>35</v>
      </c>
      <c r="H506">
        <v>6959</v>
      </c>
      <c r="I506" t="s">
        <v>295</v>
      </c>
    </row>
    <row r="507" spans="1:9" x14ac:dyDescent="0.25">
      <c r="A507">
        <v>70346</v>
      </c>
      <c r="B507" t="s">
        <v>178</v>
      </c>
      <c r="C507" t="s">
        <v>238</v>
      </c>
      <c r="D507">
        <v>4</v>
      </c>
      <c r="E507">
        <v>-205150</v>
      </c>
      <c r="F507" t="s">
        <v>279</v>
      </c>
      <c r="G507" t="s">
        <v>35</v>
      </c>
      <c r="H507">
        <v>5314</v>
      </c>
      <c r="I507" t="s">
        <v>296</v>
      </c>
    </row>
    <row r="508" spans="1:9" x14ac:dyDescent="0.25">
      <c r="A508">
        <v>70346</v>
      </c>
      <c r="B508" t="s">
        <v>178</v>
      </c>
      <c r="C508" t="s">
        <v>238</v>
      </c>
      <c r="D508">
        <v>4</v>
      </c>
      <c r="E508">
        <v>-205150</v>
      </c>
      <c r="F508" t="s">
        <v>279</v>
      </c>
      <c r="G508" t="s">
        <v>35</v>
      </c>
      <c r="H508">
        <v>0</v>
      </c>
      <c r="I508" t="s">
        <v>325</v>
      </c>
    </row>
    <row r="509" spans="1:9" x14ac:dyDescent="0.25">
      <c r="A509">
        <v>70346</v>
      </c>
      <c r="B509" t="s">
        <v>178</v>
      </c>
      <c r="C509" t="s">
        <v>238</v>
      </c>
      <c r="D509">
        <v>4</v>
      </c>
      <c r="E509">
        <v>-205150</v>
      </c>
      <c r="F509" t="s">
        <v>279</v>
      </c>
      <c r="G509" t="s">
        <v>29</v>
      </c>
      <c r="H509">
        <v>402</v>
      </c>
      <c r="I509" t="s">
        <v>297</v>
      </c>
    </row>
    <row r="510" spans="1:9" x14ac:dyDescent="0.25">
      <c r="A510">
        <v>70346</v>
      </c>
      <c r="B510" t="s">
        <v>178</v>
      </c>
      <c r="C510" t="s">
        <v>238</v>
      </c>
      <c r="D510">
        <v>4</v>
      </c>
      <c r="E510">
        <v>-205150</v>
      </c>
      <c r="F510" t="s">
        <v>279</v>
      </c>
      <c r="G510" t="s">
        <v>36</v>
      </c>
      <c r="H510">
        <v>29907</v>
      </c>
      <c r="I510" t="s">
        <v>298</v>
      </c>
    </row>
    <row r="511" spans="1:9" x14ac:dyDescent="0.25">
      <c r="A511">
        <v>70346</v>
      </c>
      <c r="B511" t="s">
        <v>178</v>
      </c>
      <c r="C511" t="s">
        <v>238</v>
      </c>
      <c r="D511">
        <v>4</v>
      </c>
      <c r="E511">
        <v>-205150</v>
      </c>
      <c r="F511" t="s">
        <v>274</v>
      </c>
      <c r="G511" t="s">
        <v>275</v>
      </c>
      <c r="H511">
        <v>112655</v>
      </c>
      <c r="I511" t="s">
        <v>299</v>
      </c>
    </row>
    <row r="512" spans="1:9" x14ac:dyDescent="0.25">
      <c r="A512">
        <v>70346</v>
      </c>
      <c r="B512" t="s">
        <v>178</v>
      </c>
      <c r="C512" t="s">
        <v>238</v>
      </c>
      <c r="D512">
        <v>4</v>
      </c>
      <c r="E512">
        <v>-205150</v>
      </c>
      <c r="F512" t="s">
        <v>274</v>
      </c>
      <c r="G512" t="s">
        <v>275</v>
      </c>
      <c r="H512">
        <v>0</v>
      </c>
      <c r="I512" t="s">
        <v>385</v>
      </c>
    </row>
    <row r="513" spans="1:9" x14ac:dyDescent="0.25">
      <c r="A513">
        <v>70347</v>
      </c>
      <c r="B513" t="s">
        <v>180</v>
      </c>
      <c r="C513" t="s">
        <v>238</v>
      </c>
      <c r="D513">
        <v>4</v>
      </c>
      <c r="E513">
        <v>-216730</v>
      </c>
      <c r="F513" t="s">
        <v>279</v>
      </c>
      <c r="G513" t="s">
        <v>33</v>
      </c>
      <c r="H513">
        <v>17655</v>
      </c>
      <c r="I513" t="s">
        <v>280</v>
      </c>
    </row>
    <row r="514" spans="1:9" x14ac:dyDescent="0.25">
      <c r="A514">
        <v>70347</v>
      </c>
      <c r="B514" t="s">
        <v>180</v>
      </c>
      <c r="C514" t="s">
        <v>238</v>
      </c>
      <c r="D514">
        <v>4</v>
      </c>
      <c r="E514">
        <v>-216730</v>
      </c>
      <c r="F514" t="s">
        <v>279</v>
      </c>
      <c r="G514" t="s">
        <v>29</v>
      </c>
      <c r="H514">
        <v>371</v>
      </c>
      <c r="I514" t="s">
        <v>281</v>
      </c>
    </row>
    <row r="515" spans="1:9" x14ac:dyDescent="0.25">
      <c r="A515">
        <v>70347</v>
      </c>
      <c r="B515" t="s">
        <v>180</v>
      </c>
      <c r="C515" t="s">
        <v>238</v>
      </c>
      <c r="D515">
        <v>4</v>
      </c>
      <c r="E515">
        <v>-216730</v>
      </c>
      <c r="F515" t="s">
        <v>279</v>
      </c>
      <c r="G515" t="s">
        <v>29</v>
      </c>
      <c r="H515">
        <v>58385</v>
      </c>
      <c r="I515" t="s">
        <v>282</v>
      </c>
    </row>
    <row r="516" spans="1:9" x14ac:dyDescent="0.25">
      <c r="A516">
        <v>70347</v>
      </c>
      <c r="B516" t="s">
        <v>180</v>
      </c>
      <c r="C516" t="s">
        <v>238</v>
      </c>
      <c r="D516">
        <v>4</v>
      </c>
      <c r="E516">
        <v>-216730</v>
      </c>
      <c r="F516" t="s">
        <v>279</v>
      </c>
      <c r="G516" t="s">
        <v>35</v>
      </c>
      <c r="H516">
        <v>61222</v>
      </c>
      <c r="I516" t="s">
        <v>283</v>
      </c>
    </row>
    <row r="517" spans="1:9" x14ac:dyDescent="0.25">
      <c r="A517">
        <v>70347</v>
      </c>
      <c r="B517" t="s">
        <v>180</v>
      </c>
      <c r="C517" t="s">
        <v>238</v>
      </c>
      <c r="D517">
        <v>4</v>
      </c>
      <c r="E517">
        <v>-216730</v>
      </c>
      <c r="F517" t="s">
        <v>279</v>
      </c>
      <c r="G517" t="s">
        <v>29</v>
      </c>
      <c r="H517">
        <v>5754</v>
      </c>
      <c r="I517" t="s">
        <v>284</v>
      </c>
    </row>
    <row r="518" spans="1:9" x14ac:dyDescent="0.25">
      <c r="A518">
        <v>70347</v>
      </c>
      <c r="B518" t="s">
        <v>180</v>
      </c>
      <c r="C518" t="s">
        <v>238</v>
      </c>
      <c r="D518">
        <v>4</v>
      </c>
      <c r="E518">
        <v>-216730</v>
      </c>
      <c r="F518" t="s">
        <v>279</v>
      </c>
      <c r="G518" t="s">
        <v>29</v>
      </c>
      <c r="H518">
        <v>30450</v>
      </c>
      <c r="I518" t="s">
        <v>285</v>
      </c>
    </row>
    <row r="519" spans="1:9" x14ac:dyDescent="0.25">
      <c r="A519">
        <v>70347</v>
      </c>
      <c r="B519" t="s">
        <v>180</v>
      </c>
      <c r="C519" t="s">
        <v>238</v>
      </c>
      <c r="D519">
        <v>4</v>
      </c>
      <c r="E519">
        <v>-216730</v>
      </c>
      <c r="F519" t="s">
        <v>279</v>
      </c>
      <c r="G519" t="s">
        <v>29</v>
      </c>
      <c r="H519">
        <v>288</v>
      </c>
      <c r="I519" t="s">
        <v>286</v>
      </c>
    </row>
    <row r="520" spans="1:9" x14ac:dyDescent="0.25">
      <c r="A520">
        <v>70347</v>
      </c>
      <c r="B520" t="s">
        <v>180</v>
      </c>
      <c r="C520" t="s">
        <v>238</v>
      </c>
      <c r="D520">
        <v>4</v>
      </c>
      <c r="E520">
        <v>-216730</v>
      </c>
      <c r="F520" t="s">
        <v>279</v>
      </c>
      <c r="G520" t="s">
        <v>29</v>
      </c>
      <c r="H520">
        <v>0</v>
      </c>
      <c r="I520" t="s">
        <v>327</v>
      </c>
    </row>
    <row r="521" spans="1:9" x14ac:dyDescent="0.25">
      <c r="A521">
        <v>70347</v>
      </c>
      <c r="B521" t="s">
        <v>180</v>
      </c>
      <c r="C521" t="s">
        <v>238</v>
      </c>
      <c r="D521">
        <v>4</v>
      </c>
      <c r="E521">
        <v>-216730</v>
      </c>
      <c r="F521" t="s">
        <v>279</v>
      </c>
      <c r="G521" t="s">
        <v>34</v>
      </c>
      <c r="H521">
        <v>1897</v>
      </c>
      <c r="I521" t="s">
        <v>287</v>
      </c>
    </row>
    <row r="522" spans="1:9" x14ac:dyDescent="0.25">
      <c r="A522">
        <v>70347</v>
      </c>
      <c r="B522" t="s">
        <v>180</v>
      </c>
      <c r="C522" t="s">
        <v>238</v>
      </c>
      <c r="D522">
        <v>4</v>
      </c>
      <c r="E522">
        <v>-216730</v>
      </c>
      <c r="F522" t="s">
        <v>279</v>
      </c>
      <c r="G522" t="s">
        <v>29</v>
      </c>
      <c r="H522">
        <v>20426</v>
      </c>
      <c r="I522" t="s">
        <v>288</v>
      </c>
    </row>
    <row r="523" spans="1:9" x14ac:dyDescent="0.25">
      <c r="A523">
        <v>70347</v>
      </c>
      <c r="B523" t="s">
        <v>180</v>
      </c>
      <c r="C523" t="s">
        <v>238</v>
      </c>
      <c r="D523">
        <v>4</v>
      </c>
      <c r="E523">
        <v>-216730</v>
      </c>
      <c r="F523" t="s">
        <v>279</v>
      </c>
      <c r="G523" t="s">
        <v>34</v>
      </c>
      <c r="H523">
        <v>10075</v>
      </c>
      <c r="I523" t="s">
        <v>289</v>
      </c>
    </row>
    <row r="524" spans="1:9" x14ac:dyDescent="0.25">
      <c r="A524">
        <v>70347</v>
      </c>
      <c r="B524" t="s">
        <v>180</v>
      </c>
      <c r="C524" t="s">
        <v>238</v>
      </c>
      <c r="D524">
        <v>4</v>
      </c>
      <c r="E524">
        <v>-216730</v>
      </c>
      <c r="F524" t="s">
        <v>279</v>
      </c>
      <c r="G524" t="s">
        <v>29</v>
      </c>
      <c r="H524">
        <v>7863</v>
      </c>
      <c r="I524" t="s">
        <v>290</v>
      </c>
    </row>
    <row r="525" spans="1:9" x14ac:dyDescent="0.25">
      <c r="A525">
        <v>70347</v>
      </c>
      <c r="B525" t="s">
        <v>180</v>
      </c>
      <c r="C525" t="s">
        <v>238</v>
      </c>
      <c r="D525">
        <v>4</v>
      </c>
      <c r="E525">
        <v>-216730</v>
      </c>
      <c r="F525" t="s">
        <v>279</v>
      </c>
      <c r="G525" t="s">
        <v>32</v>
      </c>
      <c r="H525">
        <v>49171</v>
      </c>
      <c r="I525" t="s">
        <v>291</v>
      </c>
    </row>
    <row r="526" spans="1:9" x14ac:dyDescent="0.25">
      <c r="A526">
        <v>70347</v>
      </c>
      <c r="B526" t="s">
        <v>180</v>
      </c>
      <c r="C526" t="s">
        <v>238</v>
      </c>
      <c r="D526">
        <v>4</v>
      </c>
      <c r="E526">
        <v>-216730</v>
      </c>
      <c r="F526" t="s">
        <v>279</v>
      </c>
      <c r="G526" t="s">
        <v>29</v>
      </c>
      <c r="H526">
        <v>135</v>
      </c>
      <c r="I526" t="s">
        <v>292</v>
      </c>
    </row>
    <row r="527" spans="1:9" x14ac:dyDescent="0.25">
      <c r="A527">
        <v>70347</v>
      </c>
      <c r="B527" t="s">
        <v>180</v>
      </c>
      <c r="C527" t="s">
        <v>238</v>
      </c>
      <c r="D527">
        <v>4</v>
      </c>
      <c r="E527">
        <v>-216730</v>
      </c>
      <c r="F527" t="s">
        <v>279</v>
      </c>
      <c r="G527" t="s">
        <v>29</v>
      </c>
      <c r="H527">
        <v>0</v>
      </c>
      <c r="I527" t="s">
        <v>384</v>
      </c>
    </row>
    <row r="528" spans="1:9" x14ac:dyDescent="0.25">
      <c r="A528">
        <v>70347</v>
      </c>
      <c r="B528" t="s">
        <v>180</v>
      </c>
      <c r="C528" t="s">
        <v>238</v>
      </c>
      <c r="D528">
        <v>4</v>
      </c>
      <c r="E528">
        <v>-216730</v>
      </c>
      <c r="F528" t="s">
        <v>279</v>
      </c>
      <c r="G528" t="s">
        <v>35</v>
      </c>
      <c r="H528">
        <v>2568</v>
      </c>
      <c r="I528" t="s">
        <v>293</v>
      </c>
    </row>
    <row r="529" spans="1:9" x14ac:dyDescent="0.25">
      <c r="A529">
        <v>70347</v>
      </c>
      <c r="B529" t="s">
        <v>180</v>
      </c>
      <c r="C529" t="s">
        <v>238</v>
      </c>
      <c r="D529">
        <v>4</v>
      </c>
      <c r="E529">
        <v>-216730</v>
      </c>
      <c r="F529" t="s">
        <v>279</v>
      </c>
      <c r="G529" t="s">
        <v>35</v>
      </c>
      <c r="H529">
        <v>1990</v>
      </c>
      <c r="I529" t="s">
        <v>294</v>
      </c>
    </row>
    <row r="530" spans="1:9" x14ac:dyDescent="0.25">
      <c r="A530">
        <v>70347</v>
      </c>
      <c r="B530" t="s">
        <v>180</v>
      </c>
      <c r="C530" t="s">
        <v>238</v>
      </c>
      <c r="D530">
        <v>4</v>
      </c>
      <c r="E530">
        <v>-216730</v>
      </c>
      <c r="F530" t="s">
        <v>279</v>
      </c>
      <c r="G530" t="s">
        <v>35</v>
      </c>
      <c r="H530">
        <v>6262</v>
      </c>
      <c r="I530" t="s">
        <v>295</v>
      </c>
    </row>
    <row r="531" spans="1:9" x14ac:dyDescent="0.25">
      <c r="A531">
        <v>70347</v>
      </c>
      <c r="B531" t="s">
        <v>180</v>
      </c>
      <c r="C531" t="s">
        <v>238</v>
      </c>
      <c r="D531">
        <v>4</v>
      </c>
      <c r="E531">
        <v>-216730</v>
      </c>
      <c r="F531" t="s">
        <v>279</v>
      </c>
      <c r="G531" t="s">
        <v>35</v>
      </c>
      <c r="H531">
        <v>977</v>
      </c>
      <c r="I531" t="s">
        <v>296</v>
      </c>
    </row>
    <row r="532" spans="1:9" x14ac:dyDescent="0.25">
      <c r="A532">
        <v>70347</v>
      </c>
      <c r="B532" t="s">
        <v>180</v>
      </c>
      <c r="C532" t="s">
        <v>238</v>
      </c>
      <c r="D532">
        <v>4</v>
      </c>
      <c r="E532">
        <v>-216730</v>
      </c>
      <c r="F532" t="s">
        <v>279</v>
      </c>
      <c r="G532" t="s">
        <v>35</v>
      </c>
      <c r="H532">
        <v>0</v>
      </c>
      <c r="I532" t="s">
        <v>325</v>
      </c>
    </row>
    <row r="533" spans="1:9" x14ac:dyDescent="0.25">
      <c r="A533">
        <v>70347</v>
      </c>
      <c r="B533" t="s">
        <v>180</v>
      </c>
      <c r="C533" t="s">
        <v>238</v>
      </c>
      <c r="D533">
        <v>4</v>
      </c>
      <c r="E533">
        <v>-216730</v>
      </c>
      <c r="F533" t="s">
        <v>279</v>
      </c>
      <c r="G533" t="s">
        <v>29</v>
      </c>
      <c r="H533">
        <v>3060</v>
      </c>
      <c r="I533" t="s">
        <v>297</v>
      </c>
    </row>
    <row r="534" spans="1:9" x14ac:dyDescent="0.25">
      <c r="A534">
        <v>70347</v>
      </c>
      <c r="B534" t="s">
        <v>180</v>
      </c>
      <c r="C534" t="s">
        <v>238</v>
      </c>
      <c r="D534">
        <v>4</v>
      </c>
      <c r="E534">
        <v>-216730</v>
      </c>
      <c r="F534" t="s">
        <v>279</v>
      </c>
      <c r="G534" t="s">
        <v>36</v>
      </c>
      <c r="H534">
        <v>19929</v>
      </c>
      <c r="I534" t="s">
        <v>298</v>
      </c>
    </row>
    <row r="535" spans="1:9" x14ac:dyDescent="0.25">
      <c r="A535">
        <v>70347</v>
      </c>
      <c r="B535" t="s">
        <v>180</v>
      </c>
      <c r="C535" t="s">
        <v>238</v>
      </c>
      <c r="D535">
        <v>4</v>
      </c>
      <c r="E535">
        <v>-216730</v>
      </c>
      <c r="F535" t="s">
        <v>274</v>
      </c>
      <c r="G535" t="s">
        <v>275</v>
      </c>
      <c r="H535">
        <v>30148</v>
      </c>
      <c r="I535" t="s">
        <v>299</v>
      </c>
    </row>
    <row r="536" spans="1:9" x14ac:dyDescent="0.25">
      <c r="A536">
        <v>70347</v>
      </c>
      <c r="B536" t="s">
        <v>180</v>
      </c>
      <c r="C536" t="s">
        <v>238</v>
      </c>
      <c r="D536">
        <v>4</v>
      </c>
      <c r="E536">
        <v>-216730</v>
      </c>
      <c r="F536" t="s">
        <v>274</v>
      </c>
      <c r="G536" t="s">
        <v>275</v>
      </c>
      <c r="H536">
        <v>0</v>
      </c>
      <c r="I536" t="s">
        <v>385</v>
      </c>
    </row>
    <row r="537" spans="1:9" x14ac:dyDescent="0.25">
      <c r="A537">
        <v>70347</v>
      </c>
      <c r="B537" t="s">
        <v>180</v>
      </c>
      <c r="C537" t="s">
        <v>238</v>
      </c>
      <c r="D537">
        <v>4</v>
      </c>
      <c r="E537">
        <v>-216730</v>
      </c>
      <c r="F537" t="s">
        <v>279</v>
      </c>
      <c r="G537" t="s">
        <v>31</v>
      </c>
      <c r="H537">
        <v>0</v>
      </c>
      <c r="I537" t="s">
        <v>364</v>
      </c>
    </row>
    <row r="538" spans="1:9" x14ac:dyDescent="0.25">
      <c r="A538">
        <v>70347</v>
      </c>
      <c r="B538" t="s">
        <v>180</v>
      </c>
      <c r="C538" t="s">
        <v>238</v>
      </c>
      <c r="D538">
        <v>4</v>
      </c>
      <c r="E538">
        <v>-216730</v>
      </c>
      <c r="F538" t="s">
        <v>279</v>
      </c>
      <c r="G538" t="s">
        <v>31</v>
      </c>
      <c r="H538">
        <v>0</v>
      </c>
      <c r="I538" t="s">
        <v>365</v>
      </c>
    </row>
    <row r="539" spans="1:9" x14ac:dyDescent="0.25">
      <c r="A539">
        <v>70347</v>
      </c>
      <c r="B539" t="s">
        <v>180</v>
      </c>
      <c r="C539" t="s">
        <v>238</v>
      </c>
      <c r="D539">
        <v>4</v>
      </c>
      <c r="E539">
        <v>-216730</v>
      </c>
      <c r="F539" t="s">
        <v>279</v>
      </c>
      <c r="G539" t="s">
        <v>31</v>
      </c>
      <c r="H539">
        <v>0</v>
      </c>
      <c r="I539" t="s">
        <v>366</v>
      </c>
    </row>
    <row r="540" spans="1:9" x14ac:dyDescent="0.25">
      <c r="A540">
        <v>70347</v>
      </c>
      <c r="B540" t="s">
        <v>180</v>
      </c>
      <c r="C540" t="s">
        <v>238</v>
      </c>
      <c r="D540">
        <v>4</v>
      </c>
      <c r="E540">
        <v>-216730</v>
      </c>
      <c r="F540" t="s">
        <v>279</v>
      </c>
      <c r="G540" t="s">
        <v>31</v>
      </c>
      <c r="H540">
        <v>0</v>
      </c>
      <c r="I540" t="s">
        <v>367</v>
      </c>
    </row>
    <row r="541" spans="1:9" x14ac:dyDescent="0.25">
      <c r="A541">
        <v>70347</v>
      </c>
      <c r="B541" t="s">
        <v>180</v>
      </c>
      <c r="C541" t="s">
        <v>238</v>
      </c>
      <c r="D541">
        <v>4</v>
      </c>
      <c r="E541">
        <v>-216730</v>
      </c>
      <c r="F541" t="s">
        <v>279</v>
      </c>
      <c r="G541" t="s">
        <v>31</v>
      </c>
      <c r="H541">
        <v>0</v>
      </c>
      <c r="I541" t="s">
        <v>368</v>
      </c>
    </row>
    <row r="542" spans="1:9" x14ac:dyDescent="0.25">
      <c r="A542">
        <v>70347</v>
      </c>
      <c r="B542" t="s">
        <v>180</v>
      </c>
      <c r="C542" t="s">
        <v>238</v>
      </c>
      <c r="D542">
        <v>4</v>
      </c>
      <c r="E542">
        <v>-216730</v>
      </c>
      <c r="F542" t="s">
        <v>279</v>
      </c>
      <c r="G542" t="s">
        <v>31</v>
      </c>
      <c r="H542">
        <v>0</v>
      </c>
      <c r="I542" t="s">
        <v>369</v>
      </c>
    </row>
    <row r="543" spans="1:9" x14ac:dyDescent="0.25">
      <c r="A543">
        <v>70347</v>
      </c>
      <c r="B543" t="s">
        <v>180</v>
      </c>
      <c r="C543" t="s">
        <v>238</v>
      </c>
      <c r="D543">
        <v>4</v>
      </c>
      <c r="E543">
        <v>-216730</v>
      </c>
      <c r="F543" t="s">
        <v>279</v>
      </c>
      <c r="G543" t="s">
        <v>31</v>
      </c>
      <c r="H543">
        <v>0</v>
      </c>
      <c r="I543" t="s">
        <v>370</v>
      </c>
    </row>
    <row r="544" spans="1:9" x14ac:dyDescent="0.25">
      <c r="A544">
        <v>70347</v>
      </c>
      <c r="B544" t="s">
        <v>180</v>
      </c>
      <c r="C544" t="s">
        <v>238</v>
      </c>
      <c r="D544">
        <v>4</v>
      </c>
      <c r="E544">
        <v>-216730</v>
      </c>
      <c r="F544" t="s">
        <v>279</v>
      </c>
      <c r="G544" t="s">
        <v>31</v>
      </c>
      <c r="H544">
        <v>0</v>
      </c>
      <c r="I544" t="s">
        <v>371</v>
      </c>
    </row>
    <row r="545" spans="1:9" x14ac:dyDescent="0.25">
      <c r="A545">
        <v>70347</v>
      </c>
      <c r="B545" t="s">
        <v>180</v>
      </c>
      <c r="C545" t="s">
        <v>238</v>
      </c>
      <c r="D545">
        <v>4</v>
      </c>
      <c r="E545">
        <v>-216730</v>
      </c>
      <c r="F545" t="s">
        <v>279</v>
      </c>
      <c r="G545" t="s">
        <v>31</v>
      </c>
      <c r="H545">
        <v>0</v>
      </c>
      <c r="I545" t="s">
        <v>328</v>
      </c>
    </row>
    <row r="546" spans="1:9" x14ac:dyDescent="0.25">
      <c r="A546">
        <v>70347</v>
      </c>
      <c r="B546" t="s">
        <v>180</v>
      </c>
      <c r="C546" t="s">
        <v>238</v>
      </c>
      <c r="D546">
        <v>4</v>
      </c>
      <c r="E546">
        <v>-216730</v>
      </c>
      <c r="F546" t="s">
        <v>279</v>
      </c>
      <c r="G546" t="s">
        <v>33</v>
      </c>
      <c r="H546">
        <v>0</v>
      </c>
      <c r="I546" t="s">
        <v>372</v>
      </c>
    </row>
    <row r="547" spans="1:9" x14ac:dyDescent="0.25">
      <c r="A547">
        <v>70347</v>
      </c>
      <c r="B547" t="s">
        <v>180</v>
      </c>
      <c r="C547" t="s">
        <v>238</v>
      </c>
      <c r="D547">
        <v>4</v>
      </c>
      <c r="E547">
        <v>-216730</v>
      </c>
      <c r="F547" t="s">
        <v>279</v>
      </c>
      <c r="G547" t="s">
        <v>33</v>
      </c>
      <c r="H547">
        <v>0</v>
      </c>
      <c r="I547" t="s">
        <v>329</v>
      </c>
    </row>
    <row r="548" spans="1:9" x14ac:dyDescent="0.25">
      <c r="A548">
        <v>70347</v>
      </c>
      <c r="B548" t="s">
        <v>180</v>
      </c>
      <c r="C548" t="s">
        <v>238</v>
      </c>
      <c r="D548">
        <v>4</v>
      </c>
      <c r="E548">
        <v>-216730</v>
      </c>
      <c r="F548" t="s">
        <v>279</v>
      </c>
      <c r="G548" t="s">
        <v>33</v>
      </c>
      <c r="H548">
        <v>27990</v>
      </c>
      <c r="I548" t="s">
        <v>319</v>
      </c>
    </row>
    <row r="549" spans="1:9" x14ac:dyDescent="0.25">
      <c r="A549">
        <v>70347</v>
      </c>
      <c r="B549" t="s">
        <v>180</v>
      </c>
      <c r="C549" t="s">
        <v>238</v>
      </c>
      <c r="D549">
        <v>4</v>
      </c>
      <c r="E549">
        <v>-216730</v>
      </c>
      <c r="F549" t="s">
        <v>279</v>
      </c>
      <c r="G549" t="s">
        <v>33</v>
      </c>
      <c r="H549">
        <v>0</v>
      </c>
      <c r="I549" t="s">
        <v>373</v>
      </c>
    </row>
    <row r="550" spans="1:9" x14ac:dyDescent="0.25">
      <c r="A550">
        <v>70347</v>
      </c>
      <c r="B550" t="s">
        <v>180</v>
      </c>
      <c r="C550" t="s">
        <v>238</v>
      </c>
      <c r="D550">
        <v>4</v>
      </c>
      <c r="E550">
        <v>-216730</v>
      </c>
      <c r="F550" t="s">
        <v>279</v>
      </c>
      <c r="G550" t="s">
        <v>33</v>
      </c>
      <c r="H550">
        <v>0</v>
      </c>
      <c r="I550" t="s">
        <v>374</v>
      </c>
    </row>
    <row r="551" spans="1:9" x14ac:dyDescent="0.25">
      <c r="A551">
        <v>70347</v>
      </c>
      <c r="B551" t="s">
        <v>180</v>
      </c>
      <c r="C551" t="s">
        <v>238</v>
      </c>
      <c r="D551">
        <v>4</v>
      </c>
      <c r="E551">
        <v>-216730</v>
      </c>
      <c r="F551" t="s">
        <v>279</v>
      </c>
      <c r="G551" t="s">
        <v>33</v>
      </c>
      <c r="H551">
        <v>0</v>
      </c>
      <c r="I551" t="s">
        <v>326</v>
      </c>
    </row>
    <row r="552" spans="1:9" x14ac:dyDescent="0.25">
      <c r="A552">
        <v>70347</v>
      </c>
      <c r="B552" t="s">
        <v>180</v>
      </c>
      <c r="C552" t="s">
        <v>238</v>
      </c>
      <c r="D552">
        <v>4</v>
      </c>
      <c r="E552">
        <v>-216730</v>
      </c>
      <c r="F552" t="s">
        <v>279</v>
      </c>
      <c r="G552" t="s">
        <v>33</v>
      </c>
      <c r="H552">
        <v>0</v>
      </c>
      <c r="I552" t="s">
        <v>375</v>
      </c>
    </row>
    <row r="553" spans="1:9" x14ac:dyDescent="0.25">
      <c r="A553">
        <v>70347</v>
      </c>
      <c r="B553" t="s">
        <v>180</v>
      </c>
      <c r="C553" t="s">
        <v>238</v>
      </c>
      <c r="D553">
        <v>4</v>
      </c>
      <c r="E553">
        <v>-216730</v>
      </c>
      <c r="F553" t="s">
        <v>279</v>
      </c>
      <c r="G553" t="s">
        <v>33</v>
      </c>
      <c r="H553">
        <v>0</v>
      </c>
      <c r="I553" t="s">
        <v>376</v>
      </c>
    </row>
    <row r="554" spans="1:9" x14ac:dyDescent="0.25">
      <c r="A554">
        <v>70347</v>
      </c>
      <c r="B554" t="s">
        <v>180</v>
      </c>
      <c r="C554" t="s">
        <v>238</v>
      </c>
      <c r="D554">
        <v>4</v>
      </c>
      <c r="E554">
        <v>-216730</v>
      </c>
      <c r="F554" t="s">
        <v>279</v>
      </c>
      <c r="G554" t="s">
        <v>33</v>
      </c>
      <c r="H554">
        <v>0</v>
      </c>
      <c r="I554" t="s">
        <v>377</v>
      </c>
    </row>
    <row r="555" spans="1:9" x14ac:dyDescent="0.25">
      <c r="A555">
        <v>70347</v>
      </c>
      <c r="B555" t="s">
        <v>180</v>
      </c>
      <c r="C555" t="s">
        <v>238</v>
      </c>
      <c r="D555">
        <v>4</v>
      </c>
      <c r="E555">
        <v>-216730</v>
      </c>
      <c r="F555" t="s">
        <v>274</v>
      </c>
      <c r="G555" t="s">
        <v>275</v>
      </c>
      <c r="H555">
        <v>664106</v>
      </c>
      <c r="I555" t="s">
        <v>318</v>
      </c>
    </row>
    <row r="556" spans="1:9" x14ac:dyDescent="0.25">
      <c r="A556">
        <v>70347</v>
      </c>
      <c r="B556" t="s">
        <v>180</v>
      </c>
      <c r="C556" t="s">
        <v>238</v>
      </c>
      <c r="D556">
        <v>4</v>
      </c>
      <c r="E556">
        <v>-216730</v>
      </c>
      <c r="F556" t="s">
        <v>274</v>
      </c>
      <c r="G556" t="s">
        <v>300</v>
      </c>
      <c r="H556">
        <v>14358</v>
      </c>
      <c r="I556" t="s">
        <v>301</v>
      </c>
    </row>
    <row r="557" spans="1:9" x14ac:dyDescent="0.25">
      <c r="A557">
        <v>70347</v>
      </c>
      <c r="B557" t="s">
        <v>180</v>
      </c>
      <c r="C557" t="s">
        <v>238</v>
      </c>
      <c r="D557">
        <v>4</v>
      </c>
      <c r="E557">
        <v>-216730</v>
      </c>
      <c r="F557" t="s">
        <v>274</v>
      </c>
      <c r="G557" t="s">
        <v>275</v>
      </c>
      <c r="H557">
        <v>-23160</v>
      </c>
      <c r="I557" t="s">
        <v>302</v>
      </c>
    </row>
    <row r="558" spans="1:9" x14ac:dyDescent="0.25">
      <c r="A558">
        <v>70347</v>
      </c>
      <c r="B558" t="s">
        <v>180</v>
      </c>
      <c r="C558" t="s">
        <v>238</v>
      </c>
      <c r="D558">
        <v>4</v>
      </c>
      <c r="E558">
        <v>-216730</v>
      </c>
      <c r="F558" t="s">
        <v>279</v>
      </c>
      <c r="G558" t="s">
        <v>30</v>
      </c>
      <c r="H558">
        <v>236597</v>
      </c>
      <c r="I558" t="s">
        <v>303</v>
      </c>
    </row>
    <row r="559" spans="1:9" x14ac:dyDescent="0.25">
      <c r="A559">
        <v>70347</v>
      </c>
      <c r="B559" t="s">
        <v>180</v>
      </c>
      <c r="C559" t="s">
        <v>238</v>
      </c>
      <c r="D559">
        <v>4</v>
      </c>
      <c r="E559">
        <v>-216730</v>
      </c>
      <c r="F559" t="s">
        <v>279</v>
      </c>
      <c r="G559" t="s">
        <v>35</v>
      </c>
      <c r="H559">
        <v>4969</v>
      </c>
      <c r="I559" t="s">
        <v>304</v>
      </c>
    </row>
    <row r="560" spans="1:9" x14ac:dyDescent="0.25">
      <c r="A560">
        <v>70347</v>
      </c>
      <c r="B560" t="s">
        <v>180</v>
      </c>
      <c r="C560" t="s">
        <v>238</v>
      </c>
      <c r="D560">
        <v>4</v>
      </c>
      <c r="E560">
        <v>-216730</v>
      </c>
      <c r="F560" t="s">
        <v>279</v>
      </c>
      <c r="G560" t="s">
        <v>31</v>
      </c>
      <c r="H560">
        <v>121952</v>
      </c>
      <c r="I560" t="s">
        <v>305</v>
      </c>
    </row>
    <row r="561" spans="1:9" x14ac:dyDescent="0.25">
      <c r="A561">
        <v>70347</v>
      </c>
      <c r="B561" t="s">
        <v>180</v>
      </c>
      <c r="C561" t="s">
        <v>238</v>
      </c>
      <c r="D561">
        <v>4</v>
      </c>
      <c r="E561">
        <v>-216730</v>
      </c>
      <c r="F561" t="s">
        <v>279</v>
      </c>
      <c r="G561" t="s">
        <v>33</v>
      </c>
      <c r="H561">
        <v>3109</v>
      </c>
      <c r="I561" t="s">
        <v>320</v>
      </c>
    </row>
    <row r="562" spans="1:9" x14ac:dyDescent="0.25">
      <c r="A562">
        <v>70347</v>
      </c>
      <c r="B562" t="s">
        <v>180</v>
      </c>
      <c r="C562" t="s">
        <v>238</v>
      </c>
      <c r="D562">
        <v>4</v>
      </c>
      <c r="E562">
        <v>-216730</v>
      </c>
      <c r="F562" t="s">
        <v>279</v>
      </c>
      <c r="G562" t="s">
        <v>33</v>
      </c>
      <c r="H562">
        <v>0</v>
      </c>
      <c r="I562" t="s">
        <v>306</v>
      </c>
    </row>
    <row r="563" spans="1:9" x14ac:dyDescent="0.25">
      <c r="A563">
        <v>70347</v>
      </c>
      <c r="B563" t="s">
        <v>180</v>
      </c>
      <c r="C563" t="s">
        <v>238</v>
      </c>
      <c r="D563">
        <v>4</v>
      </c>
      <c r="E563">
        <v>-216730</v>
      </c>
      <c r="F563" t="s">
        <v>279</v>
      </c>
      <c r="G563" t="s">
        <v>33</v>
      </c>
      <c r="H563">
        <v>0</v>
      </c>
      <c r="I563" t="s">
        <v>378</v>
      </c>
    </row>
    <row r="564" spans="1:9" x14ac:dyDescent="0.25">
      <c r="A564">
        <v>70347</v>
      </c>
      <c r="B564" t="s">
        <v>180</v>
      </c>
      <c r="C564" t="s">
        <v>238</v>
      </c>
      <c r="D564">
        <v>4</v>
      </c>
      <c r="E564">
        <v>-216730</v>
      </c>
      <c r="F564" t="s">
        <v>279</v>
      </c>
      <c r="G564" t="s">
        <v>31</v>
      </c>
      <c r="H564">
        <v>476</v>
      </c>
      <c r="I564" t="s">
        <v>307</v>
      </c>
    </row>
    <row r="565" spans="1:9" x14ac:dyDescent="0.25">
      <c r="A565">
        <v>70347</v>
      </c>
      <c r="B565" t="s">
        <v>180</v>
      </c>
      <c r="C565" t="s">
        <v>238</v>
      </c>
      <c r="D565">
        <v>4</v>
      </c>
      <c r="E565">
        <v>-216730</v>
      </c>
      <c r="F565" t="s">
        <v>279</v>
      </c>
      <c r="G565" t="s">
        <v>31</v>
      </c>
      <c r="H565">
        <v>0</v>
      </c>
      <c r="I565" t="s">
        <v>379</v>
      </c>
    </row>
    <row r="566" spans="1:9" x14ac:dyDescent="0.25">
      <c r="A566">
        <v>70347</v>
      </c>
      <c r="B566" t="s">
        <v>180</v>
      </c>
      <c r="C566" t="s">
        <v>238</v>
      </c>
      <c r="D566">
        <v>4</v>
      </c>
      <c r="E566">
        <v>-216730</v>
      </c>
      <c r="F566" t="s">
        <v>279</v>
      </c>
      <c r="G566" t="s">
        <v>30</v>
      </c>
      <c r="H566">
        <v>9312</v>
      </c>
      <c r="I566" t="s">
        <v>308</v>
      </c>
    </row>
    <row r="567" spans="1:9" x14ac:dyDescent="0.25">
      <c r="A567">
        <v>70347</v>
      </c>
      <c r="B567" t="s">
        <v>180</v>
      </c>
      <c r="C567" t="s">
        <v>238</v>
      </c>
      <c r="D567">
        <v>4</v>
      </c>
      <c r="E567">
        <v>-216730</v>
      </c>
      <c r="F567" t="s">
        <v>279</v>
      </c>
      <c r="G567" t="s">
        <v>35</v>
      </c>
      <c r="H567">
        <v>6205</v>
      </c>
      <c r="I567" t="s">
        <v>321</v>
      </c>
    </row>
    <row r="568" spans="1:9" x14ac:dyDescent="0.25">
      <c r="A568">
        <v>70347</v>
      </c>
      <c r="B568" t="s">
        <v>180</v>
      </c>
      <c r="C568" t="s">
        <v>238</v>
      </c>
      <c r="D568">
        <v>4</v>
      </c>
      <c r="E568">
        <v>-216730</v>
      </c>
      <c r="F568" t="s">
        <v>279</v>
      </c>
      <c r="G568" t="s">
        <v>33</v>
      </c>
      <c r="H568">
        <v>0</v>
      </c>
      <c r="I568" t="s">
        <v>380</v>
      </c>
    </row>
    <row r="569" spans="1:9" x14ac:dyDescent="0.25">
      <c r="A569">
        <v>70347</v>
      </c>
      <c r="B569" t="s">
        <v>180</v>
      </c>
      <c r="C569" t="s">
        <v>238</v>
      </c>
      <c r="D569">
        <v>4</v>
      </c>
      <c r="E569">
        <v>-216730</v>
      </c>
      <c r="F569" t="s">
        <v>279</v>
      </c>
      <c r="G569" t="s">
        <v>35</v>
      </c>
      <c r="H569">
        <v>115</v>
      </c>
      <c r="I569" t="s">
        <v>309</v>
      </c>
    </row>
    <row r="570" spans="1:9" x14ac:dyDescent="0.25">
      <c r="A570">
        <v>70347</v>
      </c>
      <c r="B570" t="s">
        <v>180</v>
      </c>
      <c r="C570" t="s">
        <v>238</v>
      </c>
      <c r="D570">
        <v>4</v>
      </c>
      <c r="E570">
        <v>-216730</v>
      </c>
      <c r="F570" t="s">
        <v>279</v>
      </c>
      <c r="G570" t="s">
        <v>35</v>
      </c>
      <c r="H570">
        <v>1994</v>
      </c>
      <c r="I570" t="s">
        <v>310</v>
      </c>
    </row>
    <row r="571" spans="1:9" x14ac:dyDescent="0.25">
      <c r="A571">
        <v>70347</v>
      </c>
      <c r="B571" t="s">
        <v>180</v>
      </c>
      <c r="C571" t="s">
        <v>238</v>
      </c>
      <c r="D571">
        <v>4</v>
      </c>
      <c r="E571">
        <v>-216730</v>
      </c>
      <c r="F571" t="s">
        <v>279</v>
      </c>
      <c r="G571" t="s">
        <v>35</v>
      </c>
      <c r="H571">
        <v>13655</v>
      </c>
      <c r="I571" t="s">
        <v>311</v>
      </c>
    </row>
    <row r="572" spans="1:9" x14ac:dyDescent="0.25">
      <c r="A572">
        <v>70347</v>
      </c>
      <c r="B572" t="s">
        <v>180</v>
      </c>
      <c r="C572" t="s">
        <v>238</v>
      </c>
      <c r="D572">
        <v>4</v>
      </c>
      <c r="E572">
        <v>-216730</v>
      </c>
      <c r="F572" t="s">
        <v>279</v>
      </c>
      <c r="G572" t="s">
        <v>35</v>
      </c>
      <c r="H572">
        <v>60</v>
      </c>
      <c r="I572" t="s">
        <v>312</v>
      </c>
    </row>
    <row r="573" spans="1:9" x14ac:dyDescent="0.25">
      <c r="A573">
        <v>70347</v>
      </c>
      <c r="B573" t="s">
        <v>180</v>
      </c>
      <c r="C573" t="s">
        <v>238</v>
      </c>
      <c r="D573">
        <v>4</v>
      </c>
      <c r="E573">
        <v>-216730</v>
      </c>
      <c r="F573" t="s">
        <v>279</v>
      </c>
      <c r="G573" t="s">
        <v>35</v>
      </c>
      <c r="H573">
        <v>10699</v>
      </c>
      <c r="I573" t="s">
        <v>313</v>
      </c>
    </row>
    <row r="574" spans="1:9" x14ac:dyDescent="0.25">
      <c r="A574">
        <v>70347</v>
      </c>
      <c r="B574" t="s">
        <v>180</v>
      </c>
      <c r="C574" t="s">
        <v>238</v>
      </c>
      <c r="D574">
        <v>4</v>
      </c>
      <c r="E574">
        <v>-216730</v>
      </c>
      <c r="F574" t="s">
        <v>279</v>
      </c>
      <c r="G574" t="s">
        <v>37</v>
      </c>
      <c r="H574">
        <v>0</v>
      </c>
      <c r="I574" t="s">
        <v>381</v>
      </c>
    </row>
    <row r="575" spans="1:9" x14ac:dyDescent="0.25">
      <c r="A575">
        <v>70347</v>
      </c>
      <c r="B575" t="s">
        <v>180</v>
      </c>
      <c r="C575" t="s">
        <v>238</v>
      </c>
      <c r="D575">
        <v>4</v>
      </c>
      <c r="E575">
        <v>-216730</v>
      </c>
      <c r="F575" t="s">
        <v>279</v>
      </c>
      <c r="G575" t="s">
        <v>37</v>
      </c>
      <c r="H575">
        <v>19919</v>
      </c>
      <c r="I575" t="s">
        <v>314</v>
      </c>
    </row>
    <row r="576" spans="1:9" x14ac:dyDescent="0.25">
      <c r="A576">
        <v>70347</v>
      </c>
      <c r="B576" t="s">
        <v>180</v>
      </c>
      <c r="C576" t="s">
        <v>238</v>
      </c>
      <c r="D576">
        <v>4</v>
      </c>
      <c r="E576">
        <v>-216730</v>
      </c>
      <c r="F576" t="s">
        <v>279</v>
      </c>
      <c r="G576" t="s">
        <v>35</v>
      </c>
      <c r="H576">
        <v>1887</v>
      </c>
      <c r="I576" t="s">
        <v>315</v>
      </c>
    </row>
    <row r="577" spans="1:9" x14ac:dyDescent="0.25">
      <c r="A577">
        <v>70347</v>
      </c>
      <c r="B577" t="s">
        <v>180</v>
      </c>
      <c r="C577" t="s">
        <v>238</v>
      </c>
      <c r="D577">
        <v>4</v>
      </c>
      <c r="E577">
        <v>-216730</v>
      </c>
      <c r="F577" t="s">
        <v>279</v>
      </c>
      <c r="G577" t="s">
        <v>37</v>
      </c>
      <c r="H577">
        <v>0</v>
      </c>
      <c r="I577" t="s">
        <v>323</v>
      </c>
    </row>
    <row r="578" spans="1:9" x14ac:dyDescent="0.25">
      <c r="A578">
        <v>70347</v>
      </c>
      <c r="B578" t="s">
        <v>180</v>
      </c>
      <c r="C578" t="s">
        <v>238</v>
      </c>
      <c r="D578">
        <v>4</v>
      </c>
      <c r="E578">
        <v>-216730</v>
      </c>
      <c r="F578" t="s">
        <v>279</v>
      </c>
      <c r="G578" t="s">
        <v>37</v>
      </c>
      <c r="H578">
        <v>0</v>
      </c>
      <c r="I578" t="s">
        <v>322</v>
      </c>
    </row>
    <row r="579" spans="1:9" x14ac:dyDescent="0.25">
      <c r="A579">
        <v>70347</v>
      </c>
      <c r="B579" t="s">
        <v>180</v>
      </c>
      <c r="C579" t="s">
        <v>238</v>
      </c>
      <c r="D579">
        <v>4</v>
      </c>
      <c r="E579">
        <v>-216730</v>
      </c>
      <c r="F579" t="s">
        <v>279</v>
      </c>
      <c r="G579" t="s">
        <v>37</v>
      </c>
      <c r="H579">
        <v>0</v>
      </c>
      <c r="I579" t="s">
        <v>382</v>
      </c>
    </row>
    <row r="580" spans="1:9" x14ac:dyDescent="0.25">
      <c r="A580">
        <v>70347</v>
      </c>
      <c r="B580" t="s">
        <v>180</v>
      </c>
      <c r="C580" t="s">
        <v>238</v>
      </c>
      <c r="D580">
        <v>4</v>
      </c>
      <c r="E580">
        <v>-216730</v>
      </c>
      <c r="F580" t="s">
        <v>279</v>
      </c>
      <c r="G580" t="s">
        <v>37</v>
      </c>
      <c r="H580">
        <v>45623</v>
      </c>
      <c r="I580" t="s">
        <v>316</v>
      </c>
    </row>
    <row r="581" spans="1:9" x14ac:dyDescent="0.25">
      <c r="A581">
        <v>70347</v>
      </c>
      <c r="B581" t="s">
        <v>180</v>
      </c>
      <c r="C581" t="s">
        <v>238</v>
      </c>
      <c r="D581">
        <v>4</v>
      </c>
      <c r="E581">
        <v>-216730</v>
      </c>
      <c r="F581" t="s">
        <v>279</v>
      </c>
      <c r="G581" t="s">
        <v>36</v>
      </c>
      <c r="H581">
        <v>100332</v>
      </c>
      <c r="I581" t="s">
        <v>317</v>
      </c>
    </row>
    <row r="582" spans="1:9" x14ac:dyDescent="0.25">
      <c r="A582">
        <v>70347</v>
      </c>
      <c r="B582" t="s">
        <v>180</v>
      </c>
      <c r="C582" t="s">
        <v>238</v>
      </c>
      <c r="D582">
        <v>4</v>
      </c>
      <c r="E582">
        <v>-216730</v>
      </c>
      <c r="F582" t="s">
        <v>274</v>
      </c>
      <c r="G582" t="s">
        <v>275</v>
      </c>
      <c r="H582">
        <v>0</v>
      </c>
      <c r="I582" t="s">
        <v>276</v>
      </c>
    </row>
    <row r="583" spans="1:9" x14ac:dyDescent="0.25">
      <c r="A583">
        <v>70347</v>
      </c>
      <c r="B583" t="s">
        <v>180</v>
      </c>
      <c r="C583" t="s">
        <v>238</v>
      </c>
      <c r="D583">
        <v>4</v>
      </c>
      <c r="E583">
        <v>-216730</v>
      </c>
      <c r="F583" t="s">
        <v>279</v>
      </c>
      <c r="G583" t="s">
        <v>29</v>
      </c>
      <c r="H583">
        <v>0</v>
      </c>
      <c r="I583" t="s">
        <v>324</v>
      </c>
    </row>
    <row r="584" spans="1:9" x14ac:dyDescent="0.25">
      <c r="A584">
        <v>70347</v>
      </c>
      <c r="B584" t="s">
        <v>180</v>
      </c>
      <c r="C584" t="s">
        <v>238</v>
      </c>
      <c r="D584">
        <v>4</v>
      </c>
      <c r="E584">
        <v>-216730</v>
      </c>
      <c r="F584" t="s">
        <v>274</v>
      </c>
      <c r="G584" t="s">
        <v>277</v>
      </c>
      <c r="H584">
        <v>1190</v>
      </c>
      <c r="I584" t="s">
        <v>278</v>
      </c>
    </row>
    <row r="585" spans="1:9" x14ac:dyDescent="0.25">
      <c r="A585">
        <v>70347</v>
      </c>
      <c r="B585" t="s">
        <v>180</v>
      </c>
      <c r="C585" t="s">
        <v>238</v>
      </c>
      <c r="D585">
        <v>4</v>
      </c>
      <c r="E585">
        <v>-216730</v>
      </c>
      <c r="F585" t="s">
        <v>274</v>
      </c>
      <c r="G585" t="s">
        <v>300</v>
      </c>
      <c r="H585">
        <v>0</v>
      </c>
      <c r="I585" t="s">
        <v>383</v>
      </c>
    </row>
    <row r="586" spans="1:9" x14ac:dyDescent="0.25">
      <c r="A586">
        <v>70348</v>
      </c>
      <c r="B586" t="s">
        <v>182</v>
      </c>
      <c r="C586" t="s">
        <v>238</v>
      </c>
      <c r="D586">
        <v>4</v>
      </c>
      <c r="E586">
        <v>-188460</v>
      </c>
      <c r="F586" t="s">
        <v>279</v>
      </c>
      <c r="G586" t="s">
        <v>33</v>
      </c>
      <c r="H586">
        <v>0</v>
      </c>
      <c r="I586" t="s">
        <v>320</v>
      </c>
    </row>
    <row r="587" spans="1:9" x14ac:dyDescent="0.25">
      <c r="A587">
        <v>70348</v>
      </c>
      <c r="B587" t="s">
        <v>182</v>
      </c>
      <c r="C587" t="s">
        <v>238</v>
      </c>
      <c r="D587">
        <v>4</v>
      </c>
      <c r="E587">
        <v>-188460</v>
      </c>
      <c r="F587" t="s">
        <v>279</v>
      </c>
      <c r="G587" t="s">
        <v>33</v>
      </c>
      <c r="H587">
        <v>0</v>
      </c>
      <c r="I587" t="s">
        <v>306</v>
      </c>
    </row>
    <row r="588" spans="1:9" x14ac:dyDescent="0.25">
      <c r="A588">
        <v>70348</v>
      </c>
      <c r="B588" t="s">
        <v>182</v>
      </c>
      <c r="C588" t="s">
        <v>238</v>
      </c>
      <c r="D588">
        <v>4</v>
      </c>
      <c r="E588">
        <v>-188460</v>
      </c>
      <c r="F588" t="s">
        <v>279</v>
      </c>
      <c r="G588" t="s">
        <v>33</v>
      </c>
      <c r="H588">
        <v>0</v>
      </c>
      <c r="I588" t="s">
        <v>378</v>
      </c>
    </row>
    <row r="589" spans="1:9" x14ac:dyDescent="0.25">
      <c r="A589">
        <v>70348</v>
      </c>
      <c r="B589" t="s">
        <v>182</v>
      </c>
      <c r="C589" t="s">
        <v>238</v>
      </c>
      <c r="D589">
        <v>4</v>
      </c>
      <c r="E589">
        <v>-188460</v>
      </c>
      <c r="F589" t="s">
        <v>279</v>
      </c>
      <c r="G589" t="s">
        <v>31</v>
      </c>
      <c r="H589">
        <v>115492</v>
      </c>
      <c r="I589" t="s">
        <v>307</v>
      </c>
    </row>
    <row r="590" spans="1:9" x14ac:dyDescent="0.25">
      <c r="A590">
        <v>70348</v>
      </c>
      <c r="B590" t="s">
        <v>182</v>
      </c>
      <c r="C590" t="s">
        <v>238</v>
      </c>
      <c r="D590">
        <v>4</v>
      </c>
      <c r="E590">
        <v>-188460</v>
      </c>
      <c r="F590" t="s">
        <v>279</v>
      </c>
      <c r="G590" t="s">
        <v>31</v>
      </c>
      <c r="H590">
        <v>0</v>
      </c>
      <c r="I590" t="s">
        <v>379</v>
      </c>
    </row>
    <row r="591" spans="1:9" x14ac:dyDescent="0.25">
      <c r="A591">
        <v>70348</v>
      </c>
      <c r="B591" t="s">
        <v>182</v>
      </c>
      <c r="C591" t="s">
        <v>238</v>
      </c>
      <c r="D591">
        <v>4</v>
      </c>
      <c r="E591">
        <v>-188460</v>
      </c>
      <c r="F591" t="s">
        <v>279</v>
      </c>
      <c r="G591" t="s">
        <v>30</v>
      </c>
      <c r="H591">
        <v>8498</v>
      </c>
      <c r="I591" t="s">
        <v>308</v>
      </c>
    </row>
    <row r="592" spans="1:9" x14ac:dyDescent="0.25">
      <c r="A592">
        <v>70348</v>
      </c>
      <c r="B592" t="s">
        <v>182</v>
      </c>
      <c r="C592" t="s">
        <v>238</v>
      </c>
      <c r="D592">
        <v>4</v>
      </c>
      <c r="E592">
        <v>-188460</v>
      </c>
      <c r="F592" t="s">
        <v>279</v>
      </c>
      <c r="G592" t="s">
        <v>35</v>
      </c>
      <c r="H592">
        <v>12998</v>
      </c>
      <c r="I592" t="s">
        <v>321</v>
      </c>
    </row>
    <row r="593" spans="1:9" x14ac:dyDescent="0.25">
      <c r="A593">
        <v>70348</v>
      </c>
      <c r="B593" t="s">
        <v>182</v>
      </c>
      <c r="C593" t="s">
        <v>238</v>
      </c>
      <c r="D593">
        <v>4</v>
      </c>
      <c r="E593">
        <v>-188460</v>
      </c>
      <c r="F593" t="s">
        <v>279</v>
      </c>
      <c r="G593" t="s">
        <v>33</v>
      </c>
      <c r="H593">
        <v>0</v>
      </c>
      <c r="I593" t="s">
        <v>380</v>
      </c>
    </row>
    <row r="594" spans="1:9" x14ac:dyDescent="0.25">
      <c r="A594">
        <v>70348</v>
      </c>
      <c r="B594" t="s">
        <v>182</v>
      </c>
      <c r="C594" t="s">
        <v>238</v>
      </c>
      <c r="D594">
        <v>4</v>
      </c>
      <c r="E594">
        <v>-188460</v>
      </c>
      <c r="F594" t="s">
        <v>279</v>
      </c>
      <c r="G594" t="s">
        <v>31</v>
      </c>
      <c r="H594">
        <v>0</v>
      </c>
      <c r="I594" t="s">
        <v>364</v>
      </c>
    </row>
    <row r="595" spans="1:9" x14ac:dyDescent="0.25">
      <c r="A595">
        <v>70348</v>
      </c>
      <c r="B595" t="s">
        <v>182</v>
      </c>
      <c r="C595" t="s">
        <v>238</v>
      </c>
      <c r="D595">
        <v>4</v>
      </c>
      <c r="E595">
        <v>-188460</v>
      </c>
      <c r="F595" t="s">
        <v>279</v>
      </c>
      <c r="G595" t="s">
        <v>31</v>
      </c>
      <c r="H595">
        <v>0</v>
      </c>
      <c r="I595" t="s">
        <v>365</v>
      </c>
    </row>
    <row r="596" spans="1:9" x14ac:dyDescent="0.25">
      <c r="A596">
        <v>70348</v>
      </c>
      <c r="B596" t="s">
        <v>182</v>
      </c>
      <c r="C596" t="s">
        <v>238</v>
      </c>
      <c r="D596">
        <v>4</v>
      </c>
      <c r="E596">
        <v>-188460</v>
      </c>
      <c r="F596" t="s">
        <v>279</v>
      </c>
      <c r="G596" t="s">
        <v>31</v>
      </c>
      <c r="H596">
        <v>0</v>
      </c>
      <c r="I596" t="s">
        <v>366</v>
      </c>
    </row>
    <row r="597" spans="1:9" x14ac:dyDescent="0.25">
      <c r="A597">
        <v>70348</v>
      </c>
      <c r="B597" t="s">
        <v>182</v>
      </c>
      <c r="C597" t="s">
        <v>238</v>
      </c>
      <c r="D597">
        <v>4</v>
      </c>
      <c r="E597">
        <v>-188460</v>
      </c>
      <c r="F597" t="s">
        <v>279</v>
      </c>
      <c r="G597" t="s">
        <v>35</v>
      </c>
      <c r="H597">
        <v>7134</v>
      </c>
      <c r="I597" t="s">
        <v>309</v>
      </c>
    </row>
    <row r="598" spans="1:9" x14ac:dyDescent="0.25">
      <c r="A598">
        <v>70348</v>
      </c>
      <c r="B598" t="s">
        <v>182</v>
      </c>
      <c r="C598" t="s">
        <v>238</v>
      </c>
      <c r="D598">
        <v>4</v>
      </c>
      <c r="E598">
        <v>-188460</v>
      </c>
      <c r="F598" t="s">
        <v>279</v>
      </c>
      <c r="G598" t="s">
        <v>35</v>
      </c>
      <c r="H598">
        <v>1468</v>
      </c>
      <c r="I598" t="s">
        <v>310</v>
      </c>
    </row>
    <row r="599" spans="1:9" x14ac:dyDescent="0.25">
      <c r="A599">
        <v>70348</v>
      </c>
      <c r="B599" t="s">
        <v>182</v>
      </c>
      <c r="C599" t="s">
        <v>238</v>
      </c>
      <c r="D599">
        <v>4</v>
      </c>
      <c r="E599">
        <v>-188460</v>
      </c>
      <c r="F599" t="s">
        <v>279</v>
      </c>
      <c r="G599" t="s">
        <v>35</v>
      </c>
      <c r="H599">
        <v>31417</v>
      </c>
      <c r="I599" t="s">
        <v>311</v>
      </c>
    </row>
    <row r="600" spans="1:9" x14ac:dyDescent="0.25">
      <c r="A600">
        <v>70348</v>
      </c>
      <c r="B600" t="s">
        <v>182</v>
      </c>
      <c r="C600" t="s">
        <v>238</v>
      </c>
      <c r="D600">
        <v>4</v>
      </c>
      <c r="E600">
        <v>-188460</v>
      </c>
      <c r="F600" t="s">
        <v>279</v>
      </c>
      <c r="G600" t="s">
        <v>35</v>
      </c>
      <c r="H600">
        <v>326</v>
      </c>
      <c r="I600" t="s">
        <v>312</v>
      </c>
    </row>
    <row r="601" spans="1:9" x14ac:dyDescent="0.25">
      <c r="A601">
        <v>70348</v>
      </c>
      <c r="B601" t="s">
        <v>182</v>
      </c>
      <c r="C601" t="s">
        <v>238</v>
      </c>
      <c r="D601">
        <v>4</v>
      </c>
      <c r="E601">
        <v>-188460</v>
      </c>
      <c r="F601" t="s">
        <v>279</v>
      </c>
      <c r="G601" t="s">
        <v>35</v>
      </c>
      <c r="H601">
        <v>5225</v>
      </c>
      <c r="I601" t="s">
        <v>313</v>
      </c>
    </row>
    <row r="602" spans="1:9" x14ac:dyDescent="0.25">
      <c r="A602">
        <v>70348</v>
      </c>
      <c r="B602" t="s">
        <v>182</v>
      </c>
      <c r="C602" t="s">
        <v>238</v>
      </c>
      <c r="D602">
        <v>4</v>
      </c>
      <c r="E602">
        <v>-188460</v>
      </c>
      <c r="F602" t="s">
        <v>279</v>
      </c>
      <c r="G602" t="s">
        <v>37</v>
      </c>
      <c r="H602">
        <v>0</v>
      </c>
      <c r="I602" t="s">
        <v>381</v>
      </c>
    </row>
    <row r="603" spans="1:9" x14ac:dyDescent="0.25">
      <c r="A603">
        <v>70348</v>
      </c>
      <c r="B603" t="s">
        <v>182</v>
      </c>
      <c r="C603" t="s">
        <v>238</v>
      </c>
      <c r="D603">
        <v>4</v>
      </c>
      <c r="E603">
        <v>-188460</v>
      </c>
      <c r="F603" t="s">
        <v>279</v>
      </c>
      <c r="G603" t="s">
        <v>37</v>
      </c>
      <c r="H603">
        <v>18172</v>
      </c>
      <c r="I603" t="s">
        <v>314</v>
      </c>
    </row>
    <row r="604" spans="1:9" x14ac:dyDescent="0.25">
      <c r="A604">
        <v>70348</v>
      </c>
      <c r="B604" t="s">
        <v>182</v>
      </c>
      <c r="C604" t="s">
        <v>238</v>
      </c>
      <c r="D604">
        <v>4</v>
      </c>
      <c r="E604">
        <v>-188460</v>
      </c>
      <c r="F604" t="s">
        <v>279</v>
      </c>
      <c r="G604" t="s">
        <v>35</v>
      </c>
      <c r="H604">
        <v>2159</v>
      </c>
      <c r="I604" t="s">
        <v>315</v>
      </c>
    </row>
    <row r="605" spans="1:9" x14ac:dyDescent="0.25">
      <c r="A605">
        <v>70348</v>
      </c>
      <c r="B605" t="s">
        <v>182</v>
      </c>
      <c r="C605" t="s">
        <v>238</v>
      </c>
      <c r="D605">
        <v>4</v>
      </c>
      <c r="E605">
        <v>-188460</v>
      </c>
      <c r="F605" t="s">
        <v>279</v>
      </c>
      <c r="G605" t="s">
        <v>37</v>
      </c>
      <c r="H605">
        <v>601</v>
      </c>
      <c r="I605" t="s">
        <v>323</v>
      </c>
    </row>
    <row r="606" spans="1:9" x14ac:dyDescent="0.25">
      <c r="A606">
        <v>70348</v>
      </c>
      <c r="B606" t="s">
        <v>182</v>
      </c>
      <c r="C606" t="s">
        <v>238</v>
      </c>
      <c r="D606">
        <v>4</v>
      </c>
      <c r="E606">
        <v>-188460</v>
      </c>
      <c r="F606" t="s">
        <v>274</v>
      </c>
      <c r="G606" t="s">
        <v>275</v>
      </c>
      <c r="H606">
        <v>58193</v>
      </c>
      <c r="I606" t="s">
        <v>299</v>
      </c>
    </row>
    <row r="607" spans="1:9" x14ac:dyDescent="0.25">
      <c r="A607">
        <v>70348</v>
      </c>
      <c r="B607" t="s">
        <v>182</v>
      </c>
      <c r="C607" t="s">
        <v>238</v>
      </c>
      <c r="D607">
        <v>4</v>
      </c>
      <c r="E607">
        <v>-188460</v>
      </c>
      <c r="F607" t="s">
        <v>274</v>
      </c>
      <c r="G607" t="s">
        <v>275</v>
      </c>
      <c r="H607">
        <v>0</v>
      </c>
      <c r="I607" t="s">
        <v>385</v>
      </c>
    </row>
    <row r="608" spans="1:9" x14ac:dyDescent="0.25">
      <c r="A608">
        <v>70348</v>
      </c>
      <c r="B608" t="s">
        <v>182</v>
      </c>
      <c r="C608" t="s">
        <v>238</v>
      </c>
      <c r="D608">
        <v>4</v>
      </c>
      <c r="E608">
        <v>-188460</v>
      </c>
      <c r="F608" t="s">
        <v>279</v>
      </c>
      <c r="G608" t="s">
        <v>29</v>
      </c>
      <c r="H608">
        <v>5649</v>
      </c>
      <c r="I608" t="s">
        <v>290</v>
      </c>
    </row>
    <row r="609" spans="1:9" x14ac:dyDescent="0.25">
      <c r="A609">
        <v>70348</v>
      </c>
      <c r="B609" t="s">
        <v>182</v>
      </c>
      <c r="C609" t="s">
        <v>238</v>
      </c>
      <c r="D609">
        <v>4</v>
      </c>
      <c r="E609">
        <v>-188460</v>
      </c>
      <c r="F609" t="s">
        <v>279</v>
      </c>
      <c r="G609" t="s">
        <v>32</v>
      </c>
      <c r="H609">
        <v>85112</v>
      </c>
      <c r="I609" t="s">
        <v>291</v>
      </c>
    </row>
    <row r="610" spans="1:9" x14ac:dyDescent="0.25">
      <c r="A610">
        <v>70348</v>
      </c>
      <c r="B610" t="s">
        <v>182</v>
      </c>
      <c r="C610" t="s">
        <v>238</v>
      </c>
      <c r="D610">
        <v>4</v>
      </c>
      <c r="E610">
        <v>-188460</v>
      </c>
      <c r="F610" t="s">
        <v>279</v>
      </c>
      <c r="G610" t="s">
        <v>29</v>
      </c>
      <c r="H610">
        <v>1432</v>
      </c>
      <c r="I610" t="s">
        <v>292</v>
      </c>
    </row>
    <row r="611" spans="1:9" x14ac:dyDescent="0.25">
      <c r="A611">
        <v>70348</v>
      </c>
      <c r="B611" t="s">
        <v>182</v>
      </c>
      <c r="C611" t="s">
        <v>238</v>
      </c>
      <c r="D611">
        <v>4</v>
      </c>
      <c r="E611">
        <v>-188460</v>
      </c>
      <c r="F611" t="s">
        <v>279</v>
      </c>
      <c r="G611" t="s">
        <v>29</v>
      </c>
      <c r="H611">
        <v>0</v>
      </c>
      <c r="I611" t="s">
        <v>384</v>
      </c>
    </row>
    <row r="612" spans="1:9" x14ac:dyDescent="0.25">
      <c r="A612">
        <v>70348</v>
      </c>
      <c r="B612" t="s">
        <v>182</v>
      </c>
      <c r="C612" t="s">
        <v>238</v>
      </c>
      <c r="D612">
        <v>4</v>
      </c>
      <c r="E612">
        <v>-188460</v>
      </c>
      <c r="F612" t="s">
        <v>279</v>
      </c>
      <c r="G612" t="s">
        <v>35</v>
      </c>
      <c r="H612">
        <v>5292</v>
      </c>
      <c r="I612" t="s">
        <v>293</v>
      </c>
    </row>
    <row r="613" spans="1:9" x14ac:dyDescent="0.25">
      <c r="A613">
        <v>70348</v>
      </c>
      <c r="B613" t="s">
        <v>182</v>
      </c>
      <c r="C613" t="s">
        <v>238</v>
      </c>
      <c r="D613">
        <v>4</v>
      </c>
      <c r="E613">
        <v>-188460</v>
      </c>
      <c r="F613" t="s">
        <v>279</v>
      </c>
      <c r="G613" t="s">
        <v>35</v>
      </c>
      <c r="H613">
        <v>18779</v>
      </c>
      <c r="I613" t="s">
        <v>294</v>
      </c>
    </row>
    <row r="614" spans="1:9" x14ac:dyDescent="0.25">
      <c r="A614">
        <v>70348</v>
      </c>
      <c r="B614" t="s">
        <v>182</v>
      </c>
      <c r="C614" t="s">
        <v>238</v>
      </c>
      <c r="D614">
        <v>4</v>
      </c>
      <c r="E614">
        <v>-188460</v>
      </c>
      <c r="F614" t="s">
        <v>279</v>
      </c>
      <c r="G614" t="s">
        <v>35</v>
      </c>
      <c r="H614">
        <v>7323</v>
      </c>
      <c r="I614" t="s">
        <v>295</v>
      </c>
    </row>
    <row r="615" spans="1:9" x14ac:dyDescent="0.25">
      <c r="A615">
        <v>70348</v>
      </c>
      <c r="B615" t="s">
        <v>182</v>
      </c>
      <c r="C615" t="s">
        <v>238</v>
      </c>
      <c r="D615">
        <v>4</v>
      </c>
      <c r="E615">
        <v>-188460</v>
      </c>
      <c r="F615" t="s">
        <v>279</v>
      </c>
      <c r="G615" t="s">
        <v>35</v>
      </c>
      <c r="H615">
        <v>7963</v>
      </c>
      <c r="I615" t="s">
        <v>296</v>
      </c>
    </row>
    <row r="616" spans="1:9" x14ac:dyDescent="0.25">
      <c r="A616">
        <v>70348</v>
      </c>
      <c r="B616" t="s">
        <v>182</v>
      </c>
      <c r="C616" t="s">
        <v>238</v>
      </c>
      <c r="D616">
        <v>4</v>
      </c>
      <c r="E616">
        <v>-188460</v>
      </c>
      <c r="F616" t="s">
        <v>279</v>
      </c>
      <c r="G616" t="s">
        <v>35</v>
      </c>
      <c r="H616">
        <v>3392</v>
      </c>
      <c r="I616" t="s">
        <v>325</v>
      </c>
    </row>
    <row r="617" spans="1:9" x14ac:dyDescent="0.25">
      <c r="A617">
        <v>70348</v>
      </c>
      <c r="B617" t="s">
        <v>182</v>
      </c>
      <c r="C617" t="s">
        <v>238</v>
      </c>
      <c r="D617">
        <v>4</v>
      </c>
      <c r="E617">
        <v>-188460</v>
      </c>
      <c r="F617" t="s">
        <v>279</v>
      </c>
      <c r="G617" t="s">
        <v>29</v>
      </c>
      <c r="H617">
        <v>2270</v>
      </c>
      <c r="I617" t="s">
        <v>297</v>
      </c>
    </row>
    <row r="618" spans="1:9" x14ac:dyDescent="0.25">
      <c r="A618">
        <v>70348</v>
      </c>
      <c r="B618" t="s">
        <v>182</v>
      </c>
      <c r="C618" t="s">
        <v>238</v>
      </c>
      <c r="D618">
        <v>4</v>
      </c>
      <c r="E618">
        <v>-188460</v>
      </c>
      <c r="F618" t="s">
        <v>279</v>
      </c>
      <c r="G618" t="s">
        <v>36</v>
      </c>
      <c r="H618">
        <v>31681</v>
      </c>
      <c r="I618" t="s">
        <v>298</v>
      </c>
    </row>
    <row r="619" spans="1:9" x14ac:dyDescent="0.25">
      <c r="A619">
        <v>70348</v>
      </c>
      <c r="B619" t="s">
        <v>182</v>
      </c>
      <c r="C619" t="s">
        <v>238</v>
      </c>
      <c r="D619">
        <v>4</v>
      </c>
      <c r="E619">
        <v>-188460</v>
      </c>
      <c r="F619" t="s">
        <v>279</v>
      </c>
      <c r="G619" t="s">
        <v>35</v>
      </c>
      <c r="H619">
        <v>79825</v>
      </c>
      <c r="I619" t="s">
        <v>283</v>
      </c>
    </row>
    <row r="620" spans="1:9" x14ac:dyDescent="0.25">
      <c r="A620">
        <v>70348</v>
      </c>
      <c r="B620" t="s">
        <v>182</v>
      </c>
      <c r="C620" t="s">
        <v>238</v>
      </c>
      <c r="D620">
        <v>4</v>
      </c>
      <c r="E620">
        <v>-188460</v>
      </c>
      <c r="F620" t="s">
        <v>279</v>
      </c>
      <c r="G620" t="s">
        <v>29</v>
      </c>
      <c r="H620">
        <v>6378</v>
      </c>
      <c r="I620" t="s">
        <v>284</v>
      </c>
    </row>
    <row r="621" spans="1:9" x14ac:dyDescent="0.25">
      <c r="A621">
        <v>70348</v>
      </c>
      <c r="B621" t="s">
        <v>182</v>
      </c>
      <c r="C621" t="s">
        <v>238</v>
      </c>
      <c r="D621">
        <v>4</v>
      </c>
      <c r="E621">
        <v>-188460</v>
      </c>
      <c r="F621" t="s">
        <v>279</v>
      </c>
      <c r="G621" t="s">
        <v>29</v>
      </c>
      <c r="H621">
        <v>40139</v>
      </c>
      <c r="I621" t="s">
        <v>285</v>
      </c>
    </row>
    <row r="622" spans="1:9" x14ac:dyDescent="0.25">
      <c r="A622">
        <v>70348</v>
      </c>
      <c r="B622" t="s">
        <v>182</v>
      </c>
      <c r="C622" t="s">
        <v>238</v>
      </c>
      <c r="D622">
        <v>4</v>
      </c>
      <c r="E622">
        <v>-188460</v>
      </c>
      <c r="F622" t="s">
        <v>279</v>
      </c>
      <c r="G622" t="s">
        <v>29</v>
      </c>
      <c r="H622">
        <v>274</v>
      </c>
      <c r="I622" t="s">
        <v>286</v>
      </c>
    </row>
    <row r="623" spans="1:9" x14ac:dyDescent="0.25">
      <c r="A623">
        <v>70348</v>
      </c>
      <c r="B623" t="s">
        <v>182</v>
      </c>
      <c r="C623" t="s">
        <v>238</v>
      </c>
      <c r="D623">
        <v>4</v>
      </c>
      <c r="E623">
        <v>-188460</v>
      </c>
      <c r="F623" t="s">
        <v>279</v>
      </c>
      <c r="G623" t="s">
        <v>29</v>
      </c>
      <c r="H623">
        <v>0</v>
      </c>
      <c r="I623" t="s">
        <v>327</v>
      </c>
    </row>
    <row r="624" spans="1:9" x14ac:dyDescent="0.25">
      <c r="A624">
        <v>70348</v>
      </c>
      <c r="B624" t="s">
        <v>182</v>
      </c>
      <c r="C624" t="s">
        <v>238</v>
      </c>
      <c r="D624">
        <v>4</v>
      </c>
      <c r="E624">
        <v>-188460</v>
      </c>
      <c r="F624" t="s">
        <v>279</v>
      </c>
      <c r="G624" t="s">
        <v>34</v>
      </c>
      <c r="H624">
        <v>10796</v>
      </c>
      <c r="I624" t="s">
        <v>287</v>
      </c>
    </row>
    <row r="625" spans="1:9" x14ac:dyDescent="0.25">
      <c r="A625">
        <v>70348</v>
      </c>
      <c r="B625" t="s">
        <v>182</v>
      </c>
      <c r="C625" t="s">
        <v>238</v>
      </c>
      <c r="D625">
        <v>4</v>
      </c>
      <c r="E625">
        <v>-188460</v>
      </c>
      <c r="F625" t="s">
        <v>279</v>
      </c>
      <c r="G625" t="s">
        <v>29</v>
      </c>
      <c r="H625">
        <v>33225</v>
      </c>
      <c r="I625" t="s">
        <v>288</v>
      </c>
    </row>
    <row r="626" spans="1:9" x14ac:dyDescent="0.25">
      <c r="A626">
        <v>70348</v>
      </c>
      <c r="B626" t="s">
        <v>182</v>
      </c>
      <c r="C626" t="s">
        <v>238</v>
      </c>
      <c r="D626">
        <v>4</v>
      </c>
      <c r="E626">
        <v>-188460</v>
      </c>
      <c r="F626" t="s">
        <v>279</v>
      </c>
      <c r="G626" t="s">
        <v>34</v>
      </c>
      <c r="H626">
        <v>10075</v>
      </c>
      <c r="I626" t="s">
        <v>289</v>
      </c>
    </row>
    <row r="627" spans="1:9" x14ac:dyDescent="0.25">
      <c r="A627">
        <v>70348</v>
      </c>
      <c r="B627" t="s">
        <v>182</v>
      </c>
      <c r="C627" t="s">
        <v>238</v>
      </c>
      <c r="D627">
        <v>4</v>
      </c>
      <c r="E627">
        <v>-188460</v>
      </c>
      <c r="F627" t="s">
        <v>279</v>
      </c>
      <c r="G627" t="s">
        <v>37</v>
      </c>
      <c r="H627">
        <v>27</v>
      </c>
      <c r="I627" t="s">
        <v>322</v>
      </c>
    </row>
    <row r="628" spans="1:9" x14ac:dyDescent="0.25">
      <c r="A628">
        <v>70348</v>
      </c>
      <c r="B628" t="s">
        <v>182</v>
      </c>
      <c r="C628" t="s">
        <v>238</v>
      </c>
      <c r="D628">
        <v>4</v>
      </c>
      <c r="E628">
        <v>-188460</v>
      </c>
      <c r="F628" t="s">
        <v>279</v>
      </c>
      <c r="G628" t="s">
        <v>37</v>
      </c>
      <c r="H628">
        <v>0</v>
      </c>
      <c r="I628" t="s">
        <v>382</v>
      </c>
    </row>
    <row r="629" spans="1:9" x14ac:dyDescent="0.25">
      <c r="A629">
        <v>70348</v>
      </c>
      <c r="B629" t="s">
        <v>182</v>
      </c>
      <c r="C629" t="s">
        <v>238</v>
      </c>
      <c r="D629">
        <v>4</v>
      </c>
      <c r="E629">
        <v>-188460</v>
      </c>
      <c r="F629" t="s">
        <v>279</v>
      </c>
      <c r="G629" t="s">
        <v>37</v>
      </c>
      <c r="H629">
        <v>38051</v>
      </c>
      <c r="I629" t="s">
        <v>316</v>
      </c>
    </row>
    <row r="630" spans="1:9" x14ac:dyDescent="0.25">
      <c r="A630">
        <v>70348</v>
      </c>
      <c r="B630" t="s">
        <v>182</v>
      </c>
      <c r="C630" t="s">
        <v>238</v>
      </c>
      <c r="D630">
        <v>4</v>
      </c>
      <c r="E630">
        <v>-188460</v>
      </c>
      <c r="F630" t="s">
        <v>279</v>
      </c>
      <c r="G630" t="s">
        <v>36</v>
      </c>
      <c r="H630">
        <v>121080</v>
      </c>
      <c r="I630" t="s">
        <v>317</v>
      </c>
    </row>
    <row r="631" spans="1:9" x14ac:dyDescent="0.25">
      <c r="A631">
        <v>70348</v>
      </c>
      <c r="B631" t="s">
        <v>182</v>
      </c>
      <c r="C631" t="s">
        <v>238</v>
      </c>
      <c r="D631">
        <v>4</v>
      </c>
      <c r="E631">
        <v>-188460</v>
      </c>
      <c r="F631" t="s">
        <v>274</v>
      </c>
      <c r="G631" t="s">
        <v>275</v>
      </c>
      <c r="H631">
        <v>0</v>
      </c>
      <c r="I631" t="s">
        <v>276</v>
      </c>
    </row>
    <row r="632" spans="1:9" x14ac:dyDescent="0.25">
      <c r="A632">
        <v>70348</v>
      </c>
      <c r="B632" t="s">
        <v>182</v>
      </c>
      <c r="C632" t="s">
        <v>238</v>
      </c>
      <c r="D632">
        <v>4</v>
      </c>
      <c r="E632">
        <v>-188460</v>
      </c>
      <c r="F632" t="s">
        <v>279</v>
      </c>
      <c r="G632" t="s">
        <v>29</v>
      </c>
      <c r="H632">
        <v>0</v>
      </c>
      <c r="I632" t="s">
        <v>324</v>
      </c>
    </row>
    <row r="633" spans="1:9" x14ac:dyDescent="0.25">
      <c r="A633">
        <v>70348</v>
      </c>
      <c r="B633" t="s">
        <v>182</v>
      </c>
      <c r="C633" t="s">
        <v>238</v>
      </c>
      <c r="D633">
        <v>4</v>
      </c>
      <c r="E633">
        <v>-188460</v>
      </c>
      <c r="F633" t="s">
        <v>274</v>
      </c>
      <c r="G633" t="s">
        <v>277</v>
      </c>
      <c r="H633">
        <v>2061</v>
      </c>
      <c r="I633" t="s">
        <v>278</v>
      </c>
    </row>
    <row r="634" spans="1:9" x14ac:dyDescent="0.25">
      <c r="A634">
        <v>70348</v>
      </c>
      <c r="B634" t="s">
        <v>182</v>
      </c>
      <c r="C634" t="s">
        <v>238</v>
      </c>
      <c r="D634">
        <v>4</v>
      </c>
      <c r="E634">
        <v>-188460</v>
      </c>
      <c r="F634" t="s">
        <v>274</v>
      </c>
      <c r="G634" t="s">
        <v>300</v>
      </c>
      <c r="H634">
        <v>0</v>
      </c>
      <c r="I634" t="s">
        <v>383</v>
      </c>
    </row>
    <row r="635" spans="1:9" x14ac:dyDescent="0.25">
      <c r="A635">
        <v>70348</v>
      </c>
      <c r="B635" t="s">
        <v>182</v>
      </c>
      <c r="C635" t="s">
        <v>238</v>
      </c>
      <c r="D635">
        <v>4</v>
      </c>
      <c r="E635">
        <v>-188460</v>
      </c>
      <c r="F635" t="s">
        <v>279</v>
      </c>
      <c r="G635" t="s">
        <v>33</v>
      </c>
      <c r="H635">
        <v>1</v>
      </c>
      <c r="I635" t="s">
        <v>280</v>
      </c>
    </row>
    <row r="636" spans="1:9" x14ac:dyDescent="0.25">
      <c r="A636">
        <v>70348</v>
      </c>
      <c r="B636" t="s">
        <v>182</v>
      </c>
      <c r="C636" t="s">
        <v>238</v>
      </c>
      <c r="D636">
        <v>4</v>
      </c>
      <c r="E636">
        <v>-188460</v>
      </c>
      <c r="F636" t="s">
        <v>279</v>
      </c>
      <c r="G636" t="s">
        <v>29</v>
      </c>
      <c r="H636">
        <v>146</v>
      </c>
      <c r="I636" t="s">
        <v>281</v>
      </c>
    </row>
    <row r="637" spans="1:9" x14ac:dyDescent="0.25">
      <c r="A637">
        <v>70348</v>
      </c>
      <c r="B637" t="s">
        <v>182</v>
      </c>
      <c r="C637" t="s">
        <v>238</v>
      </c>
      <c r="D637">
        <v>4</v>
      </c>
      <c r="E637">
        <v>-188460</v>
      </c>
      <c r="F637" t="s">
        <v>279</v>
      </c>
      <c r="G637" t="s">
        <v>29</v>
      </c>
      <c r="H637">
        <v>56941</v>
      </c>
      <c r="I637" t="s">
        <v>282</v>
      </c>
    </row>
    <row r="638" spans="1:9" x14ac:dyDescent="0.25">
      <c r="A638">
        <v>70348</v>
      </c>
      <c r="B638" t="s">
        <v>182</v>
      </c>
      <c r="C638" t="s">
        <v>238</v>
      </c>
      <c r="D638">
        <v>4</v>
      </c>
      <c r="E638">
        <v>-188460</v>
      </c>
      <c r="F638" t="s">
        <v>279</v>
      </c>
      <c r="G638" t="s">
        <v>33</v>
      </c>
      <c r="H638">
        <v>0</v>
      </c>
      <c r="I638" t="s">
        <v>326</v>
      </c>
    </row>
    <row r="639" spans="1:9" x14ac:dyDescent="0.25">
      <c r="A639">
        <v>70348</v>
      </c>
      <c r="B639" t="s">
        <v>182</v>
      </c>
      <c r="C639" t="s">
        <v>238</v>
      </c>
      <c r="D639">
        <v>4</v>
      </c>
      <c r="E639">
        <v>-188460</v>
      </c>
      <c r="F639" t="s">
        <v>279</v>
      </c>
      <c r="G639" t="s">
        <v>33</v>
      </c>
      <c r="H639">
        <v>0</v>
      </c>
      <c r="I639" t="s">
        <v>375</v>
      </c>
    </row>
    <row r="640" spans="1:9" x14ac:dyDescent="0.25">
      <c r="A640">
        <v>70348</v>
      </c>
      <c r="B640" t="s">
        <v>182</v>
      </c>
      <c r="C640" t="s">
        <v>238</v>
      </c>
      <c r="D640">
        <v>4</v>
      </c>
      <c r="E640">
        <v>-188460</v>
      </c>
      <c r="F640" t="s">
        <v>279</v>
      </c>
      <c r="G640" t="s">
        <v>33</v>
      </c>
      <c r="H640">
        <v>0</v>
      </c>
      <c r="I640" t="s">
        <v>376</v>
      </c>
    </row>
    <row r="641" spans="1:9" x14ac:dyDescent="0.25">
      <c r="A641">
        <v>70348</v>
      </c>
      <c r="B641" t="s">
        <v>182</v>
      </c>
      <c r="C641" t="s">
        <v>238</v>
      </c>
      <c r="D641">
        <v>4</v>
      </c>
      <c r="E641">
        <v>-188460</v>
      </c>
      <c r="F641" t="s">
        <v>279</v>
      </c>
      <c r="G641" t="s">
        <v>33</v>
      </c>
      <c r="H641">
        <v>0</v>
      </c>
      <c r="I641" t="s">
        <v>377</v>
      </c>
    </row>
    <row r="642" spans="1:9" x14ac:dyDescent="0.25">
      <c r="A642">
        <v>70348</v>
      </c>
      <c r="B642" t="s">
        <v>182</v>
      </c>
      <c r="C642" t="s">
        <v>238</v>
      </c>
      <c r="D642">
        <v>4</v>
      </c>
      <c r="E642">
        <v>-188460</v>
      </c>
      <c r="F642" t="s">
        <v>274</v>
      </c>
      <c r="G642" t="s">
        <v>275</v>
      </c>
      <c r="H642">
        <v>975723</v>
      </c>
      <c r="I642" t="s">
        <v>318</v>
      </c>
    </row>
    <row r="643" spans="1:9" x14ac:dyDescent="0.25">
      <c r="A643">
        <v>70348</v>
      </c>
      <c r="B643" t="s">
        <v>182</v>
      </c>
      <c r="C643" t="s">
        <v>238</v>
      </c>
      <c r="D643">
        <v>4</v>
      </c>
      <c r="E643">
        <v>-188460</v>
      </c>
      <c r="F643" t="s">
        <v>274</v>
      </c>
      <c r="G643" t="s">
        <v>300</v>
      </c>
      <c r="H643">
        <v>12453</v>
      </c>
      <c r="I643" t="s">
        <v>301</v>
      </c>
    </row>
    <row r="644" spans="1:9" x14ac:dyDescent="0.25">
      <c r="A644">
        <v>70348</v>
      </c>
      <c r="B644" t="s">
        <v>182</v>
      </c>
      <c r="C644" t="s">
        <v>238</v>
      </c>
      <c r="D644">
        <v>4</v>
      </c>
      <c r="E644">
        <v>-188460</v>
      </c>
      <c r="F644" t="s">
        <v>274</v>
      </c>
      <c r="G644" t="s">
        <v>275</v>
      </c>
      <c r="H644">
        <v>-29525</v>
      </c>
      <c r="I644" t="s">
        <v>302</v>
      </c>
    </row>
    <row r="645" spans="1:9" x14ac:dyDescent="0.25">
      <c r="A645">
        <v>70348</v>
      </c>
      <c r="B645" t="s">
        <v>182</v>
      </c>
      <c r="C645" t="s">
        <v>238</v>
      </c>
      <c r="D645">
        <v>4</v>
      </c>
      <c r="E645">
        <v>-188460</v>
      </c>
      <c r="F645" t="s">
        <v>279</v>
      </c>
      <c r="G645" t="s">
        <v>30</v>
      </c>
      <c r="H645">
        <v>113131</v>
      </c>
      <c r="I645" t="s">
        <v>303</v>
      </c>
    </row>
    <row r="646" spans="1:9" x14ac:dyDescent="0.25">
      <c r="A646">
        <v>70348</v>
      </c>
      <c r="B646" t="s">
        <v>182</v>
      </c>
      <c r="C646" t="s">
        <v>238</v>
      </c>
      <c r="D646">
        <v>4</v>
      </c>
      <c r="E646">
        <v>-188460</v>
      </c>
      <c r="F646" t="s">
        <v>279</v>
      </c>
      <c r="G646" t="s">
        <v>35</v>
      </c>
      <c r="H646">
        <v>38487</v>
      </c>
      <c r="I646" t="s">
        <v>304</v>
      </c>
    </row>
    <row r="647" spans="1:9" x14ac:dyDescent="0.25">
      <c r="A647">
        <v>70348</v>
      </c>
      <c r="B647" t="s">
        <v>182</v>
      </c>
      <c r="C647" t="s">
        <v>238</v>
      </c>
      <c r="D647">
        <v>4</v>
      </c>
      <c r="E647">
        <v>-188460</v>
      </c>
      <c r="F647" t="s">
        <v>279</v>
      </c>
      <c r="G647" t="s">
        <v>31</v>
      </c>
      <c r="H647">
        <v>283714</v>
      </c>
      <c r="I647" t="s">
        <v>305</v>
      </c>
    </row>
    <row r="648" spans="1:9" x14ac:dyDescent="0.25">
      <c r="A648">
        <v>70348</v>
      </c>
      <c r="B648" t="s">
        <v>182</v>
      </c>
      <c r="C648" t="s">
        <v>238</v>
      </c>
      <c r="D648">
        <v>4</v>
      </c>
      <c r="E648">
        <v>-188460</v>
      </c>
      <c r="F648" t="s">
        <v>279</v>
      </c>
      <c r="G648" t="s">
        <v>31</v>
      </c>
      <c r="H648">
        <v>0</v>
      </c>
      <c r="I648" t="s">
        <v>367</v>
      </c>
    </row>
    <row r="649" spans="1:9" x14ac:dyDescent="0.25">
      <c r="A649">
        <v>70348</v>
      </c>
      <c r="B649" t="s">
        <v>182</v>
      </c>
      <c r="C649" t="s">
        <v>238</v>
      </c>
      <c r="D649">
        <v>4</v>
      </c>
      <c r="E649">
        <v>-188460</v>
      </c>
      <c r="F649" t="s">
        <v>279</v>
      </c>
      <c r="G649" t="s">
        <v>31</v>
      </c>
      <c r="H649">
        <v>0</v>
      </c>
      <c r="I649" t="s">
        <v>368</v>
      </c>
    </row>
    <row r="650" spans="1:9" x14ac:dyDescent="0.25">
      <c r="A650">
        <v>70348</v>
      </c>
      <c r="B650" t="s">
        <v>182</v>
      </c>
      <c r="C650" t="s">
        <v>238</v>
      </c>
      <c r="D650">
        <v>4</v>
      </c>
      <c r="E650">
        <v>-188460</v>
      </c>
      <c r="F650" t="s">
        <v>279</v>
      </c>
      <c r="G650" t="s">
        <v>31</v>
      </c>
      <c r="H650">
        <v>0</v>
      </c>
      <c r="I650" t="s">
        <v>369</v>
      </c>
    </row>
    <row r="651" spans="1:9" x14ac:dyDescent="0.25">
      <c r="A651">
        <v>70348</v>
      </c>
      <c r="B651" t="s">
        <v>182</v>
      </c>
      <c r="C651" t="s">
        <v>238</v>
      </c>
      <c r="D651">
        <v>4</v>
      </c>
      <c r="E651">
        <v>-188460</v>
      </c>
      <c r="F651" t="s">
        <v>279</v>
      </c>
      <c r="G651" t="s">
        <v>31</v>
      </c>
      <c r="H651">
        <v>0</v>
      </c>
      <c r="I651" t="s">
        <v>370</v>
      </c>
    </row>
    <row r="652" spans="1:9" x14ac:dyDescent="0.25">
      <c r="A652">
        <v>70348</v>
      </c>
      <c r="B652" t="s">
        <v>182</v>
      </c>
      <c r="C652" t="s">
        <v>238</v>
      </c>
      <c r="D652">
        <v>4</v>
      </c>
      <c r="E652">
        <v>-188460</v>
      </c>
      <c r="F652" t="s">
        <v>279</v>
      </c>
      <c r="G652" t="s">
        <v>31</v>
      </c>
      <c r="H652">
        <v>0</v>
      </c>
      <c r="I652" t="s">
        <v>371</v>
      </c>
    </row>
    <row r="653" spans="1:9" x14ac:dyDescent="0.25">
      <c r="A653">
        <v>70348</v>
      </c>
      <c r="B653" t="s">
        <v>182</v>
      </c>
      <c r="C653" t="s">
        <v>238</v>
      </c>
      <c r="D653">
        <v>4</v>
      </c>
      <c r="E653">
        <v>-188460</v>
      </c>
      <c r="F653" t="s">
        <v>279</v>
      </c>
      <c r="G653" t="s">
        <v>31</v>
      </c>
      <c r="H653">
        <v>0</v>
      </c>
      <c r="I653" t="s">
        <v>328</v>
      </c>
    </row>
    <row r="654" spans="1:9" x14ac:dyDescent="0.25">
      <c r="A654">
        <v>70348</v>
      </c>
      <c r="B654" t="s">
        <v>182</v>
      </c>
      <c r="C654" t="s">
        <v>238</v>
      </c>
      <c r="D654">
        <v>4</v>
      </c>
      <c r="E654">
        <v>-188460</v>
      </c>
      <c r="F654" t="s">
        <v>279</v>
      </c>
      <c r="G654" t="s">
        <v>33</v>
      </c>
      <c r="H654">
        <v>0</v>
      </c>
      <c r="I654" t="s">
        <v>372</v>
      </c>
    </row>
    <row r="655" spans="1:9" x14ac:dyDescent="0.25">
      <c r="A655">
        <v>70348</v>
      </c>
      <c r="B655" t="s">
        <v>182</v>
      </c>
      <c r="C655" t="s">
        <v>238</v>
      </c>
      <c r="D655">
        <v>4</v>
      </c>
      <c r="E655">
        <v>-188460</v>
      </c>
      <c r="F655" t="s">
        <v>279</v>
      </c>
      <c r="G655" t="s">
        <v>33</v>
      </c>
      <c r="H655">
        <v>0</v>
      </c>
      <c r="I655" t="s">
        <v>329</v>
      </c>
    </row>
    <row r="656" spans="1:9" x14ac:dyDescent="0.25">
      <c r="A656">
        <v>70348</v>
      </c>
      <c r="B656" t="s">
        <v>182</v>
      </c>
      <c r="C656" t="s">
        <v>238</v>
      </c>
      <c r="D656">
        <v>4</v>
      </c>
      <c r="E656">
        <v>-188460</v>
      </c>
      <c r="F656" t="s">
        <v>279</v>
      </c>
      <c r="G656" t="s">
        <v>33</v>
      </c>
      <c r="H656">
        <v>2692</v>
      </c>
      <c r="I656" t="s">
        <v>319</v>
      </c>
    </row>
    <row r="657" spans="1:9" x14ac:dyDescent="0.25">
      <c r="A657">
        <v>70348</v>
      </c>
      <c r="B657" t="s">
        <v>182</v>
      </c>
      <c r="C657" t="s">
        <v>238</v>
      </c>
      <c r="D657">
        <v>4</v>
      </c>
      <c r="E657">
        <v>-188460</v>
      </c>
      <c r="F657" t="s">
        <v>279</v>
      </c>
      <c r="G657" t="s">
        <v>33</v>
      </c>
      <c r="H657">
        <v>0</v>
      </c>
      <c r="I657" t="s">
        <v>373</v>
      </c>
    </row>
    <row r="658" spans="1:9" x14ac:dyDescent="0.25">
      <c r="A658">
        <v>70348</v>
      </c>
      <c r="B658" t="s">
        <v>182</v>
      </c>
      <c r="C658" t="s">
        <v>238</v>
      </c>
      <c r="D658">
        <v>4</v>
      </c>
      <c r="E658">
        <v>-188460</v>
      </c>
      <c r="F658" t="s">
        <v>279</v>
      </c>
      <c r="G658" t="s">
        <v>33</v>
      </c>
      <c r="H658">
        <v>0</v>
      </c>
      <c r="I658" t="s">
        <v>374</v>
      </c>
    </row>
    <row r="659" spans="1:9" x14ac:dyDescent="0.25">
      <c r="A659">
        <v>70349</v>
      </c>
      <c r="B659" t="s">
        <v>184</v>
      </c>
      <c r="C659" t="s">
        <v>238</v>
      </c>
      <c r="D659">
        <v>4</v>
      </c>
      <c r="E659">
        <v>-352625</v>
      </c>
      <c r="F659" t="s">
        <v>279</v>
      </c>
      <c r="G659" t="s">
        <v>35</v>
      </c>
      <c r="H659">
        <v>1254</v>
      </c>
      <c r="I659" t="s">
        <v>325</v>
      </c>
    </row>
    <row r="660" spans="1:9" x14ac:dyDescent="0.25">
      <c r="A660">
        <v>70349</v>
      </c>
      <c r="B660" t="s">
        <v>184</v>
      </c>
      <c r="C660" t="s">
        <v>238</v>
      </c>
      <c r="D660">
        <v>4</v>
      </c>
      <c r="E660">
        <v>-352625</v>
      </c>
      <c r="F660" t="s">
        <v>279</v>
      </c>
      <c r="G660" t="s">
        <v>29</v>
      </c>
      <c r="H660">
        <v>8508</v>
      </c>
      <c r="I660" t="s">
        <v>297</v>
      </c>
    </row>
    <row r="661" spans="1:9" x14ac:dyDescent="0.25">
      <c r="A661">
        <v>70349</v>
      </c>
      <c r="B661" t="s">
        <v>184</v>
      </c>
      <c r="C661" t="s">
        <v>238</v>
      </c>
      <c r="D661">
        <v>4</v>
      </c>
      <c r="E661">
        <v>-352625</v>
      </c>
      <c r="F661" t="s">
        <v>279</v>
      </c>
      <c r="G661" t="s">
        <v>36</v>
      </c>
      <c r="H661">
        <v>36486</v>
      </c>
      <c r="I661" t="s">
        <v>298</v>
      </c>
    </row>
    <row r="662" spans="1:9" x14ac:dyDescent="0.25">
      <c r="A662">
        <v>70349</v>
      </c>
      <c r="B662" t="s">
        <v>184</v>
      </c>
      <c r="C662" t="s">
        <v>238</v>
      </c>
      <c r="D662">
        <v>4</v>
      </c>
      <c r="E662">
        <v>-352625</v>
      </c>
      <c r="F662" t="s">
        <v>274</v>
      </c>
      <c r="G662" t="s">
        <v>275</v>
      </c>
      <c r="H662">
        <v>91646</v>
      </c>
      <c r="I662" t="s">
        <v>299</v>
      </c>
    </row>
    <row r="663" spans="1:9" x14ac:dyDescent="0.25">
      <c r="A663">
        <v>70349</v>
      </c>
      <c r="B663" t="s">
        <v>184</v>
      </c>
      <c r="C663" t="s">
        <v>238</v>
      </c>
      <c r="D663">
        <v>4</v>
      </c>
      <c r="E663">
        <v>-352625</v>
      </c>
      <c r="F663" t="s">
        <v>274</v>
      </c>
      <c r="G663" t="s">
        <v>275</v>
      </c>
      <c r="H663">
        <v>0</v>
      </c>
      <c r="I663" t="s">
        <v>385</v>
      </c>
    </row>
    <row r="664" spans="1:9" x14ac:dyDescent="0.25">
      <c r="A664">
        <v>70349</v>
      </c>
      <c r="B664" t="s">
        <v>184</v>
      </c>
      <c r="C664" t="s">
        <v>238</v>
      </c>
      <c r="D664">
        <v>4</v>
      </c>
      <c r="E664">
        <v>-352625</v>
      </c>
      <c r="F664" t="s">
        <v>279</v>
      </c>
      <c r="G664" t="s">
        <v>31</v>
      </c>
      <c r="H664">
        <v>0</v>
      </c>
      <c r="I664" t="s">
        <v>364</v>
      </c>
    </row>
    <row r="665" spans="1:9" x14ac:dyDescent="0.25">
      <c r="A665">
        <v>70349</v>
      </c>
      <c r="B665" t="s">
        <v>184</v>
      </c>
      <c r="C665" t="s">
        <v>238</v>
      </c>
      <c r="D665">
        <v>4</v>
      </c>
      <c r="E665">
        <v>-352625</v>
      </c>
      <c r="F665" t="s">
        <v>279</v>
      </c>
      <c r="G665" t="s">
        <v>31</v>
      </c>
      <c r="H665">
        <v>0</v>
      </c>
      <c r="I665" t="s">
        <v>365</v>
      </c>
    </row>
    <row r="666" spans="1:9" x14ac:dyDescent="0.25">
      <c r="A666">
        <v>70349</v>
      </c>
      <c r="B666" t="s">
        <v>184</v>
      </c>
      <c r="C666" t="s">
        <v>238</v>
      </c>
      <c r="D666">
        <v>4</v>
      </c>
      <c r="E666">
        <v>-352625</v>
      </c>
      <c r="F666" t="s">
        <v>279</v>
      </c>
      <c r="G666" t="s">
        <v>31</v>
      </c>
      <c r="H666">
        <v>0</v>
      </c>
      <c r="I666" t="s">
        <v>366</v>
      </c>
    </row>
    <row r="667" spans="1:9" x14ac:dyDescent="0.25">
      <c r="A667">
        <v>70349</v>
      </c>
      <c r="B667" t="s">
        <v>184</v>
      </c>
      <c r="C667" t="s">
        <v>238</v>
      </c>
      <c r="D667">
        <v>4</v>
      </c>
      <c r="E667">
        <v>-352625</v>
      </c>
      <c r="F667" t="s">
        <v>279</v>
      </c>
      <c r="G667" t="s">
        <v>31</v>
      </c>
      <c r="H667">
        <v>0</v>
      </c>
      <c r="I667" t="s">
        <v>367</v>
      </c>
    </row>
    <row r="668" spans="1:9" x14ac:dyDescent="0.25">
      <c r="A668">
        <v>70349</v>
      </c>
      <c r="B668" t="s">
        <v>184</v>
      </c>
      <c r="C668" t="s">
        <v>238</v>
      </c>
      <c r="D668">
        <v>4</v>
      </c>
      <c r="E668">
        <v>-352625</v>
      </c>
      <c r="F668" t="s">
        <v>279</v>
      </c>
      <c r="G668" t="s">
        <v>31</v>
      </c>
      <c r="H668">
        <v>0</v>
      </c>
      <c r="I668" t="s">
        <v>368</v>
      </c>
    </row>
    <row r="669" spans="1:9" x14ac:dyDescent="0.25">
      <c r="A669">
        <v>70349</v>
      </c>
      <c r="B669" t="s">
        <v>184</v>
      </c>
      <c r="C669" t="s">
        <v>238</v>
      </c>
      <c r="D669">
        <v>4</v>
      </c>
      <c r="E669">
        <v>-352625</v>
      </c>
      <c r="F669" t="s">
        <v>279</v>
      </c>
      <c r="G669" t="s">
        <v>31</v>
      </c>
      <c r="H669">
        <v>0</v>
      </c>
      <c r="I669" t="s">
        <v>369</v>
      </c>
    </row>
    <row r="670" spans="1:9" x14ac:dyDescent="0.25">
      <c r="A670">
        <v>70349</v>
      </c>
      <c r="B670" t="s">
        <v>184</v>
      </c>
      <c r="C670" t="s">
        <v>238</v>
      </c>
      <c r="D670">
        <v>4</v>
      </c>
      <c r="E670">
        <v>-352625</v>
      </c>
      <c r="F670" t="s">
        <v>279</v>
      </c>
      <c r="G670" t="s">
        <v>31</v>
      </c>
      <c r="H670">
        <v>0</v>
      </c>
      <c r="I670" t="s">
        <v>370</v>
      </c>
    </row>
    <row r="671" spans="1:9" x14ac:dyDescent="0.25">
      <c r="A671">
        <v>70349</v>
      </c>
      <c r="B671" t="s">
        <v>184</v>
      </c>
      <c r="C671" t="s">
        <v>238</v>
      </c>
      <c r="D671">
        <v>4</v>
      </c>
      <c r="E671">
        <v>-352625</v>
      </c>
      <c r="F671" t="s">
        <v>279</v>
      </c>
      <c r="G671" t="s">
        <v>31</v>
      </c>
      <c r="H671">
        <v>0</v>
      </c>
      <c r="I671" t="s">
        <v>371</v>
      </c>
    </row>
    <row r="672" spans="1:9" x14ac:dyDescent="0.25">
      <c r="A672">
        <v>70349</v>
      </c>
      <c r="B672" t="s">
        <v>184</v>
      </c>
      <c r="C672" t="s">
        <v>238</v>
      </c>
      <c r="D672">
        <v>4</v>
      </c>
      <c r="E672">
        <v>-352625</v>
      </c>
      <c r="F672" t="s">
        <v>279</v>
      </c>
      <c r="G672" t="s">
        <v>31</v>
      </c>
      <c r="H672">
        <v>0</v>
      </c>
      <c r="I672" t="s">
        <v>328</v>
      </c>
    </row>
    <row r="673" spans="1:9" x14ac:dyDescent="0.25">
      <c r="A673">
        <v>70349</v>
      </c>
      <c r="B673" t="s">
        <v>184</v>
      </c>
      <c r="C673" t="s">
        <v>238</v>
      </c>
      <c r="D673">
        <v>4</v>
      </c>
      <c r="E673">
        <v>-352625</v>
      </c>
      <c r="F673" t="s">
        <v>279</v>
      </c>
      <c r="G673" t="s">
        <v>33</v>
      </c>
      <c r="H673">
        <v>0</v>
      </c>
      <c r="I673" t="s">
        <v>372</v>
      </c>
    </row>
    <row r="674" spans="1:9" x14ac:dyDescent="0.25">
      <c r="A674">
        <v>70349</v>
      </c>
      <c r="B674" t="s">
        <v>184</v>
      </c>
      <c r="C674" t="s">
        <v>238</v>
      </c>
      <c r="D674">
        <v>4</v>
      </c>
      <c r="E674">
        <v>-352625</v>
      </c>
      <c r="F674" t="s">
        <v>279</v>
      </c>
      <c r="G674" t="s">
        <v>33</v>
      </c>
      <c r="H674">
        <v>0</v>
      </c>
      <c r="I674" t="s">
        <v>329</v>
      </c>
    </row>
    <row r="675" spans="1:9" x14ac:dyDescent="0.25">
      <c r="A675">
        <v>70349</v>
      </c>
      <c r="B675" t="s">
        <v>184</v>
      </c>
      <c r="C675" t="s">
        <v>238</v>
      </c>
      <c r="D675">
        <v>4</v>
      </c>
      <c r="E675">
        <v>-352625</v>
      </c>
      <c r="F675" t="s">
        <v>279</v>
      </c>
      <c r="G675" t="s">
        <v>33</v>
      </c>
      <c r="H675">
        <v>0</v>
      </c>
      <c r="I675" t="s">
        <v>319</v>
      </c>
    </row>
    <row r="676" spans="1:9" x14ac:dyDescent="0.25">
      <c r="A676">
        <v>70349</v>
      </c>
      <c r="B676" t="s">
        <v>184</v>
      </c>
      <c r="C676" t="s">
        <v>238</v>
      </c>
      <c r="D676">
        <v>4</v>
      </c>
      <c r="E676">
        <v>-352625</v>
      </c>
      <c r="F676" t="s">
        <v>279</v>
      </c>
      <c r="G676" t="s">
        <v>33</v>
      </c>
      <c r="H676">
        <v>0</v>
      </c>
      <c r="I676" t="s">
        <v>373</v>
      </c>
    </row>
    <row r="677" spans="1:9" x14ac:dyDescent="0.25">
      <c r="A677">
        <v>70349</v>
      </c>
      <c r="B677" t="s">
        <v>184</v>
      </c>
      <c r="C677" t="s">
        <v>238</v>
      </c>
      <c r="D677">
        <v>4</v>
      </c>
      <c r="E677">
        <v>-352625</v>
      </c>
      <c r="F677" t="s">
        <v>279</v>
      </c>
      <c r="G677" t="s">
        <v>33</v>
      </c>
      <c r="H677">
        <v>0</v>
      </c>
      <c r="I677" t="s">
        <v>374</v>
      </c>
    </row>
    <row r="678" spans="1:9" x14ac:dyDescent="0.25">
      <c r="A678">
        <v>70349</v>
      </c>
      <c r="B678" t="s">
        <v>184</v>
      </c>
      <c r="C678" t="s">
        <v>238</v>
      </c>
      <c r="D678">
        <v>4</v>
      </c>
      <c r="E678">
        <v>-352625</v>
      </c>
      <c r="F678" t="s">
        <v>279</v>
      </c>
      <c r="G678" t="s">
        <v>33</v>
      </c>
      <c r="H678">
        <v>0</v>
      </c>
      <c r="I678" t="s">
        <v>326</v>
      </c>
    </row>
    <row r="679" spans="1:9" x14ac:dyDescent="0.25">
      <c r="A679">
        <v>70349</v>
      </c>
      <c r="B679" t="s">
        <v>184</v>
      </c>
      <c r="C679" t="s">
        <v>238</v>
      </c>
      <c r="D679">
        <v>4</v>
      </c>
      <c r="E679">
        <v>-352625</v>
      </c>
      <c r="F679" t="s">
        <v>279</v>
      </c>
      <c r="G679" t="s">
        <v>33</v>
      </c>
      <c r="H679">
        <v>0</v>
      </c>
      <c r="I679" t="s">
        <v>375</v>
      </c>
    </row>
    <row r="680" spans="1:9" x14ac:dyDescent="0.25">
      <c r="A680">
        <v>70349</v>
      </c>
      <c r="B680" t="s">
        <v>184</v>
      </c>
      <c r="C680" t="s">
        <v>238</v>
      </c>
      <c r="D680">
        <v>4</v>
      </c>
      <c r="E680">
        <v>-352625</v>
      </c>
      <c r="F680" t="s">
        <v>279</v>
      </c>
      <c r="G680" t="s">
        <v>33</v>
      </c>
      <c r="H680">
        <v>0</v>
      </c>
      <c r="I680" t="s">
        <v>376</v>
      </c>
    </row>
    <row r="681" spans="1:9" x14ac:dyDescent="0.25">
      <c r="A681">
        <v>70349</v>
      </c>
      <c r="B681" t="s">
        <v>184</v>
      </c>
      <c r="C681" t="s">
        <v>238</v>
      </c>
      <c r="D681">
        <v>4</v>
      </c>
      <c r="E681">
        <v>-352625</v>
      </c>
      <c r="F681" t="s">
        <v>279</v>
      </c>
      <c r="G681" t="s">
        <v>33</v>
      </c>
      <c r="H681">
        <v>0</v>
      </c>
      <c r="I681" t="s">
        <v>377</v>
      </c>
    </row>
    <row r="682" spans="1:9" x14ac:dyDescent="0.25">
      <c r="A682">
        <v>70349</v>
      </c>
      <c r="B682" t="s">
        <v>184</v>
      </c>
      <c r="C682" t="s">
        <v>238</v>
      </c>
      <c r="D682">
        <v>4</v>
      </c>
      <c r="E682">
        <v>-352625</v>
      </c>
      <c r="F682" t="s">
        <v>274</v>
      </c>
      <c r="G682" t="s">
        <v>275</v>
      </c>
      <c r="H682">
        <v>732763</v>
      </c>
      <c r="I682" t="s">
        <v>318</v>
      </c>
    </row>
    <row r="683" spans="1:9" x14ac:dyDescent="0.25">
      <c r="A683">
        <v>70349</v>
      </c>
      <c r="B683" t="s">
        <v>184</v>
      </c>
      <c r="C683" t="s">
        <v>238</v>
      </c>
      <c r="D683">
        <v>4</v>
      </c>
      <c r="E683">
        <v>-352625</v>
      </c>
      <c r="F683" t="s">
        <v>274</v>
      </c>
      <c r="G683" t="s">
        <v>300</v>
      </c>
      <c r="H683">
        <v>27624</v>
      </c>
      <c r="I683" t="s">
        <v>301</v>
      </c>
    </row>
    <row r="684" spans="1:9" x14ac:dyDescent="0.25">
      <c r="A684">
        <v>70349</v>
      </c>
      <c r="B684" t="s">
        <v>184</v>
      </c>
      <c r="C684" t="s">
        <v>238</v>
      </c>
      <c r="D684">
        <v>4</v>
      </c>
      <c r="E684">
        <v>-352625</v>
      </c>
      <c r="F684" t="s">
        <v>274</v>
      </c>
      <c r="G684" t="s">
        <v>275</v>
      </c>
      <c r="H684">
        <v>-45933</v>
      </c>
      <c r="I684" t="s">
        <v>302</v>
      </c>
    </row>
    <row r="685" spans="1:9" x14ac:dyDescent="0.25">
      <c r="A685">
        <v>70349</v>
      </c>
      <c r="B685" t="s">
        <v>184</v>
      </c>
      <c r="C685" t="s">
        <v>238</v>
      </c>
      <c r="D685">
        <v>4</v>
      </c>
      <c r="E685">
        <v>-352625</v>
      </c>
      <c r="F685" t="s">
        <v>279</v>
      </c>
      <c r="G685" t="s">
        <v>30</v>
      </c>
      <c r="H685">
        <v>329539</v>
      </c>
      <c r="I685" t="s">
        <v>303</v>
      </c>
    </row>
    <row r="686" spans="1:9" x14ac:dyDescent="0.25">
      <c r="A686">
        <v>70349</v>
      </c>
      <c r="B686" t="s">
        <v>184</v>
      </c>
      <c r="C686" t="s">
        <v>238</v>
      </c>
      <c r="D686">
        <v>4</v>
      </c>
      <c r="E686">
        <v>-352625</v>
      </c>
      <c r="F686" t="s">
        <v>279</v>
      </c>
      <c r="G686" t="s">
        <v>35</v>
      </c>
      <c r="H686">
        <v>9479</v>
      </c>
      <c r="I686" t="s">
        <v>304</v>
      </c>
    </row>
    <row r="687" spans="1:9" x14ac:dyDescent="0.25">
      <c r="A687">
        <v>70349</v>
      </c>
      <c r="B687" t="s">
        <v>184</v>
      </c>
      <c r="C687" t="s">
        <v>238</v>
      </c>
      <c r="D687">
        <v>4</v>
      </c>
      <c r="E687">
        <v>-352625</v>
      </c>
      <c r="F687" t="s">
        <v>279</v>
      </c>
      <c r="G687" t="s">
        <v>31</v>
      </c>
      <c r="H687">
        <v>112037</v>
      </c>
      <c r="I687" t="s">
        <v>305</v>
      </c>
    </row>
    <row r="688" spans="1:9" x14ac:dyDescent="0.25">
      <c r="A688">
        <v>70349</v>
      </c>
      <c r="B688" t="s">
        <v>184</v>
      </c>
      <c r="C688" t="s">
        <v>238</v>
      </c>
      <c r="D688">
        <v>4</v>
      </c>
      <c r="E688">
        <v>-352625</v>
      </c>
      <c r="F688" t="s">
        <v>279</v>
      </c>
      <c r="G688" t="s">
        <v>33</v>
      </c>
      <c r="H688">
        <v>3060</v>
      </c>
      <c r="I688" t="s">
        <v>320</v>
      </c>
    </row>
    <row r="689" spans="1:9" x14ac:dyDescent="0.25">
      <c r="A689">
        <v>70349</v>
      </c>
      <c r="B689" t="s">
        <v>184</v>
      </c>
      <c r="C689" t="s">
        <v>238</v>
      </c>
      <c r="D689">
        <v>4</v>
      </c>
      <c r="E689">
        <v>-352625</v>
      </c>
      <c r="F689" t="s">
        <v>279</v>
      </c>
      <c r="G689" t="s">
        <v>33</v>
      </c>
      <c r="H689">
        <v>0</v>
      </c>
      <c r="I689" t="s">
        <v>306</v>
      </c>
    </row>
    <row r="690" spans="1:9" x14ac:dyDescent="0.25">
      <c r="A690">
        <v>70349</v>
      </c>
      <c r="B690" t="s">
        <v>184</v>
      </c>
      <c r="C690" t="s">
        <v>238</v>
      </c>
      <c r="D690">
        <v>4</v>
      </c>
      <c r="E690">
        <v>-352625</v>
      </c>
      <c r="F690" t="s">
        <v>279</v>
      </c>
      <c r="G690" t="s">
        <v>33</v>
      </c>
      <c r="H690">
        <v>0</v>
      </c>
      <c r="I690" t="s">
        <v>378</v>
      </c>
    </row>
    <row r="691" spans="1:9" x14ac:dyDescent="0.25">
      <c r="A691">
        <v>70349</v>
      </c>
      <c r="B691" t="s">
        <v>184</v>
      </c>
      <c r="C691" t="s">
        <v>238</v>
      </c>
      <c r="D691">
        <v>4</v>
      </c>
      <c r="E691">
        <v>-352625</v>
      </c>
      <c r="F691" t="s">
        <v>279</v>
      </c>
      <c r="G691" t="s">
        <v>31</v>
      </c>
      <c r="H691">
        <v>4336</v>
      </c>
      <c r="I691" t="s">
        <v>307</v>
      </c>
    </row>
    <row r="692" spans="1:9" x14ac:dyDescent="0.25">
      <c r="A692">
        <v>70349</v>
      </c>
      <c r="B692" t="s">
        <v>184</v>
      </c>
      <c r="C692" t="s">
        <v>238</v>
      </c>
      <c r="D692">
        <v>4</v>
      </c>
      <c r="E692">
        <v>-352625</v>
      </c>
      <c r="F692" t="s">
        <v>279</v>
      </c>
      <c r="G692" t="s">
        <v>31</v>
      </c>
      <c r="H692">
        <v>0</v>
      </c>
      <c r="I692" t="s">
        <v>379</v>
      </c>
    </row>
    <row r="693" spans="1:9" x14ac:dyDescent="0.25">
      <c r="A693">
        <v>70349</v>
      </c>
      <c r="B693" t="s">
        <v>184</v>
      </c>
      <c r="C693" t="s">
        <v>238</v>
      </c>
      <c r="D693">
        <v>4</v>
      </c>
      <c r="E693">
        <v>-352625</v>
      </c>
      <c r="F693" t="s">
        <v>279</v>
      </c>
      <c r="G693" t="s">
        <v>30</v>
      </c>
      <c r="H693">
        <v>12158</v>
      </c>
      <c r="I693" t="s">
        <v>308</v>
      </c>
    </row>
    <row r="694" spans="1:9" x14ac:dyDescent="0.25">
      <c r="A694">
        <v>70349</v>
      </c>
      <c r="B694" t="s">
        <v>184</v>
      </c>
      <c r="C694" t="s">
        <v>238</v>
      </c>
      <c r="D694">
        <v>4</v>
      </c>
      <c r="E694">
        <v>-352625</v>
      </c>
      <c r="F694" t="s">
        <v>279</v>
      </c>
      <c r="G694" t="s">
        <v>35</v>
      </c>
      <c r="H694">
        <v>20479</v>
      </c>
      <c r="I694" t="s">
        <v>321</v>
      </c>
    </row>
    <row r="695" spans="1:9" x14ac:dyDescent="0.25">
      <c r="A695">
        <v>70349</v>
      </c>
      <c r="B695" t="s">
        <v>184</v>
      </c>
      <c r="C695" t="s">
        <v>238</v>
      </c>
      <c r="D695">
        <v>4</v>
      </c>
      <c r="E695">
        <v>-352625</v>
      </c>
      <c r="F695" t="s">
        <v>279</v>
      </c>
      <c r="G695" t="s">
        <v>33</v>
      </c>
      <c r="H695">
        <v>0</v>
      </c>
      <c r="I695" t="s">
        <v>380</v>
      </c>
    </row>
    <row r="696" spans="1:9" x14ac:dyDescent="0.25">
      <c r="A696">
        <v>70349</v>
      </c>
      <c r="B696" t="s">
        <v>184</v>
      </c>
      <c r="C696" t="s">
        <v>238</v>
      </c>
      <c r="D696">
        <v>4</v>
      </c>
      <c r="E696">
        <v>-352625</v>
      </c>
      <c r="F696" t="s">
        <v>279</v>
      </c>
      <c r="G696" t="s">
        <v>35</v>
      </c>
      <c r="H696">
        <v>505</v>
      </c>
      <c r="I696" t="s">
        <v>309</v>
      </c>
    </row>
    <row r="697" spans="1:9" x14ac:dyDescent="0.25">
      <c r="A697">
        <v>70349</v>
      </c>
      <c r="B697" t="s">
        <v>184</v>
      </c>
      <c r="C697" t="s">
        <v>238</v>
      </c>
      <c r="D697">
        <v>4</v>
      </c>
      <c r="E697">
        <v>-352625</v>
      </c>
      <c r="F697" t="s">
        <v>279</v>
      </c>
      <c r="G697" t="s">
        <v>35</v>
      </c>
      <c r="H697">
        <v>2598</v>
      </c>
      <c r="I697" t="s">
        <v>310</v>
      </c>
    </row>
    <row r="698" spans="1:9" x14ac:dyDescent="0.25">
      <c r="A698">
        <v>70349</v>
      </c>
      <c r="B698" t="s">
        <v>184</v>
      </c>
      <c r="C698" t="s">
        <v>238</v>
      </c>
      <c r="D698">
        <v>4</v>
      </c>
      <c r="E698">
        <v>-352625</v>
      </c>
      <c r="F698" t="s">
        <v>279</v>
      </c>
      <c r="G698" t="s">
        <v>35</v>
      </c>
      <c r="H698">
        <v>20781</v>
      </c>
      <c r="I698" t="s">
        <v>311</v>
      </c>
    </row>
    <row r="699" spans="1:9" x14ac:dyDescent="0.25">
      <c r="A699">
        <v>70349</v>
      </c>
      <c r="B699" t="s">
        <v>184</v>
      </c>
      <c r="C699" t="s">
        <v>238</v>
      </c>
      <c r="D699">
        <v>4</v>
      </c>
      <c r="E699">
        <v>-352625</v>
      </c>
      <c r="F699" t="s">
        <v>279</v>
      </c>
      <c r="G699" t="s">
        <v>35</v>
      </c>
      <c r="H699">
        <v>448</v>
      </c>
      <c r="I699" t="s">
        <v>312</v>
      </c>
    </row>
    <row r="700" spans="1:9" x14ac:dyDescent="0.25">
      <c r="A700">
        <v>70349</v>
      </c>
      <c r="B700" t="s">
        <v>184</v>
      </c>
      <c r="C700" t="s">
        <v>238</v>
      </c>
      <c r="D700">
        <v>4</v>
      </c>
      <c r="E700">
        <v>-352625</v>
      </c>
      <c r="F700" t="s">
        <v>279</v>
      </c>
      <c r="G700" t="s">
        <v>35</v>
      </c>
      <c r="H700">
        <v>3107</v>
      </c>
      <c r="I700" t="s">
        <v>313</v>
      </c>
    </row>
    <row r="701" spans="1:9" x14ac:dyDescent="0.25">
      <c r="A701">
        <v>70349</v>
      </c>
      <c r="B701" t="s">
        <v>184</v>
      </c>
      <c r="C701" t="s">
        <v>238</v>
      </c>
      <c r="D701">
        <v>4</v>
      </c>
      <c r="E701">
        <v>-352625</v>
      </c>
      <c r="F701" t="s">
        <v>279</v>
      </c>
      <c r="G701" t="s">
        <v>37</v>
      </c>
      <c r="H701">
        <v>0</v>
      </c>
      <c r="I701" t="s">
        <v>381</v>
      </c>
    </row>
    <row r="702" spans="1:9" x14ac:dyDescent="0.25">
      <c r="A702">
        <v>70349</v>
      </c>
      <c r="B702" t="s">
        <v>184</v>
      </c>
      <c r="C702" t="s">
        <v>238</v>
      </c>
      <c r="D702">
        <v>4</v>
      </c>
      <c r="E702">
        <v>-352625</v>
      </c>
      <c r="F702" t="s">
        <v>279</v>
      </c>
      <c r="G702" t="s">
        <v>37</v>
      </c>
      <c r="H702">
        <v>18135</v>
      </c>
      <c r="I702" t="s">
        <v>314</v>
      </c>
    </row>
    <row r="703" spans="1:9" x14ac:dyDescent="0.25">
      <c r="A703">
        <v>70349</v>
      </c>
      <c r="B703" t="s">
        <v>184</v>
      </c>
      <c r="C703" t="s">
        <v>238</v>
      </c>
      <c r="D703">
        <v>4</v>
      </c>
      <c r="E703">
        <v>-352625</v>
      </c>
      <c r="F703" t="s">
        <v>279</v>
      </c>
      <c r="G703" t="s">
        <v>35</v>
      </c>
      <c r="H703">
        <v>4945</v>
      </c>
      <c r="I703" t="s">
        <v>315</v>
      </c>
    </row>
    <row r="704" spans="1:9" x14ac:dyDescent="0.25">
      <c r="A704">
        <v>70349</v>
      </c>
      <c r="B704" t="s">
        <v>184</v>
      </c>
      <c r="C704" t="s">
        <v>238</v>
      </c>
      <c r="D704">
        <v>4</v>
      </c>
      <c r="E704">
        <v>-352625</v>
      </c>
      <c r="F704" t="s">
        <v>279</v>
      </c>
      <c r="G704" t="s">
        <v>37</v>
      </c>
      <c r="H704">
        <v>0</v>
      </c>
      <c r="I704" t="s">
        <v>323</v>
      </c>
    </row>
    <row r="705" spans="1:9" x14ac:dyDescent="0.25">
      <c r="A705">
        <v>70349</v>
      </c>
      <c r="B705" t="s">
        <v>184</v>
      </c>
      <c r="C705" t="s">
        <v>238</v>
      </c>
      <c r="D705">
        <v>4</v>
      </c>
      <c r="E705">
        <v>-352625</v>
      </c>
      <c r="F705" t="s">
        <v>279</v>
      </c>
      <c r="G705" t="s">
        <v>37</v>
      </c>
      <c r="H705">
        <v>11</v>
      </c>
      <c r="I705" t="s">
        <v>322</v>
      </c>
    </row>
    <row r="706" spans="1:9" x14ac:dyDescent="0.25">
      <c r="A706">
        <v>70349</v>
      </c>
      <c r="B706" t="s">
        <v>184</v>
      </c>
      <c r="C706" t="s">
        <v>238</v>
      </c>
      <c r="D706">
        <v>4</v>
      </c>
      <c r="E706">
        <v>-352625</v>
      </c>
      <c r="F706" t="s">
        <v>279</v>
      </c>
      <c r="G706" t="s">
        <v>37</v>
      </c>
      <c r="H706">
        <v>0</v>
      </c>
      <c r="I706" t="s">
        <v>382</v>
      </c>
    </row>
    <row r="707" spans="1:9" x14ac:dyDescent="0.25">
      <c r="A707">
        <v>70349</v>
      </c>
      <c r="B707" t="s">
        <v>184</v>
      </c>
      <c r="C707" t="s">
        <v>238</v>
      </c>
      <c r="D707">
        <v>4</v>
      </c>
      <c r="E707">
        <v>-352625</v>
      </c>
      <c r="F707" t="s">
        <v>279</v>
      </c>
      <c r="G707" t="s">
        <v>37</v>
      </c>
      <c r="H707">
        <v>37484</v>
      </c>
      <c r="I707" t="s">
        <v>316</v>
      </c>
    </row>
    <row r="708" spans="1:9" x14ac:dyDescent="0.25">
      <c r="A708">
        <v>70349</v>
      </c>
      <c r="B708" t="s">
        <v>184</v>
      </c>
      <c r="C708" t="s">
        <v>238</v>
      </c>
      <c r="D708">
        <v>4</v>
      </c>
      <c r="E708">
        <v>-352625</v>
      </c>
      <c r="F708" t="s">
        <v>279</v>
      </c>
      <c r="G708" t="s">
        <v>36</v>
      </c>
      <c r="H708">
        <v>35202</v>
      </c>
      <c r="I708" t="s">
        <v>317</v>
      </c>
    </row>
    <row r="709" spans="1:9" x14ac:dyDescent="0.25">
      <c r="A709">
        <v>70349</v>
      </c>
      <c r="B709" t="s">
        <v>184</v>
      </c>
      <c r="C709" t="s">
        <v>238</v>
      </c>
      <c r="D709">
        <v>4</v>
      </c>
      <c r="E709">
        <v>-352625</v>
      </c>
      <c r="F709" t="s">
        <v>274</v>
      </c>
      <c r="G709" t="s">
        <v>275</v>
      </c>
      <c r="H709">
        <v>0</v>
      </c>
      <c r="I709" t="s">
        <v>276</v>
      </c>
    </row>
    <row r="710" spans="1:9" x14ac:dyDescent="0.25">
      <c r="A710">
        <v>70349</v>
      </c>
      <c r="B710" t="s">
        <v>184</v>
      </c>
      <c r="C710" t="s">
        <v>238</v>
      </c>
      <c r="D710">
        <v>4</v>
      </c>
      <c r="E710">
        <v>-352625</v>
      </c>
      <c r="F710" t="s">
        <v>279</v>
      </c>
      <c r="G710" t="s">
        <v>29</v>
      </c>
      <c r="H710">
        <v>10344</v>
      </c>
      <c r="I710" t="s">
        <v>324</v>
      </c>
    </row>
    <row r="711" spans="1:9" x14ac:dyDescent="0.25">
      <c r="A711">
        <v>70349</v>
      </c>
      <c r="B711" t="s">
        <v>184</v>
      </c>
      <c r="C711" t="s">
        <v>238</v>
      </c>
      <c r="D711">
        <v>4</v>
      </c>
      <c r="E711">
        <v>-352625</v>
      </c>
      <c r="F711" t="s">
        <v>274</v>
      </c>
      <c r="G711" t="s">
        <v>277</v>
      </c>
      <c r="H711">
        <v>129</v>
      </c>
      <c r="I711" t="s">
        <v>278</v>
      </c>
    </row>
    <row r="712" spans="1:9" x14ac:dyDescent="0.25">
      <c r="A712">
        <v>70349</v>
      </c>
      <c r="B712" t="s">
        <v>184</v>
      </c>
      <c r="C712" t="s">
        <v>238</v>
      </c>
      <c r="D712">
        <v>4</v>
      </c>
      <c r="E712">
        <v>-352625</v>
      </c>
      <c r="F712" t="s">
        <v>274</v>
      </c>
      <c r="G712" t="s">
        <v>300</v>
      </c>
      <c r="H712">
        <v>0</v>
      </c>
      <c r="I712" t="s">
        <v>383</v>
      </c>
    </row>
    <row r="713" spans="1:9" x14ac:dyDescent="0.25">
      <c r="A713">
        <v>70349</v>
      </c>
      <c r="B713" t="s">
        <v>184</v>
      </c>
      <c r="C713" t="s">
        <v>238</v>
      </c>
      <c r="D713">
        <v>4</v>
      </c>
      <c r="E713">
        <v>-352625</v>
      </c>
      <c r="F713" t="s">
        <v>279</v>
      </c>
      <c r="G713" t="s">
        <v>33</v>
      </c>
      <c r="H713">
        <v>95720</v>
      </c>
      <c r="I713" t="s">
        <v>280</v>
      </c>
    </row>
    <row r="714" spans="1:9" x14ac:dyDescent="0.25">
      <c r="A714">
        <v>70349</v>
      </c>
      <c r="B714" t="s">
        <v>184</v>
      </c>
      <c r="C714" t="s">
        <v>238</v>
      </c>
      <c r="D714">
        <v>4</v>
      </c>
      <c r="E714">
        <v>-352625</v>
      </c>
      <c r="F714" t="s">
        <v>279</v>
      </c>
      <c r="G714" t="s">
        <v>29</v>
      </c>
      <c r="H714">
        <v>1818</v>
      </c>
      <c r="I714" t="s">
        <v>281</v>
      </c>
    </row>
    <row r="715" spans="1:9" x14ac:dyDescent="0.25">
      <c r="A715">
        <v>70349</v>
      </c>
      <c r="B715" t="s">
        <v>184</v>
      </c>
      <c r="C715" t="s">
        <v>238</v>
      </c>
      <c r="D715">
        <v>4</v>
      </c>
      <c r="E715">
        <v>-352625</v>
      </c>
      <c r="F715" t="s">
        <v>279</v>
      </c>
      <c r="G715" t="s">
        <v>29</v>
      </c>
      <c r="H715">
        <v>97983</v>
      </c>
      <c r="I715" t="s">
        <v>282</v>
      </c>
    </row>
    <row r="716" spans="1:9" x14ac:dyDescent="0.25">
      <c r="A716">
        <v>70349</v>
      </c>
      <c r="B716" t="s">
        <v>184</v>
      </c>
      <c r="C716" t="s">
        <v>238</v>
      </c>
      <c r="D716">
        <v>4</v>
      </c>
      <c r="E716">
        <v>-352625</v>
      </c>
      <c r="F716" t="s">
        <v>279</v>
      </c>
      <c r="G716" t="s">
        <v>35</v>
      </c>
      <c r="H716">
        <v>84070</v>
      </c>
      <c r="I716" t="s">
        <v>283</v>
      </c>
    </row>
    <row r="717" spans="1:9" x14ac:dyDescent="0.25">
      <c r="A717">
        <v>70349</v>
      </c>
      <c r="B717" t="s">
        <v>184</v>
      </c>
      <c r="C717" t="s">
        <v>238</v>
      </c>
      <c r="D717">
        <v>4</v>
      </c>
      <c r="E717">
        <v>-352625</v>
      </c>
      <c r="F717" t="s">
        <v>279</v>
      </c>
      <c r="G717" t="s">
        <v>29</v>
      </c>
      <c r="H717">
        <v>7876</v>
      </c>
      <c r="I717" t="s">
        <v>284</v>
      </c>
    </row>
    <row r="718" spans="1:9" x14ac:dyDescent="0.25">
      <c r="A718">
        <v>70349</v>
      </c>
      <c r="B718" t="s">
        <v>184</v>
      </c>
      <c r="C718" t="s">
        <v>238</v>
      </c>
      <c r="D718">
        <v>4</v>
      </c>
      <c r="E718">
        <v>-352625</v>
      </c>
      <c r="F718" t="s">
        <v>279</v>
      </c>
      <c r="G718" t="s">
        <v>29</v>
      </c>
      <c r="H718">
        <v>42733</v>
      </c>
      <c r="I718" t="s">
        <v>285</v>
      </c>
    </row>
    <row r="719" spans="1:9" x14ac:dyDescent="0.25">
      <c r="A719">
        <v>70349</v>
      </c>
      <c r="B719" t="s">
        <v>184</v>
      </c>
      <c r="C719" t="s">
        <v>238</v>
      </c>
      <c r="D719">
        <v>4</v>
      </c>
      <c r="E719">
        <v>-352625</v>
      </c>
      <c r="F719" t="s">
        <v>279</v>
      </c>
      <c r="G719" t="s">
        <v>29</v>
      </c>
      <c r="H719">
        <v>4167</v>
      </c>
      <c r="I719" t="s">
        <v>286</v>
      </c>
    </row>
    <row r="720" spans="1:9" x14ac:dyDescent="0.25">
      <c r="A720">
        <v>70349</v>
      </c>
      <c r="B720" t="s">
        <v>184</v>
      </c>
      <c r="C720" t="s">
        <v>238</v>
      </c>
      <c r="D720">
        <v>4</v>
      </c>
      <c r="E720">
        <v>-352625</v>
      </c>
      <c r="F720" t="s">
        <v>279</v>
      </c>
      <c r="G720" t="s">
        <v>29</v>
      </c>
      <c r="H720">
        <v>0</v>
      </c>
      <c r="I720" t="s">
        <v>327</v>
      </c>
    </row>
    <row r="721" spans="1:9" x14ac:dyDescent="0.25">
      <c r="A721">
        <v>70349</v>
      </c>
      <c r="B721" t="s">
        <v>184</v>
      </c>
      <c r="C721" t="s">
        <v>238</v>
      </c>
      <c r="D721">
        <v>4</v>
      </c>
      <c r="E721">
        <v>-352625</v>
      </c>
      <c r="F721" t="s">
        <v>279</v>
      </c>
      <c r="G721" t="s">
        <v>34</v>
      </c>
      <c r="H721">
        <v>9035</v>
      </c>
      <c r="I721" t="s">
        <v>287</v>
      </c>
    </row>
    <row r="722" spans="1:9" x14ac:dyDescent="0.25">
      <c r="A722">
        <v>70349</v>
      </c>
      <c r="B722" t="s">
        <v>184</v>
      </c>
      <c r="C722" t="s">
        <v>238</v>
      </c>
      <c r="D722">
        <v>4</v>
      </c>
      <c r="E722">
        <v>-352625</v>
      </c>
      <c r="F722" t="s">
        <v>279</v>
      </c>
      <c r="G722" t="s">
        <v>29</v>
      </c>
      <c r="H722">
        <v>43136</v>
      </c>
      <c r="I722" t="s">
        <v>288</v>
      </c>
    </row>
    <row r="723" spans="1:9" x14ac:dyDescent="0.25">
      <c r="A723">
        <v>70349</v>
      </c>
      <c r="B723" t="s">
        <v>184</v>
      </c>
      <c r="C723" t="s">
        <v>238</v>
      </c>
      <c r="D723">
        <v>4</v>
      </c>
      <c r="E723">
        <v>-352625</v>
      </c>
      <c r="F723" t="s">
        <v>279</v>
      </c>
      <c r="G723" t="s">
        <v>34</v>
      </c>
      <c r="H723">
        <v>10700</v>
      </c>
      <c r="I723" t="s">
        <v>289</v>
      </c>
    </row>
    <row r="724" spans="1:9" x14ac:dyDescent="0.25">
      <c r="A724">
        <v>70349</v>
      </c>
      <c r="B724" t="s">
        <v>184</v>
      </c>
      <c r="C724" t="s">
        <v>238</v>
      </c>
      <c r="D724">
        <v>4</v>
      </c>
      <c r="E724">
        <v>-352625</v>
      </c>
      <c r="F724" t="s">
        <v>279</v>
      </c>
      <c r="G724" t="s">
        <v>29</v>
      </c>
      <c r="H724">
        <v>4582</v>
      </c>
      <c r="I724" t="s">
        <v>290</v>
      </c>
    </row>
    <row r="725" spans="1:9" x14ac:dyDescent="0.25">
      <c r="A725">
        <v>70349</v>
      </c>
      <c r="B725" t="s">
        <v>184</v>
      </c>
      <c r="C725" t="s">
        <v>238</v>
      </c>
      <c r="D725">
        <v>4</v>
      </c>
      <c r="E725">
        <v>-352625</v>
      </c>
      <c r="F725" t="s">
        <v>279</v>
      </c>
      <c r="G725" t="s">
        <v>32</v>
      </c>
      <c r="H725">
        <v>56502</v>
      </c>
      <c r="I725" t="s">
        <v>291</v>
      </c>
    </row>
    <row r="726" spans="1:9" x14ac:dyDescent="0.25">
      <c r="A726">
        <v>70349</v>
      </c>
      <c r="B726" t="s">
        <v>184</v>
      </c>
      <c r="C726" t="s">
        <v>238</v>
      </c>
      <c r="D726">
        <v>4</v>
      </c>
      <c r="E726">
        <v>-352625</v>
      </c>
      <c r="F726" t="s">
        <v>279</v>
      </c>
      <c r="G726" t="s">
        <v>29</v>
      </c>
      <c r="H726">
        <v>11704</v>
      </c>
      <c r="I726" t="s">
        <v>292</v>
      </c>
    </row>
    <row r="727" spans="1:9" x14ac:dyDescent="0.25">
      <c r="A727">
        <v>70349</v>
      </c>
      <c r="B727" t="s">
        <v>184</v>
      </c>
      <c r="C727" t="s">
        <v>238</v>
      </c>
      <c r="D727">
        <v>4</v>
      </c>
      <c r="E727">
        <v>-352625</v>
      </c>
      <c r="F727" t="s">
        <v>279</v>
      </c>
      <c r="G727" t="s">
        <v>29</v>
      </c>
      <c r="H727">
        <v>0</v>
      </c>
      <c r="I727" t="s">
        <v>384</v>
      </c>
    </row>
    <row r="728" spans="1:9" x14ac:dyDescent="0.25">
      <c r="A728">
        <v>70349</v>
      </c>
      <c r="B728" t="s">
        <v>184</v>
      </c>
      <c r="C728" t="s">
        <v>238</v>
      </c>
      <c r="D728">
        <v>4</v>
      </c>
      <c r="E728">
        <v>-352625</v>
      </c>
      <c r="F728" t="s">
        <v>279</v>
      </c>
      <c r="G728" t="s">
        <v>35</v>
      </c>
      <c r="H728">
        <v>0</v>
      </c>
      <c r="I728" t="s">
        <v>293</v>
      </c>
    </row>
    <row r="729" spans="1:9" x14ac:dyDescent="0.25">
      <c r="A729">
        <v>70349</v>
      </c>
      <c r="B729" t="s">
        <v>184</v>
      </c>
      <c r="C729" t="s">
        <v>238</v>
      </c>
      <c r="D729">
        <v>4</v>
      </c>
      <c r="E729">
        <v>-352625</v>
      </c>
      <c r="F729" t="s">
        <v>279</v>
      </c>
      <c r="G729" t="s">
        <v>35</v>
      </c>
      <c r="H729">
        <v>2088</v>
      </c>
      <c r="I729" t="s">
        <v>294</v>
      </c>
    </row>
    <row r="730" spans="1:9" x14ac:dyDescent="0.25">
      <c r="A730">
        <v>70349</v>
      </c>
      <c r="B730" t="s">
        <v>184</v>
      </c>
      <c r="C730" t="s">
        <v>238</v>
      </c>
      <c r="D730">
        <v>4</v>
      </c>
      <c r="E730">
        <v>-352625</v>
      </c>
      <c r="F730" t="s">
        <v>279</v>
      </c>
      <c r="G730" t="s">
        <v>35</v>
      </c>
      <c r="H730">
        <v>11266</v>
      </c>
      <c r="I730" t="s">
        <v>295</v>
      </c>
    </row>
    <row r="731" spans="1:9" x14ac:dyDescent="0.25">
      <c r="A731">
        <v>70349</v>
      </c>
      <c r="B731" t="s">
        <v>184</v>
      </c>
      <c r="C731" t="s">
        <v>238</v>
      </c>
      <c r="D731">
        <v>4</v>
      </c>
      <c r="E731">
        <v>-352625</v>
      </c>
      <c r="F731" t="s">
        <v>279</v>
      </c>
      <c r="G731" t="s">
        <v>35</v>
      </c>
      <c r="H731">
        <v>4578</v>
      </c>
      <c r="I731" t="s">
        <v>296</v>
      </c>
    </row>
    <row r="732" spans="1:9" x14ac:dyDescent="0.25">
      <c r="A732">
        <v>70350</v>
      </c>
      <c r="B732" t="s">
        <v>186</v>
      </c>
      <c r="C732" t="s">
        <v>238</v>
      </c>
      <c r="D732">
        <v>4</v>
      </c>
      <c r="E732">
        <v>26146</v>
      </c>
      <c r="F732" t="s">
        <v>274</v>
      </c>
      <c r="G732" t="s">
        <v>275</v>
      </c>
      <c r="H732">
        <v>739745</v>
      </c>
      <c r="I732" t="s">
        <v>318</v>
      </c>
    </row>
    <row r="733" spans="1:9" x14ac:dyDescent="0.25">
      <c r="A733">
        <v>70350</v>
      </c>
      <c r="B733" t="s">
        <v>186</v>
      </c>
      <c r="C733" t="s">
        <v>238</v>
      </c>
      <c r="D733">
        <v>4</v>
      </c>
      <c r="E733">
        <v>26146</v>
      </c>
      <c r="F733" t="s">
        <v>274</v>
      </c>
      <c r="G733" t="s">
        <v>300</v>
      </c>
      <c r="H733">
        <v>19182</v>
      </c>
      <c r="I733" t="s">
        <v>301</v>
      </c>
    </row>
    <row r="734" spans="1:9" x14ac:dyDescent="0.25">
      <c r="A734">
        <v>70350</v>
      </c>
      <c r="B734" t="s">
        <v>186</v>
      </c>
      <c r="C734" t="s">
        <v>238</v>
      </c>
      <c r="D734">
        <v>4</v>
      </c>
      <c r="E734">
        <v>26146</v>
      </c>
      <c r="F734" t="s">
        <v>274</v>
      </c>
      <c r="G734" t="s">
        <v>275</v>
      </c>
      <c r="H734">
        <v>-28525</v>
      </c>
      <c r="I734" t="s">
        <v>302</v>
      </c>
    </row>
    <row r="735" spans="1:9" x14ac:dyDescent="0.25">
      <c r="A735">
        <v>70350</v>
      </c>
      <c r="B735" t="s">
        <v>186</v>
      </c>
      <c r="C735" t="s">
        <v>238</v>
      </c>
      <c r="D735">
        <v>4</v>
      </c>
      <c r="E735">
        <v>26146</v>
      </c>
      <c r="F735" t="s">
        <v>279</v>
      </c>
      <c r="G735" t="s">
        <v>30</v>
      </c>
      <c r="H735">
        <v>48790</v>
      </c>
      <c r="I735" t="s">
        <v>303</v>
      </c>
    </row>
    <row r="736" spans="1:9" x14ac:dyDescent="0.25">
      <c r="A736">
        <v>70350</v>
      </c>
      <c r="B736" t="s">
        <v>186</v>
      </c>
      <c r="C736" t="s">
        <v>238</v>
      </c>
      <c r="D736">
        <v>4</v>
      </c>
      <c r="E736">
        <v>26146</v>
      </c>
      <c r="F736" t="s">
        <v>279</v>
      </c>
      <c r="G736" t="s">
        <v>35</v>
      </c>
      <c r="H736">
        <v>24329</v>
      </c>
      <c r="I736" t="s">
        <v>304</v>
      </c>
    </row>
    <row r="737" spans="1:9" x14ac:dyDescent="0.25">
      <c r="A737">
        <v>70350</v>
      </c>
      <c r="B737" t="s">
        <v>186</v>
      </c>
      <c r="C737" t="s">
        <v>238</v>
      </c>
      <c r="D737">
        <v>4</v>
      </c>
      <c r="E737">
        <v>26146</v>
      </c>
      <c r="F737" t="s">
        <v>279</v>
      </c>
      <c r="G737" t="s">
        <v>31</v>
      </c>
      <c r="H737">
        <v>174049</v>
      </c>
      <c r="I737" t="s">
        <v>305</v>
      </c>
    </row>
    <row r="738" spans="1:9" x14ac:dyDescent="0.25">
      <c r="A738">
        <v>70350</v>
      </c>
      <c r="B738" t="s">
        <v>186</v>
      </c>
      <c r="C738" t="s">
        <v>238</v>
      </c>
      <c r="D738">
        <v>4</v>
      </c>
      <c r="E738">
        <v>26146</v>
      </c>
      <c r="F738" t="s">
        <v>279</v>
      </c>
      <c r="G738" t="s">
        <v>33</v>
      </c>
      <c r="H738">
        <v>0</v>
      </c>
      <c r="I738" t="s">
        <v>320</v>
      </c>
    </row>
    <row r="739" spans="1:9" x14ac:dyDescent="0.25">
      <c r="A739">
        <v>70350</v>
      </c>
      <c r="B739" t="s">
        <v>186</v>
      </c>
      <c r="C739" t="s">
        <v>238</v>
      </c>
      <c r="D739">
        <v>4</v>
      </c>
      <c r="E739">
        <v>26146</v>
      </c>
      <c r="F739" t="s">
        <v>279</v>
      </c>
      <c r="G739" t="s">
        <v>33</v>
      </c>
      <c r="H739">
        <v>0</v>
      </c>
      <c r="I739" t="s">
        <v>306</v>
      </c>
    </row>
    <row r="740" spans="1:9" x14ac:dyDescent="0.25">
      <c r="A740">
        <v>70350</v>
      </c>
      <c r="B740" t="s">
        <v>186</v>
      </c>
      <c r="C740" t="s">
        <v>238</v>
      </c>
      <c r="D740">
        <v>4</v>
      </c>
      <c r="E740">
        <v>26146</v>
      </c>
      <c r="F740" t="s">
        <v>279</v>
      </c>
      <c r="G740" t="s">
        <v>33</v>
      </c>
      <c r="H740">
        <v>0</v>
      </c>
      <c r="I740" t="s">
        <v>378</v>
      </c>
    </row>
    <row r="741" spans="1:9" x14ac:dyDescent="0.25">
      <c r="A741">
        <v>70350</v>
      </c>
      <c r="B741" t="s">
        <v>186</v>
      </c>
      <c r="C741" t="s">
        <v>238</v>
      </c>
      <c r="D741">
        <v>4</v>
      </c>
      <c r="E741">
        <v>26146</v>
      </c>
      <c r="F741" t="s">
        <v>279</v>
      </c>
      <c r="G741" t="s">
        <v>31</v>
      </c>
      <c r="H741">
        <v>4491</v>
      </c>
      <c r="I741" t="s">
        <v>307</v>
      </c>
    </row>
    <row r="742" spans="1:9" x14ac:dyDescent="0.25">
      <c r="A742">
        <v>70350</v>
      </c>
      <c r="B742" t="s">
        <v>186</v>
      </c>
      <c r="C742" t="s">
        <v>238</v>
      </c>
      <c r="D742">
        <v>4</v>
      </c>
      <c r="E742">
        <v>26146</v>
      </c>
      <c r="F742" t="s">
        <v>279</v>
      </c>
      <c r="G742" t="s">
        <v>31</v>
      </c>
      <c r="H742">
        <v>0</v>
      </c>
      <c r="I742" t="s">
        <v>379</v>
      </c>
    </row>
    <row r="743" spans="1:9" x14ac:dyDescent="0.25">
      <c r="A743">
        <v>70350</v>
      </c>
      <c r="B743" t="s">
        <v>186</v>
      </c>
      <c r="C743" t="s">
        <v>238</v>
      </c>
      <c r="D743">
        <v>4</v>
      </c>
      <c r="E743">
        <v>26146</v>
      </c>
      <c r="F743" t="s">
        <v>279</v>
      </c>
      <c r="G743" t="s">
        <v>31</v>
      </c>
      <c r="H743">
        <v>0</v>
      </c>
      <c r="I743" t="s">
        <v>328</v>
      </c>
    </row>
    <row r="744" spans="1:9" x14ac:dyDescent="0.25">
      <c r="A744">
        <v>70350</v>
      </c>
      <c r="B744" t="s">
        <v>186</v>
      </c>
      <c r="C744" t="s">
        <v>238</v>
      </c>
      <c r="D744">
        <v>4</v>
      </c>
      <c r="E744">
        <v>26146</v>
      </c>
      <c r="F744" t="s">
        <v>279</v>
      </c>
      <c r="G744" t="s">
        <v>33</v>
      </c>
      <c r="H744">
        <v>0</v>
      </c>
      <c r="I744" t="s">
        <v>372</v>
      </c>
    </row>
    <row r="745" spans="1:9" x14ac:dyDescent="0.25">
      <c r="A745">
        <v>70350</v>
      </c>
      <c r="B745" t="s">
        <v>186</v>
      </c>
      <c r="C745" t="s">
        <v>238</v>
      </c>
      <c r="D745">
        <v>4</v>
      </c>
      <c r="E745">
        <v>26146</v>
      </c>
      <c r="F745" t="s">
        <v>279</v>
      </c>
      <c r="G745" t="s">
        <v>33</v>
      </c>
      <c r="H745">
        <v>0</v>
      </c>
      <c r="I745" t="s">
        <v>329</v>
      </c>
    </row>
    <row r="746" spans="1:9" x14ac:dyDescent="0.25">
      <c r="A746">
        <v>70350</v>
      </c>
      <c r="B746" t="s">
        <v>186</v>
      </c>
      <c r="C746" t="s">
        <v>238</v>
      </c>
      <c r="D746">
        <v>4</v>
      </c>
      <c r="E746">
        <v>26146</v>
      </c>
      <c r="F746" t="s">
        <v>279</v>
      </c>
      <c r="G746" t="s">
        <v>33</v>
      </c>
      <c r="H746">
        <v>0</v>
      </c>
      <c r="I746" t="s">
        <v>319</v>
      </c>
    </row>
    <row r="747" spans="1:9" x14ac:dyDescent="0.25">
      <c r="A747">
        <v>70350</v>
      </c>
      <c r="B747" t="s">
        <v>186</v>
      </c>
      <c r="C747" t="s">
        <v>238</v>
      </c>
      <c r="D747">
        <v>4</v>
      </c>
      <c r="E747">
        <v>26146</v>
      </c>
      <c r="F747" t="s">
        <v>279</v>
      </c>
      <c r="G747" t="s">
        <v>33</v>
      </c>
      <c r="H747">
        <v>0</v>
      </c>
      <c r="I747" t="s">
        <v>373</v>
      </c>
    </row>
    <row r="748" spans="1:9" x14ac:dyDescent="0.25">
      <c r="A748">
        <v>70350</v>
      </c>
      <c r="B748" t="s">
        <v>186</v>
      </c>
      <c r="C748" t="s">
        <v>238</v>
      </c>
      <c r="D748">
        <v>4</v>
      </c>
      <c r="E748">
        <v>26146</v>
      </c>
      <c r="F748" t="s">
        <v>279</v>
      </c>
      <c r="G748" t="s">
        <v>33</v>
      </c>
      <c r="H748">
        <v>0</v>
      </c>
      <c r="I748" t="s">
        <v>374</v>
      </c>
    </row>
    <row r="749" spans="1:9" x14ac:dyDescent="0.25">
      <c r="A749">
        <v>70350</v>
      </c>
      <c r="B749" t="s">
        <v>186</v>
      </c>
      <c r="C749" t="s">
        <v>238</v>
      </c>
      <c r="D749">
        <v>4</v>
      </c>
      <c r="E749">
        <v>26146</v>
      </c>
      <c r="F749" t="s">
        <v>279</v>
      </c>
      <c r="G749" t="s">
        <v>33</v>
      </c>
      <c r="H749">
        <v>0</v>
      </c>
      <c r="I749" t="s">
        <v>326</v>
      </c>
    </row>
    <row r="750" spans="1:9" x14ac:dyDescent="0.25">
      <c r="A750">
        <v>70350</v>
      </c>
      <c r="B750" t="s">
        <v>186</v>
      </c>
      <c r="C750" t="s">
        <v>238</v>
      </c>
      <c r="D750">
        <v>4</v>
      </c>
      <c r="E750">
        <v>26146</v>
      </c>
      <c r="F750" t="s">
        <v>279</v>
      </c>
      <c r="G750" t="s">
        <v>33</v>
      </c>
      <c r="H750">
        <v>0</v>
      </c>
      <c r="I750" t="s">
        <v>375</v>
      </c>
    </row>
    <row r="751" spans="1:9" x14ac:dyDescent="0.25">
      <c r="A751">
        <v>70350</v>
      </c>
      <c r="B751" t="s">
        <v>186</v>
      </c>
      <c r="C751" t="s">
        <v>238</v>
      </c>
      <c r="D751">
        <v>4</v>
      </c>
      <c r="E751">
        <v>26146</v>
      </c>
      <c r="F751" t="s">
        <v>279</v>
      </c>
      <c r="G751" t="s">
        <v>33</v>
      </c>
      <c r="H751">
        <v>0</v>
      </c>
      <c r="I751" t="s">
        <v>376</v>
      </c>
    </row>
    <row r="752" spans="1:9" x14ac:dyDescent="0.25">
      <c r="A752">
        <v>70350</v>
      </c>
      <c r="B752" t="s">
        <v>186</v>
      </c>
      <c r="C752" t="s">
        <v>238</v>
      </c>
      <c r="D752">
        <v>4</v>
      </c>
      <c r="E752">
        <v>26146</v>
      </c>
      <c r="F752" t="s">
        <v>279</v>
      </c>
      <c r="G752" t="s">
        <v>33</v>
      </c>
      <c r="H752">
        <v>0</v>
      </c>
      <c r="I752" t="s">
        <v>377</v>
      </c>
    </row>
    <row r="753" spans="1:9" x14ac:dyDescent="0.25">
      <c r="A753">
        <v>70350</v>
      </c>
      <c r="B753" t="s">
        <v>186</v>
      </c>
      <c r="C753" t="s">
        <v>238</v>
      </c>
      <c r="D753">
        <v>4</v>
      </c>
      <c r="E753">
        <v>26146</v>
      </c>
      <c r="F753" t="s">
        <v>279</v>
      </c>
      <c r="G753" t="s">
        <v>30</v>
      </c>
      <c r="H753">
        <v>7439</v>
      </c>
      <c r="I753" t="s">
        <v>308</v>
      </c>
    </row>
    <row r="754" spans="1:9" x14ac:dyDescent="0.25">
      <c r="A754">
        <v>70350</v>
      </c>
      <c r="B754" t="s">
        <v>186</v>
      </c>
      <c r="C754" t="s">
        <v>238</v>
      </c>
      <c r="D754">
        <v>4</v>
      </c>
      <c r="E754">
        <v>26146</v>
      </c>
      <c r="F754" t="s">
        <v>279</v>
      </c>
      <c r="G754" t="s">
        <v>35</v>
      </c>
      <c r="H754">
        <v>5015</v>
      </c>
      <c r="I754" t="s">
        <v>321</v>
      </c>
    </row>
    <row r="755" spans="1:9" x14ac:dyDescent="0.25">
      <c r="A755">
        <v>70350</v>
      </c>
      <c r="B755" t="s">
        <v>186</v>
      </c>
      <c r="C755" t="s">
        <v>238</v>
      </c>
      <c r="D755">
        <v>4</v>
      </c>
      <c r="E755">
        <v>26146</v>
      </c>
      <c r="F755" t="s">
        <v>279</v>
      </c>
      <c r="G755" t="s">
        <v>33</v>
      </c>
      <c r="H755">
        <v>0</v>
      </c>
      <c r="I755" t="s">
        <v>380</v>
      </c>
    </row>
    <row r="756" spans="1:9" x14ac:dyDescent="0.25">
      <c r="A756">
        <v>70350</v>
      </c>
      <c r="B756" t="s">
        <v>186</v>
      </c>
      <c r="C756" t="s">
        <v>238</v>
      </c>
      <c r="D756">
        <v>4</v>
      </c>
      <c r="E756">
        <v>26146</v>
      </c>
      <c r="F756" t="s">
        <v>279</v>
      </c>
      <c r="G756" t="s">
        <v>35</v>
      </c>
      <c r="H756">
        <v>1428</v>
      </c>
      <c r="I756" t="s">
        <v>309</v>
      </c>
    </row>
    <row r="757" spans="1:9" x14ac:dyDescent="0.25">
      <c r="A757">
        <v>70350</v>
      </c>
      <c r="B757" t="s">
        <v>186</v>
      </c>
      <c r="C757" t="s">
        <v>238</v>
      </c>
      <c r="D757">
        <v>4</v>
      </c>
      <c r="E757">
        <v>26146</v>
      </c>
      <c r="F757" t="s">
        <v>279</v>
      </c>
      <c r="G757" t="s">
        <v>35</v>
      </c>
      <c r="H757">
        <v>3398</v>
      </c>
      <c r="I757" t="s">
        <v>310</v>
      </c>
    </row>
    <row r="758" spans="1:9" x14ac:dyDescent="0.25">
      <c r="A758">
        <v>70350</v>
      </c>
      <c r="B758" t="s">
        <v>186</v>
      </c>
      <c r="C758" t="s">
        <v>238</v>
      </c>
      <c r="D758">
        <v>4</v>
      </c>
      <c r="E758">
        <v>26146</v>
      </c>
      <c r="F758" t="s">
        <v>279</v>
      </c>
      <c r="G758" t="s">
        <v>29</v>
      </c>
      <c r="H758">
        <v>51886</v>
      </c>
      <c r="I758" t="s">
        <v>282</v>
      </c>
    </row>
    <row r="759" spans="1:9" x14ac:dyDescent="0.25">
      <c r="A759">
        <v>70350</v>
      </c>
      <c r="B759" t="s">
        <v>186</v>
      </c>
      <c r="C759" t="s">
        <v>238</v>
      </c>
      <c r="D759">
        <v>4</v>
      </c>
      <c r="E759">
        <v>26146</v>
      </c>
      <c r="F759" t="s">
        <v>279</v>
      </c>
      <c r="G759" t="s">
        <v>35</v>
      </c>
      <c r="H759">
        <v>72168</v>
      </c>
      <c r="I759" t="s">
        <v>283</v>
      </c>
    </row>
    <row r="760" spans="1:9" x14ac:dyDescent="0.25">
      <c r="A760">
        <v>70350</v>
      </c>
      <c r="B760" t="s">
        <v>186</v>
      </c>
      <c r="C760" t="s">
        <v>238</v>
      </c>
      <c r="D760">
        <v>4</v>
      </c>
      <c r="E760">
        <v>26146</v>
      </c>
      <c r="F760" t="s">
        <v>279</v>
      </c>
      <c r="G760" t="s">
        <v>29</v>
      </c>
      <c r="H760">
        <v>5114</v>
      </c>
      <c r="I760" t="s">
        <v>284</v>
      </c>
    </row>
    <row r="761" spans="1:9" x14ac:dyDescent="0.25">
      <c r="A761">
        <v>70350</v>
      </c>
      <c r="B761" t="s">
        <v>186</v>
      </c>
      <c r="C761" t="s">
        <v>238</v>
      </c>
      <c r="D761">
        <v>4</v>
      </c>
      <c r="E761">
        <v>26146</v>
      </c>
      <c r="F761" t="s">
        <v>279</v>
      </c>
      <c r="G761" t="s">
        <v>29</v>
      </c>
      <c r="H761">
        <v>27571</v>
      </c>
      <c r="I761" t="s">
        <v>285</v>
      </c>
    </row>
    <row r="762" spans="1:9" x14ac:dyDescent="0.25">
      <c r="A762">
        <v>70350</v>
      </c>
      <c r="B762" t="s">
        <v>186</v>
      </c>
      <c r="C762" t="s">
        <v>238</v>
      </c>
      <c r="D762">
        <v>4</v>
      </c>
      <c r="E762">
        <v>26146</v>
      </c>
      <c r="F762" t="s">
        <v>279</v>
      </c>
      <c r="G762" t="s">
        <v>29</v>
      </c>
      <c r="H762">
        <v>1483</v>
      </c>
      <c r="I762" t="s">
        <v>286</v>
      </c>
    </row>
    <row r="763" spans="1:9" x14ac:dyDescent="0.25">
      <c r="A763">
        <v>70350</v>
      </c>
      <c r="B763" t="s">
        <v>186</v>
      </c>
      <c r="C763" t="s">
        <v>238</v>
      </c>
      <c r="D763">
        <v>4</v>
      </c>
      <c r="E763">
        <v>26146</v>
      </c>
      <c r="F763" t="s">
        <v>279</v>
      </c>
      <c r="G763" t="s">
        <v>29</v>
      </c>
      <c r="H763">
        <v>0</v>
      </c>
      <c r="I763" t="s">
        <v>327</v>
      </c>
    </row>
    <row r="764" spans="1:9" x14ac:dyDescent="0.25">
      <c r="A764">
        <v>70350</v>
      </c>
      <c r="B764" t="s">
        <v>186</v>
      </c>
      <c r="C764" t="s">
        <v>238</v>
      </c>
      <c r="D764">
        <v>4</v>
      </c>
      <c r="E764">
        <v>26146</v>
      </c>
      <c r="F764" t="s">
        <v>279</v>
      </c>
      <c r="G764" t="s">
        <v>34</v>
      </c>
      <c r="H764">
        <v>5927</v>
      </c>
      <c r="I764" t="s">
        <v>287</v>
      </c>
    </row>
    <row r="765" spans="1:9" x14ac:dyDescent="0.25">
      <c r="A765">
        <v>70350</v>
      </c>
      <c r="B765" t="s">
        <v>186</v>
      </c>
      <c r="C765" t="s">
        <v>238</v>
      </c>
      <c r="D765">
        <v>4</v>
      </c>
      <c r="E765">
        <v>26146</v>
      </c>
      <c r="F765" t="s">
        <v>279</v>
      </c>
      <c r="G765" t="s">
        <v>29</v>
      </c>
      <c r="H765">
        <v>37213</v>
      </c>
      <c r="I765" t="s">
        <v>288</v>
      </c>
    </row>
    <row r="766" spans="1:9" x14ac:dyDescent="0.25">
      <c r="A766">
        <v>70350</v>
      </c>
      <c r="B766" t="s">
        <v>186</v>
      </c>
      <c r="C766" t="s">
        <v>238</v>
      </c>
      <c r="D766">
        <v>4</v>
      </c>
      <c r="E766">
        <v>26146</v>
      </c>
      <c r="F766" t="s">
        <v>279</v>
      </c>
      <c r="G766" t="s">
        <v>34</v>
      </c>
      <c r="H766">
        <v>10700</v>
      </c>
      <c r="I766" t="s">
        <v>289</v>
      </c>
    </row>
    <row r="767" spans="1:9" x14ac:dyDescent="0.25">
      <c r="A767">
        <v>70350</v>
      </c>
      <c r="B767" t="s">
        <v>186</v>
      </c>
      <c r="C767" t="s">
        <v>238</v>
      </c>
      <c r="D767">
        <v>4</v>
      </c>
      <c r="E767">
        <v>26146</v>
      </c>
      <c r="F767" t="s">
        <v>279</v>
      </c>
      <c r="G767" t="s">
        <v>29</v>
      </c>
      <c r="H767">
        <v>4161</v>
      </c>
      <c r="I767" t="s">
        <v>290</v>
      </c>
    </row>
    <row r="768" spans="1:9" x14ac:dyDescent="0.25">
      <c r="A768">
        <v>70350</v>
      </c>
      <c r="B768" t="s">
        <v>186</v>
      </c>
      <c r="C768" t="s">
        <v>238</v>
      </c>
      <c r="D768">
        <v>4</v>
      </c>
      <c r="E768">
        <v>26146</v>
      </c>
      <c r="F768" t="s">
        <v>279</v>
      </c>
      <c r="G768" t="s">
        <v>32</v>
      </c>
      <c r="H768">
        <v>57494</v>
      </c>
      <c r="I768" t="s">
        <v>291</v>
      </c>
    </row>
    <row r="769" spans="1:9" x14ac:dyDescent="0.25">
      <c r="A769">
        <v>70350</v>
      </c>
      <c r="B769" t="s">
        <v>186</v>
      </c>
      <c r="C769" t="s">
        <v>238</v>
      </c>
      <c r="D769">
        <v>4</v>
      </c>
      <c r="E769">
        <v>26146</v>
      </c>
      <c r="F769" t="s">
        <v>279</v>
      </c>
      <c r="G769" t="s">
        <v>29</v>
      </c>
      <c r="H769">
        <v>9765</v>
      </c>
      <c r="I769" t="s">
        <v>292</v>
      </c>
    </row>
    <row r="770" spans="1:9" x14ac:dyDescent="0.25">
      <c r="A770">
        <v>70350</v>
      </c>
      <c r="B770" t="s">
        <v>186</v>
      </c>
      <c r="C770" t="s">
        <v>238</v>
      </c>
      <c r="D770">
        <v>4</v>
      </c>
      <c r="E770">
        <v>26146</v>
      </c>
      <c r="F770" t="s">
        <v>279</v>
      </c>
      <c r="G770" t="s">
        <v>29</v>
      </c>
      <c r="H770">
        <v>0</v>
      </c>
      <c r="I770" t="s">
        <v>384</v>
      </c>
    </row>
    <row r="771" spans="1:9" x14ac:dyDescent="0.25">
      <c r="A771">
        <v>70350</v>
      </c>
      <c r="B771" t="s">
        <v>186</v>
      </c>
      <c r="C771" t="s">
        <v>238</v>
      </c>
      <c r="D771">
        <v>4</v>
      </c>
      <c r="E771">
        <v>26146</v>
      </c>
      <c r="F771" t="s">
        <v>279</v>
      </c>
      <c r="G771" t="s">
        <v>37</v>
      </c>
      <c r="H771">
        <v>0</v>
      </c>
      <c r="I771" t="s">
        <v>382</v>
      </c>
    </row>
    <row r="772" spans="1:9" x14ac:dyDescent="0.25">
      <c r="A772">
        <v>70350</v>
      </c>
      <c r="B772" t="s">
        <v>186</v>
      </c>
      <c r="C772" t="s">
        <v>238</v>
      </c>
      <c r="D772">
        <v>4</v>
      </c>
      <c r="E772">
        <v>26146</v>
      </c>
      <c r="F772" t="s">
        <v>279</v>
      </c>
      <c r="G772" t="s">
        <v>37</v>
      </c>
      <c r="H772">
        <v>34807</v>
      </c>
      <c r="I772" t="s">
        <v>316</v>
      </c>
    </row>
    <row r="773" spans="1:9" x14ac:dyDescent="0.25">
      <c r="A773">
        <v>70350</v>
      </c>
      <c r="B773" t="s">
        <v>186</v>
      </c>
      <c r="C773" t="s">
        <v>238</v>
      </c>
      <c r="D773">
        <v>4</v>
      </c>
      <c r="E773">
        <v>26146</v>
      </c>
      <c r="F773" t="s">
        <v>279</v>
      </c>
      <c r="G773" t="s">
        <v>36</v>
      </c>
      <c r="H773">
        <v>22596</v>
      </c>
      <c r="I773" t="s">
        <v>317</v>
      </c>
    </row>
    <row r="774" spans="1:9" x14ac:dyDescent="0.25">
      <c r="A774">
        <v>70350</v>
      </c>
      <c r="B774" t="s">
        <v>186</v>
      </c>
      <c r="C774" t="s">
        <v>238</v>
      </c>
      <c r="D774">
        <v>4</v>
      </c>
      <c r="E774">
        <v>26146</v>
      </c>
      <c r="F774" t="s">
        <v>274</v>
      </c>
      <c r="G774" t="s">
        <v>275</v>
      </c>
      <c r="H774">
        <v>0</v>
      </c>
      <c r="I774" t="s">
        <v>276</v>
      </c>
    </row>
    <row r="775" spans="1:9" x14ac:dyDescent="0.25">
      <c r="A775">
        <v>70350</v>
      </c>
      <c r="B775" t="s">
        <v>186</v>
      </c>
      <c r="C775" t="s">
        <v>238</v>
      </c>
      <c r="D775">
        <v>4</v>
      </c>
      <c r="E775">
        <v>26146</v>
      </c>
      <c r="F775" t="s">
        <v>279</v>
      </c>
      <c r="G775" t="s">
        <v>29</v>
      </c>
      <c r="H775">
        <v>0</v>
      </c>
      <c r="I775" t="s">
        <v>324</v>
      </c>
    </row>
    <row r="776" spans="1:9" x14ac:dyDescent="0.25">
      <c r="A776">
        <v>70350</v>
      </c>
      <c r="B776" t="s">
        <v>186</v>
      </c>
      <c r="C776" t="s">
        <v>238</v>
      </c>
      <c r="D776">
        <v>4</v>
      </c>
      <c r="E776">
        <v>26146</v>
      </c>
      <c r="F776" t="s">
        <v>274</v>
      </c>
      <c r="G776" t="s">
        <v>277</v>
      </c>
      <c r="H776">
        <v>218</v>
      </c>
      <c r="I776" t="s">
        <v>278</v>
      </c>
    </row>
    <row r="777" spans="1:9" x14ac:dyDescent="0.25">
      <c r="A777">
        <v>70350</v>
      </c>
      <c r="B777" t="s">
        <v>186</v>
      </c>
      <c r="C777" t="s">
        <v>238</v>
      </c>
      <c r="D777">
        <v>4</v>
      </c>
      <c r="E777">
        <v>26146</v>
      </c>
      <c r="F777" t="s">
        <v>274</v>
      </c>
      <c r="G777" t="s">
        <v>300</v>
      </c>
      <c r="H777">
        <v>0</v>
      </c>
      <c r="I777" t="s">
        <v>383</v>
      </c>
    </row>
    <row r="778" spans="1:9" x14ac:dyDescent="0.25">
      <c r="A778">
        <v>70350</v>
      </c>
      <c r="B778" t="s">
        <v>186</v>
      </c>
      <c r="C778" t="s">
        <v>238</v>
      </c>
      <c r="D778">
        <v>4</v>
      </c>
      <c r="E778">
        <v>26146</v>
      </c>
      <c r="F778" t="s">
        <v>279</v>
      </c>
      <c r="G778" t="s">
        <v>33</v>
      </c>
      <c r="H778">
        <v>1</v>
      </c>
      <c r="I778" t="s">
        <v>280</v>
      </c>
    </row>
    <row r="779" spans="1:9" x14ac:dyDescent="0.25">
      <c r="A779">
        <v>70350</v>
      </c>
      <c r="B779" t="s">
        <v>186</v>
      </c>
      <c r="C779" t="s">
        <v>238</v>
      </c>
      <c r="D779">
        <v>4</v>
      </c>
      <c r="E779">
        <v>26146</v>
      </c>
      <c r="F779" t="s">
        <v>279</v>
      </c>
      <c r="G779" t="s">
        <v>29</v>
      </c>
      <c r="H779">
        <v>10886</v>
      </c>
      <c r="I779" t="s">
        <v>281</v>
      </c>
    </row>
    <row r="780" spans="1:9" x14ac:dyDescent="0.25">
      <c r="A780">
        <v>70350</v>
      </c>
      <c r="B780" t="s">
        <v>186</v>
      </c>
      <c r="C780" t="s">
        <v>238</v>
      </c>
      <c r="D780">
        <v>4</v>
      </c>
      <c r="E780">
        <v>26146</v>
      </c>
      <c r="F780" t="s">
        <v>279</v>
      </c>
      <c r="G780" t="s">
        <v>35</v>
      </c>
      <c r="H780">
        <v>23153</v>
      </c>
      <c r="I780" t="s">
        <v>311</v>
      </c>
    </row>
    <row r="781" spans="1:9" x14ac:dyDescent="0.25">
      <c r="A781">
        <v>70350</v>
      </c>
      <c r="B781" t="s">
        <v>186</v>
      </c>
      <c r="C781" t="s">
        <v>238</v>
      </c>
      <c r="D781">
        <v>4</v>
      </c>
      <c r="E781">
        <v>26146</v>
      </c>
      <c r="F781" t="s">
        <v>279</v>
      </c>
      <c r="G781" t="s">
        <v>35</v>
      </c>
      <c r="H781">
        <v>495</v>
      </c>
      <c r="I781" t="s">
        <v>312</v>
      </c>
    </row>
    <row r="782" spans="1:9" x14ac:dyDescent="0.25">
      <c r="A782">
        <v>70350</v>
      </c>
      <c r="B782" t="s">
        <v>186</v>
      </c>
      <c r="C782" t="s">
        <v>238</v>
      </c>
      <c r="D782">
        <v>4</v>
      </c>
      <c r="E782">
        <v>26146</v>
      </c>
      <c r="F782" t="s">
        <v>279</v>
      </c>
      <c r="G782" t="s">
        <v>35</v>
      </c>
      <c r="H782">
        <v>1758</v>
      </c>
      <c r="I782" t="s">
        <v>313</v>
      </c>
    </row>
    <row r="783" spans="1:9" x14ac:dyDescent="0.25">
      <c r="A783">
        <v>70350</v>
      </c>
      <c r="B783" t="s">
        <v>186</v>
      </c>
      <c r="C783" t="s">
        <v>238</v>
      </c>
      <c r="D783">
        <v>4</v>
      </c>
      <c r="E783">
        <v>26146</v>
      </c>
      <c r="F783" t="s">
        <v>279</v>
      </c>
      <c r="G783" t="s">
        <v>37</v>
      </c>
      <c r="H783">
        <v>0</v>
      </c>
      <c r="I783" t="s">
        <v>381</v>
      </c>
    </row>
    <row r="784" spans="1:9" x14ac:dyDescent="0.25">
      <c r="A784">
        <v>70350</v>
      </c>
      <c r="B784" t="s">
        <v>186</v>
      </c>
      <c r="C784" t="s">
        <v>238</v>
      </c>
      <c r="D784">
        <v>4</v>
      </c>
      <c r="E784">
        <v>26146</v>
      </c>
      <c r="F784" t="s">
        <v>279</v>
      </c>
      <c r="G784" t="s">
        <v>37</v>
      </c>
      <c r="H784">
        <v>27893</v>
      </c>
      <c r="I784" t="s">
        <v>314</v>
      </c>
    </row>
    <row r="785" spans="1:9" x14ac:dyDescent="0.25">
      <c r="A785">
        <v>70350</v>
      </c>
      <c r="B785" t="s">
        <v>186</v>
      </c>
      <c r="C785" t="s">
        <v>238</v>
      </c>
      <c r="D785">
        <v>4</v>
      </c>
      <c r="E785">
        <v>26146</v>
      </c>
      <c r="F785" t="s">
        <v>279</v>
      </c>
      <c r="G785" t="s">
        <v>35</v>
      </c>
      <c r="H785">
        <v>3742</v>
      </c>
      <c r="I785" t="s">
        <v>315</v>
      </c>
    </row>
    <row r="786" spans="1:9" x14ac:dyDescent="0.25">
      <c r="A786">
        <v>70350</v>
      </c>
      <c r="B786" t="s">
        <v>186</v>
      </c>
      <c r="C786" t="s">
        <v>238</v>
      </c>
      <c r="D786">
        <v>4</v>
      </c>
      <c r="E786">
        <v>26146</v>
      </c>
      <c r="F786" t="s">
        <v>279</v>
      </c>
      <c r="G786" t="s">
        <v>37</v>
      </c>
      <c r="H786">
        <v>1238</v>
      </c>
      <c r="I786" t="s">
        <v>323</v>
      </c>
    </row>
    <row r="787" spans="1:9" x14ac:dyDescent="0.25">
      <c r="A787">
        <v>70350</v>
      </c>
      <c r="B787" t="s">
        <v>186</v>
      </c>
      <c r="C787" t="s">
        <v>238</v>
      </c>
      <c r="D787">
        <v>4</v>
      </c>
      <c r="E787">
        <v>26146</v>
      </c>
      <c r="F787" t="s">
        <v>279</v>
      </c>
      <c r="G787" t="s">
        <v>37</v>
      </c>
      <c r="H787">
        <v>0</v>
      </c>
      <c r="I787" t="s">
        <v>322</v>
      </c>
    </row>
    <row r="788" spans="1:9" x14ac:dyDescent="0.25">
      <c r="A788">
        <v>70350</v>
      </c>
      <c r="B788" t="s">
        <v>186</v>
      </c>
      <c r="C788" t="s">
        <v>238</v>
      </c>
      <c r="D788">
        <v>4</v>
      </c>
      <c r="E788">
        <v>26146</v>
      </c>
      <c r="F788" t="s">
        <v>279</v>
      </c>
      <c r="G788" t="s">
        <v>35</v>
      </c>
      <c r="H788">
        <v>4962</v>
      </c>
      <c r="I788" t="s">
        <v>293</v>
      </c>
    </row>
    <row r="789" spans="1:9" x14ac:dyDescent="0.25">
      <c r="A789">
        <v>70350</v>
      </c>
      <c r="B789" t="s">
        <v>186</v>
      </c>
      <c r="C789" t="s">
        <v>238</v>
      </c>
      <c r="D789">
        <v>4</v>
      </c>
      <c r="E789">
        <v>26146</v>
      </c>
      <c r="F789" t="s">
        <v>279</v>
      </c>
      <c r="G789" t="s">
        <v>35</v>
      </c>
      <c r="H789">
        <v>15953</v>
      </c>
      <c r="I789" t="s">
        <v>294</v>
      </c>
    </row>
    <row r="790" spans="1:9" x14ac:dyDescent="0.25">
      <c r="A790">
        <v>70350</v>
      </c>
      <c r="B790" t="s">
        <v>186</v>
      </c>
      <c r="C790" t="s">
        <v>238</v>
      </c>
      <c r="D790">
        <v>4</v>
      </c>
      <c r="E790">
        <v>26146</v>
      </c>
      <c r="F790" t="s">
        <v>279</v>
      </c>
      <c r="G790" t="s">
        <v>35</v>
      </c>
      <c r="H790">
        <v>3150</v>
      </c>
      <c r="I790" t="s">
        <v>295</v>
      </c>
    </row>
    <row r="791" spans="1:9" x14ac:dyDescent="0.25">
      <c r="A791">
        <v>70350</v>
      </c>
      <c r="B791" t="s">
        <v>186</v>
      </c>
      <c r="C791" t="s">
        <v>238</v>
      </c>
      <c r="D791">
        <v>4</v>
      </c>
      <c r="E791">
        <v>26146</v>
      </c>
      <c r="F791" t="s">
        <v>279</v>
      </c>
      <c r="G791" t="s">
        <v>35</v>
      </c>
      <c r="H791">
        <v>2134</v>
      </c>
      <c r="I791" t="s">
        <v>296</v>
      </c>
    </row>
    <row r="792" spans="1:9" x14ac:dyDescent="0.25">
      <c r="A792">
        <v>70350</v>
      </c>
      <c r="B792" t="s">
        <v>186</v>
      </c>
      <c r="C792" t="s">
        <v>238</v>
      </c>
      <c r="D792">
        <v>4</v>
      </c>
      <c r="E792">
        <v>26146</v>
      </c>
      <c r="F792" t="s">
        <v>279</v>
      </c>
      <c r="G792" t="s">
        <v>35</v>
      </c>
      <c r="H792">
        <v>0</v>
      </c>
      <c r="I792" t="s">
        <v>325</v>
      </c>
    </row>
    <row r="793" spans="1:9" x14ac:dyDescent="0.25">
      <c r="A793">
        <v>70350</v>
      </c>
      <c r="B793" t="s">
        <v>186</v>
      </c>
      <c r="C793" t="s">
        <v>238</v>
      </c>
      <c r="D793">
        <v>4</v>
      </c>
      <c r="E793">
        <v>26146</v>
      </c>
      <c r="F793" t="s">
        <v>279</v>
      </c>
      <c r="G793" t="s">
        <v>29</v>
      </c>
      <c r="H793">
        <v>2883</v>
      </c>
      <c r="I793" t="s">
        <v>297</v>
      </c>
    </row>
    <row r="794" spans="1:9" x14ac:dyDescent="0.25">
      <c r="A794">
        <v>70350</v>
      </c>
      <c r="B794" t="s">
        <v>186</v>
      </c>
      <c r="C794" t="s">
        <v>238</v>
      </c>
      <c r="D794">
        <v>4</v>
      </c>
      <c r="E794">
        <v>26146</v>
      </c>
      <c r="F794" t="s">
        <v>279</v>
      </c>
      <c r="G794" t="s">
        <v>36</v>
      </c>
      <c r="H794">
        <v>21794</v>
      </c>
      <c r="I794" t="s">
        <v>298</v>
      </c>
    </row>
    <row r="795" spans="1:9" x14ac:dyDescent="0.25">
      <c r="A795">
        <v>70350</v>
      </c>
      <c r="B795" t="s">
        <v>186</v>
      </c>
      <c r="C795" t="s">
        <v>238</v>
      </c>
      <c r="D795">
        <v>4</v>
      </c>
      <c r="E795">
        <v>26146</v>
      </c>
      <c r="F795" t="s">
        <v>274</v>
      </c>
      <c r="G795" t="s">
        <v>275</v>
      </c>
      <c r="H795">
        <v>25392</v>
      </c>
      <c r="I795" t="s">
        <v>299</v>
      </c>
    </row>
    <row r="796" spans="1:9" x14ac:dyDescent="0.25">
      <c r="A796">
        <v>70350</v>
      </c>
      <c r="B796" t="s">
        <v>186</v>
      </c>
      <c r="C796" t="s">
        <v>238</v>
      </c>
      <c r="D796">
        <v>4</v>
      </c>
      <c r="E796">
        <v>26146</v>
      </c>
      <c r="F796" t="s">
        <v>274</v>
      </c>
      <c r="G796" t="s">
        <v>275</v>
      </c>
      <c r="H796">
        <v>0</v>
      </c>
      <c r="I796" t="s">
        <v>385</v>
      </c>
    </row>
    <row r="797" spans="1:9" x14ac:dyDescent="0.25">
      <c r="A797">
        <v>70350</v>
      </c>
      <c r="B797" t="s">
        <v>186</v>
      </c>
      <c r="C797" t="s">
        <v>238</v>
      </c>
      <c r="D797">
        <v>4</v>
      </c>
      <c r="E797">
        <v>26146</v>
      </c>
      <c r="F797" t="s">
        <v>279</v>
      </c>
      <c r="G797" t="s">
        <v>31</v>
      </c>
      <c r="H797">
        <v>0</v>
      </c>
      <c r="I797" t="s">
        <v>364</v>
      </c>
    </row>
    <row r="798" spans="1:9" x14ac:dyDescent="0.25">
      <c r="A798">
        <v>70350</v>
      </c>
      <c r="B798" t="s">
        <v>186</v>
      </c>
      <c r="C798" t="s">
        <v>238</v>
      </c>
      <c r="D798">
        <v>4</v>
      </c>
      <c r="E798">
        <v>26146</v>
      </c>
      <c r="F798" t="s">
        <v>279</v>
      </c>
      <c r="G798" t="s">
        <v>31</v>
      </c>
      <c r="H798">
        <v>0</v>
      </c>
      <c r="I798" t="s">
        <v>365</v>
      </c>
    </row>
    <row r="799" spans="1:9" x14ac:dyDescent="0.25">
      <c r="A799">
        <v>70350</v>
      </c>
      <c r="B799" t="s">
        <v>186</v>
      </c>
      <c r="C799" t="s">
        <v>238</v>
      </c>
      <c r="D799">
        <v>4</v>
      </c>
      <c r="E799">
        <v>26146</v>
      </c>
      <c r="F799" t="s">
        <v>279</v>
      </c>
      <c r="G799" t="s">
        <v>31</v>
      </c>
      <c r="H799">
        <v>0</v>
      </c>
      <c r="I799" t="s">
        <v>366</v>
      </c>
    </row>
    <row r="800" spans="1:9" x14ac:dyDescent="0.25">
      <c r="A800">
        <v>70350</v>
      </c>
      <c r="B800" t="s">
        <v>186</v>
      </c>
      <c r="C800" t="s">
        <v>238</v>
      </c>
      <c r="D800">
        <v>4</v>
      </c>
      <c r="E800">
        <v>26146</v>
      </c>
      <c r="F800" t="s">
        <v>279</v>
      </c>
      <c r="G800" t="s">
        <v>31</v>
      </c>
      <c r="H800">
        <v>0</v>
      </c>
      <c r="I800" t="s">
        <v>367</v>
      </c>
    </row>
    <row r="801" spans="1:9" x14ac:dyDescent="0.25">
      <c r="A801">
        <v>70350</v>
      </c>
      <c r="B801" t="s">
        <v>186</v>
      </c>
      <c r="C801" t="s">
        <v>238</v>
      </c>
      <c r="D801">
        <v>4</v>
      </c>
      <c r="E801">
        <v>26146</v>
      </c>
      <c r="F801" t="s">
        <v>279</v>
      </c>
      <c r="G801" t="s">
        <v>31</v>
      </c>
      <c r="H801">
        <v>0</v>
      </c>
      <c r="I801" t="s">
        <v>368</v>
      </c>
    </row>
    <row r="802" spans="1:9" x14ac:dyDescent="0.25">
      <c r="A802">
        <v>70350</v>
      </c>
      <c r="B802" t="s">
        <v>186</v>
      </c>
      <c r="C802" t="s">
        <v>238</v>
      </c>
      <c r="D802">
        <v>4</v>
      </c>
      <c r="E802">
        <v>26146</v>
      </c>
      <c r="F802" t="s">
        <v>279</v>
      </c>
      <c r="G802" t="s">
        <v>31</v>
      </c>
      <c r="H802">
        <v>0</v>
      </c>
      <c r="I802" t="s">
        <v>369</v>
      </c>
    </row>
    <row r="803" spans="1:9" x14ac:dyDescent="0.25">
      <c r="A803">
        <v>70350</v>
      </c>
      <c r="B803" t="s">
        <v>186</v>
      </c>
      <c r="C803" t="s">
        <v>238</v>
      </c>
      <c r="D803">
        <v>4</v>
      </c>
      <c r="E803">
        <v>26146</v>
      </c>
      <c r="F803" t="s">
        <v>279</v>
      </c>
      <c r="G803" t="s">
        <v>31</v>
      </c>
      <c r="H803">
        <v>0</v>
      </c>
      <c r="I803" t="s">
        <v>370</v>
      </c>
    </row>
    <row r="804" spans="1:9" x14ac:dyDescent="0.25">
      <c r="A804">
        <v>70350</v>
      </c>
      <c r="B804" t="s">
        <v>186</v>
      </c>
      <c r="C804" t="s">
        <v>238</v>
      </c>
      <c r="D804">
        <v>4</v>
      </c>
      <c r="E804">
        <v>26146</v>
      </c>
      <c r="F804" t="s">
        <v>279</v>
      </c>
      <c r="G804" t="s">
        <v>31</v>
      </c>
      <c r="H804">
        <v>0</v>
      </c>
      <c r="I804" t="s">
        <v>371</v>
      </c>
    </row>
    <row r="805" spans="1:9" x14ac:dyDescent="0.25">
      <c r="A805">
        <v>70352</v>
      </c>
      <c r="B805" t="s">
        <v>188</v>
      </c>
      <c r="C805" t="s">
        <v>238</v>
      </c>
      <c r="D805">
        <v>4</v>
      </c>
      <c r="E805">
        <v>191692</v>
      </c>
      <c r="F805" t="s">
        <v>279</v>
      </c>
      <c r="G805" t="s">
        <v>31</v>
      </c>
      <c r="H805">
        <v>0</v>
      </c>
      <c r="I805" t="s">
        <v>364</v>
      </c>
    </row>
    <row r="806" spans="1:9" x14ac:dyDescent="0.25">
      <c r="A806">
        <v>70352</v>
      </c>
      <c r="B806" t="s">
        <v>188</v>
      </c>
      <c r="C806" t="s">
        <v>238</v>
      </c>
      <c r="D806">
        <v>4</v>
      </c>
      <c r="E806">
        <v>191692</v>
      </c>
      <c r="F806" t="s">
        <v>279</v>
      </c>
      <c r="G806" t="s">
        <v>31</v>
      </c>
      <c r="H806">
        <v>0</v>
      </c>
      <c r="I806" t="s">
        <v>365</v>
      </c>
    </row>
    <row r="807" spans="1:9" x14ac:dyDescent="0.25">
      <c r="A807">
        <v>70352</v>
      </c>
      <c r="B807" t="s">
        <v>188</v>
      </c>
      <c r="C807" t="s">
        <v>238</v>
      </c>
      <c r="D807">
        <v>4</v>
      </c>
      <c r="E807">
        <v>191692</v>
      </c>
      <c r="F807" t="s">
        <v>279</v>
      </c>
      <c r="G807" t="s">
        <v>31</v>
      </c>
      <c r="H807">
        <v>0</v>
      </c>
      <c r="I807" t="s">
        <v>366</v>
      </c>
    </row>
    <row r="808" spans="1:9" x14ac:dyDescent="0.25">
      <c r="A808">
        <v>70352</v>
      </c>
      <c r="B808" t="s">
        <v>188</v>
      </c>
      <c r="C808" t="s">
        <v>238</v>
      </c>
      <c r="D808">
        <v>4</v>
      </c>
      <c r="E808">
        <v>191692</v>
      </c>
      <c r="F808" t="s">
        <v>279</v>
      </c>
      <c r="G808" t="s">
        <v>31</v>
      </c>
      <c r="H808">
        <v>0</v>
      </c>
      <c r="I808" t="s">
        <v>367</v>
      </c>
    </row>
    <row r="809" spans="1:9" x14ac:dyDescent="0.25">
      <c r="A809">
        <v>70352</v>
      </c>
      <c r="B809" t="s">
        <v>188</v>
      </c>
      <c r="C809" t="s">
        <v>238</v>
      </c>
      <c r="D809">
        <v>4</v>
      </c>
      <c r="E809">
        <v>191692</v>
      </c>
      <c r="F809" t="s">
        <v>279</v>
      </c>
      <c r="G809" t="s">
        <v>31</v>
      </c>
      <c r="H809">
        <v>0</v>
      </c>
      <c r="I809" t="s">
        <v>368</v>
      </c>
    </row>
    <row r="810" spans="1:9" x14ac:dyDescent="0.25">
      <c r="A810">
        <v>70352</v>
      </c>
      <c r="B810" t="s">
        <v>188</v>
      </c>
      <c r="C810" t="s">
        <v>238</v>
      </c>
      <c r="D810">
        <v>4</v>
      </c>
      <c r="E810">
        <v>191692</v>
      </c>
      <c r="F810" t="s">
        <v>279</v>
      </c>
      <c r="G810" t="s">
        <v>31</v>
      </c>
      <c r="H810">
        <v>0</v>
      </c>
      <c r="I810" t="s">
        <v>369</v>
      </c>
    </row>
    <row r="811" spans="1:9" x14ac:dyDescent="0.25">
      <c r="A811">
        <v>70352</v>
      </c>
      <c r="B811" t="s">
        <v>188</v>
      </c>
      <c r="C811" t="s">
        <v>238</v>
      </c>
      <c r="D811">
        <v>4</v>
      </c>
      <c r="E811">
        <v>191692</v>
      </c>
      <c r="F811" t="s">
        <v>279</v>
      </c>
      <c r="G811" t="s">
        <v>31</v>
      </c>
      <c r="H811">
        <v>0</v>
      </c>
      <c r="I811" t="s">
        <v>370</v>
      </c>
    </row>
    <row r="812" spans="1:9" x14ac:dyDescent="0.25">
      <c r="A812">
        <v>70352</v>
      </c>
      <c r="B812" t="s">
        <v>188</v>
      </c>
      <c r="C812" t="s">
        <v>238</v>
      </c>
      <c r="D812">
        <v>4</v>
      </c>
      <c r="E812">
        <v>191692</v>
      </c>
      <c r="F812" t="s">
        <v>279</v>
      </c>
      <c r="G812" t="s">
        <v>31</v>
      </c>
      <c r="H812">
        <v>0</v>
      </c>
      <c r="I812" t="s">
        <v>371</v>
      </c>
    </row>
    <row r="813" spans="1:9" x14ac:dyDescent="0.25">
      <c r="A813">
        <v>70352</v>
      </c>
      <c r="B813" t="s">
        <v>188</v>
      </c>
      <c r="C813" t="s">
        <v>238</v>
      </c>
      <c r="D813">
        <v>4</v>
      </c>
      <c r="E813">
        <v>191692</v>
      </c>
      <c r="F813" t="s">
        <v>279</v>
      </c>
      <c r="G813" t="s">
        <v>31</v>
      </c>
      <c r="H813">
        <v>0</v>
      </c>
      <c r="I813" t="s">
        <v>328</v>
      </c>
    </row>
    <row r="814" spans="1:9" x14ac:dyDescent="0.25">
      <c r="A814">
        <v>70352</v>
      </c>
      <c r="B814" t="s">
        <v>188</v>
      </c>
      <c r="C814" t="s">
        <v>238</v>
      </c>
      <c r="D814">
        <v>4</v>
      </c>
      <c r="E814">
        <v>191692</v>
      </c>
      <c r="F814" t="s">
        <v>279</v>
      </c>
      <c r="G814" t="s">
        <v>33</v>
      </c>
      <c r="H814">
        <v>0</v>
      </c>
      <c r="I814" t="s">
        <v>372</v>
      </c>
    </row>
    <row r="815" spans="1:9" x14ac:dyDescent="0.25">
      <c r="A815">
        <v>70352</v>
      </c>
      <c r="B815" t="s">
        <v>188</v>
      </c>
      <c r="C815" t="s">
        <v>238</v>
      </c>
      <c r="D815">
        <v>4</v>
      </c>
      <c r="E815">
        <v>191692</v>
      </c>
      <c r="F815" t="s">
        <v>279</v>
      </c>
      <c r="G815" t="s">
        <v>33</v>
      </c>
      <c r="H815">
        <v>0</v>
      </c>
      <c r="I815" t="s">
        <v>329</v>
      </c>
    </row>
    <row r="816" spans="1:9" x14ac:dyDescent="0.25">
      <c r="A816">
        <v>70352</v>
      </c>
      <c r="B816" t="s">
        <v>188</v>
      </c>
      <c r="C816" t="s">
        <v>238</v>
      </c>
      <c r="D816">
        <v>4</v>
      </c>
      <c r="E816">
        <v>191692</v>
      </c>
      <c r="F816" t="s">
        <v>279</v>
      </c>
      <c r="G816" t="s">
        <v>33</v>
      </c>
      <c r="H816">
        <v>0</v>
      </c>
      <c r="I816" t="s">
        <v>319</v>
      </c>
    </row>
    <row r="817" spans="1:9" x14ac:dyDescent="0.25">
      <c r="A817">
        <v>70352</v>
      </c>
      <c r="B817" t="s">
        <v>188</v>
      </c>
      <c r="C817" t="s">
        <v>238</v>
      </c>
      <c r="D817">
        <v>4</v>
      </c>
      <c r="E817">
        <v>191692</v>
      </c>
      <c r="F817" t="s">
        <v>279</v>
      </c>
      <c r="G817" t="s">
        <v>33</v>
      </c>
      <c r="H817">
        <v>0</v>
      </c>
      <c r="I817" t="s">
        <v>373</v>
      </c>
    </row>
    <row r="818" spans="1:9" x14ac:dyDescent="0.25">
      <c r="A818">
        <v>70352</v>
      </c>
      <c r="B818" t="s">
        <v>188</v>
      </c>
      <c r="C818" t="s">
        <v>238</v>
      </c>
      <c r="D818">
        <v>4</v>
      </c>
      <c r="E818">
        <v>191692</v>
      </c>
      <c r="F818" t="s">
        <v>279</v>
      </c>
      <c r="G818" t="s">
        <v>33</v>
      </c>
      <c r="H818">
        <v>0</v>
      </c>
      <c r="I818" t="s">
        <v>374</v>
      </c>
    </row>
    <row r="819" spans="1:9" x14ac:dyDescent="0.25">
      <c r="A819">
        <v>70352</v>
      </c>
      <c r="B819" t="s">
        <v>188</v>
      </c>
      <c r="C819" t="s">
        <v>238</v>
      </c>
      <c r="D819">
        <v>4</v>
      </c>
      <c r="E819">
        <v>191692</v>
      </c>
      <c r="F819" t="s">
        <v>279</v>
      </c>
      <c r="G819" t="s">
        <v>33</v>
      </c>
      <c r="H819">
        <v>0</v>
      </c>
      <c r="I819" t="s">
        <v>326</v>
      </c>
    </row>
    <row r="820" spans="1:9" x14ac:dyDescent="0.25">
      <c r="A820">
        <v>70352</v>
      </c>
      <c r="B820" t="s">
        <v>188</v>
      </c>
      <c r="C820" t="s">
        <v>238</v>
      </c>
      <c r="D820">
        <v>4</v>
      </c>
      <c r="E820">
        <v>191692</v>
      </c>
      <c r="F820" t="s">
        <v>279</v>
      </c>
      <c r="G820" t="s">
        <v>33</v>
      </c>
      <c r="H820">
        <v>0</v>
      </c>
      <c r="I820" t="s">
        <v>375</v>
      </c>
    </row>
    <row r="821" spans="1:9" x14ac:dyDescent="0.25">
      <c r="A821">
        <v>70352</v>
      </c>
      <c r="B821" t="s">
        <v>188</v>
      </c>
      <c r="C821" t="s">
        <v>238</v>
      </c>
      <c r="D821">
        <v>4</v>
      </c>
      <c r="E821">
        <v>191692</v>
      </c>
      <c r="F821" t="s">
        <v>279</v>
      </c>
      <c r="G821" t="s">
        <v>33</v>
      </c>
      <c r="H821">
        <v>0</v>
      </c>
      <c r="I821" t="s">
        <v>376</v>
      </c>
    </row>
    <row r="822" spans="1:9" x14ac:dyDescent="0.25">
      <c r="A822">
        <v>70352</v>
      </c>
      <c r="B822" t="s">
        <v>188</v>
      </c>
      <c r="C822" t="s">
        <v>238</v>
      </c>
      <c r="D822">
        <v>4</v>
      </c>
      <c r="E822">
        <v>191692</v>
      </c>
      <c r="F822" t="s">
        <v>279</v>
      </c>
      <c r="G822" t="s">
        <v>33</v>
      </c>
      <c r="H822">
        <v>0</v>
      </c>
      <c r="I822" t="s">
        <v>377</v>
      </c>
    </row>
    <row r="823" spans="1:9" x14ac:dyDescent="0.25">
      <c r="A823">
        <v>70352</v>
      </c>
      <c r="B823" t="s">
        <v>188</v>
      </c>
      <c r="C823" t="s">
        <v>238</v>
      </c>
      <c r="D823">
        <v>4</v>
      </c>
      <c r="E823">
        <v>191692</v>
      </c>
      <c r="F823" t="s">
        <v>274</v>
      </c>
      <c r="G823" t="s">
        <v>275</v>
      </c>
      <c r="H823">
        <v>589288</v>
      </c>
      <c r="I823" t="s">
        <v>318</v>
      </c>
    </row>
    <row r="824" spans="1:9" x14ac:dyDescent="0.25">
      <c r="A824">
        <v>70352</v>
      </c>
      <c r="B824" t="s">
        <v>188</v>
      </c>
      <c r="C824" t="s">
        <v>238</v>
      </c>
      <c r="D824">
        <v>4</v>
      </c>
      <c r="E824">
        <v>191692</v>
      </c>
      <c r="F824" t="s">
        <v>274</v>
      </c>
      <c r="G824" t="s">
        <v>300</v>
      </c>
      <c r="H824">
        <v>16173</v>
      </c>
      <c r="I824" t="s">
        <v>301</v>
      </c>
    </row>
    <row r="825" spans="1:9" x14ac:dyDescent="0.25">
      <c r="A825">
        <v>70352</v>
      </c>
      <c r="B825" t="s">
        <v>188</v>
      </c>
      <c r="C825" t="s">
        <v>238</v>
      </c>
      <c r="D825">
        <v>4</v>
      </c>
      <c r="E825">
        <v>191692</v>
      </c>
      <c r="F825" t="s">
        <v>274</v>
      </c>
      <c r="G825" t="s">
        <v>275</v>
      </c>
      <c r="H825">
        <v>-39868</v>
      </c>
      <c r="I825" t="s">
        <v>302</v>
      </c>
    </row>
    <row r="826" spans="1:9" x14ac:dyDescent="0.25">
      <c r="A826">
        <v>70352</v>
      </c>
      <c r="B826" t="s">
        <v>188</v>
      </c>
      <c r="C826" t="s">
        <v>238</v>
      </c>
      <c r="D826">
        <v>4</v>
      </c>
      <c r="E826">
        <v>191692</v>
      </c>
      <c r="F826" t="s">
        <v>279</v>
      </c>
      <c r="G826" t="s">
        <v>30</v>
      </c>
      <c r="H826">
        <v>91095</v>
      </c>
      <c r="I826" t="s">
        <v>303</v>
      </c>
    </row>
    <row r="827" spans="1:9" x14ac:dyDescent="0.25">
      <c r="A827">
        <v>70352</v>
      </c>
      <c r="B827" t="s">
        <v>188</v>
      </c>
      <c r="C827" t="s">
        <v>238</v>
      </c>
      <c r="D827">
        <v>4</v>
      </c>
      <c r="E827">
        <v>191692</v>
      </c>
      <c r="F827" t="s">
        <v>279</v>
      </c>
      <c r="G827" t="s">
        <v>35</v>
      </c>
      <c r="H827">
        <v>9549</v>
      </c>
      <c r="I827" t="s">
        <v>304</v>
      </c>
    </row>
    <row r="828" spans="1:9" x14ac:dyDescent="0.25">
      <c r="A828">
        <v>70352</v>
      </c>
      <c r="B828" t="s">
        <v>188</v>
      </c>
      <c r="C828" t="s">
        <v>238</v>
      </c>
      <c r="D828">
        <v>4</v>
      </c>
      <c r="E828">
        <v>191692</v>
      </c>
      <c r="F828" t="s">
        <v>279</v>
      </c>
      <c r="G828" t="s">
        <v>31</v>
      </c>
      <c r="H828">
        <v>88792</v>
      </c>
      <c r="I828" t="s">
        <v>305</v>
      </c>
    </row>
    <row r="829" spans="1:9" x14ac:dyDescent="0.25">
      <c r="A829">
        <v>70352</v>
      </c>
      <c r="B829" t="s">
        <v>188</v>
      </c>
      <c r="C829" t="s">
        <v>238</v>
      </c>
      <c r="D829">
        <v>4</v>
      </c>
      <c r="E829">
        <v>191692</v>
      </c>
      <c r="F829" t="s">
        <v>279</v>
      </c>
      <c r="G829" t="s">
        <v>33</v>
      </c>
      <c r="H829">
        <v>0</v>
      </c>
      <c r="I829" t="s">
        <v>320</v>
      </c>
    </row>
    <row r="830" spans="1:9" x14ac:dyDescent="0.25">
      <c r="A830">
        <v>70352</v>
      </c>
      <c r="B830" t="s">
        <v>188</v>
      </c>
      <c r="C830" t="s">
        <v>238</v>
      </c>
      <c r="D830">
        <v>4</v>
      </c>
      <c r="E830">
        <v>191692</v>
      </c>
      <c r="F830" t="s">
        <v>279</v>
      </c>
      <c r="G830" t="s">
        <v>33</v>
      </c>
      <c r="H830">
        <v>0</v>
      </c>
      <c r="I830" t="s">
        <v>306</v>
      </c>
    </row>
    <row r="831" spans="1:9" x14ac:dyDescent="0.25">
      <c r="A831">
        <v>70352</v>
      </c>
      <c r="B831" t="s">
        <v>188</v>
      </c>
      <c r="C831" t="s">
        <v>238</v>
      </c>
      <c r="D831">
        <v>4</v>
      </c>
      <c r="E831">
        <v>191692</v>
      </c>
      <c r="F831" t="s">
        <v>279</v>
      </c>
      <c r="G831" t="s">
        <v>33</v>
      </c>
      <c r="H831">
        <v>0</v>
      </c>
      <c r="I831" t="s">
        <v>378</v>
      </c>
    </row>
    <row r="832" spans="1:9" x14ac:dyDescent="0.25">
      <c r="A832">
        <v>70352</v>
      </c>
      <c r="B832" t="s">
        <v>188</v>
      </c>
      <c r="C832" t="s">
        <v>238</v>
      </c>
      <c r="D832">
        <v>4</v>
      </c>
      <c r="E832">
        <v>191692</v>
      </c>
      <c r="F832" t="s">
        <v>279</v>
      </c>
      <c r="G832" t="s">
        <v>31</v>
      </c>
      <c r="H832">
        <v>6356</v>
      </c>
      <c r="I832" t="s">
        <v>307</v>
      </c>
    </row>
    <row r="833" spans="1:9" x14ac:dyDescent="0.25">
      <c r="A833">
        <v>70352</v>
      </c>
      <c r="B833" t="s">
        <v>188</v>
      </c>
      <c r="C833" t="s">
        <v>238</v>
      </c>
      <c r="D833">
        <v>4</v>
      </c>
      <c r="E833">
        <v>191692</v>
      </c>
      <c r="F833" t="s">
        <v>279</v>
      </c>
      <c r="G833" t="s">
        <v>31</v>
      </c>
      <c r="H833">
        <v>0</v>
      </c>
      <c r="I833" t="s">
        <v>379</v>
      </c>
    </row>
    <row r="834" spans="1:9" x14ac:dyDescent="0.25">
      <c r="A834">
        <v>70352</v>
      </c>
      <c r="B834" t="s">
        <v>188</v>
      </c>
      <c r="C834" t="s">
        <v>238</v>
      </c>
      <c r="D834">
        <v>4</v>
      </c>
      <c r="E834">
        <v>191692</v>
      </c>
      <c r="F834" t="s">
        <v>279</v>
      </c>
      <c r="G834" t="s">
        <v>30</v>
      </c>
      <c r="H834">
        <v>4418</v>
      </c>
      <c r="I834" t="s">
        <v>308</v>
      </c>
    </row>
    <row r="835" spans="1:9" x14ac:dyDescent="0.25">
      <c r="A835">
        <v>70352</v>
      </c>
      <c r="B835" t="s">
        <v>188</v>
      </c>
      <c r="C835" t="s">
        <v>238</v>
      </c>
      <c r="D835">
        <v>4</v>
      </c>
      <c r="E835">
        <v>191692</v>
      </c>
      <c r="F835" t="s">
        <v>279</v>
      </c>
      <c r="G835" t="s">
        <v>35</v>
      </c>
      <c r="H835">
        <v>9782</v>
      </c>
      <c r="I835" t="s">
        <v>321</v>
      </c>
    </row>
    <row r="836" spans="1:9" x14ac:dyDescent="0.25">
      <c r="A836">
        <v>70352</v>
      </c>
      <c r="B836" t="s">
        <v>188</v>
      </c>
      <c r="C836" t="s">
        <v>238</v>
      </c>
      <c r="D836">
        <v>4</v>
      </c>
      <c r="E836">
        <v>191692</v>
      </c>
      <c r="F836" t="s">
        <v>279</v>
      </c>
      <c r="G836" t="s">
        <v>33</v>
      </c>
      <c r="H836">
        <v>0</v>
      </c>
      <c r="I836" t="s">
        <v>380</v>
      </c>
    </row>
    <row r="837" spans="1:9" x14ac:dyDescent="0.25">
      <c r="A837">
        <v>70352</v>
      </c>
      <c r="B837" t="s">
        <v>188</v>
      </c>
      <c r="C837" t="s">
        <v>238</v>
      </c>
      <c r="D837">
        <v>4</v>
      </c>
      <c r="E837">
        <v>191692</v>
      </c>
      <c r="F837" t="s">
        <v>279</v>
      </c>
      <c r="G837" t="s">
        <v>35</v>
      </c>
      <c r="H837">
        <v>582</v>
      </c>
      <c r="I837" t="s">
        <v>309</v>
      </c>
    </row>
    <row r="838" spans="1:9" x14ac:dyDescent="0.25">
      <c r="A838">
        <v>70352</v>
      </c>
      <c r="B838" t="s">
        <v>188</v>
      </c>
      <c r="C838" t="s">
        <v>238</v>
      </c>
      <c r="D838">
        <v>4</v>
      </c>
      <c r="E838">
        <v>191692</v>
      </c>
      <c r="F838" t="s">
        <v>279</v>
      </c>
      <c r="G838" t="s">
        <v>35</v>
      </c>
      <c r="H838">
        <v>2445</v>
      </c>
      <c r="I838" t="s">
        <v>310</v>
      </c>
    </row>
    <row r="839" spans="1:9" x14ac:dyDescent="0.25">
      <c r="A839">
        <v>70352</v>
      </c>
      <c r="B839" t="s">
        <v>188</v>
      </c>
      <c r="C839" t="s">
        <v>238</v>
      </c>
      <c r="D839">
        <v>4</v>
      </c>
      <c r="E839">
        <v>191692</v>
      </c>
      <c r="F839" t="s">
        <v>279</v>
      </c>
      <c r="G839" t="s">
        <v>35</v>
      </c>
      <c r="H839">
        <v>15813</v>
      </c>
      <c r="I839" t="s">
        <v>311</v>
      </c>
    </row>
    <row r="840" spans="1:9" x14ac:dyDescent="0.25">
      <c r="A840">
        <v>70352</v>
      </c>
      <c r="B840" t="s">
        <v>188</v>
      </c>
      <c r="C840" t="s">
        <v>238</v>
      </c>
      <c r="D840">
        <v>4</v>
      </c>
      <c r="E840">
        <v>191692</v>
      </c>
      <c r="F840" t="s">
        <v>279</v>
      </c>
      <c r="G840" t="s">
        <v>35</v>
      </c>
      <c r="H840">
        <v>86</v>
      </c>
      <c r="I840" t="s">
        <v>312</v>
      </c>
    </row>
    <row r="841" spans="1:9" x14ac:dyDescent="0.25">
      <c r="A841">
        <v>70352</v>
      </c>
      <c r="B841" t="s">
        <v>188</v>
      </c>
      <c r="C841" t="s">
        <v>238</v>
      </c>
      <c r="D841">
        <v>4</v>
      </c>
      <c r="E841">
        <v>191692</v>
      </c>
      <c r="F841" t="s">
        <v>279</v>
      </c>
      <c r="G841" t="s">
        <v>35</v>
      </c>
      <c r="H841">
        <v>3018</v>
      </c>
      <c r="I841" t="s">
        <v>313</v>
      </c>
    </row>
    <row r="842" spans="1:9" x14ac:dyDescent="0.25">
      <c r="A842">
        <v>70352</v>
      </c>
      <c r="B842" t="s">
        <v>188</v>
      </c>
      <c r="C842" t="s">
        <v>238</v>
      </c>
      <c r="D842">
        <v>4</v>
      </c>
      <c r="E842">
        <v>191692</v>
      </c>
      <c r="F842" t="s">
        <v>279</v>
      </c>
      <c r="G842" t="s">
        <v>37</v>
      </c>
      <c r="H842">
        <v>0</v>
      </c>
      <c r="I842" t="s">
        <v>381</v>
      </c>
    </row>
    <row r="843" spans="1:9" x14ac:dyDescent="0.25">
      <c r="A843">
        <v>70352</v>
      </c>
      <c r="B843" t="s">
        <v>188</v>
      </c>
      <c r="C843" t="s">
        <v>238</v>
      </c>
      <c r="D843">
        <v>4</v>
      </c>
      <c r="E843">
        <v>191692</v>
      </c>
      <c r="F843" t="s">
        <v>279</v>
      </c>
      <c r="G843" t="s">
        <v>37</v>
      </c>
      <c r="H843">
        <v>12313</v>
      </c>
      <c r="I843" t="s">
        <v>314</v>
      </c>
    </row>
    <row r="844" spans="1:9" x14ac:dyDescent="0.25">
      <c r="A844">
        <v>70352</v>
      </c>
      <c r="B844" t="s">
        <v>188</v>
      </c>
      <c r="C844" t="s">
        <v>238</v>
      </c>
      <c r="D844">
        <v>4</v>
      </c>
      <c r="E844">
        <v>191692</v>
      </c>
      <c r="F844" t="s">
        <v>279</v>
      </c>
      <c r="G844" t="s">
        <v>35</v>
      </c>
      <c r="H844">
        <v>4154</v>
      </c>
      <c r="I844" t="s">
        <v>315</v>
      </c>
    </row>
    <row r="845" spans="1:9" x14ac:dyDescent="0.25">
      <c r="A845">
        <v>70352</v>
      </c>
      <c r="B845" t="s">
        <v>188</v>
      </c>
      <c r="C845" t="s">
        <v>238</v>
      </c>
      <c r="D845">
        <v>4</v>
      </c>
      <c r="E845">
        <v>191692</v>
      </c>
      <c r="F845" t="s">
        <v>279</v>
      </c>
      <c r="G845" t="s">
        <v>37</v>
      </c>
      <c r="H845">
        <v>0</v>
      </c>
      <c r="I845" t="s">
        <v>323</v>
      </c>
    </row>
    <row r="846" spans="1:9" x14ac:dyDescent="0.25">
      <c r="A846">
        <v>70352</v>
      </c>
      <c r="B846" t="s">
        <v>188</v>
      </c>
      <c r="C846" t="s">
        <v>238</v>
      </c>
      <c r="D846">
        <v>4</v>
      </c>
      <c r="E846">
        <v>191692</v>
      </c>
      <c r="F846" t="s">
        <v>279</v>
      </c>
      <c r="G846" t="s">
        <v>37</v>
      </c>
      <c r="H846">
        <v>77</v>
      </c>
      <c r="I846" t="s">
        <v>322</v>
      </c>
    </row>
    <row r="847" spans="1:9" x14ac:dyDescent="0.25">
      <c r="A847">
        <v>70352</v>
      </c>
      <c r="B847" t="s">
        <v>188</v>
      </c>
      <c r="C847" t="s">
        <v>238</v>
      </c>
      <c r="D847">
        <v>4</v>
      </c>
      <c r="E847">
        <v>191692</v>
      </c>
      <c r="F847" t="s">
        <v>279</v>
      </c>
      <c r="G847" t="s">
        <v>37</v>
      </c>
      <c r="H847">
        <v>0</v>
      </c>
      <c r="I847" t="s">
        <v>382</v>
      </c>
    </row>
    <row r="848" spans="1:9" x14ac:dyDescent="0.25">
      <c r="A848">
        <v>70352</v>
      </c>
      <c r="B848" t="s">
        <v>188</v>
      </c>
      <c r="C848" t="s">
        <v>238</v>
      </c>
      <c r="D848">
        <v>4</v>
      </c>
      <c r="E848">
        <v>191692</v>
      </c>
      <c r="F848" t="s">
        <v>279</v>
      </c>
      <c r="G848" t="s">
        <v>37</v>
      </c>
      <c r="H848">
        <v>16699</v>
      </c>
      <c r="I848" t="s">
        <v>316</v>
      </c>
    </row>
    <row r="849" spans="1:9" x14ac:dyDescent="0.25">
      <c r="A849">
        <v>70352</v>
      </c>
      <c r="B849" t="s">
        <v>188</v>
      </c>
      <c r="C849" t="s">
        <v>238</v>
      </c>
      <c r="D849">
        <v>4</v>
      </c>
      <c r="E849">
        <v>191692</v>
      </c>
      <c r="F849" t="s">
        <v>279</v>
      </c>
      <c r="G849" t="s">
        <v>36</v>
      </c>
      <c r="H849">
        <v>44477</v>
      </c>
      <c r="I849" t="s">
        <v>317</v>
      </c>
    </row>
    <row r="850" spans="1:9" x14ac:dyDescent="0.25">
      <c r="A850">
        <v>70352</v>
      </c>
      <c r="B850" t="s">
        <v>188</v>
      </c>
      <c r="C850" t="s">
        <v>238</v>
      </c>
      <c r="D850">
        <v>4</v>
      </c>
      <c r="E850">
        <v>191692</v>
      </c>
      <c r="F850" t="s">
        <v>274</v>
      </c>
      <c r="G850" t="s">
        <v>275</v>
      </c>
      <c r="H850">
        <v>0</v>
      </c>
      <c r="I850" t="s">
        <v>276</v>
      </c>
    </row>
    <row r="851" spans="1:9" x14ac:dyDescent="0.25">
      <c r="A851">
        <v>70352</v>
      </c>
      <c r="B851" t="s">
        <v>188</v>
      </c>
      <c r="C851" t="s">
        <v>238</v>
      </c>
      <c r="D851">
        <v>4</v>
      </c>
      <c r="E851">
        <v>191692</v>
      </c>
      <c r="F851" t="s">
        <v>279</v>
      </c>
      <c r="G851" t="s">
        <v>29</v>
      </c>
      <c r="H851">
        <v>0</v>
      </c>
      <c r="I851" t="s">
        <v>324</v>
      </c>
    </row>
    <row r="852" spans="1:9" x14ac:dyDescent="0.25">
      <c r="A852">
        <v>70352</v>
      </c>
      <c r="B852" t="s">
        <v>188</v>
      </c>
      <c r="C852" t="s">
        <v>238</v>
      </c>
      <c r="D852">
        <v>4</v>
      </c>
      <c r="E852">
        <v>191692</v>
      </c>
      <c r="F852" t="s">
        <v>274</v>
      </c>
      <c r="G852" t="s">
        <v>277</v>
      </c>
      <c r="H852">
        <v>0</v>
      </c>
      <c r="I852" t="s">
        <v>278</v>
      </c>
    </row>
    <row r="853" spans="1:9" x14ac:dyDescent="0.25">
      <c r="A853">
        <v>70352</v>
      </c>
      <c r="B853" t="s">
        <v>188</v>
      </c>
      <c r="C853" t="s">
        <v>238</v>
      </c>
      <c r="D853">
        <v>4</v>
      </c>
      <c r="E853">
        <v>191692</v>
      </c>
      <c r="F853" t="s">
        <v>274</v>
      </c>
      <c r="G853" t="s">
        <v>300</v>
      </c>
      <c r="H853">
        <v>212476</v>
      </c>
      <c r="I853" t="s">
        <v>383</v>
      </c>
    </row>
    <row r="854" spans="1:9" x14ac:dyDescent="0.25">
      <c r="A854">
        <v>70352</v>
      </c>
      <c r="B854" t="s">
        <v>188</v>
      </c>
      <c r="C854" t="s">
        <v>238</v>
      </c>
      <c r="D854">
        <v>4</v>
      </c>
      <c r="E854">
        <v>191692</v>
      </c>
      <c r="F854" t="s">
        <v>279</v>
      </c>
      <c r="G854" t="s">
        <v>33</v>
      </c>
      <c r="H854">
        <v>32356</v>
      </c>
      <c r="I854" t="s">
        <v>280</v>
      </c>
    </row>
    <row r="855" spans="1:9" x14ac:dyDescent="0.25">
      <c r="A855">
        <v>70352</v>
      </c>
      <c r="B855" t="s">
        <v>188</v>
      </c>
      <c r="C855" t="s">
        <v>238</v>
      </c>
      <c r="D855">
        <v>4</v>
      </c>
      <c r="E855">
        <v>191692</v>
      </c>
      <c r="F855" t="s">
        <v>279</v>
      </c>
      <c r="G855" t="s">
        <v>29</v>
      </c>
      <c r="H855">
        <v>567</v>
      </c>
      <c r="I855" t="s">
        <v>281</v>
      </c>
    </row>
    <row r="856" spans="1:9" x14ac:dyDescent="0.25">
      <c r="A856">
        <v>70352</v>
      </c>
      <c r="B856" t="s">
        <v>188</v>
      </c>
      <c r="C856" t="s">
        <v>238</v>
      </c>
      <c r="D856">
        <v>4</v>
      </c>
      <c r="E856">
        <v>191692</v>
      </c>
      <c r="F856" t="s">
        <v>279</v>
      </c>
      <c r="G856" t="s">
        <v>29</v>
      </c>
      <c r="H856">
        <v>34109</v>
      </c>
      <c r="I856" t="s">
        <v>282</v>
      </c>
    </row>
    <row r="857" spans="1:9" x14ac:dyDescent="0.25">
      <c r="A857">
        <v>70352</v>
      </c>
      <c r="B857" t="s">
        <v>188</v>
      </c>
      <c r="C857" t="s">
        <v>238</v>
      </c>
      <c r="D857">
        <v>4</v>
      </c>
      <c r="E857">
        <v>191692</v>
      </c>
      <c r="F857" t="s">
        <v>279</v>
      </c>
      <c r="G857" t="s">
        <v>35</v>
      </c>
      <c r="H857">
        <v>31093</v>
      </c>
      <c r="I857" t="s">
        <v>283</v>
      </c>
    </row>
    <row r="858" spans="1:9" x14ac:dyDescent="0.25">
      <c r="A858">
        <v>70352</v>
      </c>
      <c r="B858" t="s">
        <v>188</v>
      </c>
      <c r="C858" t="s">
        <v>238</v>
      </c>
      <c r="D858">
        <v>4</v>
      </c>
      <c r="E858">
        <v>191692</v>
      </c>
      <c r="F858" t="s">
        <v>279</v>
      </c>
      <c r="G858" t="s">
        <v>29</v>
      </c>
      <c r="H858">
        <v>2989</v>
      </c>
      <c r="I858" t="s">
        <v>284</v>
      </c>
    </row>
    <row r="859" spans="1:9" x14ac:dyDescent="0.25">
      <c r="A859">
        <v>70352</v>
      </c>
      <c r="B859" t="s">
        <v>188</v>
      </c>
      <c r="C859" t="s">
        <v>238</v>
      </c>
      <c r="D859">
        <v>4</v>
      </c>
      <c r="E859">
        <v>191692</v>
      </c>
      <c r="F859" t="s">
        <v>279</v>
      </c>
      <c r="G859" t="s">
        <v>29</v>
      </c>
      <c r="H859">
        <v>14572</v>
      </c>
      <c r="I859" t="s">
        <v>285</v>
      </c>
    </row>
    <row r="860" spans="1:9" x14ac:dyDescent="0.25">
      <c r="A860">
        <v>70352</v>
      </c>
      <c r="B860" t="s">
        <v>188</v>
      </c>
      <c r="C860" t="s">
        <v>238</v>
      </c>
      <c r="D860">
        <v>4</v>
      </c>
      <c r="E860">
        <v>191692</v>
      </c>
      <c r="F860" t="s">
        <v>279</v>
      </c>
      <c r="G860" t="s">
        <v>29</v>
      </c>
      <c r="H860">
        <v>11507</v>
      </c>
      <c r="I860" t="s">
        <v>286</v>
      </c>
    </row>
    <row r="861" spans="1:9" x14ac:dyDescent="0.25">
      <c r="A861">
        <v>70352</v>
      </c>
      <c r="B861" t="s">
        <v>188</v>
      </c>
      <c r="C861" t="s">
        <v>238</v>
      </c>
      <c r="D861">
        <v>4</v>
      </c>
      <c r="E861">
        <v>191692</v>
      </c>
      <c r="F861" t="s">
        <v>279</v>
      </c>
      <c r="G861" t="s">
        <v>29</v>
      </c>
      <c r="H861">
        <v>0</v>
      </c>
      <c r="I861" t="s">
        <v>327</v>
      </c>
    </row>
    <row r="862" spans="1:9" x14ac:dyDescent="0.25">
      <c r="A862">
        <v>70352</v>
      </c>
      <c r="B862" t="s">
        <v>188</v>
      </c>
      <c r="C862" t="s">
        <v>238</v>
      </c>
      <c r="D862">
        <v>4</v>
      </c>
      <c r="E862">
        <v>191692</v>
      </c>
      <c r="F862" t="s">
        <v>279</v>
      </c>
      <c r="G862" t="s">
        <v>34</v>
      </c>
      <c r="H862">
        <v>9554</v>
      </c>
      <c r="I862" t="s">
        <v>287</v>
      </c>
    </row>
    <row r="863" spans="1:9" x14ac:dyDescent="0.25">
      <c r="A863">
        <v>70352</v>
      </c>
      <c r="B863" t="s">
        <v>188</v>
      </c>
      <c r="C863" t="s">
        <v>238</v>
      </c>
      <c r="D863">
        <v>4</v>
      </c>
      <c r="E863">
        <v>191692</v>
      </c>
      <c r="F863" t="s">
        <v>279</v>
      </c>
      <c r="G863" t="s">
        <v>29</v>
      </c>
      <c r="H863">
        <v>31687</v>
      </c>
      <c r="I863" t="s">
        <v>288</v>
      </c>
    </row>
    <row r="864" spans="1:9" x14ac:dyDescent="0.25">
      <c r="A864">
        <v>70352</v>
      </c>
      <c r="B864" t="s">
        <v>188</v>
      </c>
      <c r="C864" t="s">
        <v>238</v>
      </c>
      <c r="D864">
        <v>4</v>
      </c>
      <c r="E864">
        <v>191692</v>
      </c>
      <c r="F864" t="s">
        <v>279</v>
      </c>
      <c r="G864" t="s">
        <v>34</v>
      </c>
      <c r="H864">
        <v>10700</v>
      </c>
      <c r="I864" t="s">
        <v>289</v>
      </c>
    </row>
    <row r="865" spans="1:9" x14ac:dyDescent="0.25">
      <c r="A865">
        <v>70352</v>
      </c>
      <c r="B865" t="s">
        <v>188</v>
      </c>
      <c r="C865" t="s">
        <v>238</v>
      </c>
      <c r="D865">
        <v>4</v>
      </c>
      <c r="E865">
        <v>191692</v>
      </c>
      <c r="F865" t="s">
        <v>279</v>
      </c>
      <c r="G865" t="s">
        <v>29</v>
      </c>
      <c r="H865">
        <v>5846</v>
      </c>
      <c r="I865" t="s">
        <v>290</v>
      </c>
    </row>
    <row r="866" spans="1:9" x14ac:dyDescent="0.25">
      <c r="A866">
        <v>70352</v>
      </c>
      <c r="B866" t="s">
        <v>188</v>
      </c>
      <c r="C866" t="s">
        <v>238</v>
      </c>
      <c r="D866">
        <v>4</v>
      </c>
      <c r="E866">
        <v>191692</v>
      </c>
      <c r="F866" t="s">
        <v>279</v>
      </c>
      <c r="G866" t="s">
        <v>32</v>
      </c>
      <c r="H866">
        <v>44771</v>
      </c>
      <c r="I866" t="s">
        <v>291</v>
      </c>
    </row>
    <row r="867" spans="1:9" x14ac:dyDescent="0.25">
      <c r="A867">
        <v>70352</v>
      </c>
      <c r="B867" t="s">
        <v>188</v>
      </c>
      <c r="C867" t="s">
        <v>238</v>
      </c>
      <c r="D867">
        <v>4</v>
      </c>
      <c r="E867">
        <v>191692</v>
      </c>
      <c r="F867" t="s">
        <v>279</v>
      </c>
      <c r="G867" t="s">
        <v>29</v>
      </c>
      <c r="H867">
        <v>7357</v>
      </c>
      <c r="I867" t="s">
        <v>292</v>
      </c>
    </row>
    <row r="868" spans="1:9" x14ac:dyDescent="0.25">
      <c r="A868">
        <v>70352</v>
      </c>
      <c r="B868" t="s">
        <v>188</v>
      </c>
      <c r="C868" t="s">
        <v>238</v>
      </c>
      <c r="D868">
        <v>4</v>
      </c>
      <c r="E868">
        <v>191692</v>
      </c>
      <c r="F868" t="s">
        <v>279</v>
      </c>
      <c r="G868" t="s">
        <v>29</v>
      </c>
      <c r="H868">
        <v>0</v>
      </c>
      <c r="I868" t="s">
        <v>384</v>
      </c>
    </row>
    <row r="869" spans="1:9" x14ac:dyDescent="0.25">
      <c r="A869">
        <v>70352</v>
      </c>
      <c r="B869" t="s">
        <v>188</v>
      </c>
      <c r="C869" t="s">
        <v>238</v>
      </c>
      <c r="D869">
        <v>4</v>
      </c>
      <c r="E869">
        <v>191692</v>
      </c>
      <c r="F869" t="s">
        <v>279</v>
      </c>
      <c r="G869" t="s">
        <v>35</v>
      </c>
      <c r="H869">
        <v>0</v>
      </c>
      <c r="I869" t="s">
        <v>293</v>
      </c>
    </row>
    <row r="870" spans="1:9" x14ac:dyDescent="0.25">
      <c r="A870">
        <v>70352</v>
      </c>
      <c r="B870" t="s">
        <v>188</v>
      </c>
      <c r="C870" t="s">
        <v>238</v>
      </c>
      <c r="D870">
        <v>4</v>
      </c>
      <c r="E870">
        <v>191692</v>
      </c>
      <c r="F870" t="s">
        <v>279</v>
      </c>
      <c r="G870" t="s">
        <v>35</v>
      </c>
      <c r="H870">
        <v>1420</v>
      </c>
      <c r="I870" t="s">
        <v>294</v>
      </c>
    </row>
    <row r="871" spans="1:9" x14ac:dyDescent="0.25">
      <c r="A871">
        <v>70352</v>
      </c>
      <c r="B871" t="s">
        <v>188</v>
      </c>
      <c r="C871" t="s">
        <v>238</v>
      </c>
      <c r="D871">
        <v>4</v>
      </c>
      <c r="E871">
        <v>191692</v>
      </c>
      <c r="F871" t="s">
        <v>279</v>
      </c>
      <c r="G871" t="s">
        <v>35</v>
      </c>
      <c r="H871">
        <v>4027</v>
      </c>
      <c r="I871" t="s">
        <v>295</v>
      </c>
    </row>
    <row r="872" spans="1:9" x14ac:dyDescent="0.25">
      <c r="A872">
        <v>70352</v>
      </c>
      <c r="B872" t="s">
        <v>188</v>
      </c>
      <c r="C872" t="s">
        <v>238</v>
      </c>
      <c r="D872">
        <v>4</v>
      </c>
      <c r="E872">
        <v>191692</v>
      </c>
      <c r="F872" t="s">
        <v>279</v>
      </c>
      <c r="G872" t="s">
        <v>35</v>
      </c>
      <c r="H872">
        <v>4683</v>
      </c>
      <c r="I872" t="s">
        <v>296</v>
      </c>
    </row>
    <row r="873" spans="1:9" x14ac:dyDescent="0.25">
      <c r="A873">
        <v>70352</v>
      </c>
      <c r="B873" t="s">
        <v>188</v>
      </c>
      <c r="C873" t="s">
        <v>238</v>
      </c>
      <c r="D873">
        <v>4</v>
      </c>
      <c r="E873">
        <v>191692</v>
      </c>
      <c r="F873" t="s">
        <v>279</v>
      </c>
      <c r="G873" t="s">
        <v>35</v>
      </c>
      <c r="H873">
        <v>734</v>
      </c>
      <c r="I873" t="s">
        <v>325</v>
      </c>
    </row>
    <row r="874" spans="1:9" x14ac:dyDescent="0.25">
      <c r="A874">
        <v>70352</v>
      </c>
      <c r="B874" t="s">
        <v>188</v>
      </c>
      <c r="C874" t="s">
        <v>238</v>
      </c>
      <c r="D874">
        <v>4</v>
      </c>
      <c r="E874">
        <v>191692</v>
      </c>
      <c r="F874" t="s">
        <v>279</v>
      </c>
      <c r="G874" t="s">
        <v>29</v>
      </c>
      <c r="H874">
        <v>23394</v>
      </c>
      <c r="I874" t="s">
        <v>297</v>
      </c>
    </row>
    <row r="875" spans="1:9" x14ac:dyDescent="0.25">
      <c r="A875">
        <v>70352</v>
      </c>
      <c r="B875" t="s">
        <v>188</v>
      </c>
      <c r="C875" t="s">
        <v>238</v>
      </c>
      <c r="D875">
        <v>4</v>
      </c>
      <c r="E875">
        <v>191692</v>
      </c>
      <c r="F875" t="s">
        <v>279</v>
      </c>
      <c r="G875" t="s">
        <v>36</v>
      </c>
      <c r="H875">
        <v>20465</v>
      </c>
      <c r="I875" t="s">
        <v>298</v>
      </c>
    </row>
    <row r="876" spans="1:9" x14ac:dyDescent="0.25">
      <c r="A876">
        <v>70352</v>
      </c>
      <c r="B876" t="s">
        <v>188</v>
      </c>
      <c r="C876" t="s">
        <v>238</v>
      </c>
      <c r="D876">
        <v>4</v>
      </c>
      <c r="E876">
        <v>191692</v>
      </c>
      <c r="F876" t="s">
        <v>274</v>
      </c>
      <c r="G876" t="s">
        <v>275</v>
      </c>
      <c r="H876">
        <v>15110</v>
      </c>
      <c r="I876" t="s">
        <v>299</v>
      </c>
    </row>
    <row r="877" spans="1:9" x14ac:dyDescent="0.25">
      <c r="A877">
        <v>70352</v>
      </c>
      <c r="B877" t="s">
        <v>188</v>
      </c>
      <c r="C877" t="s">
        <v>238</v>
      </c>
      <c r="D877">
        <v>4</v>
      </c>
      <c r="E877">
        <v>191692</v>
      </c>
      <c r="F877" t="s">
        <v>274</v>
      </c>
      <c r="G877" t="s">
        <v>275</v>
      </c>
      <c r="H877">
        <v>0</v>
      </c>
      <c r="I877" t="s">
        <v>385</v>
      </c>
    </row>
    <row r="878" spans="1:9" x14ac:dyDescent="0.25">
      <c r="A878">
        <v>70354</v>
      </c>
      <c r="B878" t="s">
        <v>190</v>
      </c>
      <c r="C878" t="s">
        <v>238</v>
      </c>
      <c r="D878">
        <v>4</v>
      </c>
      <c r="E878">
        <v>-29188</v>
      </c>
      <c r="F878" t="s">
        <v>279</v>
      </c>
      <c r="G878" t="s">
        <v>36</v>
      </c>
      <c r="H878">
        <v>62650</v>
      </c>
      <c r="I878" t="s">
        <v>317</v>
      </c>
    </row>
    <row r="879" spans="1:9" x14ac:dyDescent="0.25">
      <c r="A879">
        <v>70354</v>
      </c>
      <c r="B879" t="s">
        <v>190</v>
      </c>
      <c r="C879" t="s">
        <v>238</v>
      </c>
      <c r="D879">
        <v>4</v>
      </c>
      <c r="E879">
        <v>-29188</v>
      </c>
      <c r="F879" t="s">
        <v>274</v>
      </c>
      <c r="G879" t="s">
        <v>275</v>
      </c>
      <c r="H879">
        <v>-480</v>
      </c>
      <c r="I879" t="s">
        <v>276</v>
      </c>
    </row>
    <row r="880" spans="1:9" x14ac:dyDescent="0.25">
      <c r="A880">
        <v>70354</v>
      </c>
      <c r="B880" t="s">
        <v>190</v>
      </c>
      <c r="C880" t="s">
        <v>238</v>
      </c>
      <c r="D880">
        <v>4</v>
      </c>
      <c r="E880">
        <v>-29188</v>
      </c>
      <c r="F880" t="s">
        <v>279</v>
      </c>
      <c r="G880" t="s">
        <v>29</v>
      </c>
      <c r="H880">
        <v>0</v>
      </c>
      <c r="I880" t="s">
        <v>324</v>
      </c>
    </row>
    <row r="881" spans="1:9" x14ac:dyDescent="0.25">
      <c r="A881">
        <v>70354</v>
      </c>
      <c r="B881" t="s">
        <v>190</v>
      </c>
      <c r="C881" t="s">
        <v>238</v>
      </c>
      <c r="D881">
        <v>4</v>
      </c>
      <c r="E881">
        <v>-29188</v>
      </c>
      <c r="F881" t="s">
        <v>274</v>
      </c>
      <c r="G881" t="s">
        <v>277</v>
      </c>
      <c r="H881">
        <v>4610</v>
      </c>
      <c r="I881" t="s">
        <v>278</v>
      </c>
    </row>
    <row r="882" spans="1:9" x14ac:dyDescent="0.25">
      <c r="A882">
        <v>70354</v>
      </c>
      <c r="B882" t="s">
        <v>190</v>
      </c>
      <c r="C882" t="s">
        <v>238</v>
      </c>
      <c r="D882">
        <v>4</v>
      </c>
      <c r="E882">
        <v>-29188</v>
      </c>
      <c r="F882" t="s">
        <v>274</v>
      </c>
      <c r="G882" t="s">
        <v>300</v>
      </c>
      <c r="H882">
        <v>0</v>
      </c>
      <c r="I882" t="s">
        <v>383</v>
      </c>
    </row>
    <row r="883" spans="1:9" x14ac:dyDescent="0.25">
      <c r="A883">
        <v>70354</v>
      </c>
      <c r="B883" t="s">
        <v>190</v>
      </c>
      <c r="C883" t="s">
        <v>238</v>
      </c>
      <c r="D883">
        <v>4</v>
      </c>
      <c r="E883">
        <v>-29188</v>
      </c>
      <c r="F883" t="s">
        <v>279</v>
      </c>
      <c r="G883" t="s">
        <v>33</v>
      </c>
      <c r="H883">
        <v>29669</v>
      </c>
      <c r="I883" t="s">
        <v>280</v>
      </c>
    </row>
    <row r="884" spans="1:9" x14ac:dyDescent="0.25">
      <c r="A884">
        <v>70354</v>
      </c>
      <c r="B884" t="s">
        <v>190</v>
      </c>
      <c r="C884" t="s">
        <v>238</v>
      </c>
      <c r="D884">
        <v>4</v>
      </c>
      <c r="E884">
        <v>-29188</v>
      </c>
      <c r="F884" t="s">
        <v>279</v>
      </c>
      <c r="G884" t="s">
        <v>29</v>
      </c>
      <c r="H884">
        <v>7045</v>
      </c>
      <c r="I884" t="s">
        <v>281</v>
      </c>
    </row>
    <row r="885" spans="1:9" x14ac:dyDescent="0.25">
      <c r="A885">
        <v>70354</v>
      </c>
      <c r="B885" t="s">
        <v>190</v>
      </c>
      <c r="C885" t="s">
        <v>238</v>
      </c>
      <c r="D885">
        <v>4</v>
      </c>
      <c r="E885">
        <v>-29188</v>
      </c>
      <c r="F885" t="s">
        <v>279</v>
      </c>
      <c r="G885" t="s">
        <v>29</v>
      </c>
      <c r="H885">
        <v>87113</v>
      </c>
      <c r="I885" t="s">
        <v>282</v>
      </c>
    </row>
    <row r="886" spans="1:9" x14ac:dyDescent="0.25">
      <c r="A886">
        <v>70354</v>
      </c>
      <c r="B886" t="s">
        <v>190</v>
      </c>
      <c r="C886" t="s">
        <v>238</v>
      </c>
      <c r="D886">
        <v>4</v>
      </c>
      <c r="E886">
        <v>-29188</v>
      </c>
      <c r="F886" t="s">
        <v>279</v>
      </c>
      <c r="G886" t="s">
        <v>35</v>
      </c>
      <c r="H886">
        <v>90306</v>
      </c>
      <c r="I886" t="s">
        <v>283</v>
      </c>
    </row>
    <row r="887" spans="1:9" x14ac:dyDescent="0.25">
      <c r="A887">
        <v>70354</v>
      </c>
      <c r="B887" t="s">
        <v>190</v>
      </c>
      <c r="C887" t="s">
        <v>238</v>
      </c>
      <c r="D887">
        <v>4</v>
      </c>
      <c r="E887">
        <v>-29188</v>
      </c>
      <c r="F887" t="s">
        <v>279</v>
      </c>
      <c r="G887" t="s">
        <v>29</v>
      </c>
      <c r="H887">
        <v>7560</v>
      </c>
      <c r="I887" t="s">
        <v>284</v>
      </c>
    </row>
    <row r="888" spans="1:9" x14ac:dyDescent="0.25">
      <c r="A888">
        <v>70354</v>
      </c>
      <c r="B888" t="s">
        <v>190</v>
      </c>
      <c r="C888" t="s">
        <v>238</v>
      </c>
      <c r="D888">
        <v>4</v>
      </c>
      <c r="E888">
        <v>-29188</v>
      </c>
      <c r="F888" t="s">
        <v>279</v>
      </c>
      <c r="G888" t="s">
        <v>29</v>
      </c>
      <c r="H888">
        <v>38693</v>
      </c>
      <c r="I888" t="s">
        <v>285</v>
      </c>
    </row>
    <row r="889" spans="1:9" x14ac:dyDescent="0.25">
      <c r="A889">
        <v>70354</v>
      </c>
      <c r="B889" t="s">
        <v>190</v>
      </c>
      <c r="C889" t="s">
        <v>238</v>
      </c>
      <c r="D889">
        <v>4</v>
      </c>
      <c r="E889">
        <v>-29188</v>
      </c>
      <c r="F889" t="s">
        <v>279</v>
      </c>
      <c r="G889" t="s">
        <v>29</v>
      </c>
      <c r="H889">
        <v>9695</v>
      </c>
      <c r="I889" t="s">
        <v>286</v>
      </c>
    </row>
    <row r="890" spans="1:9" x14ac:dyDescent="0.25">
      <c r="A890">
        <v>70354</v>
      </c>
      <c r="B890" t="s">
        <v>190</v>
      </c>
      <c r="C890" t="s">
        <v>238</v>
      </c>
      <c r="D890">
        <v>4</v>
      </c>
      <c r="E890">
        <v>-29188</v>
      </c>
      <c r="F890" t="s">
        <v>279</v>
      </c>
      <c r="G890" t="s">
        <v>29</v>
      </c>
      <c r="H890">
        <v>59201</v>
      </c>
      <c r="I890" t="s">
        <v>327</v>
      </c>
    </row>
    <row r="891" spans="1:9" x14ac:dyDescent="0.25">
      <c r="A891">
        <v>70354</v>
      </c>
      <c r="B891" t="s">
        <v>190</v>
      </c>
      <c r="C891" t="s">
        <v>238</v>
      </c>
      <c r="D891">
        <v>4</v>
      </c>
      <c r="E891">
        <v>-29188</v>
      </c>
      <c r="F891" t="s">
        <v>279</v>
      </c>
      <c r="G891" t="s">
        <v>34</v>
      </c>
      <c r="H891">
        <v>6197</v>
      </c>
      <c r="I891" t="s">
        <v>287</v>
      </c>
    </row>
    <row r="892" spans="1:9" x14ac:dyDescent="0.25">
      <c r="A892">
        <v>70354</v>
      </c>
      <c r="B892" t="s">
        <v>190</v>
      </c>
      <c r="C892" t="s">
        <v>238</v>
      </c>
      <c r="D892">
        <v>4</v>
      </c>
      <c r="E892">
        <v>-29188</v>
      </c>
      <c r="F892" t="s">
        <v>279</v>
      </c>
      <c r="G892" t="s">
        <v>35</v>
      </c>
      <c r="H892">
        <v>9212</v>
      </c>
      <c r="I892" t="s">
        <v>295</v>
      </c>
    </row>
    <row r="893" spans="1:9" x14ac:dyDescent="0.25">
      <c r="A893">
        <v>70354</v>
      </c>
      <c r="B893" t="s">
        <v>190</v>
      </c>
      <c r="C893" t="s">
        <v>238</v>
      </c>
      <c r="D893">
        <v>4</v>
      </c>
      <c r="E893">
        <v>-29188</v>
      </c>
      <c r="F893" t="s">
        <v>279</v>
      </c>
      <c r="G893" t="s">
        <v>35</v>
      </c>
      <c r="H893">
        <v>4107</v>
      </c>
      <c r="I893" t="s">
        <v>296</v>
      </c>
    </row>
    <row r="894" spans="1:9" x14ac:dyDescent="0.25">
      <c r="A894">
        <v>70354</v>
      </c>
      <c r="B894" t="s">
        <v>190</v>
      </c>
      <c r="C894" t="s">
        <v>238</v>
      </c>
      <c r="D894">
        <v>4</v>
      </c>
      <c r="E894">
        <v>-29188</v>
      </c>
      <c r="F894" t="s">
        <v>279</v>
      </c>
      <c r="G894" t="s">
        <v>35</v>
      </c>
      <c r="H894">
        <v>0</v>
      </c>
      <c r="I894" t="s">
        <v>325</v>
      </c>
    </row>
    <row r="895" spans="1:9" x14ac:dyDescent="0.25">
      <c r="A895">
        <v>70354</v>
      </c>
      <c r="B895" t="s">
        <v>190</v>
      </c>
      <c r="C895" t="s">
        <v>238</v>
      </c>
      <c r="D895">
        <v>4</v>
      </c>
      <c r="E895">
        <v>-29188</v>
      </c>
      <c r="F895" t="s">
        <v>279</v>
      </c>
      <c r="G895" t="s">
        <v>29</v>
      </c>
      <c r="H895">
        <v>8835</v>
      </c>
      <c r="I895" t="s">
        <v>297</v>
      </c>
    </row>
    <row r="896" spans="1:9" x14ac:dyDescent="0.25">
      <c r="A896">
        <v>70354</v>
      </c>
      <c r="B896" t="s">
        <v>190</v>
      </c>
      <c r="C896" t="s">
        <v>238</v>
      </c>
      <c r="D896">
        <v>4</v>
      </c>
      <c r="E896">
        <v>-29188</v>
      </c>
      <c r="F896" t="s">
        <v>279</v>
      </c>
      <c r="G896" t="s">
        <v>36</v>
      </c>
      <c r="H896">
        <v>37772</v>
      </c>
      <c r="I896" t="s">
        <v>298</v>
      </c>
    </row>
    <row r="897" spans="1:9" x14ac:dyDescent="0.25">
      <c r="A897">
        <v>70354</v>
      </c>
      <c r="B897" t="s">
        <v>190</v>
      </c>
      <c r="C897" t="s">
        <v>238</v>
      </c>
      <c r="D897">
        <v>4</v>
      </c>
      <c r="E897">
        <v>-29188</v>
      </c>
      <c r="F897" t="s">
        <v>274</v>
      </c>
      <c r="G897" t="s">
        <v>275</v>
      </c>
      <c r="H897">
        <v>91261</v>
      </c>
      <c r="I897" t="s">
        <v>299</v>
      </c>
    </row>
    <row r="898" spans="1:9" x14ac:dyDescent="0.25">
      <c r="A898">
        <v>70354</v>
      </c>
      <c r="B898" t="s">
        <v>190</v>
      </c>
      <c r="C898" t="s">
        <v>238</v>
      </c>
      <c r="D898">
        <v>4</v>
      </c>
      <c r="E898">
        <v>-29188</v>
      </c>
      <c r="F898" t="s">
        <v>274</v>
      </c>
      <c r="G898" t="s">
        <v>275</v>
      </c>
      <c r="H898">
        <v>0</v>
      </c>
      <c r="I898" t="s">
        <v>385</v>
      </c>
    </row>
    <row r="899" spans="1:9" x14ac:dyDescent="0.25">
      <c r="A899">
        <v>70354</v>
      </c>
      <c r="B899" t="s">
        <v>190</v>
      </c>
      <c r="C899" t="s">
        <v>238</v>
      </c>
      <c r="D899">
        <v>4</v>
      </c>
      <c r="E899">
        <v>-29188</v>
      </c>
      <c r="F899" t="s">
        <v>279</v>
      </c>
      <c r="G899" t="s">
        <v>29</v>
      </c>
      <c r="H899">
        <v>64290</v>
      </c>
      <c r="I899" t="s">
        <v>288</v>
      </c>
    </row>
    <row r="900" spans="1:9" x14ac:dyDescent="0.25">
      <c r="A900">
        <v>70354</v>
      </c>
      <c r="B900" t="s">
        <v>190</v>
      </c>
      <c r="C900" t="s">
        <v>238</v>
      </c>
      <c r="D900">
        <v>4</v>
      </c>
      <c r="E900">
        <v>-29188</v>
      </c>
      <c r="F900" t="s">
        <v>279</v>
      </c>
      <c r="G900" t="s">
        <v>34</v>
      </c>
      <c r="H900">
        <v>10700</v>
      </c>
      <c r="I900" t="s">
        <v>289</v>
      </c>
    </row>
    <row r="901" spans="1:9" x14ac:dyDescent="0.25">
      <c r="A901">
        <v>70354</v>
      </c>
      <c r="B901" t="s">
        <v>190</v>
      </c>
      <c r="C901" t="s">
        <v>238</v>
      </c>
      <c r="D901">
        <v>4</v>
      </c>
      <c r="E901">
        <v>-29188</v>
      </c>
      <c r="F901" t="s">
        <v>279</v>
      </c>
      <c r="G901" t="s">
        <v>29</v>
      </c>
      <c r="H901">
        <v>8004</v>
      </c>
      <c r="I901" t="s">
        <v>290</v>
      </c>
    </row>
    <row r="902" spans="1:9" x14ac:dyDescent="0.25">
      <c r="A902">
        <v>70354</v>
      </c>
      <c r="B902" t="s">
        <v>190</v>
      </c>
      <c r="C902" t="s">
        <v>238</v>
      </c>
      <c r="D902">
        <v>4</v>
      </c>
      <c r="E902">
        <v>-29188</v>
      </c>
      <c r="F902" t="s">
        <v>279</v>
      </c>
      <c r="G902" t="s">
        <v>32</v>
      </c>
      <c r="H902">
        <v>79981</v>
      </c>
      <c r="I902" t="s">
        <v>291</v>
      </c>
    </row>
    <row r="903" spans="1:9" x14ac:dyDescent="0.25">
      <c r="A903">
        <v>70354</v>
      </c>
      <c r="B903" t="s">
        <v>190</v>
      </c>
      <c r="C903" t="s">
        <v>238</v>
      </c>
      <c r="D903">
        <v>4</v>
      </c>
      <c r="E903">
        <v>-29188</v>
      </c>
      <c r="F903" t="s">
        <v>279</v>
      </c>
      <c r="G903" t="s">
        <v>29</v>
      </c>
      <c r="H903">
        <v>18622</v>
      </c>
      <c r="I903" t="s">
        <v>292</v>
      </c>
    </row>
    <row r="904" spans="1:9" x14ac:dyDescent="0.25">
      <c r="A904">
        <v>70354</v>
      </c>
      <c r="B904" t="s">
        <v>190</v>
      </c>
      <c r="C904" t="s">
        <v>238</v>
      </c>
      <c r="D904">
        <v>4</v>
      </c>
      <c r="E904">
        <v>-29188</v>
      </c>
      <c r="F904" t="s">
        <v>279</v>
      </c>
      <c r="G904" t="s">
        <v>29</v>
      </c>
      <c r="H904">
        <v>0</v>
      </c>
      <c r="I904" t="s">
        <v>384</v>
      </c>
    </row>
    <row r="905" spans="1:9" x14ac:dyDescent="0.25">
      <c r="A905">
        <v>70354</v>
      </c>
      <c r="B905" t="s">
        <v>190</v>
      </c>
      <c r="C905" t="s">
        <v>238</v>
      </c>
      <c r="D905">
        <v>4</v>
      </c>
      <c r="E905">
        <v>-29188</v>
      </c>
      <c r="F905" t="s">
        <v>279</v>
      </c>
      <c r="G905" t="s">
        <v>35</v>
      </c>
      <c r="H905">
        <v>12104</v>
      </c>
      <c r="I905" t="s">
        <v>293</v>
      </c>
    </row>
    <row r="906" spans="1:9" x14ac:dyDescent="0.25">
      <c r="A906">
        <v>70354</v>
      </c>
      <c r="B906" t="s">
        <v>190</v>
      </c>
      <c r="C906" t="s">
        <v>238</v>
      </c>
      <c r="D906">
        <v>4</v>
      </c>
      <c r="E906">
        <v>-29188</v>
      </c>
      <c r="F906" t="s">
        <v>279</v>
      </c>
      <c r="G906" t="s">
        <v>35</v>
      </c>
      <c r="H906">
        <v>1512</v>
      </c>
      <c r="I906" t="s">
        <v>294</v>
      </c>
    </row>
    <row r="907" spans="1:9" x14ac:dyDescent="0.25">
      <c r="A907">
        <v>70354</v>
      </c>
      <c r="B907" t="s">
        <v>190</v>
      </c>
      <c r="C907" t="s">
        <v>238</v>
      </c>
      <c r="D907">
        <v>4</v>
      </c>
      <c r="E907">
        <v>-29188</v>
      </c>
      <c r="F907" t="s">
        <v>279</v>
      </c>
      <c r="G907" t="s">
        <v>35</v>
      </c>
      <c r="H907">
        <v>2983</v>
      </c>
      <c r="I907" t="s">
        <v>310</v>
      </c>
    </row>
    <row r="908" spans="1:9" x14ac:dyDescent="0.25">
      <c r="A908">
        <v>70354</v>
      </c>
      <c r="B908" t="s">
        <v>190</v>
      </c>
      <c r="C908" t="s">
        <v>238</v>
      </c>
      <c r="D908">
        <v>4</v>
      </c>
      <c r="E908">
        <v>-29188</v>
      </c>
      <c r="F908" t="s">
        <v>279</v>
      </c>
      <c r="G908" t="s">
        <v>35</v>
      </c>
      <c r="H908">
        <v>13690</v>
      </c>
      <c r="I908" t="s">
        <v>311</v>
      </c>
    </row>
    <row r="909" spans="1:9" x14ac:dyDescent="0.25">
      <c r="A909">
        <v>70354</v>
      </c>
      <c r="B909" t="s">
        <v>190</v>
      </c>
      <c r="C909" t="s">
        <v>238</v>
      </c>
      <c r="D909">
        <v>4</v>
      </c>
      <c r="E909">
        <v>-29188</v>
      </c>
      <c r="F909" t="s">
        <v>279</v>
      </c>
      <c r="G909" t="s">
        <v>35</v>
      </c>
      <c r="H909">
        <v>293</v>
      </c>
      <c r="I909" t="s">
        <v>312</v>
      </c>
    </row>
    <row r="910" spans="1:9" x14ac:dyDescent="0.25">
      <c r="A910">
        <v>70354</v>
      </c>
      <c r="B910" t="s">
        <v>190</v>
      </c>
      <c r="C910" t="s">
        <v>238</v>
      </c>
      <c r="D910">
        <v>4</v>
      </c>
      <c r="E910">
        <v>-29188</v>
      </c>
      <c r="F910" t="s">
        <v>279</v>
      </c>
      <c r="G910" t="s">
        <v>35</v>
      </c>
      <c r="H910">
        <v>5783</v>
      </c>
      <c r="I910" t="s">
        <v>313</v>
      </c>
    </row>
    <row r="911" spans="1:9" x14ac:dyDescent="0.25">
      <c r="A911">
        <v>70354</v>
      </c>
      <c r="B911" t="s">
        <v>190</v>
      </c>
      <c r="C911" t="s">
        <v>238</v>
      </c>
      <c r="D911">
        <v>4</v>
      </c>
      <c r="E911">
        <v>-29188</v>
      </c>
      <c r="F911" t="s">
        <v>279</v>
      </c>
      <c r="G911" t="s">
        <v>37</v>
      </c>
      <c r="H911">
        <v>0</v>
      </c>
      <c r="I911" t="s">
        <v>381</v>
      </c>
    </row>
    <row r="912" spans="1:9" x14ac:dyDescent="0.25">
      <c r="A912">
        <v>70354</v>
      </c>
      <c r="B912" t="s">
        <v>190</v>
      </c>
      <c r="C912" t="s">
        <v>238</v>
      </c>
      <c r="D912">
        <v>4</v>
      </c>
      <c r="E912">
        <v>-29188</v>
      </c>
      <c r="F912" t="s">
        <v>279</v>
      </c>
      <c r="G912" t="s">
        <v>37</v>
      </c>
      <c r="H912">
        <v>35918</v>
      </c>
      <c r="I912" t="s">
        <v>314</v>
      </c>
    </row>
    <row r="913" spans="1:9" x14ac:dyDescent="0.25">
      <c r="A913">
        <v>70354</v>
      </c>
      <c r="B913" t="s">
        <v>190</v>
      </c>
      <c r="C913" t="s">
        <v>238</v>
      </c>
      <c r="D913">
        <v>4</v>
      </c>
      <c r="E913">
        <v>-29188</v>
      </c>
      <c r="F913" t="s">
        <v>279</v>
      </c>
      <c r="G913" t="s">
        <v>35</v>
      </c>
      <c r="H913">
        <v>4501</v>
      </c>
      <c r="I913" t="s">
        <v>315</v>
      </c>
    </row>
    <row r="914" spans="1:9" x14ac:dyDescent="0.25">
      <c r="A914">
        <v>70354</v>
      </c>
      <c r="B914" t="s">
        <v>190</v>
      </c>
      <c r="C914" t="s">
        <v>238</v>
      </c>
      <c r="D914">
        <v>4</v>
      </c>
      <c r="E914">
        <v>-29188</v>
      </c>
      <c r="F914" t="s">
        <v>279</v>
      </c>
      <c r="G914" t="s">
        <v>37</v>
      </c>
      <c r="H914">
        <v>0</v>
      </c>
      <c r="I914" t="s">
        <v>323</v>
      </c>
    </row>
    <row r="915" spans="1:9" x14ac:dyDescent="0.25">
      <c r="A915">
        <v>70354</v>
      </c>
      <c r="B915" t="s">
        <v>190</v>
      </c>
      <c r="C915" t="s">
        <v>238</v>
      </c>
      <c r="D915">
        <v>4</v>
      </c>
      <c r="E915">
        <v>-29188</v>
      </c>
      <c r="F915" t="s">
        <v>279</v>
      </c>
      <c r="G915" t="s">
        <v>37</v>
      </c>
      <c r="H915">
        <v>0</v>
      </c>
      <c r="I915" t="s">
        <v>322</v>
      </c>
    </row>
    <row r="916" spans="1:9" x14ac:dyDescent="0.25">
      <c r="A916">
        <v>70354</v>
      </c>
      <c r="B916" t="s">
        <v>190</v>
      </c>
      <c r="C916" t="s">
        <v>238</v>
      </c>
      <c r="D916">
        <v>4</v>
      </c>
      <c r="E916">
        <v>-29188</v>
      </c>
      <c r="F916" t="s">
        <v>279</v>
      </c>
      <c r="G916" t="s">
        <v>37</v>
      </c>
      <c r="H916">
        <v>0</v>
      </c>
      <c r="I916" t="s">
        <v>382</v>
      </c>
    </row>
    <row r="917" spans="1:9" x14ac:dyDescent="0.25">
      <c r="A917">
        <v>70354</v>
      </c>
      <c r="B917" t="s">
        <v>190</v>
      </c>
      <c r="C917" t="s">
        <v>238</v>
      </c>
      <c r="D917">
        <v>4</v>
      </c>
      <c r="E917">
        <v>-29188</v>
      </c>
      <c r="F917" t="s">
        <v>279</v>
      </c>
      <c r="G917" t="s">
        <v>37</v>
      </c>
      <c r="H917">
        <v>21493</v>
      </c>
      <c r="I917" t="s">
        <v>316</v>
      </c>
    </row>
    <row r="918" spans="1:9" x14ac:dyDescent="0.25">
      <c r="A918">
        <v>70354</v>
      </c>
      <c r="B918" t="s">
        <v>190</v>
      </c>
      <c r="C918" t="s">
        <v>238</v>
      </c>
      <c r="D918">
        <v>4</v>
      </c>
      <c r="E918">
        <v>-29188</v>
      </c>
      <c r="F918" t="s">
        <v>279</v>
      </c>
      <c r="G918" t="s">
        <v>33</v>
      </c>
      <c r="H918">
        <v>2759</v>
      </c>
      <c r="I918" t="s">
        <v>320</v>
      </c>
    </row>
    <row r="919" spans="1:9" x14ac:dyDescent="0.25">
      <c r="A919">
        <v>70354</v>
      </c>
      <c r="B919" t="s">
        <v>190</v>
      </c>
      <c r="C919" t="s">
        <v>238</v>
      </c>
      <c r="D919">
        <v>4</v>
      </c>
      <c r="E919">
        <v>-29188</v>
      </c>
      <c r="F919" t="s">
        <v>279</v>
      </c>
      <c r="G919" t="s">
        <v>33</v>
      </c>
      <c r="H919">
        <v>0</v>
      </c>
      <c r="I919" t="s">
        <v>306</v>
      </c>
    </row>
    <row r="920" spans="1:9" x14ac:dyDescent="0.25">
      <c r="A920">
        <v>70354</v>
      </c>
      <c r="B920" t="s">
        <v>190</v>
      </c>
      <c r="C920" t="s">
        <v>238</v>
      </c>
      <c r="D920">
        <v>4</v>
      </c>
      <c r="E920">
        <v>-29188</v>
      </c>
      <c r="F920" t="s">
        <v>279</v>
      </c>
      <c r="G920" t="s">
        <v>33</v>
      </c>
      <c r="H920">
        <v>0</v>
      </c>
      <c r="I920" t="s">
        <v>378</v>
      </c>
    </row>
    <row r="921" spans="1:9" x14ac:dyDescent="0.25">
      <c r="A921">
        <v>70354</v>
      </c>
      <c r="B921" t="s">
        <v>190</v>
      </c>
      <c r="C921" t="s">
        <v>238</v>
      </c>
      <c r="D921">
        <v>4</v>
      </c>
      <c r="E921">
        <v>-29188</v>
      </c>
      <c r="F921" t="s">
        <v>279</v>
      </c>
      <c r="G921" t="s">
        <v>31</v>
      </c>
      <c r="H921">
        <v>42077</v>
      </c>
      <c r="I921" t="s">
        <v>307</v>
      </c>
    </row>
    <row r="922" spans="1:9" x14ac:dyDescent="0.25">
      <c r="A922">
        <v>70354</v>
      </c>
      <c r="B922" t="s">
        <v>190</v>
      </c>
      <c r="C922" t="s">
        <v>238</v>
      </c>
      <c r="D922">
        <v>4</v>
      </c>
      <c r="E922">
        <v>-29188</v>
      </c>
      <c r="F922" t="s">
        <v>279</v>
      </c>
      <c r="G922" t="s">
        <v>31</v>
      </c>
      <c r="H922">
        <v>0</v>
      </c>
      <c r="I922" t="s">
        <v>379</v>
      </c>
    </row>
    <row r="923" spans="1:9" x14ac:dyDescent="0.25">
      <c r="A923">
        <v>70354</v>
      </c>
      <c r="B923" t="s">
        <v>190</v>
      </c>
      <c r="C923" t="s">
        <v>238</v>
      </c>
      <c r="D923">
        <v>4</v>
      </c>
      <c r="E923">
        <v>-29188</v>
      </c>
      <c r="F923" t="s">
        <v>279</v>
      </c>
      <c r="G923" t="s">
        <v>30</v>
      </c>
      <c r="H923">
        <v>10863</v>
      </c>
      <c r="I923" t="s">
        <v>308</v>
      </c>
    </row>
    <row r="924" spans="1:9" x14ac:dyDescent="0.25">
      <c r="A924">
        <v>70354</v>
      </c>
      <c r="B924" t="s">
        <v>190</v>
      </c>
      <c r="C924" t="s">
        <v>238</v>
      </c>
      <c r="D924">
        <v>4</v>
      </c>
      <c r="E924">
        <v>-29188</v>
      </c>
      <c r="F924" t="s">
        <v>279</v>
      </c>
      <c r="G924" t="s">
        <v>35</v>
      </c>
      <c r="H924">
        <v>19788</v>
      </c>
      <c r="I924" t="s">
        <v>321</v>
      </c>
    </row>
    <row r="925" spans="1:9" x14ac:dyDescent="0.25">
      <c r="A925">
        <v>70354</v>
      </c>
      <c r="B925" t="s">
        <v>190</v>
      </c>
      <c r="C925" t="s">
        <v>238</v>
      </c>
      <c r="D925">
        <v>4</v>
      </c>
      <c r="E925">
        <v>-29188</v>
      </c>
      <c r="F925" t="s">
        <v>279</v>
      </c>
      <c r="G925" t="s">
        <v>33</v>
      </c>
      <c r="H925">
        <v>0</v>
      </c>
      <c r="I925" t="s">
        <v>380</v>
      </c>
    </row>
    <row r="926" spans="1:9" x14ac:dyDescent="0.25">
      <c r="A926">
        <v>70354</v>
      </c>
      <c r="B926" t="s">
        <v>190</v>
      </c>
      <c r="C926" t="s">
        <v>238</v>
      </c>
      <c r="D926">
        <v>4</v>
      </c>
      <c r="E926">
        <v>-29188</v>
      </c>
      <c r="F926" t="s">
        <v>279</v>
      </c>
      <c r="G926" t="s">
        <v>35</v>
      </c>
      <c r="H926">
        <v>1088</v>
      </c>
      <c r="I926" t="s">
        <v>309</v>
      </c>
    </row>
    <row r="927" spans="1:9" x14ac:dyDescent="0.25">
      <c r="A927">
        <v>70354</v>
      </c>
      <c r="B927" t="s">
        <v>190</v>
      </c>
      <c r="C927" t="s">
        <v>238</v>
      </c>
      <c r="D927">
        <v>4</v>
      </c>
      <c r="E927">
        <v>-29188</v>
      </c>
      <c r="F927" t="s">
        <v>279</v>
      </c>
      <c r="G927" t="s">
        <v>33</v>
      </c>
      <c r="H927">
        <v>0</v>
      </c>
      <c r="I927" t="s">
        <v>374</v>
      </c>
    </row>
    <row r="928" spans="1:9" x14ac:dyDescent="0.25">
      <c r="A928">
        <v>70354</v>
      </c>
      <c r="B928" t="s">
        <v>190</v>
      </c>
      <c r="C928" t="s">
        <v>238</v>
      </c>
      <c r="D928">
        <v>4</v>
      </c>
      <c r="E928">
        <v>-29188</v>
      </c>
      <c r="F928" t="s">
        <v>279</v>
      </c>
      <c r="G928" t="s">
        <v>33</v>
      </c>
      <c r="H928">
        <v>131113</v>
      </c>
      <c r="I928" t="s">
        <v>326</v>
      </c>
    </row>
    <row r="929" spans="1:9" x14ac:dyDescent="0.25">
      <c r="A929">
        <v>70354</v>
      </c>
      <c r="B929" t="s">
        <v>190</v>
      </c>
      <c r="C929" t="s">
        <v>238</v>
      </c>
      <c r="D929">
        <v>4</v>
      </c>
      <c r="E929">
        <v>-29188</v>
      </c>
      <c r="F929" t="s">
        <v>279</v>
      </c>
      <c r="G929" t="s">
        <v>33</v>
      </c>
      <c r="H929">
        <v>0</v>
      </c>
      <c r="I929" t="s">
        <v>375</v>
      </c>
    </row>
    <row r="930" spans="1:9" x14ac:dyDescent="0.25">
      <c r="A930">
        <v>70354</v>
      </c>
      <c r="B930" t="s">
        <v>190</v>
      </c>
      <c r="C930" t="s">
        <v>238</v>
      </c>
      <c r="D930">
        <v>4</v>
      </c>
      <c r="E930">
        <v>-29188</v>
      </c>
      <c r="F930" t="s">
        <v>279</v>
      </c>
      <c r="G930" t="s">
        <v>33</v>
      </c>
      <c r="H930">
        <v>0</v>
      </c>
      <c r="I930" t="s">
        <v>376</v>
      </c>
    </row>
    <row r="931" spans="1:9" x14ac:dyDescent="0.25">
      <c r="A931">
        <v>70354</v>
      </c>
      <c r="B931" t="s">
        <v>190</v>
      </c>
      <c r="C931" t="s">
        <v>238</v>
      </c>
      <c r="D931">
        <v>4</v>
      </c>
      <c r="E931">
        <v>-29188</v>
      </c>
      <c r="F931" t="s">
        <v>279</v>
      </c>
      <c r="G931" t="s">
        <v>33</v>
      </c>
      <c r="H931">
        <v>0</v>
      </c>
      <c r="I931" t="s">
        <v>377</v>
      </c>
    </row>
    <row r="932" spans="1:9" x14ac:dyDescent="0.25">
      <c r="A932">
        <v>70354</v>
      </c>
      <c r="B932" t="s">
        <v>190</v>
      </c>
      <c r="C932" t="s">
        <v>238</v>
      </c>
      <c r="D932">
        <v>4</v>
      </c>
      <c r="E932">
        <v>-29188</v>
      </c>
      <c r="F932" t="s">
        <v>274</v>
      </c>
      <c r="G932" t="s">
        <v>275</v>
      </c>
      <c r="H932">
        <v>1617868</v>
      </c>
      <c r="I932" t="s">
        <v>318</v>
      </c>
    </row>
    <row r="933" spans="1:9" x14ac:dyDescent="0.25">
      <c r="A933">
        <v>70354</v>
      </c>
      <c r="B933" t="s">
        <v>190</v>
      </c>
      <c r="C933" t="s">
        <v>238</v>
      </c>
      <c r="D933">
        <v>4</v>
      </c>
      <c r="E933">
        <v>-29188</v>
      </c>
      <c r="F933" t="s">
        <v>274</v>
      </c>
      <c r="G933" t="s">
        <v>300</v>
      </c>
      <c r="H933">
        <v>25114</v>
      </c>
      <c r="I933" t="s">
        <v>301</v>
      </c>
    </row>
    <row r="934" spans="1:9" x14ac:dyDescent="0.25">
      <c r="A934">
        <v>70354</v>
      </c>
      <c r="B934" t="s">
        <v>190</v>
      </c>
      <c r="C934" t="s">
        <v>238</v>
      </c>
      <c r="D934">
        <v>4</v>
      </c>
      <c r="E934">
        <v>-29188</v>
      </c>
      <c r="F934" t="s">
        <v>274</v>
      </c>
      <c r="G934" t="s">
        <v>275</v>
      </c>
      <c r="H934">
        <v>-177508</v>
      </c>
      <c r="I934" t="s">
        <v>302</v>
      </c>
    </row>
    <row r="935" spans="1:9" x14ac:dyDescent="0.25">
      <c r="A935">
        <v>70354</v>
      </c>
      <c r="B935" t="s">
        <v>190</v>
      </c>
      <c r="C935" t="s">
        <v>238</v>
      </c>
      <c r="D935">
        <v>4</v>
      </c>
      <c r="E935">
        <v>-29188</v>
      </c>
      <c r="F935" t="s">
        <v>279</v>
      </c>
      <c r="G935" t="s">
        <v>30</v>
      </c>
      <c r="H935">
        <v>253544</v>
      </c>
      <c r="I935" t="s">
        <v>303</v>
      </c>
    </row>
    <row r="936" spans="1:9" x14ac:dyDescent="0.25">
      <c r="A936">
        <v>70354</v>
      </c>
      <c r="B936" t="s">
        <v>190</v>
      </c>
      <c r="C936" t="s">
        <v>238</v>
      </c>
      <c r="D936">
        <v>4</v>
      </c>
      <c r="E936">
        <v>-29188</v>
      </c>
      <c r="F936" t="s">
        <v>279</v>
      </c>
      <c r="G936" t="s">
        <v>35</v>
      </c>
      <c r="H936">
        <v>12983</v>
      </c>
      <c r="I936" t="s">
        <v>304</v>
      </c>
    </row>
    <row r="937" spans="1:9" x14ac:dyDescent="0.25">
      <c r="A937">
        <v>70354</v>
      </c>
      <c r="B937" t="s">
        <v>190</v>
      </c>
      <c r="C937" t="s">
        <v>238</v>
      </c>
      <c r="D937">
        <v>4</v>
      </c>
      <c r="E937">
        <v>-29188</v>
      </c>
      <c r="F937" t="s">
        <v>279</v>
      </c>
      <c r="G937" t="s">
        <v>31</v>
      </c>
      <c r="H937">
        <v>375409</v>
      </c>
      <c r="I937" t="s">
        <v>305</v>
      </c>
    </row>
    <row r="938" spans="1:9" x14ac:dyDescent="0.25">
      <c r="A938">
        <v>70354</v>
      </c>
      <c r="B938" t="s">
        <v>190</v>
      </c>
      <c r="C938" t="s">
        <v>238</v>
      </c>
      <c r="D938">
        <v>4</v>
      </c>
      <c r="E938">
        <v>-29188</v>
      </c>
      <c r="F938" t="s">
        <v>279</v>
      </c>
      <c r="G938" t="s">
        <v>31</v>
      </c>
      <c r="H938">
        <v>0</v>
      </c>
      <c r="I938" t="s">
        <v>364</v>
      </c>
    </row>
    <row r="939" spans="1:9" x14ac:dyDescent="0.25">
      <c r="A939">
        <v>70354</v>
      </c>
      <c r="B939" t="s">
        <v>190</v>
      </c>
      <c r="C939" t="s">
        <v>238</v>
      </c>
      <c r="D939">
        <v>4</v>
      </c>
      <c r="E939">
        <v>-29188</v>
      </c>
      <c r="F939" t="s">
        <v>279</v>
      </c>
      <c r="G939" t="s">
        <v>31</v>
      </c>
      <c r="H939">
        <v>0</v>
      </c>
      <c r="I939" t="s">
        <v>365</v>
      </c>
    </row>
    <row r="940" spans="1:9" x14ac:dyDescent="0.25">
      <c r="A940">
        <v>70354</v>
      </c>
      <c r="B940" t="s">
        <v>190</v>
      </c>
      <c r="C940" t="s">
        <v>238</v>
      </c>
      <c r="D940">
        <v>4</v>
      </c>
      <c r="E940">
        <v>-29188</v>
      </c>
      <c r="F940" t="s">
        <v>279</v>
      </c>
      <c r="G940" t="s">
        <v>31</v>
      </c>
      <c r="H940">
        <v>0</v>
      </c>
      <c r="I940" t="s">
        <v>366</v>
      </c>
    </row>
    <row r="941" spans="1:9" x14ac:dyDescent="0.25">
      <c r="A941">
        <v>70354</v>
      </c>
      <c r="B941" t="s">
        <v>190</v>
      </c>
      <c r="C941" t="s">
        <v>238</v>
      </c>
      <c r="D941">
        <v>4</v>
      </c>
      <c r="E941">
        <v>-29188</v>
      </c>
      <c r="F941" t="s">
        <v>279</v>
      </c>
      <c r="G941" t="s">
        <v>31</v>
      </c>
      <c r="H941">
        <v>0</v>
      </c>
      <c r="I941" t="s">
        <v>367</v>
      </c>
    </row>
    <row r="942" spans="1:9" x14ac:dyDescent="0.25">
      <c r="A942">
        <v>70354</v>
      </c>
      <c r="B942" t="s">
        <v>190</v>
      </c>
      <c r="C942" t="s">
        <v>238</v>
      </c>
      <c r="D942">
        <v>4</v>
      </c>
      <c r="E942">
        <v>-29188</v>
      </c>
      <c r="F942" t="s">
        <v>279</v>
      </c>
      <c r="G942" t="s">
        <v>31</v>
      </c>
      <c r="H942">
        <v>0</v>
      </c>
      <c r="I942" t="s">
        <v>368</v>
      </c>
    </row>
    <row r="943" spans="1:9" x14ac:dyDescent="0.25">
      <c r="A943">
        <v>70354</v>
      </c>
      <c r="B943" t="s">
        <v>190</v>
      </c>
      <c r="C943" t="s">
        <v>238</v>
      </c>
      <c r="D943">
        <v>4</v>
      </c>
      <c r="E943">
        <v>-29188</v>
      </c>
      <c r="F943" t="s">
        <v>279</v>
      </c>
      <c r="G943" t="s">
        <v>31</v>
      </c>
      <c r="H943">
        <v>0</v>
      </c>
      <c r="I943" t="s">
        <v>369</v>
      </c>
    </row>
    <row r="944" spans="1:9" x14ac:dyDescent="0.25">
      <c r="A944">
        <v>70354</v>
      </c>
      <c r="B944" t="s">
        <v>190</v>
      </c>
      <c r="C944" t="s">
        <v>238</v>
      </c>
      <c r="D944">
        <v>4</v>
      </c>
      <c r="E944">
        <v>-29188</v>
      </c>
      <c r="F944" t="s">
        <v>279</v>
      </c>
      <c r="G944" t="s">
        <v>31</v>
      </c>
      <c r="H944">
        <v>0</v>
      </c>
      <c r="I944" t="s">
        <v>370</v>
      </c>
    </row>
    <row r="945" spans="1:9" x14ac:dyDescent="0.25">
      <c r="A945">
        <v>70354</v>
      </c>
      <c r="B945" t="s">
        <v>190</v>
      </c>
      <c r="C945" t="s">
        <v>238</v>
      </c>
      <c r="D945">
        <v>4</v>
      </c>
      <c r="E945">
        <v>-29188</v>
      </c>
      <c r="F945" t="s">
        <v>279</v>
      </c>
      <c r="G945" t="s">
        <v>31</v>
      </c>
      <c r="H945">
        <v>0</v>
      </c>
      <c r="I945" t="s">
        <v>371</v>
      </c>
    </row>
    <row r="946" spans="1:9" x14ac:dyDescent="0.25">
      <c r="A946">
        <v>70354</v>
      </c>
      <c r="B946" t="s">
        <v>190</v>
      </c>
      <c r="C946" t="s">
        <v>238</v>
      </c>
      <c r="D946">
        <v>4</v>
      </c>
      <c r="E946">
        <v>-29188</v>
      </c>
      <c r="F946" t="s">
        <v>279</v>
      </c>
      <c r="G946" t="s">
        <v>31</v>
      </c>
      <c r="H946">
        <v>0</v>
      </c>
      <c r="I946" t="s">
        <v>328</v>
      </c>
    </row>
    <row r="947" spans="1:9" x14ac:dyDescent="0.25">
      <c r="A947">
        <v>70354</v>
      </c>
      <c r="B947" t="s">
        <v>190</v>
      </c>
      <c r="C947" t="s">
        <v>238</v>
      </c>
      <c r="D947">
        <v>4</v>
      </c>
      <c r="E947">
        <v>-29188</v>
      </c>
      <c r="F947" t="s">
        <v>279</v>
      </c>
      <c r="G947" t="s">
        <v>33</v>
      </c>
      <c r="H947">
        <v>0</v>
      </c>
      <c r="I947" t="s">
        <v>372</v>
      </c>
    </row>
    <row r="948" spans="1:9" x14ac:dyDescent="0.25">
      <c r="A948">
        <v>70354</v>
      </c>
      <c r="B948" t="s">
        <v>190</v>
      </c>
      <c r="C948" t="s">
        <v>238</v>
      </c>
      <c r="D948">
        <v>4</v>
      </c>
      <c r="E948">
        <v>-29188</v>
      </c>
      <c r="F948" t="s">
        <v>279</v>
      </c>
      <c r="G948" t="s">
        <v>33</v>
      </c>
      <c r="H948">
        <v>0</v>
      </c>
      <c r="I948" t="s">
        <v>329</v>
      </c>
    </row>
    <row r="949" spans="1:9" x14ac:dyDescent="0.25">
      <c r="A949">
        <v>70354</v>
      </c>
      <c r="B949" t="s">
        <v>190</v>
      </c>
      <c r="C949" t="s">
        <v>238</v>
      </c>
      <c r="D949">
        <v>4</v>
      </c>
      <c r="E949">
        <v>-29188</v>
      </c>
      <c r="F949" t="s">
        <v>279</v>
      </c>
      <c r="G949" t="s">
        <v>33</v>
      </c>
      <c r="H949">
        <v>2500</v>
      </c>
      <c r="I949" t="s">
        <v>319</v>
      </c>
    </row>
    <row r="950" spans="1:9" x14ac:dyDescent="0.25">
      <c r="A950">
        <v>70354</v>
      </c>
      <c r="B950" t="s">
        <v>190</v>
      </c>
      <c r="C950" t="s">
        <v>238</v>
      </c>
      <c r="D950">
        <v>4</v>
      </c>
      <c r="E950">
        <v>-29188</v>
      </c>
      <c r="F950" t="s">
        <v>279</v>
      </c>
      <c r="G950" t="s">
        <v>33</v>
      </c>
      <c r="H950">
        <v>0</v>
      </c>
      <c r="I950" t="s">
        <v>373</v>
      </c>
    </row>
    <row r="951" spans="1:9" x14ac:dyDescent="0.25">
      <c r="A951">
        <v>70357</v>
      </c>
      <c r="B951" t="s">
        <v>192</v>
      </c>
      <c r="C951" t="s">
        <v>238</v>
      </c>
      <c r="D951">
        <v>4</v>
      </c>
      <c r="E951">
        <v>-213711</v>
      </c>
      <c r="F951" t="s">
        <v>279</v>
      </c>
      <c r="G951" t="s">
        <v>31</v>
      </c>
      <c r="H951">
        <v>0</v>
      </c>
      <c r="I951" t="s">
        <v>364</v>
      </c>
    </row>
    <row r="952" spans="1:9" x14ac:dyDescent="0.25">
      <c r="A952">
        <v>70357</v>
      </c>
      <c r="B952" t="s">
        <v>192</v>
      </c>
      <c r="C952" t="s">
        <v>238</v>
      </c>
      <c r="D952">
        <v>4</v>
      </c>
      <c r="E952">
        <v>-213711</v>
      </c>
      <c r="F952" t="s">
        <v>279</v>
      </c>
      <c r="G952" t="s">
        <v>31</v>
      </c>
      <c r="H952">
        <v>0</v>
      </c>
      <c r="I952" t="s">
        <v>365</v>
      </c>
    </row>
    <row r="953" spans="1:9" x14ac:dyDescent="0.25">
      <c r="A953">
        <v>70357</v>
      </c>
      <c r="B953" t="s">
        <v>192</v>
      </c>
      <c r="C953" t="s">
        <v>238</v>
      </c>
      <c r="D953">
        <v>4</v>
      </c>
      <c r="E953">
        <v>-213711</v>
      </c>
      <c r="F953" t="s">
        <v>279</v>
      </c>
      <c r="G953" t="s">
        <v>31</v>
      </c>
      <c r="H953">
        <v>0</v>
      </c>
      <c r="I953" t="s">
        <v>366</v>
      </c>
    </row>
    <row r="954" spans="1:9" x14ac:dyDescent="0.25">
      <c r="A954">
        <v>70357</v>
      </c>
      <c r="B954" t="s">
        <v>192</v>
      </c>
      <c r="C954" t="s">
        <v>238</v>
      </c>
      <c r="D954">
        <v>4</v>
      </c>
      <c r="E954">
        <v>-213711</v>
      </c>
      <c r="F954" t="s">
        <v>279</v>
      </c>
      <c r="G954" t="s">
        <v>31</v>
      </c>
      <c r="H954">
        <v>0</v>
      </c>
      <c r="I954" t="s">
        <v>367</v>
      </c>
    </row>
    <row r="955" spans="1:9" x14ac:dyDescent="0.25">
      <c r="A955">
        <v>70357</v>
      </c>
      <c r="B955" t="s">
        <v>192</v>
      </c>
      <c r="C955" t="s">
        <v>238</v>
      </c>
      <c r="D955">
        <v>4</v>
      </c>
      <c r="E955">
        <v>-213711</v>
      </c>
      <c r="F955" t="s">
        <v>279</v>
      </c>
      <c r="G955" t="s">
        <v>31</v>
      </c>
      <c r="H955">
        <v>0</v>
      </c>
      <c r="I955" t="s">
        <v>368</v>
      </c>
    </row>
    <row r="956" spans="1:9" x14ac:dyDescent="0.25">
      <c r="A956">
        <v>70357</v>
      </c>
      <c r="B956" t="s">
        <v>192</v>
      </c>
      <c r="C956" t="s">
        <v>238</v>
      </c>
      <c r="D956">
        <v>4</v>
      </c>
      <c r="E956">
        <v>-213711</v>
      </c>
      <c r="F956" t="s">
        <v>279</v>
      </c>
      <c r="G956" t="s">
        <v>31</v>
      </c>
      <c r="H956">
        <v>0</v>
      </c>
      <c r="I956" t="s">
        <v>369</v>
      </c>
    </row>
    <row r="957" spans="1:9" x14ac:dyDescent="0.25">
      <c r="A957">
        <v>70357</v>
      </c>
      <c r="B957" t="s">
        <v>192</v>
      </c>
      <c r="C957" t="s">
        <v>238</v>
      </c>
      <c r="D957">
        <v>4</v>
      </c>
      <c r="E957">
        <v>-213711</v>
      </c>
      <c r="F957" t="s">
        <v>279</v>
      </c>
      <c r="G957" t="s">
        <v>31</v>
      </c>
      <c r="H957">
        <v>0</v>
      </c>
      <c r="I957" t="s">
        <v>370</v>
      </c>
    </row>
    <row r="958" spans="1:9" x14ac:dyDescent="0.25">
      <c r="A958">
        <v>70357</v>
      </c>
      <c r="B958" t="s">
        <v>192</v>
      </c>
      <c r="C958" t="s">
        <v>238</v>
      </c>
      <c r="D958">
        <v>4</v>
      </c>
      <c r="E958">
        <v>-213711</v>
      </c>
      <c r="F958" t="s">
        <v>279</v>
      </c>
      <c r="G958" t="s">
        <v>31</v>
      </c>
      <c r="H958">
        <v>0</v>
      </c>
      <c r="I958" t="s">
        <v>371</v>
      </c>
    </row>
    <row r="959" spans="1:9" x14ac:dyDescent="0.25">
      <c r="A959">
        <v>70357</v>
      </c>
      <c r="B959" t="s">
        <v>192</v>
      </c>
      <c r="C959" t="s">
        <v>238</v>
      </c>
      <c r="D959">
        <v>4</v>
      </c>
      <c r="E959">
        <v>-213711</v>
      </c>
      <c r="F959" t="s">
        <v>279</v>
      </c>
      <c r="G959" t="s">
        <v>31</v>
      </c>
      <c r="H959">
        <v>0</v>
      </c>
      <c r="I959" t="s">
        <v>328</v>
      </c>
    </row>
    <row r="960" spans="1:9" x14ac:dyDescent="0.25">
      <c r="A960">
        <v>70357</v>
      </c>
      <c r="B960" t="s">
        <v>192</v>
      </c>
      <c r="C960" t="s">
        <v>238</v>
      </c>
      <c r="D960">
        <v>4</v>
      </c>
      <c r="E960">
        <v>-213711</v>
      </c>
      <c r="F960" t="s">
        <v>279</v>
      </c>
      <c r="G960" t="s">
        <v>33</v>
      </c>
      <c r="H960">
        <v>0</v>
      </c>
      <c r="I960" t="s">
        <v>372</v>
      </c>
    </row>
    <row r="961" spans="1:9" x14ac:dyDescent="0.25">
      <c r="A961">
        <v>70357</v>
      </c>
      <c r="B961" t="s">
        <v>192</v>
      </c>
      <c r="C961" t="s">
        <v>238</v>
      </c>
      <c r="D961">
        <v>4</v>
      </c>
      <c r="E961">
        <v>-213711</v>
      </c>
      <c r="F961" t="s">
        <v>279</v>
      </c>
      <c r="G961" t="s">
        <v>33</v>
      </c>
      <c r="H961">
        <v>0</v>
      </c>
      <c r="I961" t="s">
        <v>329</v>
      </c>
    </row>
    <row r="962" spans="1:9" x14ac:dyDescent="0.25">
      <c r="A962">
        <v>70357</v>
      </c>
      <c r="B962" t="s">
        <v>192</v>
      </c>
      <c r="C962" t="s">
        <v>238</v>
      </c>
      <c r="D962">
        <v>4</v>
      </c>
      <c r="E962">
        <v>-213711</v>
      </c>
      <c r="F962" t="s">
        <v>279</v>
      </c>
      <c r="G962" t="s">
        <v>33</v>
      </c>
      <c r="H962">
        <v>9721</v>
      </c>
      <c r="I962" t="s">
        <v>319</v>
      </c>
    </row>
    <row r="963" spans="1:9" x14ac:dyDescent="0.25">
      <c r="A963">
        <v>70357</v>
      </c>
      <c r="B963" t="s">
        <v>192</v>
      </c>
      <c r="C963" t="s">
        <v>238</v>
      </c>
      <c r="D963">
        <v>4</v>
      </c>
      <c r="E963">
        <v>-213711</v>
      </c>
      <c r="F963" t="s">
        <v>279</v>
      </c>
      <c r="G963" t="s">
        <v>33</v>
      </c>
      <c r="H963">
        <v>0</v>
      </c>
      <c r="I963" t="s">
        <v>373</v>
      </c>
    </row>
    <row r="964" spans="1:9" x14ac:dyDescent="0.25">
      <c r="A964">
        <v>70357</v>
      </c>
      <c r="B964" t="s">
        <v>192</v>
      </c>
      <c r="C964" t="s">
        <v>238</v>
      </c>
      <c r="D964">
        <v>4</v>
      </c>
      <c r="E964">
        <v>-213711</v>
      </c>
      <c r="F964" t="s">
        <v>279</v>
      </c>
      <c r="G964" t="s">
        <v>33</v>
      </c>
      <c r="H964">
        <v>0</v>
      </c>
      <c r="I964" t="s">
        <v>374</v>
      </c>
    </row>
    <row r="965" spans="1:9" x14ac:dyDescent="0.25">
      <c r="A965">
        <v>70357</v>
      </c>
      <c r="B965" t="s">
        <v>192</v>
      </c>
      <c r="C965" t="s">
        <v>238</v>
      </c>
      <c r="D965">
        <v>4</v>
      </c>
      <c r="E965">
        <v>-213711</v>
      </c>
      <c r="F965" t="s">
        <v>279</v>
      </c>
      <c r="G965" t="s">
        <v>33</v>
      </c>
      <c r="H965">
        <v>2827</v>
      </c>
      <c r="I965" t="s">
        <v>326</v>
      </c>
    </row>
    <row r="966" spans="1:9" x14ac:dyDescent="0.25">
      <c r="A966">
        <v>70357</v>
      </c>
      <c r="B966" t="s">
        <v>192</v>
      </c>
      <c r="C966" t="s">
        <v>238</v>
      </c>
      <c r="D966">
        <v>4</v>
      </c>
      <c r="E966">
        <v>-213711</v>
      </c>
      <c r="F966" t="s">
        <v>279</v>
      </c>
      <c r="G966" t="s">
        <v>33</v>
      </c>
      <c r="H966">
        <v>0</v>
      </c>
      <c r="I966" t="s">
        <v>375</v>
      </c>
    </row>
    <row r="967" spans="1:9" x14ac:dyDescent="0.25">
      <c r="A967">
        <v>70357</v>
      </c>
      <c r="B967" t="s">
        <v>192</v>
      </c>
      <c r="C967" t="s">
        <v>238</v>
      </c>
      <c r="D967">
        <v>4</v>
      </c>
      <c r="E967">
        <v>-213711</v>
      </c>
      <c r="F967" t="s">
        <v>279</v>
      </c>
      <c r="G967" t="s">
        <v>33</v>
      </c>
      <c r="H967">
        <v>0</v>
      </c>
      <c r="I967" t="s">
        <v>376</v>
      </c>
    </row>
    <row r="968" spans="1:9" x14ac:dyDescent="0.25">
      <c r="A968">
        <v>70357</v>
      </c>
      <c r="B968" t="s">
        <v>192</v>
      </c>
      <c r="C968" t="s">
        <v>238</v>
      </c>
      <c r="D968">
        <v>4</v>
      </c>
      <c r="E968">
        <v>-213711</v>
      </c>
      <c r="F968" t="s">
        <v>279</v>
      </c>
      <c r="G968" t="s">
        <v>33</v>
      </c>
      <c r="H968">
        <v>0</v>
      </c>
      <c r="I968" t="s">
        <v>377</v>
      </c>
    </row>
    <row r="969" spans="1:9" x14ac:dyDescent="0.25">
      <c r="A969">
        <v>70357</v>
      </c>
      <c r="B969" t="s">
        <v>192</v>
      </c>
      <c r="C969" t="s">
        <v>238</v>
      </c>
      <c r="D969">
        <v>4</v>
      </c>
      <c r="E969">
        <v>-213711</v>
      </c>
      <c r="F969" t="s">
        <v>274</v>
      </c>
      <c r="G969" t="s">
        <v>275</v>
      </c>
      <c r="H969">
        <v>717033</v>
      </c>
      <c r="I969" t="s">
        <v>318</v>
      </c>
    </row>
    <row r="970" spans="1:9" x14ac:dyDescent="0.25">
      <c r="A970">
        <v>70357</v>
      </c>
      <c r="B970" t="s">
        <v>192</v>
      </c>
      <c r="C970" t="s">
        <v>238</v>
      </c>
      <c r="D970">
        <v>4</v>
      </c>
      <c r="E970">
        <v>-213711</v>
      </c>
      <c r="F970" t="s">
        <v>274</v>
      </c>
      <c r="G970" t="s">
        <v>300</v>
      </c>
      <c r="H970">
        <v>11838</v>
      </c>
      <c r="I970" t="s">
        <v>301</v>
      </c>
    </row>
    <row r="971" spans="1:9" x14ac:dyDescent="0.25">
      <c r="A971">
        <v>70357</v>
      </c>
      <c r="B971" t="s">
        <v>192</v>
      </c>
      <c r="C971" t="s">
        <v>238</v>
      </c>
      <c r="D971">
        <v>4</v>
      </c>
      <c r="E971">
        <v>-213711</v>
      </c>
      <c r="F971" t="s">
        <v>274</v>
      </c>
      <c r="G971" t="s">
        <v>275</v>
      </c>
      <c r="H971">
        <v>-14927</v>
      </c>
      <c r="I971" t="s">
        <v>302</v>
      </c>
    </row>
    <row r="972" spans="1:9" x14ac:dyDescent="0.25">
      <c r="A972">
        <v>70357</v>
      </c>
      <c r="B972" t="s">
        <v>192</v>
      </c>
      <c r="C972" t="s">
        <v>238</v>
      </c>
      <c r="D972">
        <v>4</v>
      </c>
      <c r="E972">
        <v>-213711</v>
      </c>
      <c r="F972" t="s">
        <v>279</v>
      </c>
      <c r="G972" t="s">
        <v>30</v>
      </c>
      <c r="H972">
        <v>280056</v>
      </c>
      <c r="I972" t="s">
        <v>303</v>
      </c>
    </row>
    <row r="973" spans="1:9" x14ac:dyDescent="0.25">
      <c r="A973">
        <v>70357</v>
      </c>
      <c r="B973" t="s">
        <v>192</v>
      </c>
      <c r="C973" t="s">
        <v>238</v>
      </c>
      <c r="D973">
        <v>4</v>
      </c>
      <c r="E973">
        <v>-213711</v>
      </c>
      <c r="F973" t="s">
        <v>279</v>
      </c>
      <c r="G973" t="s">
        <v>35</v>
      </c>
      <c r="H973">
        <v>9694</v>
      </c>
      <c r="I973" t="s">
        <v>304</v>
      </c>
    </row>
    <row r="974" spans="1:9" x14ac:dyDescent="0.25">
      <c r="A974">
        <v>70357</v>
      </c>
      <c r="B974" t="s">
        <v>192</v>
      </c>
      <c r="C974" t="s">
        <v>238</v>
      </c>
      <c r="D974">
        <v>4</v>
      </c>
      <c r="E974">
        <v>-213711</v>
      </c>
      <c r="F974" t="s">
        <v>279</v>
      </c>
      <c r="G974" t="s">
        <v>31</v>
      </c>
      <c r="H974">
        <v>191061</v>
      </c>
      <c r="I974" t="s">
        <v>305</v>
      </c>
    </row>
    <row r="975" spans="1:9" x14ac:dyDescent="0.25">
      <c r="A975">
        <v>70357</v>
      </c>
      <c r="B975" t="s">
        <v>192</v>
      </c>
      <c r="C975" t="s">
        <v>238</v>
      </c>
      <c r="D975">
        <v>4</v>
      </c>
      <c r="E975">
        <v>-213711</v>
      </c>
      <c r="F975" t="s">
        <v>279</v>
      </c>
      <c r="G975" t="s">
        <v>33</v>
      </c>
      <c r="H975">
        <v>0</v>
      </c>
      <c r="I975" t="s">
        <v>320</v>
      </c>
    </row>
    <row r="976" spans="1:9" x14ac:dyDescent="0.25">
      <c r="A976">
        <v>70357</v>
      </c>
      <c r="B976" t="s">
        <v>192</v>
      </c>
      <c r="C976" t="s">
        <v>238</v>
      </c>
      <c r="D976">
        <v>4</v>
      </c>
      <c r="E976">
        <v>-213711</v>
      </c>
      <c r="F976" t="s">
        <v>279</v>
      </c>
      <c r="G976" t="s">
        <v>33</v>
      </c>
      <c r="H976">
        <v>0</v>
      </c>
      <c r="I976" t="s">
        <v>306</v>
      </c>
    </row>
    <row r="977" spans="1:9" x14ac:dyDescent="0.25">
      <c r="A977">
        <v>70357</v>
      </c>
      <c r="B977" t="s">
        <v>192</v>
      </c>
      <c r="C977" t="s">
        <v>238</v>
      </c>
      <c r="D977">
        <v>4</v>
      </c>
      <c r="E977">
        <v>-213711</v>
      </c>
      <c r="F977" t="s">
        <v>279</v>
      </c>
      <c r="G977" t="s">
        <v>33</v>
      </c>
      <c r="H977">
        <v>0</v>
      </c>
      <c r="I977" t="s">
        <v>378</v>
      </c>
    </row>
    <row r="978" spans="1:9" x14ac:dyDescent="0.25">
      <c r="A978">
        <v>70357</v>
      </c>
      <c r="B978" t="s">
        <v>192</v>
      </c>
      <c r="C978" t="s">
        <v>238</v>
      </c>
      <c r="D978">
        <v>4</v>
      </c>
      <c r="E978">
        <v>-213711</v>
      </c>
      <c r="F978" t="s">
        <v>279</v>
      </c>
      <c r="G978" t="s">
        <v>31</v>
      </c>
      <c r="H978">
        <v>12060</v>
      </c>
      <c r="I978" t="s">
        <v>307</v>
      </c>
    </row>
    <row r="979" spans="1:9" x14ac:dyDescent="0.25">
      <c r="A979">
        <v>70357</v>
      </c>
      <c r="B979" t="s">
        <v>192</v>
      </c>
      <c r="C979" t="s">
        <v>238</v>
      </c>
      <c r="D979">
        <v>4</v>
      </c>
      <c r="E979">
        <v>-213711</v>
      </c>
      <c r="F979" t="s">
        <v>279</v>
      </c>
      <c r="G979" t="s">
        <v>31</v>
      </c>
      <c r="H979">
        <v>0</v>
      </c>
      <c r="I979" t="s">
        <v>379</v>
      </c>
    </row>
    <row r="980" spans="1:9" x14ac:dyDescent="0.25">
      <c r="A980">
        <v>70357</v>
      </c>
      <c r="B980" t="s">
        <v>192</v>
      </c>
      <c r="C980" t="s">
        <v>238</v>
      </c>
      <c r="D980">
        <v>4</v>
      </c>
      <c r="E980">
        <v>-213711</v>
      </c>
      <c r="F980" t="s">
        <v>279</v>
      </c>
      <c r="G980" t="s">
        <v>30</v>
      </c>
      <c r="H980">
        <v>10543</v>
      </c>
      <c r="I980" t="s">
        <v>308</v>
      </c>
    </row>
    <row r="981" spans="1:9" x14ac:dyDescent="0.25">
      <c r="A981">
        <v>70357</v>
      </c>
      <c r="B981" t="s">
        <v>192</v>
      </c>
      <c r="C981" t="s">
        <v>238</v>
      </c>
      <c r="D981">
        <v>4</v>
      </c>
      <c r="E981">
        <v>-213711</v>
      </c>
      <c r="F981" t="s">
        <v>279</v>
      </c>
      <c r="G981" t="s">
        <v>35</v>
      </c>
      <c r="H981">
        <v>6011</v>
      </c>
      <c r="I981" t="s">
        <v>321</v>
      </c>
    </row>
    <row r="982" spans="1:9" x14ac:dyDescent="0.25">
      <c r="A982">
        <v>70357</v>
      </c>
      <c r="B982" t="s">
        <v>192</v>
      </c>
      <c r="C982" t="s">
        <v>238</v>
      </c>
      <c r="D982">
        <v>4</v>
      </c>
      <c r="E982">
        <v>-213711</v>
      </c>
      <c r="F982" t="s">
        <v>279</v>
      </c>
      <c r="G982" t="s">
        <v>33</v>
      </c>
      <c r="H982">
        <v>0</v>
      </c>
      <c r="I982" t="s">
        <v>380</v>
      </c>
    </row>
    <row r="983" spans="1:9" x14ac:dyDescent="0.25">
      <c r="A983">
        <v>70357</v>
      </c>
      <c r="B983" t="s">
        <v>192</v>
      </c>
      <c r="C983" t="s">
        <v>238</v>
      </c>
      <c r="D983">
        <v>4</v>
      </c>
      <c r="E983">
        <v>-213711</v>
      </c>
      <c r="F983" t="s">
        <v>279</v>
      </c>
      <c r="G983" t="s">
        <v>35</v>
      </c>
      <c r="H983">
        <v>981</v>
      </c>
      <c r="I983" t="s">
        <v>309</v>
      </c>
    </row>
    <row r="984" spans="1:9" x14ac:dyDescent="0.25">
      <c r="A984">
        <v>70357</v>
      </c>
      <c r="B984" t="s">
        <v>192</v>
      </c>
      <c r="C984" t="s">
        <v>238</v>
      </c>
      <c r="D984">
        <v>4</v>
      </c>
      <c r="E984">
        <v>-213711</v>
      </c>
      <c r="F984" t="s">
        <v>279</v>
      </c>
      <c r="G984" t="s">
        <v>35</v>
      </c>
      <c r="H984">
        <v>1549</v>
      </c>
      <c r="I984" t="s">
        <v>310</v>
      </c>
    </row>
    <row r="985" spans="1:9" x14ac:dyDescent="0.25">
      <c r="A985">
        <v>70357</v>
      </c>
      <c r="B985" t="s">
        <v>192</v>
      </c>
      <c r="C985" t="s">
        <v>238</v>
      </c>
      <c r="D985">
        <v>4</v>
      </c>
      <c r="E985">
        <v>-213711</v>
      </c>
      <c r="F985" t="s">
        <v>279</v>
      </c>
      <c r="G985" t="s">
        <v>35</v>
      </c>
      <c r="H985">
        <v>13744</v>
      </c>
      <c r="I985" t="s">
        <v>311</v>
      </c>
    </row>
    <row r="986" spans="1:9" x14ac:dyDescent="0.25">
      <c r="A986">
        <v>70357</v>
      </c>
      <c r="B986" t="s">
        <v>192</v>
      </c>
      <c r="C986" t="s">
        <v>238</v>
      </c>
      <c r="D986">
        <v>4</v>
      </c>
      <c r="E986">
        <v>-213711</v>
      </c>
      <c r="F986" t="s">
        <v>279</v>
      </c>
      <c r="G986" t="s">
        <v>35</v>
      </c>
      <c r="H986">
        <v>319</v>
      </c>
      <c r="I986" t="s">
        <v>312</v>
      </c>
    </row>
    <row r="987" spans="1:9" x14ac:dyDescent="0.25">
      <c r="A987">
        <v>70357</v>
      </c>
      <c r="B987" t="s">
        <v>192</v>
      </c>
      <c r="C987" t="s">
        <v>238</v>
      </c>
      <c r="D987">
        <v>4</v>
      </c>
      <c r="E987">
        <v>-213711</v>
      </c>
      <c r="F987" t="s">
        <v>279</v>
      </c>
      <c r="G987" t="s">
        <v>35</v>
      </c>
      <c r="H987">
        <v>2060</v>
      </c>
      <c r="I987" t="s">
        <v>313</v>
      </c>
    </row>
    <row r="988" spans="1:9" x14ac:dyDescent="0.25">
      <c r="A988">
        <v>70357</v>
      </c>
      <c r="B988" t="s">
        <v>192</v>
      </c>
      <c r="C988" t="s">
        <v>238</v>
      </c>
      <c r="D988">
        <v>4</v>
      </c>
      <c r="E988">
        <v>-213711</v>
      </c>
      <c r="F988" t="s">
        <v>279</v>
      </c>
      <c r="G988" t="s">
        <v>37</v>
      </c>
      <c r="H988">
        <v>0</v>
      </c>
      <c r="I988" t="s">
        <v>381</v>
      </c>
    </row>
    <row r="989" spans="1:9" x14ac:dyDescent="0.25">
      <c r="A989">
        <v>70357</v>
      </c>
      <c r="B989" t="s">
        <v>192</v>
      </c>
      <c r="C989" t="s">
        <v>238</v>
      </c>
      <c r="D989">
        <v>4</v>
      </c>
      <c r="E989">
        <v>-213711</v>
      </c>
      <c r="F989" t="s">
        <v>279</v>
      </c>
      <c r="G989" t="s">
        <v>37</v>
      </c>
      <c r="H989">
        <v>26244</v>
      </c>
      <c r="I989" t="s">
        <v>314</v>
      </c>
    </row>
    <row r="990" spans="1:9" x14ac:dyDescent="0.25">
      <c r="A990">
        <v>70357</v>
      </c>
      <c r="B990" t="s">
        <v>192</v>
      </c>
      <c r="C990" t="s">
        <v>238</v>
      </c>
      <c r="D990">
        <v>4</v>
      </c>
      <c r="E990">
        <v>-213711</v>
      </c>
      <c r="F990" t="s">
        <v>279</v>
      </c>
      <c r="G990" t="s">
        <v>35</v>
      </c>
      <c r="H990">
        <v>2791</v>
      </c>
      <c r="I990" t="s">
        <v>315</v>
      </c>
    </row>
    <row r="991" spans="1:9" x14ac:dyDescent="0.25">
      <c r="A991">
        <v>70357</v>
      </c>
      <c r="B991" t="s">
        <v>192</v>
      </c>
      <c r="C991" t="s">
        <v>238</v>
      </c>
      <c r="D991">
        <v>4</v>
      </c>
      <c r="E991">
        <v>-213711</v>
      </c>
      <c r="F991" t="s">
        <v>279</v>
      </c>
      <c r="G991" t="s">
        <v>37</v>
      </c>
      <c r="H991">
        <v>0</v>
      </c>
      <c r="I991" t="s">
        <v>323</v>
      </c>
    </row>
    <row r="992" spans="1:9" x14ac:dyDescent="0.25">
      <c r="A992">
        <v>70357</v>
      </c>
      <c r="B992" t="s">
        <v>192</v>
      </c>
      <c r="C992" t="s">
        <v>238</v>
      </c>
      <c r="D992">
        <v>4</v>
      </c>
      <c r="E992">
        <v>-213711</v>
      </c>
      <c r="F992" t="s">
        <v>279</v>
      </c>
      <c r="G992" t="s">
        <v>37</v>
      </c>
      <c r="H992">
        <v>0</v>
      </c>
      <c r="I992" t="s">
        <v>322</v>
      </c>
    </row>
    <row r="993" spans="1:9" x14ac:dyDescent="0.25">
      <c r="A993">
        <v>70357</v>
      </c>
      <c r="B993" t="s">
        <v>192</v>
      </c>
      <c r="C993" t="s">
        <v>238</v>
      </c>
      <c r="D993">
        <v>4</v>
      </c>
      <c r="E993">
        <v>-213711</v>
      </c>
      <c r="F993" t="s">
        <v>279</v>
      </c>
      <c r="G993" t="s">
        <v>37</v>
      </c>
      <c r="H993">
        <v>0</v>
      </c>
      <c r="I993" t="s">
        <v>382</v>
      </c>
    </row>
    <row r="994" spans="1:9" x14ac:dyDescent="0.25">
      <c r="A994">
        <v>70357</v>
      </c>
      <c r="B994" t="s">
        <v>192</v>
      </c>
      <c r="C994" t="s">
        <v>238</v>
      </c>
      <c r="D994">
        <v>4</v>
      </c>
      <c r="E994">
        <v>-213711</v>
      </c>
      <c r="F994" t="s">
        <v>279</v>
      </c>
      <c r="G994" t="s">
        <v>37</v>
      </c>
      <c r="H994">
        <v>16574</v>
      </c>
      <c r="I994" t="s">
        <v>316</v>
      </c>
    </row>
    <row r="995" spans="1:9" x14ac:dyDescent="0.25">
      <c r="A995">
        <v>70357</v>
      </c>
      <c r="B995" t="s">
        <v>192</v>
      </c>
      <c r="C995" t="s">
        <v>238</v>
      </c>
      <c r="D995">
        <v>4</v>
      </c>
      <c r="E995">
        <v>-213711</v>
      </c>
      <c r="F995" t="s">
        <v>279</v>
      </c>
      <c r="G995" t="s">
        <v>36</v>
      </c>
      <c r="H995">
        <v>36127</v>
      </c>
      <c r="I995" t="s">
        <v>317</v>
      </c>
    </row>
    <row r="996" spans="1:9" x14ac:dyDescent="0.25">
      <c r="A996">
        <v>70357</v>
      </c>
      <c r="B996" t="s">
        <v>192</v>
      </c>
      <c r="C996" t="s">
        <v>238</v>
      </c>
      <c r="D996">
        <v>4</v>
      </c>
      <c r="E996">
        <v>-213711</v>
      </c>
      <c r="F996" t="s">
        <v>274</v>
      </c>
      <c r="G996" t="s">
        <v>275</v>
      </c>
      <c r="H996">
        <v>0</v>
      </c>
      <c r="I996" t="s">
        <v>276</v>
      </c>
    </row>
    <row r="997" spans="1:9" x14ac:dyDescent="0.25">
      <c r="A997">
        <v>70357</v>
      </c>
      <c r="B997" t="s">
        <v>192</v>
      </c>
      <c r="C997" t="s">
        <v>238</v>
      </c>
      <c r="D997">
        <v>4</v>
      </c>
      <c r="E997">
        <v>-213711</v>
      </c>
      <c r="F997" t="s">
        <v>279</v>
      </c>
      <c r="G997" t="s">
        <v>29</v>
      </c>
      <c r="H997">
        <v>0</v>
      </c>
      <c r="I997" t="s">
        <v>324</v>
      </c>
    </row>
    <row r="998" spans="1:9" x14ac:dyDescent="0.25">
      <c r="A998">
        <v>70357</v>
      </c>
      <c r="B998" t="s">
        <v>192</v>
      </c>
      <c r="C998" t="s">
        <v>238</v>
      </c>
      <c r="D998">
        <v>4</v>
      </c>
      <c r="E998">
        <v>-213711</v>
      </c>
      <c r="F998" t="s">
        <v>274</v>
      </c>
      <c r="G998" t="s">
        <v>277</v>
      </c>
      <c r="H998">
        <v>0</v>
      </c>
      <c r="I998" t="s">
        <v>278</v>
      </c>
    </row>
    <row r="999" spans="1:9" x14ac:dyDescent="0.25">
      <c r="A999">
        <v>70357</v>
      </c>
      <c r="B999" t="s">
        <v>192</v>
      </c>
      <c r="C999" t="s">
        <v>238</v>
      </c>
      <c r="D999">
        <v>4</v>
      </c>
      <c r="E999">
        <v>-213711</v>
      </c>
      <c r="F999" t="s">
        <v>274</v>
      </c>
      <c r="G999" t="s">
        <v>300</v>
      </c>
      <c r="H999">
        <v>0</v>
      </c>
      <c r="I999" t="s">
        <v>383</v>
      </c>
    </row>
    <row r="1000" spans="1:9" x14ac:dyDescent="0.25">
      <c r="A1000">
        <v>70357</v>
      </c>
      <c r="B1000" t="s">
        <v>192</v>
      </c>
      <c r="C1000" t="s">
        <v>238</v>
      </c>
      <c r="D1000">
        <v>4</v>
      </c>
      <c r="E1000">
        <v>-213711</v>
      </c>
      <c r="F1000" t="s">
        <v>279</v>
      </c>
      <c r="G1000" t="s">
        <v>33</v>
      </c>
      <c r="H1000">
        <v>28734</v>
      </c>
      <c r="I1000" t="s">
        <v>280</v>
      </c>
    </row>
    <row r="1001" spans="1:9" x14ac:dyDescent="0.25">
      <c r="A1001">
        <v>70357</v>
      </c>
      <c r="B1001" t="s">
        <v>192</v>
      </c>
      <c r="C1001" t="s">
        <v>238</v>
      </c>
      <c r="D1001">
        <v>4</v>
      </c>
      <c r="E1001">
        <v>-213711</v>
      </c>
      <c r="F1001" t="s">
        <v>279</v>
      </c>
      <c r="G1001" t="s">
        <v>29</v>
      </c>
      <c r="H1001">
        <v>7027</v>
      </c>
      <c r="I1001" t="s">
        <v>281</v>
      </c>
    </row>
    <row r="1002" spans="1:9" x14ac:dyDescent="0.25">
      <c r="A1002">
        <v>70357</v>
      </c>
      <c r="B1002" t="s">
        <v>192</v>
      </c>
      <c r="C1002" t="s">
        <v>238</v>
      </c>
      <c r="D1002">
        <v>4</v>
      </c>
      <c r="E1002">
        <v>-213711</v>
      </c>
      <c r="F1002" t="s">
        <v>279</v>
      </c>
      <c r="G1002" t="s">
        <v>29</v>
      </c>
      <c r="H1002">
        <v>50367</v>
      </c>
      <c r="I1002" t="s">
        <v>282</v>
      </c>
    </row>
    <row r="1003" spans="1:9" x14ac:dyDescent="0.25">
      <c r="A1003">
        <v>70357</v>
      </c>
      <c r="B1003" t="s">
        <v>192</v>
      </c>
      <c r="C1003" t="s">
        <v>238</v>
      </c>
      <c r="D1003">
        <v>4</v>
      </c>
      <c r="E1003">
        <v>-213711</v>
      </c>
      <c r="F1003" t="s">
        <v>279</v>
      </c>
      <c r="G1003" t="s">
        <v>35</v>
      </c>
      <c r="H1003">
        <v>62679</v>
      </c>
      <c r="I1003" t="s">
        <v>283</v>
      </c>
    </row>
    <row r="1004" spans="1:9" x14ac:dyDescent="0.25">
      <c r="A1004">
        <v>70357</v>
      </c>
      <c r="B1004" t="s">
        <v>192</v>
      </c>
      <c r="C1004" t="s">
        <v>238</v>
      </c>
      <c r="D1004">
        <v>4</v>
      </c>
      <c r="E1004">
        <v>-213711</v>
      </c>
      <c r="F1004" t="s">
        <v>279</v>
      </c>
      <c r="G1004" t="s">
        <v>29</v>
      </c>
      <c r="H1004">
        <v>5011</v>
      </c>
      <c r="I1004" t="s">
        <v>284</v>
      </c>
    </row>
    <row r="1005" spans="1:9" x14ac:dyDescent="0.25">
      <c r="A1005">
        <v>70357</v>
      </c>
      <c r="B1005" t="s">
        <v>192</v>
      </c>
      <c r="C1005" t="s">
        <v>238</v>
      </c>
      <c r="D1005">
        <v>4</v>
      </c>
      <c r="E1005">
        <v>-213711</v>
      </c>
      <c r="F1005" t="s">
        <v>279</v>
      </c>
      <c r="G1005" t="s">
        <v>29</v>
      </c>
      <c r="H1005">
        <v>25410</v>
      </c>
      <c r="I1005" t="s">
        <v>285</v>
      </c>
    </row>
    <row r="1006" spans="1:9" x14ac:dyDescent="0.25">
      <c r="A1006">
        <v>70357</v>
      </c>
      <c r="B1006" t="s">
        <v>192</v>
      </c>
      <c r="C1006" t="s">
        <v>238</v>
      </c>
      <c r="D1006">
        <v>4</v>
      </c>
      <c r="E1006">
        <v>-213711</v>
      </c>
      <c r="F1006" t="s">
        <v>279</v>
      </c>
      <c r="G1006" t="s">
        <v>29</v>
      </c>
      <c r="H1006">
        <v>0</v>
      </c>
      <c r="I1006" t="s">
        <v>286</v>
      </c>
    </row>
    <row r="1007" spans="1:9" x14ac:dyDescent="0.25">
      <c r="A1007">
        <v>70357</v>
      </c>
      <c r="B1007" t="s">
        <v>192</v>
      </c>
      <c r="C1007" t="s">
        <v>238</v>
      </c>
      <c r="D1007">
        <v>4</v>
      </c>
      <c r="E1007">
        <v>-213711</v>
      </c>
      <c r="F1007" t="s">
        <v>279</v>
      </c>
      <c r="G1007" t="s">
        <v>29</v>
      </c>
      <c r="H1007">
        <v>0</v>
      </c>
      <c r="I1007" t="s">
        <v>327</v>
      </c>
    </row>
    <row r="1008" spans="1:9" x14ac:dyDescent="0.25">
      <c r="A1008">
        <v>70357</v>
      </c>
      <c r="B1008" t="s">
        <v>192</v>
      </c>
      <c r="C1008" t="s">
        <v>238</v>
      </c>
      <c r="D1008">
        <v>4</v>
      </c>
      <c r="E1008">
        <v>-213711</v>
      </c>
      <c r="F1008" t="s">
        <v>279</v>
      </c>
      <c r="G1008" t="s">
        <v>34</v>
      </c>
      <c r="H1008">
        <v>4391</v>
      </c>
      <c r="I1008" t="s">
        <v>287</v>
      </c>
    </row>
    <row r="1009" spans="1:9" x14ac:dyDescent="0.25">
      <c r="A1009">
        <v>70357</v>
      </c>
      <c r="B1009" t="s">
        <v>192</v>
      </c>
      <c r="C1009" t="s">
        <v>238</v>
      </c>
      <c r="D1009">
        <v>4</v>
      </c>
      <c r="E1009">
        <v>-213711</v>
      </c>
      <c r="F1009" t="s">
        <v>279</v>
      </c>
      <c r="G1009" t="s">
        <v>29</v>
      </c>
      <c r="H1009">
        <v>33892</v>
      </c>
      <c r="I1009" t="s">
        <v>288</v>
      </c>
    </row>
    <row r="1010" spans="1:9" x14ac:dyDescent="0.25">
      <c r="A1010">
        <v>70357</v>
      </c>
      <c r="B1010" t="s">
        <v>192</v>
      </c>
      <c r="C1010" t="s">
        <v>238</v>
      </c>
      <c r="D1010">
        <v>4</v>
      </c>
      <c r="E1010">
        <v>-213711</v>
      </c>
      <c r="F1010" t="s">
        <v>279</v>
      </c>
      <c r="G1010" t="s">
        <v>34</v>
      </c>
      <c r="H1010">
        <v>12200</v>
      </c>
      <c r="I1010" t="s">
        <v>289</v>
      </c>
    </row>
    <row r="1011" spans="1:9" x14ac:dyDescent="0.25">
      <c r="A1011">
        <v>70357</v>
      </c>
      <c r="B1011" t="s">
        <v>192</v>
      </c>
      <c r="C1011" t="s">
        <v>238</v>
      </c>
      <c r="D1011">
        <v>4</v>
      </c>
      <c r="E1011">
        <v>-213711</v>
      </c>
      <c r="F1011" t="s">
        <v>279</v>
      </c>
      <c r="G1011" t="s">
        <v>29</v>
      </c>
      <c r="H1011">
        <v>7808</v>
      </c>
      <c r="I1011" t="s">
        <v>290</v>
      </c>
    </row>
    <row r="1012" spans="1:9" x14ac:dyDescent="0.25">
      <c r="A1012">
        <v>70357</v>
      </c>
      <c r="B1012" t="s">
        <v>192</v>
      </c>
      <c r="C1012" t="s">
        <v>238</v>
      </c>
      <c r="D1012">
        <v>4</v>
      </c>
      <c r="E1012">
        <v>-213711</v>
      </c>
      <c r="F1012" t="s">
        <v>279</v>
      </c>
      <c r="G1012" t="s">
        <v>32</v>
      </c>
      <c r="H1012">
        <v>43548</v>
      </c>
      <c r="I1012" t="s">
        <v>291</v>
      </c>
    </row>
    <row r="1013" spans="1:9" x14ac:dyDescent="0.25">
      <c r="A1013">
        <v>70357</v>
      </c>
      <c r="B1013" t="s">
        <v>192</v>
      </c>
      <c r="C1013" t="s">
        <v>238</v>
      </c>
      <c r="D1013">
        <v>4</v>
      </c>
      <c r="E1013">
        <v>-213711</v>
      </c>
      <c r="F1013" t="s">
        <v>279</v>
      </c>
      <c r="G1013" t="s">
        <v>29</v>
      </c>
      <c r="H1013">
        <v>10867</v>
      </c>
      <c r="I1013" t="s">
        <v>292</v>
      </c>
    </row>
    <row r="1014" spans="1:9" x14ac:dyDescent="0.25">
      <c r="A1014">
        <v>70357</v>
      </c>
      <c r="B1014" t="s">
        <v>192</v>
      </c>
      <c r="C1014" t="s">
        <v>238</v>
      </c>
      <c r="D1014">
        <v>4</v>
      </c>
      <c r="E1014">
        <v>-213711</v>
      </c>
      <c r="F1014" t="s">
        <v>279</v>
      </c>
      <c r="G1014" t="s">
        <v>29</v>
      </c>
      <c r="H1014">
        <v>0</v>
      </c>
      <c r="I1014" t="s">
        <v>384</v>
      </c>
    </row>
    <row r="1015" spans="1:9" x14ac:dyDescent="0.25">
      <c r="A1015">
        <v>70357</v>
      </c>
      <c r="B1015" t="s">
        <v>192</v>
      </c>
      <c r="C1015" t="s">
        <v>238</v>
      </c>
      <c r="D1015">
        <v>4</v>
      </c>
      <c r="E1015">
        <v>-213711</v>
      </c>
      <c r="F1015" t="s">
        <v>279</v>
      </c>
      <c r="G1015" t="s">
        <v>35</v>
      </c>
      <c r="H1015">
        <v>3929</v>
      </c>
      <c r="I1015" t="s">
        <v>293</v>
      </c>
    </row>
    <row r="1016" spans="1:9" x14ac:dyDescent="0.25">
      <c r="A1016">
        <v>70357</v>
      </c>
      <c r="B1016" t="s">
        <v>192</v>
      </c>
      <c r="C1016" t="s">
        <v>238</v>
      </c>
      <c r="D1016">
        <v>4</v>
      </c>
      <c r="E1016">
        <v>-213711</v>
      </c>
      <c r="F1016" t="s">
        <v>279</v>
      </c>
      <c r="G1016" t="s">
        <v>35</v>
      </c>
      <c r="H1016">
        <v>5399</v>
      </c>
      <c r="I1016" t="s">
        <v>294</v>
      </c>
    </row>
    <row r="1017" spans="1:9" x14ac:dyDescent="0.25">
      <c r="A1017">
        <v>70357</v>
      </c>
      <c r="B1017" t="s">
        <v>192</v>
      </c>
      <c r="C1017" t="s">
        <v>238</v>
      </c>
      <c r="D1017">
        <v>4</v>
      </c>
      <c r="E1017">
        <v>-213711</v>
      </c>
      <c r="F1017" t="s">
        <v>279</v>
      </c>
      <c r="G1017" t="s">
        <v>35</v>
      </c>
      <c r="H1017">
        <v>3628</v>
      </c>
      <c r="I1017" t="s">
        <v>295</v>
      </c>
    </row>
    <row r="1018" spans="1:9" x14ac:dyDescent="0.25">
      <c r="A1018">
        <v>70357</v>
      </c>
      <c r="B1018" t="s">
        <v>192</v>
      </c>
      <c r="C1018" t="s">
        <v>238</v>
      </c>
      <c r="D1018">
        <v>4</v>
      </c>
      <c r="E1018">
        <v>-213711</v>
      </c>
      <c r="F1018" t="s">
        <v>279</v>
      </c>
      <c r="G1018" t="s">
        <v>35</v>
      </c>
      <c r="H1018">
        <v>1460</v>
      </c>
      <c r="I1018" t="s">
        <v>296</v>
      </c>
    </row>
    <row r="1019" spans="1:9" x14ac:dyDescent="0.25">
      <c r="A1019">
        <v>70357</v>
      </c>
      <c r="B1019" t="s">
        <v>192</v>
      </c>
      <c r="C1019" t="s">
        <v>238</v>
      </c>
      <c r="D1019">
        <v>4</v>
      </c>
      <c r="E1019">
        <v>-213711</v>
      </c>
      <c r="F1019" t="s">
        <v>279</v>
      </c>
      <c r="G1019" t="s">
        <v>35</v>
      </c>
      <c r="H1019">
        <v>0</v>
      </c>
      <c r="I1019" t="s">
        <v>325</v>
      </c>
    </row>
    <row r="1020" spans="1:9" x14ac:dyDescent="0.25">
      <c r="A1020">
        <v>70357</v>
      </c>
      <c r="B1020" t="s">
        <v>192</v>
      </c>
      <c r="C1020" t="s">
        <v>238</v>
      </c>
      <c r="D1020">
        <v>4</v>
      </c>
      <c r="E1020">
        <v>-213711</v>
      </c>
      <c r="F1020" t="s">
        <v>279</v>
      </c>
      <c r="G1020" t="s">
        <v>29</v>
      </c>
      <c r="H1020">
        <v>5644</v>
      </c>
      <c r="I1020" t="s">
        <v>297</v>
      </c>
    </row>
    <row r="1021" spans="1:9" x14ac:dyDescent="0.25">
      <c r="A1021">
        <v>70357</v>
      </c>
      <c r="B1021" t="s">
        <v>192</v>
      </c>
      <c r="C1021" t="s">
        <v>238</v>
      </c>
      <c r="D1021">
        <v>4</v>
      </c>
      <c r="E1021">
        <v>-213711</v>
      </c>
      <c r="F1021" t="s">
        <v>279</v>
      </c>
      <c r="G1021" t="s">
        <v>36</v>
      </c>
      <c r="H1021">
        <v>23514</v>
      </c>
      <c r="I1021" t="s">
        <v>298</v>
      </c>
    </row>
    <row r="1022" spans="1:9" x14ac:dyDescent="0.25">
      <c r="A1022">
        <v>70357</v>
      </c>
      <c r="B1022" t="s">
        <v>192</v>
      </c>
      <c r="C1022" t="s">
        <v>238</v>
      </c>
      <c r="D1022">
        <v>4</v>
      </c>
      <c r="E1022">
        <v>-213711</v>
      </c>
      <c r="F1022" t="s">
        <v>274</v>
      </c>
      <c r="G1022" t="s">
        <v>275</v>
      </c>
      <c r="H1022">
        <v>30215</v>
      </c>
      <c r="I1022" t="s">
        <v>299</v>
      </c>
    </row>
    <row r="1023" spans="1:9" x14ac:dyDescent="0.25">
      <c r="A1023">
        <v>70357</v>
      </c>
      <c r="B1023" t="s">
        <v>192</v>
      </c>
      <c r="C1023" t="s">
        <v>238</v>
      </c>
      <c r="D1023">
        <v>4</v>
      </c>
      <c r="E1023">
        <v>-213711</v>
      </c>
      <c r="F1023" t="s">
        <v>274</v>
      </c>
      <c r="G1023" t="s">
        <v>275</v>
      </c>
      <c r="H1023">
        <v>0</v>
      </c>
      <c r="I1023" t="s">
        <v>385</v>
      </c>
    </row>
    <row r="1024" spans="1:9" x14ac:dyDescent="0.25">
      <c r="A1024">
        <v>70358</v>
      </c>
      <c r="B1024" t="s">
        <v>194</v>
      </c>
      <c r="C1024" t="s">
        <v>238</v>
      </c>
      <c r="D1024">
        <v>4</v>
      </c>
      <c r="E1024">
        <v>94508</v>
      </c>
      <c r="F1024" t="s">
        <v>279</v>
      </c>
      <c r="G1024" t="s">
        <v>33</v>
      </c>
      <c r="H1024">
        <v>38190</v>
      </c>
      <c r="I1024" t="s">
        <v>280</v>
      </c>
    </row>
    <row r="1025" spans="1:9" x14ac:dyDescent="0.25">
      <c r="A1025">
        <v>70358</v>
      </c>
      <c r="B1025" t="s">
        <v>194</v>
      </c>
      <c r="C1025" t="s">
        <v>238</v>
      </c>
      <c r="D1025">
        <v>4</v>
      </c>
      <c r="E1025">
        <v>94508</v>
      </c>
      <c r="F1025" t="s">
        <v>279</v>
      </c>
      <c r="G1025" t="s">
        <v>29</v>
      </c>
      <c r="H1025">
        <v>3899</v>
      </c>
      <c r="I1025" t="s">
        <v>281</v>
      </c>
    </row>
    <row r="1026" spans="1:9" x14ac:dyDescent="0.25">
      <c r="A1026">
        <v>70358</v>
      </c>
      <c r="B1026" t="s">
        <v>194</v>
      </c>
      <c r="C1026" t="s">
        <v>238</v>
      </c>
      <c r="D1026">
        <v>4</v>
      </c>
      <c r="E1026">
        <v>94508</v>
      </c>
      <c r="F1026" t="s">
        <v>279</v>
      </c>
      <c r="G1026" t="s">
        <v>29</v>
      </c>
      <c r="H1026">
        <v>52799</v>
      </c>
      <c r="I1026" t="s">
        <v>282</v>
      </c>
    </row>
    <row r="1027" spans="1:9" x14ac:dyDescent="0.25">
      <c r="A1027">
        <v>70358</v>
      </c>
      <c r="B1027" t="s">
        <v>194</v>
      </c>
      <c r="C1027" t="s">
        <v>238</v>
      </c>
      <c r="D1027">
        <v>4</v>
      </c>
      <c r="E1027">
        <v>94508</v>
      </c>
      <c r="F1027" t="s">
        <v>279</v>
      </c>
      <c r="G1027" t="s">
        <v>35</v>
      </c>
      <c r="H1027">
        <v>54267</v>
      </c>
      <c r="I1027" t="s">
        <v>283</v>
      </c>
    </row>
    <row r="1028" spans="1:9" x14ac:dyDescent="0.25">
      <c r="A1028">
        <v>70358</v>
      </c>
      <c r="B1028" t="s">
        <v>194</v>
      </c>
      <c r="C1028" t="s">
        <v>238</v>
      </c>
      <c r="D1028">
        <v>4</v>
      </c>
      <c r="E1028">
        <v>94508</v>
      </c>
      <c r="F1028" t="s">
        <v>279</v>
      </c>
      <c r="G1028" t="s">
        <v>29</v>
      </c>
      <c r="H1028">
        <v>4564</v>
      </c>
      <c r="I1028" t="s">
        <v>284</v>
      </c>
    </row>
    <row r="1029" spans="1:9" x14ac:dyDescent="0.25">
      <c r="A1029">
        <v>70358</v>
      </c>
      <c r="B1029" t="s">
        <v>194</v>
      </c>
      <c r="C1029" t="s">
        <v>238</v>
      </c>
      <c r="D1029">
        <v>4</v>
      </c>
      <c r="E1029">
        <v>94508</v>
      </c>
      <c r="F1029" t="s">
        <v>279</v>
      </c>
      <c r="G1029" t="s">
        <v>29</v>
      </c>
      <c r="H1029">
        <v>27337</v>
      </c>
      <c r="I1029" t="s">
        <v>285</v>
      </c>
    </row>
    <row r="1030" spans="1:9" x14ac:dyDescent="0.25">
      <c r="A1030">
        <v>70358</v>
      </c>
      <c r="B1030" t="s">
        <v>194</v>
      </c>
      <c r="C1030" t="s">
        <v>238</v>
      </c>
      <c r="D1030">
        <v>4</v>
      </c>
      <c r="E1030">
        <v>94508</v>
      </c>
      <c r="F1030" t="s">
        <v>279</v>
      </c>
      <c r="G1030" t="s">
        <v>29</v>
      </c>
      <c r="H1030">
        <v>593</v>
      </c>
      <c r="I1030" t="s">
        <v>286</v>
      </c>
    </row>
    <row r="1031" spans="1:9" x14ac:dyDescent="0.25">
      <c r="A1031">
        <v>70358</v>
      </c>
      <c r="B1031" t="s">
        <v>194</v>
      </c>
      <c r="C1031" t="s">
        <v>238</v>
      </c>
      <c r="D1031">
        <v>4</v>
      </c>
      <c r="E1031">
        <v>94508</v>
      </c>
      <c r="F1031" t="s">
        <v>279</v>
      </c>
      <c r="G1031" t="s">
        <v>29</v>
      </c>
      <c r="H1031">
        <v>0</v>
      </c>
      <c r="I1031" t="s">
        <v>327</v>
      </c>
    </row>
    <row r="1032" spans="1:9" x14ac:dyDescent="0.25">
      <c r="A1032">
        <v>70358</v>
      </c>
      <c r="B1032" t="s">
        <v>194</v>
      </c>
      <c r="C1032" t="s">
        <v>238</v>
      </c>
      <c r="D1032">
        <v>4</v>
      </c>
      <c r="E1032">
        <v>94508</v>
      </c>
      <c r="F1032" t="s">
        <v>279</v>
      </c>
      <c r="G1032" t="s">
        <v>34</v>
      </c>
      <c r="H1032">
        <v>7347</v>
      </c>
      <c r="I1032" t="s">
        <v>287</v>
      </c>
    </row>
    <row r="1033" spans="1:9" x14ac:dyDescent="0.25">
      <c r="A1033">
        <v>70358</v>
      </c>
      <c r="B1033" t="s">
        <v>194</v>
      </c>
      <c r="C1033" t="s">
        <v>238</v>
      </c>
      <c r="D1033">
        <v>4</v>
      </c>
      <c r="E1033">
        <v>94508</v>
      </c>
      <c r="F1033" t="s">
        <v>279</v>
      </c>
      <c r="G1033" t="s">
        <v>29</v>
      </c>
      <c r="H1033">
        <v>44721</v>
      </c>
      <c r="I1033" t="s">
        <v>288</v>
      </c>
    </row>
    <row r="1034" spans="1:9" x14ac:dyDescent="0.25">
      <c r="A1034">
        <v>70358</v>
      </c>
      <c r="B1034" t="s">
        <v>194</v>
      </c>
      <c r="C1034" t="s">
        <v>238</v>
      </c>
      <c r="D1034">
        <v>4</v>
      </c>
      <c r="E1034">
        <v>94508</v>
      </c>
      <c r="F1034" t="s">
        <v>279</v>
      </c>
      <c r="G1034" t="s">
        <v>34</v>
      </c>
      <c r="H1034">
        <v>10700</v>
      </c>
      <c r="I1034" t="s">
        <v>289</v>
      </c>
    </row>
    <row r="1035" spans="1:9" x14ac:dyDescent="0.25">
      <c r="A1035">
        <v>70358</v>
      </c>
      <c r="B1035" t="s">
        <v>194</v>
      </c>
      <c r="C1035" t="s">
        <v>238</v>
      </c>
      <c r="D1035">
        <v>4</v>
      </c>
      <c r="E1035">
        <v>94508</v>
      </c>
      <c r="F1035" t="s">
        <v>279</v>
      </c>
      <c r="G1035" t="s">
        <v>29</v>
      </c>
      <c r="H1035">
        <v>5566</v>
      </c>
      <c r="I1035" t="s">
        <v>290</v>
      </c>
    </row>
    <row r="1036" spans="1:9" x14ac:dyDescent="0.25">
      <c r="A1036">
        <v>70358</v>
      </c>
      <c r="B1036" t="s">
        <v>194</v>
      </c>
      <c r="C1036" t="s">
        <v>238</v>
      </c>
      <c r="D1036">
        <v>4</v>
      </c>
      <c r="E1036">
        <v>94508</v>
      </c>
      <c r="F1036" t="s">
        <v>279</v>
      </c>
      <c r="G1036" t="s">
        <v>32</v>
      </c>
      <c r="H1036">
        <v>59165</v>
      </c>
      <c r="I1036" t="s">
        <v>291</v>
      </c>
    </row>
    <row r="1037" spans="1:9" x14ac:dyDescent="0.25">
      <c r="A1037">
        <v>70358</v>
      </c>
      <c r="B1037" t="s">
        <v>194</v>
      </c>
      <c r="C1037" t="s">
        <v>238</v>
      </c>
      <c r="D1037">
        <v>4</v>
      </c>
      <c r="E1037">
        <v>94508</v>
      </c>
      <c r="F1037" t="s">
        <v>279</v>
      </c>
      <c r="G1037" t="s">
        <v>29</v>
      </c>
      <c r="H1037">
        <v>11732</v>
      </c>
      <c r="I1037" t="s">
        <v>292</v>
      </c>
    </row>
    <row r="1038" spans="1:9" x14ac:dyDescent="0.25">
      <c r="A1038">
        <v>70358</v>
      </c>
      <c r="B1038" t="s">
        <v>194</v>
      </c>
      <c r="C1038" t="s">
        <v>238</v>
      </c>
      <c r="D1038">
        <v>4</v>
      </c>
      <c r="E1038">
        <v>94508</v>
      </c>
      <c r="F1038" t="s">
        <v>279</v>
      </c>
      <c r="G1038" t="s">
        <v>29</v>
      </c>
      <c r="H1038">
        <v>0</v>
      </c>
      <c r="I1038" t="s">
        <v>384</v>
      </c>
    </row>
    <row r="1039" spans="1:9" x14ac:dyDescent="0.25">
      <c r="A1039">
        <v>70358</v>
      </c>
      <c r="B1039" t="s">
        <v>194</v>
      </c>
      <c r="C1039" t="s">
        <v>238</v>
      </c>
      <c r="D1039">
        <v>4</v>
      </c>
      <c r="E1039">
        <v>94508</v>
      </c>
      <c r="F1039" t="s">
        <v>279</v>
      </c>
      <c r="G1039" t="s">
        <v>35</v>
      </c>
      <c r="H1039">
        <v>3188</v>
      </c>
      <c r="I1039" t="s">
        <v>293</v>
      </c>
    </row>
    <row r="1040" spans="1:9" x14ac:dyDescent="0.25">
      <c r="A1040">
        <v>70358</v>
      </c>
      <c r="B1040" t="s">
        <v>194</v>
      </c>
      <c r="C1040" t="s">
        <v>238</v>
      </c>
      <c r="D1040">
        <v>4</v>
      </c>
      <c r="E1040">
        <v>94508</v>
      </c>
      <c r="F1040" t="s">
        <v>279</v>
      </c>
      <c r="G1040" t="s">
        <v>35</v>
      </c>
      <c r="H1040">
        <v>147</v>
      </c>
      <c r="I1040" t="s">
        <v>294</v>
      </c>
    </row>
    <row r="1041" spans="1:9" x14ac:dyDescent="0.25">
      <c r="A1041">
        <v>70358</v>
      </c>
      <c r="B1041" t="s">
        <v>194</v>
      </c>
      <c r="C1041" t="s">
        <v>238</v>
      </c>
      <c r="D1041">
        <v>4</v>
      </c>
      <c r="E1041">
        <v>94508</v>
      </c>
      <c r="F1041" t="s">
        <v>279</v>
      </c>
      <c r="G1041" t="s">
        <v>35</v>
      </c>
      <c r="H1041">
        <v>3772</v>
      </c>
      <c r="I1041" t="s">
        <v>295</v>
      </c>
    </row>
    <row r="1042" spans="1:9" x14ac:dyDescent="0.25">
      <c r="A1042">
        <v>70358</v>
      </c>
      <c r="B1042" t="s">
        <v>194</v>
      </c>
      <c r="C1042" t="s">
        <v>238</v>
      </c>
      <c r="D1042">
        <v>4</v>
      </c>
      <c r="E1042">
        <v>94508</v>
      </c>
      <c r="F1042" t="s">
        <v>279</v>
      </c>
      <c r="G1042" t="s">
        <v>35</v>
      </c>
      <c r="H1042">
        <v>2006</v>
      </c>
      <c r="I1042" t="s">
        <v>296</v>
      </c>
    </row>
    <row r="1043" spans="1:9" x14ac:dyDescent="0.25">
      <c r="A1043">
        <v>70358</v>
      </c>
      <c r="B1043" t="s">
        <v>194</v>
      </c>
      <c r="C1043" t="s">
        <v>238</v>
      </c>
      <c r="D1043">
        <v>4</v>
      </c>
      <c r="E1043">
        <v>94508</v>
      </c>
      <c r="F1043" t="s">
        <v>279</v>
      </c>
      <c r="G1043" t="s">
        <v>35</v>
      </c>
      <c r="H1043">
        <v>924</v>
      </c>
      <c r="I1043" t="s">
        <v>325</v>
      </c>
    </row>
    <row r="1044" spans="1:9" x14ac:dyDescent="0.25">
      <c r="A1044">
        <v>70358</v>
      </c>
      <c r="B1044" t="s">
        <v>194</v>
      </c>
      <c r="C1044" t="s">
        <v>238</v>
      </c>
      <c r="D1044">
        <v>4</v>
      </c>
      <c r="E1044">
        <v>94508</v>
      </c>
      <c r="F1044" t="s">
        <v>279</v>
      </c>
      <c r="G1044" t="s">
        <v>29</v>
      </c>
      <c r="H1044">
        <v>7119</v>
      </c>
      <c r="I1044" t="s">
        <v>297</v>
      </c>
    </row>
    <row r="1045" spans="1:9" x14ac:dyDescent="0.25">
      <c r="A1045">
        <v>70358</v>
      </c>
      <c r="B1045" t="s">
        <v>194</v>
      </c>
      <c r="C1045" t="s">
        <v>238</v>
      </c>
      <c r="D1045">
        <v>4</v>
      </c>
      <c r="E1045">
        <v>94508</v>
      </c>
      <c r="F1045" t="s">
        <v>279</v>
      </c>
      <c r="G1045" t="s">
        <v>36</v>
      </c>
      <c r="H1045">
        <v>24498</v>
      </c>
      <c r="I1045" t="s">
        <v>298</v>
      </c>
    </row>
    <row r="1046" spans="1:9" x14ac:dyDescent="0.25">
      <c r="A1046">
        <v>70358</v>
      </c>
      <c r="B1046" t="s">
        <v>194</v>
      </c>
      <c r="C1046" t="s">
        <v>238</v>
      </c>
      <c r="D1046">
        <v>4</v>
      </c>
      <c r="E1046">
        <v>94508</v>
      </c>
      <c r="F1046" t="s">
        <v>274</v>
      </c>
      <c r="G1046" t="s">
        <v>275</v>
      </c>
      <c r="H1046">
        <v>79318</v>
      </c>
      <c r="I1046" t="s">
        <v>299</v>
      </c>
    </row>
    <row r="1047" spans="1:9" x14ac:dyDescent="0.25">
      <c r="A1047">
        <v>70358</v>
      </c>
      <c r="B1047" t="s">
        <v>194</v>
      </c>
      <c r="C1047" t="s">
        <v>238</v>
      </c>
      <c r="D1047">
        <v>4</v>
      </c>
      <c r="E1047">
        <v>94508</v>
      </c>
      <c r="F1047" t="s">
        <v>274</v>
      </c>
      <c r="G1047" t="s">
        <v>275</v>
      </c>
      <c r="H1047">
        <v>0</v>
      </c>
      <c r="I1047" t="s">
        <v>385</v>
      </c>
    </row>
    <row r="1048" spans="1:9" x14ac:dyDescent="0.25">
      <c r="A1048">
        <v>70358</v>
      </c>
      <c r="B1048" t="s">
        <v>194</v>
      </c>
      <c r="C1048" t="s">
        <v>238</v>
      </c>
      <c r="D1048">
        <v>4</v>
      </c>
      <c r="E1048">
        <v>94508</v>
      </c>
      <c r="F1048" t="s">
        <v>279</v>
      </c>
      <c r="G1048" t="s">
        <v>31</v>
      </c>
      <c r="H1048">
        <v>0</v>
      </c>
      <c r="I1048" t="s">
        <v>364</v>
      </c>
    </row>
    <row r="1049" spans="1:9" x14ac:dyDescent="0.25">
      <c r="A1049">
        <v>70358</v>
      </c>
      <c r="B1049" t="s">
        <v>194</v>
      </c>
      <c r="C1049" t="s">
        <v>238</v>
      </c>
      <c r="D1049">
        <v>4</v>
      </c>
      <c r="E1049">
        <v>94508</v>
      </c>
      <c r="F1049" t="s">
        <v>279</v>
      </c>
      <c r="G1049" t="s">
        <v>31</v>
      </c>
      <c r="H1049">
        <v>0</v>
      </c>
      <c r="I1049" t="s">
        <v>365</v>
      </c>
    </row>
    <row r="1050" spans="1:9" x14ac:dyDescent="0.25">
      <c r="A1050">
        <v>70358</v>
      </c>
      <c r="B1050" t="s">
        <v>194</v>
      </c>
      <c r="C1050" t="s">
        <v>238</v>
      </c>
      <c r="D1050">
        <v>4</v>
      </c>
      <c r="E1050">
        <v>94508</v>
      </c>
      <c r="F1050" t="s">
        <v>279</v>
      </c>
      <c r="G1050" t="s">
        <v>31</v>
      </c>
      <c r="H1050">
        <v>0</v>
      </c>
      <c r="I1050" t="s">
        <v>366</v>
      </c>
    </row>
    <row r="1051" spans="1:9" x14ac:dyDescent="0.25">
      <c r="A1051">
        <v>70358</v>
      </c>
      <c r="B1051" t="s">
        <v>194</v>
      </c>
      <c r="C1051" t="s">
        <v>238</v>
      </c>
      <c r="D1051">
        <v>4</v>
      </c>
      <c r="E1051">
        <v>94508</v>
      </c>
      <c r="F1051" t="s">
        <v>279</v>
      </c>
      <c r="G1051" t="s">
        <v>31</v>
      </c>
      <c r="H1051">
        <v>0</v>
      </c>
      <c r="I1051" t="s">
        <v>367</v>
      </c>
    </row>
    <row r="1052" spans="1:9" x14ac:dyDescent="0.25">
      <c r="A1052">
        <v>70358</v>
      </c>
      <c r="B1052" t="s">
        <v>194</v>
      </c>
      <c r="C1052" t="s">
        <v>238</v>
      </c>
      <c r="D1052">
        <v>4</v>
      </c>
      <c r="E1052">
        <v>94508</v>
      </c>
      <c r="F1052" t="s">
        <v>279</v>
      </c>
      <c r="G1052" t="s">
        <v>31</v>
      </c>
      <c r="H1052">
        <v>0</v>
      </c>
      <c r="I1052" t="s">
        <v>368</v>
      </c>
    </row>
    <row r="1053" spans="1:9" x14ac:dyDescent="0.25">
      <c r="A1053">
        <v>70358</v>
      </c>
      <c r="B1053" t="s">
        <v>194</v>
      </c>
      <c r="C1053" t="s">
        <v>238</v>
      </c>
      <c r="D1053">
        <v>4</v>
      </c>
      <c r="E1053">
        <v>94508</v>
      </c>
      <c r="F1053" t="s">
        <v>279</v>
      </c>
      <c r="G1053" t="s">
        <v>31</v>
      </c>
      <c r="H1053">
        <v>0</v>
      </c>
      <c r="I1053" t="s">
        <v>369</v>
      </c>
    </row>
    <row r="1054" spans="1:9" x14ac:dyDescent="0.25">
      <c r="A1054">
        <v>70358</v>
      </c>
      <c r="B1054" t="s">
        <v>194</v>
      </c>
      <c r="C1054" t="s">
        <v>238</v>
      </c>
      <c r="D1054">
        <v>4</v>
      </c>
      <c r="E1054">
        <v>94508</v>
      </c>
      <c r="F1054" t="s">
        <v>279</v>
      </c>
      <c r="G1054" t="s">
        <v>31</v>
      </c>
      <c r="H1054">
        <v>0</v>
      </c>
      <c r="I1054" t="s">
        <v>370</v>
      </c>
    </row>
    <row r="1055" spans="1:9" x14ac:dyDescent="0.25">
      <c r="A1055">
        <v>70358</v>
      </c>
      <c r="B1055" t="s">
        <v>194</v>
      </c>
      <c r="C1055" t="s">
        <v>238</v>
      </c>
      <c r="D1055">
        <v>4</v>
      </c>
      <c r="E1055">
        <v>94508</v>
      </c>
      <c r="F1055" t="s">
        <v>279</v>
      </c>
      <c r="G1055" t="s">
        <v>31</v>
      </c>
      <c r="H1055">
        <v>0</v>
      </c>
      <c r="I1055" t="s">
        <v>371</v>
      </c>
    </row>
    <row r="1056" spans="1:9" x14ac:dyDescent="0.25">
      <c r="A1056">
        <v>70358</v>
      </c>
      <c r="B1056" t="s">
        <v>194</v>
      </c>
      <c r="C1056" t="s">
        <v>238</v>
      </c>
      <c r="D1056">
        <v>4</v>
      </c>
      <c r="E1056">
        <v>94508</v>
      </c>
      <c r="F1056" t="s">
        <v>279</v>
      </c>
      <c r="G1056" t="s">
        <v>31</v>
      </c>
      <c r="H1056">
        <v>0</v>
      </c>
      <c r="I1056" t="s">
        <v>328</v>
      </c>
    </row>
    <row r="1057" spans="1:9" x14ac:dyDescent="0.25">
      <c r="A1057">
        <v>70358</v>
      </c>
      <c r="B1057" t="s">
        <v>194</v>
      </c>
      <c r="C1057" t="s">
        <v>238</v>
      </c>
      <c r="D1057">
        <v>4</v>
      </c>
      <c r="E1057">
        <v>94508</v>
      </c>
      <c r="F1057" t="s">
        <v>279</v>
      </c>
      <c r="G1057" t="s">
        <v>33</v>
      </c>
      <c r="H1057">
        <v>0</v>
      </c>
      <c r="I1057" t="s">
        <v>372</v>
      </c>
    </row>
    <row r="1058" spans="1:9" x14ac:dyDescent="0.25">
      <c r="A1058">
        <v>70358</v>
      </c>
      <c r="B1058" t="s">
        <v>194</v>
      </c>
      <c r="C1058" t="s">
        <v>238</v>
      </c>
      <c r="D1058">
        <v>4</v>
      </c>
      <c r="E1058">
        <v>94508</v>
      </c>
      <c r="F1058" t="s">
        <v>279</v>
      </c>
      <c r="G1058" t="s">
        <v>33</v>
      </c>
      <c r="H1058">
        <v>0</v>
      </c>
      <c r="I1058" t="s">
        <v>329</v>
      </c>
    </row>
    <row r="1059" spans="1:9" x14ac:dyDescent="0.25">
      <c r="A1059">
        <v>70358</v>
      </c>
      <c r="B1059" t="s">
        <v>194</v>
      </c>
      <c r="C1059" t="s">
        <v>238</v>
      </c>
      <c r="D1059">
        <v>4</v>
      </c>
      <c r="E1059">
        <v>94508</v>
      </c>
      <c r="F1059" t="s">
        <v>279</v>
      </c>
      <c r="G1059" t="s">
        <v>33</v>
      </c>
      <c r="H1059">
        <v>0</v>
      </c>
      <c r="I1059" t="s">
        <v>319</v>
      </c>
    </row>
    <row r="1060" spans="1:9" x14ac:dyDescent="0.25">
      <c r="A1060">
        <v>70358</v>
      </c>
      <c r="B1060" t="s">
        <v>194</v>
      </c>
      <c r="C1060" t="s">
        <v>238</v>
      </c>
      <c r="D1060">
        <v>4</v>
      </c>
      <c r="E1060">
        <v>94508</v>
      </c>
      <c r="F1060" t="s">
        <v>279</v>
      </c>
      <c r="G1060" t="s">
        <v>33</v>
      </c>
      <c r="H1060">
        <v>0</v>
      </c>
      <c r="I1060" t="s">
        <v>373</v>
      </c>
    </row>
    <row r="1061" spans="1:9" x14ac:dyDescent="0.25">
      <c r="A1061">
        <v>70358</v>
      </c>
      <c r="B1061" t="s">
        <v>194</v>
      </c>
      <c r="C1061" t="s">
        <v>238</v>
      </c>
      <c r="D1061">
        <v>4</v>
      </c>
      <c r="E1061">
        <v>94508</v>
      </c>
      <c r="F1061" t="s">
        <v>279</v>
      </c>
      <c r="G1061" t="s">
        <v>33</v>
      </c>
      <c r="H1061">
        <v>0</v>
      </c>
      <c r="I1061" t="s">
        <v>374</v>
      </c>
    </row>
    <row r="1062" spans="1:9" x14ac:dyDescent="0.25">
      <c r="A1062">
        <v>70358</v>
      </c>
      <c r="B1062" t="s">
        <v>194</v>
      </c>
      <c r="C1062" t="s">
        <v>238</v>
      </c>
      <c r="D1062">
        <v>4</v>
      </c>
      <c r="E1062">
        <v>94508</v>
      </c>
      <c r="F1062" t="s">
        <v>279</v>
      </c>
      <c r="G1062" t="s">
        <v>33</v>
      </c>
      <c r="H1062">
        <v>0</v>
      </c>
      <c r="I1062" t="s">
        <v>326</v>
      </c>
    </row>
    <row r="1063" spans="1:9" x14ac:dyDescent="0.25">
      <c r="A1063">
        <v>70358</v>
      </c>
      <c r="B1063" t="s">
        <v>194</v>
      </c>
      <c r="C1063" t="s">
        <v>238</v>
      </c>
      <c r="D1063">
        <v>4</v>
      </c>
      <c r="E1063">
        <v>94508</v>
      </c>
      <c r="F1063" t="s">
        <v>279</v>
      </c>
      <c r="G1063" t="s">
        <v>33</v>
      </c>
      <c r="H1063">
        <v>0</v>
      </c>
      <c r="I1063" t="s">
        <v>375</v>
      </c>
    </row>
    <row r="1064" spans="1:9" x14ac:dyDescent="0.25">
      <c r="A1064">
        <v>70358</v>
      </c>
      <c r="B1064" t="s">
        <v>194</v>
      </c>
      <c r="C1064" t="s">
        <v>238</v>
      </c>
      <c r="D1064">
        <v>4</v>
      </c>
      <c r="E1064">
        <v>94508</v>
      </c>
      <c r="F1064" t="s">
        <v>279</v>
      </c>
      <c r="G1064" t="s">
        <v>33</v>
      </c>
      <c r="H1064">
        <v>0</v>
      </c>
      <c r="I1064" t="s">
        <v>376</v>
      </c>
    </row>
    <row r="1065" spans="1:9" x14ac:dyDescent="0.25">
      <c r="A1065">
        <v>70358</v>
      </c>
      <c r="B1065" t="s">
        <v>194</v>
      </c>
      <c r="C1065" t="s">
        <v>238</v>
      </c>
      <c r="D1065">
        <v>4</v>
      </c>
      <c r="E1065">
        <v>94508</v>
      </c>
      <c r="F1065" t="s">
        <v>279</v>
      </c>
      <c r="G1065" t="s">
        <v>33</v>
      </c>
      <c r="H1065">
        <v>0</v>
      </c>
      <c r="I1065" t="s">
        <v>377</v>
      </c>
    </row>
    <row r="1066" spans="1:9" x14ac:dyDescent="0.25">
      <c r="A1066">
        <v>70358</v>
      </c>
      <c r="B1066" t="s">
        <v>194</v>
      </c>
      <c r="C1066" t="s">
        <v>238</v>
      </c>
      <c r="D1066">
        <v>4</v>
      </c>
      <c r="E1066">
        <v>94508</v>
      </c>
      <c r="F1066" t="s">
        <v>274</v>
      </c>
      <c r="G1066" t="s">
        <v>275</v>
      </c>
      <c r="H1066">
        <v>841370</v>
      </c>
      <c r="I1066" t="s">
        <v>318</v>
      </c>
    </row>
    <row r="1067" spans="1:9" x14ac:dyDescent="0.25">
      <c r="A1067">
        <v>70358</v>
      </c>
      <c r="B1067" t="s">
        <v>194</v>
      </c>
      <c r="C1067" t="s">
        <v>238</v>
      </c>
      <c r="D1067">
        <v>4</v>
      </c>
      <c r="E1067">
        <v>94508</v>
      </c>
      <c r="F1067" t="s">
        <v>274</v>
      </c>
      <c r="G1067" t="s">
        <v>300</v>
      </c>
      <c r="H1067">
        <v>23289</v>
      </c>
      <c r="I1067" t="s">
        <v>301</v>
      </c>
    </row>
    <row r="1068" spans="1:9" x14ac:dyDescent="0.25">
      <c r="A1068">
        <v>70358</v>
      </c>
      <c r="B1068" t="s">
        <v>194</v>
      </c>
      <c r="C1068" t="s">
        <v>238</v>
      </c>
      <c r="D1068">
        <v>4</v>
      </c>
      <c r="E1068">
        <v>94508</v>
      </c>
      <c r="F1068" t="s">
        <v>274</v>
      </c>
      <c r="G1068" t="s">
        <v>275</v>
      </c>
      <c r="H1068">
        <v>-14332</v>
      </c>
      <c r="I1068" t="s">
        <v>302</v>
      </c>
    </row>
    <row r="1069" spans="1:9" x14ac:dyDescent="0.25">
      <c r="A1069">
        <v>70358</v>
      </c>
      <c r="B1069" t="s">
        <v>194</v>
      </c>
      <c r="C1069" t="s">
        <v>238</v>
      </c>
      <c r="D1069">
        <v>4</v>
      </c>
      <c r="E1069">
        <v>94508</v>
      </c>
      <c r="F1069" t="s">
        <v>279</v>
      </c>
      <c r="G1069" t="s">
        <v>30</v>
      </c>
      <c r="H1069">
        <v>102939</v>
      </c>
      <c r="I1069" t="s">
        <v>303</v>
      </c>
    </row>
    <row r="1070" spans="1:9" x14ac:dyDescent="0.25">
      <c r="A1070">
        <v>70358</v>
      </c>
      <c r="B1070" t="s">
        <v>194</v>
      </c>
      <c r="C1070" t="s">
        <v>238</v>
      </c>
      <c r="D1070">
        <v>4</v>
      </c>
      <c r="E1070">
        <v>94508</v>
      </c>
      <c r="F1070" t="s">
        <v>279</v>
      </c>
      <c r="G1070" t="s">
        <v>35</v>
      </c>
      <c r="H1070">
        <v>13755</v>
      </c>
      <c r="I1070" t="s">
        <v>304</v>
      </c>
    </row>
    <row r="1071" spans="1:9" x14ac:dyDescent="0.25">
      <c r="A1071">
        <v>70358</v>
      </c>
      <c r="B1071" t="s">
        <v>194</v>
      </c>
      <c r="C1071" t="s">
        <v>238</v>
      </c>
      <c r="D1071">
        <v>4</v>
      </c>
      <c r="E1071">
        <v>94508</v>
      </c>
      <c r="F1071" t="s">
        <v>279</v>
      </c>
      <c r="G1071" t="s">
        <v>31</v>
      </c>
      <c r="H1071">
        <v>211594</v>
      </c>
      <c r="I1071" t="s">
        <v>305</v>
      </c>
    </row>
    <row r="1072" spans="1:9" x14ac:dyDescent="0.25">
      <c r="A1072">
        <v>70358</v>
      </c>
      <c r="B1072" t="s">
        <v>194</v>
      </c>
      <c r="C1072" t="s">
        <v>238</v>
      </c>
      <c r="D1072">
        <v>4</v>
      </c>
      <c r="E1072">
        <v>94508</v>
      </c>
      <c r="F1072" t="s">
        <v>279</v>
      </c>
      <c r="G1072" t="s">
        <v>33</v>
      </c>
      <c r="H1072">
        <v>0</v>
      </c>
      <c r="I1072" t="s">
        <v>320</v>
      </c>
    </row>
    <row r="1073" spans="1:9" x14ac:dyDescent="0.25">
      <c r="A1073">
        <v>70358</v>
      </c>
      <c r="B1073" t="s">
        <v>194</v>
      </c>
      <c r="C1073" t="s">
        <v>238</v>
      </c>
      <c r="D1073">
        <v>4</v>
      </c>
      <c r="E1073">
        <v>94508</v>
      </c>
      <c r="F1073" t="s">
        <v>279</v>
      </c>
      <c r="G1073" t="s">
        <v>33</v>
      </c>
      <c r="H1073">
        <v>0</v>
      </c>
      <c r="I1073" t="s">
        <v>306</v>
      </c>
    </row>
    <row r="1074" spans="1:9" x14ac:dyDescent="0.25">
      <c r="A1074">
        <v>70358</v>
      </c>
      <c r="B1074" t="s">
        <v>194</v>
      </c>
      <c r="C1074" t="s">
        <v>238</v>
      </c>
      <c r="D1074">
        <v>4</v>
      </c>
      <c r="E1074">
        <v>94508</v>
      </c>
      <c r="F1074" t="s">
        <v>279</v>
      </c>
      <c r="G1074" t="s">
        <v>33</v>
      </c>
      <c r="H1074">
        <v>0</v>
      </c>
      <c r="I1074" t="s">
        <v>378</v>
      </c>
    </row>
    <row r="1075" spans="1:9" x14ac:dyDescent="0.25">
      <c r="A1075">
        <v>70358</v>
      </c>
      <c r="B1075" t="s">
        <v>194</v>
      </c>
      <c r="C1075" t="s">
        <v>238</v>
      </c>
      <c r="D1075">
        <v>4</v>
      </c>
      <c r="E1075">
        <v>94508</v>
      </c>
      <c r="F1075" t="s">
        <v>279</v>
      </c>
      <c r="G1075" t="s">
        <v>31</v>
      </c>
      <c r="H1075">
        <v>7598</v>
      </c>
      <c r="I1075" t="s">
        <v>307</v>
      </c>
    </row>
    <row r="1076" spans="1:9" x14ac:dyDescent="0.25">
      <c r="A1076">
        <v>70358</v>
      </c>
      <c r="B1076" t="s">
        <v>194</v>
      </c>
      <c r="C1076" t="s">
        <v>238</v>
      </c>
      <c r="D1076">
        <v>4</v>
      </c>
      <c r="E1076">
        <v>94508</v>
      </c>
      <c r="F1076" t="s">
        <v>279</v>
      </c>
      <c r="G1076" t="s">
        <v>31</v>
      </c>
      <c r="H1076">
        <v>0</v>
      </c>
      <c r="I1076" t="s">
        <v>379</v>
      </c>
    </row>
    <row r="1077" spans="1:9" x14ac:dyDescent="0.25">
      <c r="A1077">
        <v>70358</v>
      </c>
      <c r="B1077" t="s">
        <v>194</v>
      </c>
      <c r="C1077" t="s">
        <v>238</v>
      </c>
      <c r="D1077">
        <v>4</v>
      </c>
      <c r="E1077">
        <v>94508</v>
      </c>
      <c r="F1077" t="s">
        <v>279</v>
      </c>
      <c r="G1077" t="s">
        <v>30</v>
      </c>
      <c r="H1077">
        <v>14609</v>
      </c>
      <c r="I1077" t="s">
        <v>308</v>
      </c>
    </row>
    <row r="1078" spans="1:9" x14ac:dyDescent="0.25">
      <c r="A1078">
        <v>70358</v>
      </c>
      <c r="B1078" t="s">
        <v>194</v>
      </c>
      <c r="C1078" t="s">
        <v>238</v>
      </c>
      <c r="D1078">
        <v>4</v>
      </c>
      <c r="E1078">
        <v>94508</v>
      </c>
      <c r="F1078" t="s">
        <v>279</v>
      </c>
      <c r="G1078" t="s">
        <v>35</v>
      </c>
      <c r="H1078">
        <v>6741</v>
      </c>
      <c r="I1078" t="s">
        <v>321</v>
      </c>
    </row>
    <row r="1079" spans="1:9" x14ac:dyDescent="0.25">
      <c r="A1079">
        <v>70358</v>
      </c>
      <c r="B1079" t="s">
        <v>194</v>
      </c>
      <c r="C1079" t="s">
        <v>238</v>
      </c>
      <c r="D1079">
        <v>4</v>
      </c>
      <c r="E1079">
        <v>94508</v>
      </c>
      <c r="F1079" t="s">
        <v>279</v>
      </c>
      <c r="G1079" t="s">
        <v>33</v>
      </c>
      <c r="H1079">
        <v>0</v>
      </c>
      <c r="I1079" t="s">
        <v>380</v>
      </c>
    </row>
    <row r="1080" spans="1:9" x14ac:dyDescent="0.25">
      <c r="A1080">
        <v>70358</v>
      </c>
      <c r="B1080" t="s">
        <v>194</v>
      </c>
      <c r="C1080" t="s">
        <v>238</v>
      </c>
      <c r="D1080">
        <v>4</v>
      </c>
      <c r="E1080">
        <v>94508</v>
      </c>
      <c r="F1080" t="s">
        <v>279</v>
      </c>
      <c r="G1080" t="s">
        <v>35</v>
      </c>
      <c r="H1080">
        <v>46</v>
      </c>
      <c r="I1080" t="s">
        <v>309</v>
      </c>
    </row>
    <row r="1081" spans="1:9" x14ac:dyDescent="0.25">
      <c r="A1081">
        <v>70358</v>
      </c>
      <c r="B1081" t="s">
        <v>194</v>
      </c>
      <c r="C1081" t="s">
        <v>238</v>
      </c>
      <c r="D1081">
        <v>4</v>
      </c>
      <c r="E1081">
        <v>94508</v>
      </c>
      <c r="F1081" t="s">
        <v>279</v>
      </c>
      <c r="G1081" t="s">
        <v>35</v>
      </c>
      <c r="H1081">
        <v>1935</v>
      </c>
      <c r="I1081" t="s">
        <v>310</v>
      </c>
    </row>
    <row r="1082" spans="1:9" x14ac:dyDescent="0.25">
      <c r="A1082">
        <v>70358</v>
      </c>
      <c r="B1082" t="s">
        <v>194</v>
      </c>
      <c r="C1082" t="s">
        <v>238</v>
      </c>
      <c r="D1082">
        <v>4</v>
      </c>
      <c r="E1082">
        <v>94508</v>
      </c>
      <c r="F1082" t="s">
        <v>279</v>
      </c>
      <c r="G1082" t="s">
        <v>35</v>
      </c>
      <c r="H1082">
        <v>16659</v>
      </c>
      <c r="I1082" t="s">
        <v>311</v>
      </c>
    </row>
    <row r="1083" spans="1:9" x14ac:dyDescent="0.25">
      <c r="A1083">
        <v>70358</v>
      </c>
      <c r="B1083" t="s">
        <v>194</v>
      </c>
      <c r="C1083" t="s">
        <v>238</v>
      </c>
      <c r="D1083">
        <v>4</v>
      </c>
      <c r="E1083">
        <v>94508</v>
      </c>
      <c r="F1083" t="s">
        <v>279</v>
      </c>
      <c r="G1083" t="s">
        <v>35</v>
      </c>
      <c r="H1083">
        <v>-24</v>
      </c>
      <c r="I1083" t="s">
        <v>312</v>
      </c>
    </row>
    <row r="1084" spans="1:9" x14ac:dyDescent="0.25">
      <c r="A1084">
        <v>70358</v>
      </c>
      <c r="B1084" t="s">
        <v>194</v>
      </c>
      <c r="C1084" t="s">
        <v>238</v>
      </c>
      <c r="D1084">
        <v>4</v>
      </c>
      <c r="E1084">
        <v>94508</v>
      </c>
      <c r="F1084" t="s">
        <v>279</v>
      </c>
      <c r="G1084" t="s">
        <v>35</v>
      </c>
      <c r="H1084">
        <v>4788</v>
      </c>
      <c r="I1084" t="s">
        <v>313</v>
      </c>
    </row>
    <row r="1085" spans="1:9" x14ac:dyDescent="0.25">
      <c r="A1085">
        <v>70358</v>
      </c>
      <c r="B1085" t="s">
        <v>194</v>
      </c>
      <c r="C1085" t="s">
        <v>238</v>
      </c>
      <c r="D1085">
        <v>4</v>
      </c>
      <c r="E1085">
        <v>94508</v>
      </c>
      <c r="F1085" t="s">
        <v>279</v>
      </c>
      <c r="G1085" t="s">
        <v>37</v>
      </c>
      <c r="H1085">
        <v>0</v>
      </c>
      <c r="I1085" t="s">
        <v>381</v>
      </c>
    </row>
    <row r="1086" spans="1:9" x14ac:dyDescent="0.25">
      <c r="A1086">
        <v>70358</v>
      </c>
      <c r="B1086" t="s">
        <v>194</v>
      </c>
      <c r="C1086" t="s">
        <v>238</v>
      </c>
      <c r="D1086">
        <v>4</v>
      </c>
      <c r="E1086">
        <v>94508</v>
      </c>
      <c r="F1086" t="s">
        <v>279</v>
      </c>
      <c r="G1086" t="s">
        <v>37</v>
      </c>
      <c r="H1086">
        <v>14941</v>
      </c>
      <c r="I1086" t="s">
        <v>314</v>
      </c>
    </row>
    <row r="1087" spans="1:9" x14ac:dyDescent="0.25">
      <c r="A1087">
        <v>70358</v>
      </c>
      <c r="B1087" t="s">
        <v>194</v>
      </c>
      <c r="C1087" t="s">
        <v>238</v>
      </c>
      <c r="D1087">
        <v>4</v>
      </c>
      <c r="E1087">
        <v>94508</v>
      </c>
      <c r="F1087" t="s">
        <v>279</v>
      </c>
      <c r="G1087" t="s">
        <v>35</v>
      </c>
      <c r="H1087">
        <v>2047</v>
      </c>
      <c r="I1087" t="s">
        <v>315</v>
      </c>
    </row>
    <row r="1088" spans="1:9" x14ac:dyDescent="0.25">
      <c r="A1088">
        <v>70358</v>
      </c>
      <c r="B1088" t="s">
        <v>194</v>
      </c>
      <c r="C1088" t="s">
        <v>238</v>
      </c>
      <c r="D1088">
        <v>4</v>
      </c>
      <c r="E1088">
        <v>94508</v>
      </c>
      <c r="F1088" t="s">
        <v>279</v>
      </c>
      <c r="G1088" t="s">
        <v>37</v>
      </c>
      <c r="H1088">
        <v>0</v>
      </c>
      <c r="I1088" t="s">
        <v>323</v>
      </c>
    </row>
    <row r="1089" spans="1:9" x14ac:dyDescent="0.25">
      <c r="A1089">
        <v>70358</v>
      </c>
      <c r="B1089" t="s">
        <v>194</v>
      </c>
      <c r="C1089" t="s">
        <v>238</v>
      </c>
      <c r="D1089">
        <v>4</v>
      </c>
      <c r="E1089">
        <v>94508</v>
      </c>
      <c r="F1089" t="s">
        <v>279</v>
      </c>
      <c r="G1089" t="s">
        <v>37</v>
      </c>
      <c r="H1089">
        <v>0</v>
      </c>
      <c r="I1089" t="s">
        <v>322</v>
      </c>
    </row>
    <row r="1090" spans="1:9" x14ac:dyDescent="0.25">
      <c r="A1090">
        <v>70358</v>
      </c>
      <c r="B1090" t="s">
        <v>194</v>
      </c>
      <c r="C1090" t="s">
        <v>238</v>
      </c>
      <c r="D1090">
        <v>4</v>
      </c>
      <c r="E1090">
        <v>94508</v>
      </c>
      <c r="F1090" t="s">
        <v>279</v>
      </c>
      <c r="G1090" t="s">
        <v>37</v>
      </c>
      <c r="H1090">
        <v>0</v>
      </c>
      <c r="I1090" t="s">
        <v>382</v>
      </c>
    </row>
    <row r="1091" spans="1:9" x14ac:dyDescent="0.25">
      <c r="A1091">
        <v>70358</v>
      </c>
      <c r="B1091" t="s">
        <v>194</v>
      </c>
      <c r="C1091" t="s">
        <v>238</v>
      </c>
      <c r="D1091">
        <v>4</v>
      </c>
      <c r="E1091">
        <v>94508</v>
      </c>
      <c r="F1091" t="s">
        <v>279</v>
      </c>
      <c r="G1091" t="s">
        <v>37</v>
      </c>
      <c r="H1091">
        <v>16692</v>
      </c>
      <c r="I1091" t="s">
        <v>316</v>
      </c>
    </row>
    <row r="1092" spans="1:9" x14ac:dyDescent="0.25">
      <c r="A1092">
        <v>70358</v>
      </c>
      <c r="B1092" t="s">
        <v>194</v>
      </c>
      <c r="C1092" t="s">
        <v>238</v>
      </c>
      <c r="D1092">
        <v>4</v>
      </c>
      <c r="E1092">
        <v>94508</v>
      </c>
      <c r="F1092" t="s">
        <v>279</v>
      </c>
      <c r="G1092" t="s">
        <v>36</v>
      </c>
      <c r="H1092">
        <v>58797</v>
      </c>
      <c r="I1092" t="s">
        <v>317</v>
      </c>
    </row>
    <row r="1093" spans="1:9" x14ac:dyDescent="0.25">
      <c r="A1093">
        <v>70358</v>
      </c>
      <c r="B1093" t="s">
        <v>194</v>
      </c>
      <c r="C1093" t="s">
        <v>238</v>
      </c>
      <c r="D1093">
        <v>4</v>
      </c>
      <c r="E1093">
        <v>94508</v>
      </c>
      <c r="F1093" t="s">
        <v>274</v>
      </c>
      <c r="G1093" t="s">
        <v>275</v>
      </c>
      <c r="H1093">
        <v>0</v>
      </c>
      <c r="I1093" t="s">
        <v>276</v>
      </c>
    </row>
    <row r="1094" spans="1:9" x14ac:dyDescent="0.25">
      <c r="A1094">
        <v>70358</v>
      </c>
      <c r="B1094" t="s">
        <v>194</v>
      </c>
      <c r="C1094" t="s">
        <v>238</v>
      </c>
      <c r="D1094">
        <v>4</v>
      </c>
      <c r="E1094">
        <v>94508</v>
      </c>
      <c r="F1094" t="s">
        <v>279</v>
      </c>
      <c r="G1094" t="s">
        <v>29</v>
      </c>
      <c r="H1094">
        <v>0</v>
      </c>
      <c r="I1094" t="s">
        <v>324</v>
      </c>
    </row>
    <row r="1095" spans="1:9" x14ac:dyDescent="0.25">
      <c r="A1095">
        <v>70358</v>
      </c>
      <c r="B1095" t="s">
        <v>194</v>
      </c>
      <c r="C1095" t="s">
        <v>238</v>
      </c>
      <c r="D1095">
        <v>4</v>
      </c>
      <c r="E1095">
        <v>94508</v>
      </c>
      <c r="F1095" t="s">
        <v>274</v>
      </c>
      <c r="G1095" t="s">
        <v>277</v>
      </c>
      <c r="H1095">
        <v>514</v>
      </c>
      <c r="I1095" t="s">
        <v>278</v>
      </c>
    </row>
    <row r="1096" spans="1:9" x14ac:dyDescent="0.25">
      <c r="A1096">
        <v>70358</v>
      </c>
      <c r="B1096" t="s">
        <v>194</v>
      </c>
      <c r="C1096" t="s">
        <v>238</v>
      </c>
      <c r="D1096">
        <v>4</v>
      </c>
      <c r="E1096">
        <v>94508</v>
      </c>
      <c r="F1096" t="s">
        <v>274</v>
      </c>
      <c r="G1096" t="s">
        <v>300</v>
      </c>
      <c r="H1096">
        <v>0</v>
      </c>
      <c r="I1096" t="s">
        <v>383</v>
      </c>
    </row>
    <row r="1097" spans="1:9" x14ac:dyDescent="0.25">
      <c r="A1097">
        <v>70361</v>
      </c>
      <c r="B1097" t="s">
        <v>196</v>
      </c>
      <c r="C1097" t="s">
        <v>238</v>
      </c>
      <c r="D1097">
        <v>4</v>
      </c>
      <c r="E1097">
        <v>580145</v>
      </c>
      <c r="F1097" t="s">
        <v>279</v>
      </c>
      <c r="G1097" t="s">
        <v>33</v>
      </c>
      <c r="H1097">
        <v>0</v>
      </c>
      <c r="I1097" t="s">
        <v>329</v>
      </c>
    </row>
    <row r="1098" spans="1:9" x14ac:dyDescent="0.25">
      <c r="A1098">
        <v>70361</v>
      </c>
      <c r="B1098" t="s">
        <v>196</v>
      </c>
      <c r="C1098" t="s">
        <v>238</v>
      </c>
      <c r="D1098">
        <v>4</v>
      </c>
      <c r="E1098">
        <v>580145</v>
      </c>
      <c r="F1098" t="s">
        <v>279</v>
      </c>
      <c r="G1098" t="s">
        <v>33</v>
      </c>
      <c r="H1098">
        <v>0</v>
      </c>
      <c r="I1098" t="s">
        <v>319</v>
      </c>
    </row>
    <row r="1099" spans="1:9" x14ac:dyDescent="0.25">
      <c r="A1099">
        <v>70361</v>
      </c>
      <c r="B1099" t="s">
        <v>196</v>
      </c>
      <c r="C1099" t="s">
        <v>238</v>
      </c>
      <c r="D1099">
        <v>4</v>
      </c>
      <c r="E1099">
        <v>580145</v>
      </c>
      <c r="F1099" t="s">
        <v>279</v>
      </c>
      <c r="G1099" t="s">
        <v>33</v>
      </c>
      <c r="H1099">
        <v>0</v>
      </c>
      <c r="I1099" t="s">
        <v>373</v>
      </c>
    </row>
    <row r="1100" spans="1:9" x14ac:dyDescent="0.25">
      <c r="A1100">
        <v>70361</v>
      </c>
      <c r="B1100" t="s">
        <v>196</v>
      </c>
      <c r="C1100" t="s">
        <v>238</v>
      </c>
      <c r="D1100">
        <v>4</v>
      </c>
      <c r="E1100">
        <v>580145</v>
      </c>
      <c r="F1100" t="s">
        <v>279</v>
      </c>
      <c r="G1100" t="s">
        <v>33</v>
      </c>
      <c r="H1100">
        <v>0</v>
      </c>
      <c r="I1100" t="s">
        <v>374</v>
      </c>
    </row>
    <row r="1101" spans="1:9" x14ac:dyDescent="0.25">
      <c r="A1101">
        <v>70361</v>
      </c>
      <c r="B1101" t="s">
        <v>196</v>
      </c>
      <c r="C1101" t="s">
        <v>238</v>
      </c>
      <c r="D1101">
        <v>4</v>
      </c>
      <c r="E1101">
        <v>580145</v>
      </c>
      <c r="F1101" t="s">
        <v>279</v>
      </c>
      <c r="G1101" t="s">
        <v>33</v>
      </c>
      <c r="H1101">
        <v>0</v>
      </c>
      <c r="I1101" t="s">
        <v>326</v>
      </c>
    </row>
    <row r="1102" spans="1:9" x14ac:dyDescent="0.25">
      <c r="A1102">
        <v>70361</v>
      </c>
      <c r="B1102" t="s">
        <v>196</v>
      </c>
      <c r="C1102" t="s">
        <v>238</v>
      </c>
      <c r="D1102">
        <v>4</v>
      </c>
      <c r="E1102">
        <v>580145</v>
      </c>
      <c r="F1102" t="s">
        <v>279</v>
      </c>
      <c r="G1102" t="s">
        <v>33</v>
      </c>
      <c r="H1102">
        <v>0</v>
      </c>
      <c r="I1102" t="s">
        <v>375</v>
      </c>
    </row>
    <row r="1103" spans="1:9" x14ac:dyDescent="0.25">
      <c r="A1103">
        <v>70361</v>
      </c>
      <c r="B1103" t="s">
        <v>196</v>
      </c>
      <c r="C1103" t="s">
        <v>238</v>
      </c>
      <c r="D1103">
        <v>4</v>
      </c>
      <c r="E1103">
        <v>580145</v>
      </c>
      <c r="F1103" t="s">
        <v>279</v>
      </c>
      <c r="G1103" t="s">
        <v>33</v>
      </c>
      <c r="H1103">
        <v>0</v>
      </c>
      <c r="I1103" t="s">
        <v>376</v>
      </c>
    </row>
    <row r="1104" spans="1:9" x14ac:dyDescent="0.25">
      <c r="A1104">
        <v>70361</v>
      </c>
      <c r="B1104" t="s">
        <v>196</v>
      </c>
      <c r="C1104" t="s">
        <v>238</v>
      </c>
      <c r="D1104">
        <v>4</v>
      </c>
      <c r="E1104">
        <v>580145</v>
      </c>
      <c r="F1104" t="s">
        <v>279</v>
      </c>
      <c r="G1104" t="s">
        <v>33</v>
      </c>
      <c r="H1104">
        <v>0</v>
      </c>
      <c r="I1104" t="s">
        <v>377</v>
      </c>
    </row>
    <row r="1105" spans="1:9" x14ac:dyDescent="0.25">
      <c r="A1105">
        <v>70361</v>
      </c>
      <c r="B1105" t="s">
        <v>196</v>
      </c>
      <c r="C1105" t="s">
        <v>238</v>
      </c>
      <c r="D1105">
        <v>4</v>
      </c>
      <c r="E1105">
        <v>580145</v>
      </c>
      <c r="F1105" t="s">
        <v>274</v>
      </c>
      <c r="G1105" t="s">
        <v>275</v>
      </c>
      <c r="H1105">
        <v>353080</v>
      </c>
      <c r="I1105" t="s">
        <v>318</v>
      </c>
    </row>
    <row r="1106" spans="1:9" x14ac:dyDescent="0.25">
      <c r="A1106">
        <v>70361</v>
      </c>
      <c r="B1106" t="s">
        <v>196</v>
      </c>
      <c r="C1106" t="s">
        <v>238</v>
      </c>
      <c r="D1106">
        <v>4</v>
      </c>
      <c r="E1106">
        <v>580145</v>
      </c>
      <c r="F1106" t="s">
        <v>274</v>
      </c>
      <c r="G1106" t="s">
        <v>300</v>
      </c>
      <c r="H1106">
        <v>36349</v>
      </c>
      <c r="I1106" t="s">
        <v>301</v>
      </c>
    </row>
    <row r="1107" spans="1:9" x14ac:dyDescent="0.25">
      <c r="A1107">
        <v>70361</v>
      </c>
      <c r="B1107" t="s">
        <v>196</v>
      </c>
      <c r="C1107" t="s">
        <v>238</v>
      </c>
      <c r="D1107">
        <v>4</v>
      </c>
      <c r="E1107">
        <v>580145</v>
      </c>
      <c r="F1107" t="s">
        <v>274</v>
      </c>
      <c r="G1107" t="s">
        <v>275</v>
      </c>
      <c r="H1107">
        <v>-22242</v>
      </c>
      <c r="I1107" t="s">
        <v>302</v>
      </c>
    </row>
    <row r="1108" spans="1:9" x14ac:dyDescent="0.25">
      <c r="A1108">
        <v>70361</v>
      </c>
      <c r="B1108" t="s">
        <v>196</v>
      </c>
      <c r="C1108" t="s">
        <v>238</v>
      </c>
      <c r="D1108">
        <v>4</v>
      </c>
      <c r="E1108">
        <v>580145</v>
      </c>
      <c r="F1108" t="s">
        <v>279</v>
      </c>
      <c r="G1108" t="s">
        <v>30</v>
      </c>
      <c r="H1108">
        <v>79321</v>
      </c>
      <c r="I1108" t="s">
        <v>303</v>
      </c>
    </row>
    <row r="1109" spans="1:9" x14ac:dyDescent="0.25">
      <c r="A1109">
        <v>70361</v>
      </c>
      <c r="B1109" t="s">
        <v>196</v>
      </c>
      <c r="C1109" t="s">
        <v>238</v>
      </c>
      <c r="D1109">
        <v>4</v>
      </c>
      <c r="E1109">
        <v>580145</v>
      </c>
      <c r="F1109" t="s">
        <v>279</v>
      </c>
      <c r="G1109" t="s">
        <v>35</v>
      </c>
      <c r="H1109">
        <v>9493</v>
      </c>
      <c r="I1109" t="s">
        <v>304</v>
      </c>
    </row>
    <row r="1110" spans="1:9" x14ac:dyDescent="0.25">
      <c r="A1110">
        <v>70361</v>
      </c>
      <c r="B1110" t="s">
        <v>196</v>
      </c>
      <c r="C1110" t="s">
        <v>238</v>
      </c>
      <c r="D1110">
        <v>4</v>
      </c>
      <c r="E1110">
        <v>580145</v>
      </c>
      <c r="F1110" t="s">
        <v>279</v>
      </c>
      <c r="G1110" t="s">
        <v>31</v>
      </c>
      <c r="H1110">
        <v>251697</v>
      </c>
      <c r="I1110" t="s">
        <v>305</v>
      </c>
    </row>
    <row r="1111" spans="1:9" x14ac:dyDescent="0.25">
      <c r="A1111">
        <v>70361</v>
      </c>
      <c r="B1111" t="s">
        <v>196</v>
      </c>
      <c r="C1111" t="s">
        <v>238</v>
      </c>
      <c r="D1111">
        <v>4</v>
      </c>
      <c r="E1111">
        <v>580145</v>
      </c>
      <c r="F1111" t="s">
        <v>279</v>
      </c>
      <c r="G1111" t="s">
        <v>33</v>
      </c>
      <c r="H1111">
        <v>0</v>
      </c>
      <c r="I1111" t="s">
        <v>320</v>
      </c>
    </row>
    <row r="1112" spans="1:9" x14ac:dyDescent="0.25">
      <c r="A1112">
        <v>70361</v>
      </c>
      <c r="B1112" t="s">
        <v>196</v>
      </c>
      <c r="C1112" t="s">
        <v>238</v>
      </c>
      <c r="D1112">
        <v>4</v>
      </c>
      <c r="E1112">
        <v>580145</v>
      </c>
      <c r="F1112" t="s">
        <v>279</v>
      </c>
      <c r="G1112" t="s">
        <v>33</v>
      </c>
      <c r="H1112">
        <v>0</v>
      </c>
      <c r="I1112" t="s">
        <v>306</v>
      </c>
    </row>
    <row r="1113" spans="1:9" x14ac:dyDescent="0.25">
      <c r="A1113">
        <v>70361</v>
      </c>
      <c r="B1113" t="s">
        <v>196</v>
      </c>
      <c r="C1113" t="s">
        <v>238</v>
      </c>
      <c r="D1113">
        <v>4</v>
      </c>
      <c r="E1113">
        <v>580145</v>
      </c>
      <c r="F1113" t="s">
        <v>279</v>
      </c>
      <c r="G1113" t="s">
        <v>33</v>
      </c>
      <c r="H1113">
        <v>0</v>
      </c>
      <c r="I1113" t="s">
        <v>378</v>
      </c>
    </row>
    <row r="1114" spans="1:9" x14ac:dyDescent="0.25">
      <c r="A1114">
        <v>70361</v>
      </c>
      <c r="B1114" t="s">
        <v>196</v>
      </c>
      <c r="C1114" t="s">
        <v>238</v>
      </c>
      <c r="D1114">
        <v>4</v>
      </c>
      <c r="E1114">
        <v>580145</v>
      </c>
      <c r="F1114" t="s">
        <v>279</v>
      </c>
      <c r="G1114" t="s">
        <v>31</v>
      </c>
      <c r="H1114">
        <v>41777</v>
      </c>
      <c r="I1114" t="s">
        <v>307</v>
      </c>
    </row>
    <row r="1115" spans="1:9" x14ac:dyDescent="0.25">
      <c r="A1115">
        <v>70361</v>
      </c>
      <c r="B1115" t="s">
        <v>196</v>
      </c>
      <c r="C1115" t="s">
        <v>238</v>
      </c>
      <c r="D1115">
        <v>4</v>
      </c>
      <c r="E1115">
        <v>580145</v>
      </c>
      <c r="F1115" t="s">
        <v>279</v>
      </c>
      <c r="G1115" t="s">
        <v>31</v>
      </c>
      <c r="H1115">
        <v>0</v>
      </c>
      <c r="I1115" t="s">
        <v>379</v>
      </c>
    </row>
    <row r="1116" spans="1:9" x14ac:dyDescent="0.25">
      <c r="A1116">
        <v>70361</v>
      </c>
      <c r="B1116" t="s">
        <v>196</v>
      </c>
      <c r="C1116" t="s">
        <v>238</v>
      </c>
      <c r="D1116">
        <v>4</v>
      </c>
      <c r="E1116">
        <v>580145</v>
      </c>
      <c r="F1116" t="s">
        <v>279</v>
      </c>
      <c r="G1116" t="s">
        <v>30</v>
      </c>
      <c r="H1116">
        <v>43112</v>
      </c>
      <c r="I1116" t="s">
        <v>308</v>
      </c>
    </row>
    <row r="1117" spans="1:9" x14ac:dyDescent="0.25">
      <c r="A1117">
        <v>70361</v>
      </c>
      <c r="B1117" t="s">
        <v>196</v>
      </c>
      <c r="C1117" t="s">
        <v>238</v>
      </c>
      <c r="D1117">
        <v>4</v>
      </c>
      <c r="E1117">
        <v>580145</v>
      </c>
      <c r="F1117" t="s">
        <v>279</v>
      </c>
      <c r="G1117" t="s">
        <v>35</v>
      </c>
      <c r="H1117">
        <v>14290</v>
      </c>
      <c r="I1117" t="s">
        <v>321</v>
      </c>
    </row>
    <row r="1118" spans="1:9" x14ac:dyDescent="0.25">
      <c r="A1118">
        <v>70361</v>
      </c>
      <c r="B1118" t="s">
        <v>196</v>
      </c>
      <c r="C1118" t="s">
        <v>238</v>
      </c>
      <c r="D1118">
        <v>4</v>
      </c>
      <c r="E1118">
        <v>580145</v>
      </c>
      <c r="F1118" t="s">
        <v>279</v>
      </c>
      <c r="G1118" t="s">
        <v>33</v>
      </c>
      <c r="H1118">
        <v>0</v>
      </c>
      <c r="I1118" t="s">
        <v>380</v>
      </c>
    </row>
    <row r="1119" spans="1:9" x14ac:dyDescent="0.25">
      <c r="A1119">
        <v>70361</v>
      </c>
      <c r="B1119" t="s">
        <v>196</v>
      </c>
      <c r="C1119" t="s">
        <v>238</v>
      </c>
      <c r="D1119">
        <v>4</v>
      </c>
      <c r="E1119">
        <v>580145</v>
      </c>
      <c r="F1119" t="s">
        <v>279</v>
      </c>
      <c r="G1119" t="s">
        <v>35</v>
      </c>
      <c r="H1119">
        <v>289</v>
      </c>
      <c r="I1119" t="s">
        <v>309</v>
      </c>
    </row>
    <row r="1120" spans="1:9" x14ac:dyDescent="0.25">
      <c r="A1120">
        <v>70361</v>
      </c>
      <c r="B1120" t="s">
        <v>196</v>
      </c>
      <c r="C1120" t="s">
        <v>238</v>
      </c>
      <c r="D1120">
        <v>4</v>
      </c>
      <c r="E1120">
        <v>580145</v>
      </c>
      <c r="F1120" t="s">
        <v>279</v>
      </c>
      <c r="G1120" t="s">
        <v>35</v>
      </c>
      <c r="H1120">
        <v>1735</v>
      </c>
      <c r="I1120" t="s">
        <v>310</v>
      </c>
    </row>
    <row r="1121" spans="1:9" x14ac:dyDescent="0.25">
      <c r="A1121">
        <v>70361</v>
      </c>
      <c r="B1121" t="s">
        <v>196</v>
      </c>
      <c r="C1121" t="s">
        <v>238</v>
      </c>
      <c r="D1121">
        <v>4</v>
      </c>
      <c r="E1121">
        <v>580145</v>
      </c>
      <c r="F1121" t="s">
        <v>279</v>
      </c>
      <c r="G1121" t="s">
        <v>35</v>
      </c>
      <c r="H1121">
        <v>12701</v>
      </c>
      <c r="I1121" t="s">
        <v>311</v>
      </c>
    </row>
    <row r="1122" spans="1:9" x14ac:dyDescent="0.25">
      <c r="A1122">
        <v>70361</v>
      </c>
      <c r="B1122" t="s">
        <v>196</v>
      </c>
      <c r="C1122" t="s">
        <v>238</v>
      </c>
      <c r="D1122">
        <v>4</v>
      </c>
      <c r="E1122">
        <v>580145</v>
      </c>
      <c r="F1122" t="s">
        <v>279</v>
      </c>
      <c r="G1122" t="s">
        <v>35</v>
      </c>
      <c r="H1122">
        <v>673</v>
      </c>
      <c r="I1122" t="s">
        <v>312</v>
      </c>
    </row>
    <row r="1123" spans="1:9" x14ac:dyDescent="0.25">
      <c r="A1123">
        <v>70361</v>
      </c>
      <c r="B1123" t="s">
        <v>196</v>
      </c>
      <c r="C1123" t="s">
        <v>238</v>
      </c>
      <c r="D1123">
        <v>4</v>
      </c>
      <c r="E1123">
        <v>580145</v>
      </c>
      <c r="F1123" t="s">
        <v>279</v>
      </c>
      <c r="G1123" t="s">
        <v>35</v>
      </c>
      <c r="H1123">
        <v>5926</v>
      </c>
      <c r="I1123" t="s">
        <v>313</v>
      </c>
    </row>
    <row r="1124" spans="1:9" x14ac:dyDescent="0.25">
      <c r="A1124">
        <v>70361</v>
      </c>
      <c r="B1124" t="s">
        <v>196</v>
      </c>
      <c r="C1124" t="s">
        <v>238</v>
      </c>
      <c r="D1124">
        <v>4</v>
      </c>
      <c r="E1124">
        <v>580145</v>
      </c>
      <c r="F1124" t="s">
        <v>279</v>
      </c>
      <c r="G1124" t="s">
        <v>37</v>
      </c>
      <c r="H1124">
        <v>0</v>
      </c>
      <c r="I1124" t="s">
        <v>381</v>
      </c>
    </row>
    <row r="1125" spans="1:9" x14ac:dyDescent="0.25">
      <c r="A1125">
        <v>70361</v>
      </c>
      <c r="B1125" t="s">
        <v>196</v>
      </c>
      <c r="C1125" t="s">
        <v>238</v>
      </c>
      <c r="D1125">
        <v>4</v>
      </c>
      <c r="E1125">
        <v>580145</v>
      </c>
      <c r="F1125" t="s">
        <v>279</v>
      </c>
      <c r="G1125" t="s">
        <v>37</v>
      </c>
      <c r="H1125">
        <v>33326</v>
      </c>
      <c r="I1125" t="s">
        <v>314</v>
      </c>
    </row>
    <row r="1126" spans="1:9" x14ac:dyDescent="0.25">
      <c r="A1126">
        <v>70361</v>
      </c>
      <c r="B1126" t="s">
        <v>196</v>
      </c>
      <c r="C1126" t="s">
        <v>238</v>
      </c>
      <c r="D1126">
        <v>4</v>
      </c>
      <c r="E1126">
        <v>580145</v>
      </c>
      <c r="F1126" t="s">
        <v>279</v>
      </c>
      <c r="G1126" t="s">
        <v>35</v>
      </c>
      <c r="H1126">
        <v>5690</v>
      </c>
      <c r="I1126" t="s">
        <v>315</v>
      </c>
    </row>
    <row r="1127" spans="1:9" x14ac:dyDescent="0.25">
      <c r="A1127">
        <v>70361</v>
      </c>
      <c r="B1127" t="s">
        <v>196</v>
      </c>
      <c r="C1127" t="s">
        <v>238</v>
      </c>
      <c r="D1127">
        <v>4</v>
      </c>
      <c r="E1127">
        <v>580145</v>
      </c>
      <c r="F1127" t="s">
        <v>279</v>
      </c>
      <c r="G1127" t="s">
        <v>37</v>
      </c>
      <c r="H1127">
        <v>47885</v>
      </c>
      <c r="I1127" t="s">
        <v>323</v>
      </c>
    </row>
    <row r="1128" spans="1:9" x14ac:dyDescent="0.25">
      <c r="A1128">
        <v>70361</v>
      </c>
      <c r="B1128" t="s">
        <v>196</v>
      </c>
      <c r="C1128" t="s">
        <v>238</v>
      </c>
      <c r="D1128">
        <v>4</v>
      </c>
      <c r="E1128">
        <v>580145</v>
      </c>
      <c r="F1128" t="s">
        <v>279</v>
      </c>
      <c r="G1128" t="s">
        <v>37</v>
      </c>
      <c r="H1128">
        <v>0</v>
      </c>
      <c r="I1128" t="s">
        <v>322</v>
      </c>
    </row>
    <row r="1129" spans="1:9" x14ac:dyDescent="0.25">
      <c r="A1129">
        <v>70361</v>
      </c>
      <c r="B1129" t="s">
        <v>196</v>
      </c>
      <c r="C1129" t="s">
        <v>238</v>
      </c>
      <c r="D1129">
        <v>4</v>
      </c>
      <c r="E1129">
        <v>580145</v>
      </c>
      <c r="F1129" t="s">
        <v>279</v>
      </c>
      <c r="G1129" t="s">
        <v>31</v>
      </c>
      <c r="H1129">
        <v>0</v>
      </c>
      <c r="I1129" t="s">
        <v>364</v>
      </c>
    </row>
    <row r="1130" spans="1:9" x14ac:dyDescent="0.25">
      <c r="A1130">
        <v>70361</v>
      </c>
      <c r="B1130" t="s">
        <v>196</v>
      </c>
      <c r="C1130" t="s">
        <v>238</v>
      </c>
      <c r="D1130">
        <v>4</v>
      </c>
      <c r="E1130">
        <v>580145</v>
      </c>
      <c r="F1130" t="s">
        <v>279</v>
      </c>
      <c r="G1130" t="s">
        <v>31</v>
      </c>
      <c r="H1130">
        <v>0</v>
      </c>
      <c r="I1130" t="s">
        <v>365</v>
      </c>
    </row>
    <row r="1131" spans="1:9" x14ac:dyDescent="0.25">
      <c r="A1131">
        <v>70361</v>
      </c>
      <c r="B1131" t="s">
        <v>196</v>
      </c>
      <c r="C1131" t="s">
        <v>238</v>
      </c>
      <c r="D1131">
        <v>4</v>
      </c>
      <c r="E1131">
        <v>580145</v>
      </c>
      <c r="F1131" t="s">
        <v>279</v>
      </c>
      <c r="G1131" t="s">
        <v>31</v>
      </c>
      <c r="H1131">
        <v>0</v>
      </c>
      <c r="I1131" t="s">
        <v>366</v>
      </c>
    </row>
    <row r="1132" spans="1:9" x14ac:dyDescent="0.25">
      <c r="A1132">
        <v>70361</v>
      </c>
      <c r="B1132" t="s">
        <v>196</v>
      </c>
      <c r="C1132" t="s">
        <v>238</v>
      </c>
      <c r="D1132">
        <v>4</v>
      </c>
      <c r="E1132">
        <v>580145</v>
      </c>
      <c r="F1132" t="s">
        <v>279</v>
      </c>
      <c r="G1132" t="s">
        <v>31</v>
      </c>
      <c r="H1132">
        <v>0</v>
      </c>
      <c r="I1132" t="s">
        <v>367</v>
      </c>
    </row>
    <row r="1133" spans="1:9" x14ac:dyDescent="0.25">
      <c r="A1133">
        <v>70361</v>
      </c>
      <c r="B1133" t="s">
        <v>196</v>
      </c>
      <c r="C1133" t="s">
        <v>238</v>
      </c>
      <c r="D1133">
        <v>4</v>
      </c>
      <c r="E1133">
        <v>580145</v>
      </c>
      <c r="F1133" t="s">
        <v>279</v>
      </c>
      <c r="G1133" t="s">
        <v>31</v>
      </c>
      <c r="H1133">
        <v>0</v>
      </c>
      <c r="I1133" t="s">
        <v>368</v>
      </c>
    </row>
    <row r="1134" spans="1:9" x14ac:dyDescent="0.25">
      <c r="A1134">
        <v>70361</v>
      </c>
      <c r="B1134" t="s">
        <v>196</v>
      </c>
      <c r="C1134" t="s">
        <v>238</v>
      </c>
      <c r="D1134">
        <v>4</v>
      </c>
      <c r="E1134">
        <v>580145</v>
      </c>
      <c r="F1134" t="s">
        <v>279</v>
      </c>
      <c r="G1134" t="s">
        <v>31</v>
      </c>
      <c r="H1134">
        <v>0</v>
      </c>
      <c r="I1134" t="s">
        <v>369</v>
      </c>
    </row>
    <row r="1135" spans="1:9" x14ac:dyDescent="0.25">
      <c r="A1135">
        <v>70361</v>
      </c>
      <c r="B1135" t="s">
        <v>196</v>
      </c>
      <c r="C1135" t="s">
        <v>238</v>
      </c>
      <c r="D1135">
        <v>4</v>
      </c>
      <c r="E1135">
        <v>580145</v>
      </c>
      <c r="F1135" t="s">
        <v>279</v>
      </c>
      <c r="G1135" t="s">
        <v>31</v>
      </c>
      <c r="H1135">
        <v>0</v>
      </c>
      <c r="I1135" t="s">
        <v>370</v>
      </c>
    </row>
    <row r="1136" spans="1:9" x14ac:dyDescent="0.25">
      <c r="A1136">
        <v>70361</v>
      </c>
      <c r="B1136" t="s">
        <v>196</v>
      </c>
      <c r="C1136" t="s">
        <v>238</v>
      </c>
      <c r="D1136">
        <v>4</v>
      </c>
      <c r="E1136">
        <v>580145</v>
      </c>
      <c r="F1136" t="s">
        <v>279</v>
      </c>
      <c r="G1136" t="s">
        <v>31</v>
      </c>
      <c r="H1136">
        <v>0</v>
      </c>
      <c r="I1136" t="s">
        <v>371</v>
      </c>
    </row>
    <row r="1137" spans="1:9" x14ac:dyDescent="0.25">
      <c r="A1137">
        <v>70361</v>
      </c>
      <c r="B1137" t="s">
        <v>196</v>
      </c>
      <c r="C1137" t="s">
        <v>238</v>
      </c>
      <c r="D1137">
        <v>4</v>
      </c>
      <c r="E1137">
        <v>580145</v>
      </c>
      <c r="F1137" t="s">
        <v>279</v>
      </c>
      <c r="G1137" t="s">
        <v>31</v>
      </c>
      <c r="H1137">
        <v>0</v>
      </c>
      <c r="I1137" t="s">
        <v>328</v>
      </c>
    </row>
    <row r="1138" spans="1:9" x14ac:dyDescent="0.25">
      <c r="A1138">
        <v>70361</v>
      </c>
      <c r="B1138" t="s">
        <v>196</v>
      </c>
      <c r="C1138" t="s">
        <v>238</v>
      </c>
      <c r="D1138">
        <v>4</v>
      </c>
      <c r="E1138">
        <v>580145</v>
      </c>
      <c r="F1138" t="s">
        <v>279</v>
      </c>
      <c r="G1138" t="s">
        <v>33</v>
      </c>
      <c r="H1138">
        <v>0</v>
      </c>
      <c r="I1138" t="s">
        <v>372</v>
      </c>
    </row>
    <row r="1139" spans="1:9" x14ac:dyDescent="0.25">
      <c r="A1139">
        <v>70361</v>
      </c>
      <c r="B1139" t="s">
        <v>196</v>
      </c>
      <c r="C1139" t="s">
        <v>238</v>
      </c>
      <c r="D1139">
        <v>4</v>
      </c>
      <c r="E1139">
        <v>580145</v>
      </c>
      <c r="F1139" t="s">
        <v>279</v>
      </c>
      <c r="G1139" t="s">
        <v>37</v>
      </c>
      <c r="H1139">
        <v>0</v>
      </c>
      <c r="I1139" t="s">
        <v>382</v>
      </c>
    </row>
    <row r="1140" spans="1:9" x14ac:dyDescent="0.25">
      <c r="A1140">
        <v>70361</v>
      </c>
      <c r="B1140" t="s">
        <v>196</v>
      </c>
      <c r="C1140" t="s">
        <v>238</v>
      </c>
      <c r="D1140">
        <v>4</v>
      </c>
      <c r="E1140">
        <v>580145</v>
      </c>
      <c r="F1140" t="s">
        <v>279</v>
      </c>
      <c r="G1140" t="s">
        <v>37</v>
      </c>
      <c r="H1140">
        <v>27550</v>
      </c>
      <c r="I1140" t="s">
        <v>316</v>
      </c>
    </row>
    <row r="1141" spans="1:9" x14ac:dyDescent="0.25">
      <c r="A1141">
        <v>70361</v>
      </c>
      <c r="B1141" t="s">
        <v>196</v>
      </c>
      <c r="C1141" t="s">
        <v>238</v>
      </c>
      <c r="D1141">
        <v>4</v>
      </c>
      <c r="E1141">
        <v>580145</v>
      </c>
      <c r="F1141" t="s">
        <v>279</v>
      </c>
      <c r="G1141" t="s">
        <v>36</v>
      </c>
      <c r="H1141">
        <v>111071</v>
      </c>
      <c r="I1141" t="s">
        <v>317</v>
      </c>
    </row>
    <row r="1142" spans="1:9" x14ac:dyDescent="0.25">
      <c r="A1142">
        <v>70361</v>
      </c>
      <c r="B1142" t="s">
        <v>196</v>
      </c>
      <c r="C1142" t="s">
        <v>238</v>
      </c>
      <c r="D1142">
        <v>4</v>
      </c>
      <c r="E1142">
        <v>580145</v>
      </c>
      <c r="F1142" t="s">
        <v>274</v>
      </c>
      <c r="G1142" t="s">
        <v>275</v>
      </c>
      <c r="H1142">
        <v>0</v>
      </c>
      <c r="I1142" t="s">
        <v>276</v>
      </c>
    </row>
    <row r="1143" spans="1:9" x14ac:dyDescent="0.25">
      <c r="A1143">
        <v>70361</v>
      </c>
      <c r="B1143" t="s">
        <v>196</v>
      </c>
      <c r="C1143" t="s">
        <v>238</v>
      </c>
      <c r="D1143">
        <v>4</v>
      </c>
      <c r="E1143">
        <v>580145</v>
      </c>
      <c r="F1143" t="s">
        <v>279</v>
      </c>
      <c r="G1143" t="s">
        <v>29</v>
      </c>
      <c r="H1143">
        <v>0</v>
      </c>
      <c r="I1143" t="s">
        <v>324</v>
      </c>
    </row>
    <row r="1144" spans="1:9" x14ac:dyDescent="0.25">
      <c r="A1144">
        <v>70361</v>
      </c>
      <c r="B1144" t="s">
        <v>196</v>
      </c>
      <c r="C1144" t="s">
        <v>238</v>
      </c>
      <c r="D1144">
        <v>4</v>
      </c>
      <c r="E1144">
        <v>580145</v>
      </c>
      <c r="F1144" t="s">
        <v>274</v>
      </c>
      <c r="G1144" t="s">
        <v>277</v>
      </c>
      <c r="H1144">
        <v>254</v>
      </c>
      <c r="I1144" t="s">
        <v>278</v>
      </c>
    </row>
    <row r="1145" spans="1:9" x14ac:dyDescent="0.25">
      <c r="A1145">
        <v>70361</v>
      </c>
      <c r="B1145" t="s">
        <v>196</v>
      </c>
      <c r="C1145" t="s">
        <v>238</v>
      </c>
      <c r="D1145">
        <v>4</v>
      </c>
      <c r="E1145">
        <v>580145</v>
      </c>
      <c r="F1145" t="s">
        <v>274</v>
      </c>
      <c r="G1145" t="s">
        <v>300</v>
      </c>
      <c r="H1145">
        <v>0</v>
      </c>
      <c r="I1145" t="s">
        <v>383</v>
      </c>
    </row>
    <row r="1146" spans="1:9" x14ac:dyDescent="0.25">
      <c r="A1146">
        <v>70361</v>
      </c>
      <c r="B1146" t="s">
        <v>196</v>
      </c>
      <c r="C1146" t="s">
        <v>238</v>
      </c>
      <c r="D1146">
        <v>4</v>
      </c>
      <c r="E1146">
        <v>580145</v>
      </c>
      <c r="F1146" t="s">
        <v>279</v>
      </c>
      <c r="G1146" t="s">
        <v>33</v>
      </c>
      <c r="H1146">
        <v>57452</v>
      </c>
      <c r="I1146" t="s">
        <v>280</v>
      </c>
    </row>
    <row r="1147" spans="1:9" x14ac:dyDescent="0.25">
      <c r="A1147">
        <v>70361</v>
      </c>
      <c r="B1147" t="s">
        <v>196</v>
      </c>
      <c r="C1147" t="s">
        <v>238</v>
      </c>
      <c r="D1147">
        <v>4</v>
      </c>
      <c r="E1147">
        <v>580145</v>
      </c>
      <c r="F1147" t="s">
        <v>279</v>
      </c>
      <c r="G1147" t="s">
        <v>29</v>
      </c>
      <c r="H1147">
        <v>355</v>
      </c>
      <c r="I1147" t="s">
        <v>281</v>
      </c>
    </row>
    <row r="1148" spans="1:9" x14ac:dyDescent="0.25">
      <c r="A1148">
        <v>70361</v>
      </c>
      <c r="B1148" t="s">
        <v>196</v>
      </c>
      <c r="C1148" t="s">
        <v>238</v>
      </c>
      <c r="D1148">
        <v>4</v>
      </c>
      <c r="E1148">
        <v>580145</v>
      </c>
      <c r="F1148" t="s">
        <v>279</v>
      </c>
      <c r="G1148" t="s">
        <v>29</v>
      </c>
      <c r="H1148">
        <v>60054</v>
      </c>
      <c r="I1148" t="s">
        <v>282</v>
      </c>
    </row>
    <row r="1149" spans="1:9" x14ac:dyDescent="0.25">
      <c r="A1149">
        <v>70361</v>
      </c>
      <c r="B1149" t="s">
        <v>196</v>
      </c>
      <c r="C1149" t="s">
        <v>238</v>
      </c>
      <c r="D1149">
        <v>4</v>
      </c>
      <c r="E1149">
        <v>580145</v>
      </c>
      <c r="F1149" t="s">
        <v>279</v>
      </c>
      <c r="G1149" t="s">
        <v>35</v>
      </c>
      <c r="H1149">
        <v>80003</v>
      </c>
      <c r="I1149" t="s">
        <v>283</v>
      </c>
    </row>
    <row r="1150" spans="1:9" x14ac:dyDescent="0.25">
      <c r="A1150">
        <v>70361</v>
      </c>
      <c r="B1150" t="s">
        <v>196</v>
      </c>
      <c r="C1150" t="s">
        <v>238</v>
      </c>
      <c r="D1150">
        <v>4</v>
      </c>
      <c r="E1150">
        <v>580145</v>
      </c>
      <c r="F1150" t="s">
        <v>279</v>
      </c>
      <c r="G1150" t="s">
        <v>29</v>
      </c>
      <c r="H1150">
        <v>5585</v>
      </c>
      <c r="I1150" t="s">
        <v>284</v>
      </c>
    </row>
    <row r="1151" spans="1:9" x14ac:dyDescent="0.25">
      <c r="A1151">
        <v>70361</v>
      </c>
      <c r="B1151" t="s">
        <v>196</v>
      </c>
      <c r="C1151" t="s">
        <v>238</v>
      </c>
      <c r="D1151">
        <v>4</v>
      </c>
      <c r="E1151">
        <v>580145</v>
      </c>
      <c r="F1151" t="s">
        <v>279</v>
      </c>
      <c r="G1151" t="s">
        <v>29</v>
      </c>
      <c r="H1151">
        <v>34782</v>
      </c>
      <c r="I1151" t="s">
        <v>285</v>
      </c>
    </row>
    <row r="1152" spans="1:9" x14ac:dyDescent="0.25">
      <c r="A1152">
        <v>70361</v>
      </c>
      <c r="B1152" t="s">
        <v>196</v>
      </c>
      <c r="C1152" t="s">
        <v>238</v>
      </c>
      <c r="D1152">
        <v>4</v>
      </c>
      <c r="E1152">
        <v>580145</v>
      </c>
      <c r="F1152" t="s">
        <v>279</v>
      </c>
      <c r="G1152" t="s">
        <v>29</v>
      </c>
      <c r="H1152">
        <v>6770</v>
      </c>
      <c r="I1152" t="s">
        <v>286</v>
      </c>
    </row>
    <row r="1153" spans="1:9" x14ac:dyDescent="0.25">
      <c r="A1153">
        <v>70361</v>
      </c>
      <c r="B1153" t="s">
        <v>196</v>
      </c>
      <c r="C1153" t="s">
        <v>238</v>
      </c>
      <c r="D1153">
        <v>4</v>
      </c>
      <c r="E1153">
        <v>580145</v>
      </c>
      <c r="F1153" t="s">
        <v>279</v>
      </c>
      <c r="G1153" t="s">
        <v>29</v>
      </c>
      <c r="H1153">
        <v>0</v>
      </c>
      <c r="I1153" t="s">
        <v>327</v>
      </c>
    </row>
    <row r="1154" spans="1:9" x14ac:dyDescent="0.25">
      <c r="A1154">
        <v>70361</v>
      </c>
      <c r="B1154" t="s">
        <v>196</v>
      </c>
      <c r="C1154" t="s">
        <v>238</v>
      </c>
      <c r="D1154">
        <v>4</v>
      </c>
      <c r="E1154">
        <v>580145</v>
      </c>
      <c r="F1154" t="s">
        <v>279</v>
      </c>
      <c r="G1154" t="s">
        <v>34</v>
      </c>
      <c r="H1154">
        <v>32721</v>
      </c>
      <c r="I1154" t="s">
        <v>287</v>
      </c>
    </row>
    <row r="1155" spans="1:9" x14ac:dyDescent="0.25">
      <c r="A1155">
        <v>70361</v>
      </c>
      <c r="B1155" t="s">
        <v>196</v>
      </c>
      <c r="C1155" t="s">
        <v>238</v>
      </c>
      <c r="D1155">
        <v>4</v>
      </c>
      <c r="E1155">
        <v>580145</v>
      </c>
      <c r="F1155" t="s">
        <v>279</v>
      </c>
      <c r="G1155" t="s">
        <v>29</v>
      </c>
      <c r="H1155">
        <v>24096</v>
      </c>
      <c r="I1155" t="s">
        <v>288</v>
      </c>
    </row>
    <row r="1156" spans="1:9" x14ac:dyDescent="0.25">
      <c r="A1156">
        <v>70361</v>
      </c>
      <c r="B1156" t="s">
        <v>196</v>
      </c>
      <c r="C1156" t="s">
        <v>238</v>
      </c>
      <c r="D1156">
        <v>4</v>
      </c>
      <c r="E1156">
        <v>580145</v>
      </c>
      <c r="F1156" t="s">
        <v>279</v>
      </c>
      <c r="G1156" t="s">
        <v>34</v>
      </c>
      <c r="H1156">
        <v>12200</v>
      </c>
      <c r="I1156" t="s">
        <v>289</v>
      </c>
    </row>
    <row r="1157" spans="1:9" x14ac:dyDescent="0.25">
      <c r="A1157">
        <v>70361</v>
      </c>
      <c r="B1157" t="s">
        <v>196</v>
      </c>
      <c r="C1157" t="s">
        <v>238</v>
      </c>
      <c r="D1157">
        <v>4</v>
      </c>
      <c r="E1157">
        <v>580145</v>
      </c>
      <c r="F1157" t="s">
        <v>279</v>
      </c>
      <c r="G1157" t="s">
        <v>29</v>
      </c>
      <c r="H1157">
        <v>5382</v>
      </c>
      <c r="I1157" t="s">
        <v>290</v>
      </c>
    </row>
    <row r="1158" spans="1:9" x14ac:dyDescent="0.25">
      <c r="A1158">
        <v>70361</v>
      </c>
      <c r="B1158" t="s">
        <v>196</v>
      </c>
      <c r="C1158" t="s">
        <v>238</v>
      </c>
      <c r="D1158">
        <v>4</v>
      </c>
      <c r="E1158">
        <v>580145</v>
      </c>
      <c r="F1158" t="s">
        <v>279</v>
      </c>
      <c r="G1158" t="s">
        <v>32</v>
      </c>
      <c r="H1158">
        <v>75449</v>
      </c>
      <c r="I1158" t="s">
        <v>291</v>
      </c>
    </row>
    <row r="1159" spans="1:9" x14ac:dyDescent="0.25">
      <c r="A1159">
        <v>70361</v>
      </c>
      <c r="B1159" t="s">
        <v>196</v>
      </c>
      <c r="C1159" t="s">
        <v>238</v>
      </c>
      <c r="D1159">
        <v>4</v>
      </c>
      <c r="E1159">
        <v>580145</v>
      </c>
      <c r="F1159" t="s">
        <v>279</v>
      </c>
      <c r="G1159" t="s">
        <v>29</v>
      </c>
      <c r="H1159">
        <v>13868</v>
      </c>
      <c r="I1159" t="s">
        <v>292</v>
      </c>
    </row>
    <row r="1160" spans="1:9" x14ac:dyDescent="0.25">
      <c r="A1160">
        <v>70361</v>
      </c>
      <c r="B1160" t="s">
        <v>196</v>
      </c>
      <c r="C1160" t="s">
        <v>238</v>
      </c>
      <c r="D1160">
        <v>4</v>
      </c>
      <c r="E1160">
        <v>580145</v>
      </c>
      <c r="F1160" t="s">
        <v>279</v>
      </c>
      <c r="G1160" t="s">
        <v>29</v>
      </c>
      <c r="H1160">
        <v>0</v>
      </c>
      <c r="I1160" t="s">
        <v>384</v>
      </c>
    </row>
    <row r="1161" spans="1:9" x14ac:dyDescent="0.25">
      <c r="A1161">
        <v>70361</v>
      </c>
      <c r="B1161" t="s">
        <v>196</v>
      </c>
      <c r="C1161" t="s">
        <v>238</v>
      </c>
      <c r="D1161">
        <v>4</v>
      </c>
      <c r="E1161">
        <v>580145</v>
      </c>
      <c r="F1161" t="s">
        <v>279</v>
      </c>
      <c r="G1161" t="s">
        <v>35</v>
      </c>
      <c r="H1161">
        <v>6537</v>
      </c>
      <c r="I1161" t="s">
        <v>293</v>
      </c>
    </row>
    <row r="1162" spans="1:9" x14ac:dyDescent="0.25">
      <c r="A1162">
        <v>70361</v>
      </c>
      <c r="B1162" t="s">
        <v>196</v>
      </c>
      <c r="C1162" t="s">
        <v>238</v>
      </c>
      <c r="D1162">
        <v>4</v>
      </c>
      <c r="E1162">
        <v>580145</v>
      </c>
      <c r="F1162" t="s">
        <v>279</v>
      </c>
      <c r="G1162" t="s">
        <v>35</v>
      </c>
      <c r="H1162">
        <v>1158</v>
      </c>
      <c r="I1162" t="s">
        <v>294</v>
      </c>
    </row>
    <row r="1163" spans="1:9" x14ac:dyDescent="0.25">
      <c r="A1163">
        <v>70361</v>
      </c>
      <c r="B1163" t="s">
        <v>196</v>
      </c>
      <c r="C1163" t="s">
        <v>238</v>
      </c>
      <c r="D1163">
        <v>4</v>
      </c>
      <c r="E1163">
        <v>580145</v>
      </c>
      <c r="F1163" t="s">
        <v>279</v>
      </c>
      <c r="G1163" t="s">
        <v>35</v>
      </c>
      <c r="H1163">
        <v>9491</v>
      </c>
      <c r="I1163" t="s">
        <v>295</v>
      </c>
    </row>
    <row r="1164" spans="1:9" x14ac:dyDescent="0.25">
      <c r="A1164">
        <v>70361</v>
      </c>
      <c r="B1164" t="s">
        <v>196</v>
      </c>
      <c r="C1164" t="s">
        <v>238</v>
      </c>
      <c r="D1164">
        <v>4</v>
      </c>
      <c r="E1164">
        <v>580145</v>
      </c>
      <c r="F1164" t="s">
        <v>279</v>
      </c>
      <c r="G1164" t="s">
        <v>35</v>
      </c>
      <c r="H1164">
        <v>4560</v>
      </c>
      <c r="I1164" t="s">
        <v>296</v>
      </c>
    </row>
    <row r="1165" spans="1:9" x14ac:dyDescent="0.25">
      <c r="A1165">
        <v>70361</v>
      </c>
      <c r="B1165" t="s">
        <v>196</v>
      </c>
      <c r="C1165" t="s">
        <v>238</v>
      </c>
      <c r="D1165">
        <v>4</v>
      </c>
      <c r="E1165">
        <v>580145</v>
      </c>
      <c r="F1165" t="s">
        <v>279</v>
      </c>
      <c r="G1165" t="s">
        <v>35</v>
      </c>
      <c r="H1165">
        <v>2461</v>
      </c>
      <c r="I1165" t="s">
        <v>325</v>
      </c>
    </row>
    <row r="1166" spans="1:9" x14ac:dyDescent="0.25">
      <c r="A1166">
        <v>70361</v>
      </c>
      <c r="B1166" t="s">
        <v>196</v>
      </c>
      <c r="C1166" t="s">
        <v>238</v>
      </c>
      <c r="D1166">
        <v>4</v>
      </c>
      <c r="E1166">
        <v>580145</v>
      </c>
      <c r="F1166" t="s">
        <v>279</v>
      </c>
      <c r="G1166" t="s">
        <v>29</v>
      </c>
      <c r="H1166">
        <v>8313</v>
      </c>
      <c r="I1166" t="s">
        <v>297</v>
      </c>
    </row>
    <row r="1167" spans="1:9" x14ac:dyDescent="0.25">
      <c r="A1167">
        <v>70361</v>
      </c>
      <c r="B1167" t="s">
        <v>196</v>
      </c>
      <c r="C1167" t="s">
        <v>238</v>
      </c>
      <c r="D1167">
        <v>4</v>
      </c>
      <c r="E1167">
        <v>580145</v>
      </c>
      <c r="F1167" t="s">
        <v>279</v>
      </c>
      <c r="G1167" t="s">
        <v>36</v>
      </c>
      <c r="H1167">
        <v>33440</v>
      </c>
      <c r="I1167" t="s">
        <v>298</v>
      </c>
    </row>
    <row r="1168" spans="1:9" x14ac:dyDescent="0.25">
      <c r="A1168">
        <v>70361</v>
      </c>
      <c r="B1168" t="s">
        <v>196</v>
      </c>
      <c r="C1168" t="s">
        <v>238</v>
      </c>
      <c r="D1168">
        <v>4</v>
      </c>
      <c r="E1168">
        <v>580145</v>
      </c>
      <c r="F1168" t="s">
        <v>274</v>
      </c>
      <c r="G1168" t="s">
        <v>275</v>
      </c>
      <c r="H1168">
        <v>1373917</v>
      </c>
      <c r="I1168" t="s">
        <v>299</v>
      </c>
    </row>
    <row r="1169" spans="1:9" x14ac:dyDescent="0.25">
      <c r="A1169">
        <v>70361</v>
      </c>
      <c r="B1169" t="s">
        <v>196</v>
      </c>
      <c r="C1169" t="s">
        <v>238</v>
      </c>
      <c r="D1169">
        <v>4</v>
      </c>
      <c r="E1169">
        <v>580145</v>
      </c>
      <c r="F1169" t="s">
        <v>274</v>
      </c>
      <c r="G1169" t="s">
        <v>275</v>
      </c>
      <c r="H1169">
        <v>0</v>
      </c>
      <c r="I1169" t="s">
        <v>385</v>
      </c>
    </row>
    <row r="1170" spans="1:9" x14ac:dyDescent="0.25">
      <c r="A1170">
        <v>70362</v>
      </c>
      <c r="B1170" t="s">
        <v>198</v>
      </c>
      <c r="C1170" t="s">
        <v>238</v>
      </c>
      <c r="D1170">
        <v>4</v>
      </c>
      <c r="E1170">
        <v>-174259</v>
      </c>
      <c r="F1170" t="s">
        <v>279</v>
      </c>
      <c r="G1170" t="s">
        <v>31</v>
      </c>
      <c r="H1170">
        <v>0</v>
      </c>
      <c r="I1170" t="s">
        <v>364</v>
      </c>
    </row>
    <row r="1171" spans="1:9" x14ac:dyDescent="0.25">
      <c r="A1171">
        <v>70362</v>
      </c>
      <c r="B1171" t="s">
        <v>198</v>
      </c>
      <c r="C1171" t="s">
        <v>238</v>
      </c>
      <c r="D1171">
        <v>4</v>
      </c>
      <c r="E1171">
        <v>-174259</v>
      </c>
      <c r="F1171" t="s">
        <v>279</v>
      </c>
      <c r="G1171" t="s">
        <v>31</v>
      </c>
      <c r="H1171">
        <v>0</v>
      </c>
      <c r="I1171" t="s">
        <v>365</v>
      </c>
    </row>
    <row r="1172" spans="1:9" x14ac:dyDescent="0.25">
      <c r="A1172">
        <v>70362</v>
      </c>
      <c r="B1172" t="s">
        <v>198</v>
      </c>
      <c r="C1172" t="s">
        <v>238</v>
      </c>
      <c r="D1172">
        <v>4</v>
      </c>
      <c r="E1172">
        <v>-174259</v>
      </c>
      <c r="F1172" t="s">
        <v>279</v>
      </c>
      <c r="G1172" t="s">
        <v>31</v>
      </c>
      <c r="H1172">
        <v>0</v>
      </c>
      <c r="I1172" t="s">
        <v>366</v>
      </c>
    </row>
    <row r="1173" spans="1:9" x14ac:dyDescent="0.25">
      <c r="A1173">
        <v>70362</v>
      </c>
      <c r="B1173" t="s">
        <v>198</v>
      </c>
      <c r="C1173" t="s">
        <v>238</v>
      </c>
      <c r="D1173">
        <v>4</v>
      </c>
      <c r="E1173">
        <v>-174259</v>
      </c>
      <c r="F1173" t="s">
        <v>279</v>
      </c>
      <c r="G1173" t="s">
        <v>31</v>
      </c>
      <c r="H1173">
        <v>0</v>
      </c>
      <c r="I1173" t="s">
        <v>367</v>
      </c>
    </row>
    <row r="1174" spans="1:9" x14ac:dyDescent="0.25">
      <c r="A1174">
        <v>70362</v>
      </c>
      <c r="B1174" t="s">
        <v>198</v>
      </c>
      <c r="C1174" t="s">
        <v>238</v>
      </c>
      <c r="D1174">
        <v>4</v>
      </c>
      <c r="E1174">
        <v>-174259</v>
      </c>
      <c r="F1174" t="s">
        <v>279</v>
      </c>
      <c r="G1174" t="s">
        <v>31</v>
      </c>
      <c r="H1174">
        <v>0</v>
      </c>
      <c r="I1174" t="s">
        <v>368</v>
      </c>
    </row>
    <row r="1175" spans="1:9" x14ac:dyDescent="0.25">
      <c r="A1175">
        <v>70362</v>
      </c>
      <c r="B1175" t="s">
        <v>198</v>
      </c>
      <c r="C1175" t="s">
        <v>238</v>
      </c>
      <c r="D1175">
        <v>4</v>
      </c>
      <c r="E1175">
        <v>-174259</v>
      </c>
      <c r="F1175" t="s">
        <v>279</v>
      </c>
      <c r="G1175" t="s">
        <v>31</v>
      </c>
      <c r="H1175">
        <v>0</v>
      </c>
      <c r="I1175" t="s">
        <v>369</v>
      </c>
    </row>
    <row r="1176" spans="1:9" x14ac:dyDescent="0.25">
      <c r="A1176">
        <v>70362</v>
      </c>
      <c r="B1176" t="s">
        <v>198</v>
      </c>
      <c r="C1176" t="s">
        <v>238</v>
      </c>
      <c r="D1176">
        <v>4</v>
      </c>
      <c r="E1176">
        <v>-174259</v>
      </c>
      <c r="F1176" t="s">
        <v>279</v>
      </c>
      <c r="G1176" t="s">
        <v>31</v>
      </c>
      <c r="H1176">
        <v>0</v>
      </c>
      <c r="I1176" t="s">
        <v>370</v>
      </c>
    </row>
    <row r="1177" spans="1:9" x14ac:dyDescent="0.25">
      <c r="A1177">
        <v>70362</v>
      </c>
      <c r="B1177" t="s">
        <v>198</v>
      </c>
      <c r="C1177" t="s">
        <v>238</v>
      </c>
      <c r="D1177">
        <v>4</v>
      </c>
      <c r="E1177">
        <v>-174259</v>
      </c>
      <c r="F1177" t="s">
        <v>279</v>
      </c>
      <c r="G1177" t="s">
        <v>31</v>
      </c>
      <c r="H1177">
        <v>0</v>
      </c>
      <c r="I1177" t="s">
        <v>371</v>
      </c>
    </row>
    <row r="1178" spans="1:9" x14ac:dyDescent="0.25">
      <c r="A1178">
        <v>70362</v>
      </c>
      <c r="B1178" t="s">
        <v>198</v>
      </c>
      <c r="C1178" t="s">
        <v>238</v>
      </c>
      <c r="D1178">
        <v>4</v>
      </c>
      <c r="E1178">
        <v>-174259</v>
      </c>
      <c r="F1178" t="s">
        <v>279</v>
      </c>
      <c r="G1178" t="s">
        <v>31</v>
      </c>
      <c r="H1178">
        <v>0</v>
      </c>
      <c r="I1178" t="s">
        <v>328</v>
      </c>
    </row>
    <row r="1179" spans="1:9" x14ac:dyDescent="0.25">
      <c r="A1179">
        <v>70362</v>
      </c>
      <c r="B1179" t="s">
        <v>198</v>
      </c>
      <c r="C1179" t="s">
        <v>238</v>
      </c>
      <c r="D1179">
        <v>4</v>
      </c>
      <c r="E1179">
        <v>-174259</v>
      </c>
      <c r="F1179" t="s">
        <v>279</v>
      </c>
      <c r="G1179" t="s">
        <v>33</v>
      </c>
      <c r="H1179">
        <v>0</v>
      </c>
      <c r="I1179" t="s">
        <v>372</v>
      </c>
    </row>
    <row r="1180" spans="1:9" x14ac:dyDescent="0.25">
      <c r="A1180">
        <v>70362</v>
      </c>
      <c r="B1180" t="s">
        <v>198</v>
      </c>
      <c r="C1180" t="s">
        <v>238</v>
      </c>
      <c r="D1180">
        <v>4</v>
      </c>
      <c r="E1180">
        <v>-174259</v>
      </c>
      <c r="F1180" t="s">
        <v>279</v>
      </c>
      <c r="G1180" t="s">
        <v>33</v>
      </c>
      <c r="H1180">
        <v>0</v>
      </c>
      <c r="I1180" t="s">
        <v>329</v>
      </c>
    </row>
    <row r="1181" spans="1:9" x14ac:dyDescent="0.25">
      <c r="A1181">
        <v>70362</v>
      </c>
      <c r="B1181" t="s">
        <v>198</v>
      </c>
      <c r="C1181" t="s">
        <v>238</v>
      </c>
      <c r="D1181">
        <v>4</v>
      </c>
      <c r="E1181">
        <v>-174259</v>
      </c>
      <c r="F1181" t="s">
        <v>279</v>
      </c>
      <c r="G1181" t="s">
        <v>33</v>
      </c>
      <c r="H1181">
        <v>73427</v>
      </c>
      <c r="I1181" t="s">
        <v>319</v>
      </c>
    </row>
    <row r="1182" spans="1:9" x14ac:dyDescent="0.25">
      <c r="A1182">
        <v>70362</v>
      </c>
      <c r="B1182" t="s">
        <v>198</v>
      </c>
      <c r="C1182" t="s">
        <v>238</v>
      </c>
      <c r="D1182">
        <v>4</v>
      </c>
      <c r="E1182">
        <v>-174259</v>
      </c>
      <c r="F1182" t="s">
        <v>279</v>
      </c>
      <c r="G1182" t="s">
        <v>33</v>
      </c>
      <c r="H1182">
        <v>0</v>
      </c>
      <c r="I1182" t="s">
        <v>373</v>
      </c>
    </row>
    <row r="1183" spans="1:9" x14ac:dyDescent="0.25">
      <c r="A1183">
        <v>70362</v>
      </c>
      <c r="B1183" t="s">
        <v>198</v>
      </c>
      <c r="C1183" t="s">
        <v>238</v>
      </c>
      <c r="D1183">
        <v>4</v>
      </c>
      <c r="E1183">
        <v>-174259</v>
      </c>
      <c r="F1183" t="s">
        <v>279</v>
      </c>
      <c r="G1183" t="s">
        <v>33</v>
      </c>
      <c r="H1183">
        <v>0</v>
      </c>
      <c r="I1183" t="s">
        <v>374</v>
      </c>
    </row>
    <row r="1184" spans="1:9" x14ac:dyDescent="0.25">
      <c r="A1184">
        <v>70362</v>
      </c>
      <c r="B1184" t="s">
        <v>198</v>
      </c>
      <c r="C1184" t="s">
        <v>238</v>
      </c>
      <c r="D1184">
        <v>4</v>
      </c>
      <c r="E1184">
        <v>-174259</v>
      </c>
      <c r="F1184" t="s">
        <v>279</v>
      </c>
      <c r="G1184" t="s">
        <v>33</v>
      </c>
      <c r="H1184">
        <v>0</v>
      </c>
      <c r="I1184" t="s">
        <v>326</v>
      </c>
    </row>
    <row r="1185" spans="1:9" x14ac:dyDescent="0.25">
      <c r="A1185">
        <v>70362</v>
      </c>
      <c r="B1185" t="s">
        <v>198</v>
      </c>
      <c r="C1185" t="s">
        <v>238</v>
      </c>
      <c r="D1185">
        <v>4</v>
      </c>
      <c r="E1185">
        <v>-174259</v>
      </c>
      <c r="F1185" t="s">
        <v>279</v>
      </c>
      <c r="G1185" t="s">
        <v>33</v>
      </c>
      <c r="H1185">
        <v>0</v>
      </c>
      <c r="I1185" t="s">
        <v>375</v>
      </c>
    </row>
    <row r="1186" spans="1:9" x14ac:dyDescent="0.25">
      <c r="A1186">
        <v>70362</v>
      </c>
      <c r="B1186" t="s">
        <v>198</v>
      </c>
      <c r="C1186" t="s">
        <v>238</v>
      </c>
      <c r="D1186">
        <v>4</v>
      </c>
      <c r="E1186">
        <v>-174259</v>
      </c>
      <c r="F1186" t="s">
        <v>279</v>
      </c>
      <c r="G1186" t="s">
        <v>33</v>
      </c>
      <c r="H1186">
        <v>0</v>
      </c>
      <c r="I1186" t="s">
        <v>376</v>
      </c>
    </row>
    <row r="1187" spans="1:9" x14ac:dyDescent="0.25">
      <c r="A1187">
        <v>70362</v>
      </c>
      <c r="B1187" t="s">
        <v>198</v>
      </c>
      <c r="C1187" t="s">
        <v>238</v>
      </c>
      <c r="D1187">
        <v>4</v>
      </c>
      <c r="E1187">
        <v>-174259</v>
      </c>
      <c r="F1187" t="s">
        <v>279</v>
      </c>
      <c r="G1187" t="s">
        <v>33</v>
      </c>
      <c r="H1187">
        <v>0</v>
      </c>
      <c r="I1187" t="s">
        <v>377</v>
      </c>
    </row>
    <row r="1188" spans="1:9" x14ac:dyDescent="0.25">
      <c r="A1188">
        <v>70362</v>
      </c>
      <c r="B1188" t="s">
        <v>198</v>
      </c>
      <c r="C1188" t="s">
        <v>238</v>
      </c>
      <c r="D1188">
        <v>4</v>
      </c>
      <c r="E1188">
        <v>-174259</v>
      </c>
      <c r="F1188" t="s">
        <v>274</v>
      </c>
      <c r="G1188" t="s">
        <v>275</v>
      </c>
      <c r="H1188">
        <v>816137</v>
      </c>
      <c r="I1188" t="s">
        <v>318</v>
      </c>
    </row>
    <row r="1189" spans="1:9" x14ac:dyDescent="0.25">
      <c r="A1189">
        <v>70362</v>
      </c>
      <c r="B1189" t="s">
        <v>198</v>
      </c>
      <c r="C1189" t="s">
        <v>238</v>
      </c>
      <c r="D1189">
        <v>4</v>
      </c>
      <c r="E1189">
        <v>-174259</v>
      </c>
      <c r="F1189" t="s">
        <v>274</v>
      </c>
      <c r="G1189" t="s">
        <v>300</v>
      </c>
      <c r="H1189">
        <v>17033</v>
      </c>
      <c r="I1189" t="s">
        <v>301</v>
      </c>
    </row>
    <row r="1190" spans="1:9" x14ac:dyDescent="0.25">
      <c r="A1190">
        <v>70362</v>
      </c>
      <c r="B1190" t="s">
        <v>198</v>
      </c>
      <c r="C1190" t="s">
        <v>238</v>
      </c>
      <c r="D1190">
        <v>4</v>
      </c>
      <c r="E1190">
        <v>-174259</v>
      </c>
      <c r="F1190" t="s">
        <v>274</v>
      </c>
      <c r="G1190" t="s">
        <v>275</v>
      </c>
      <c r="H1190">
        <v>-17974</v>
      </c>
      <c r="I1190" t="s">
        <v>302</v>
      </c>
    </row>
    <row r="1191" spans="1:9" x14ac:dyDescent="0.25">
      <c r="A1191">
        <v>70362</v>
      </c>
      <c r="B1191" t="s">
        <v>198</v>
      </c>
      <c r="C1191" t="s">
        <v>238</v>
      </c>
      <c r="D1191">
        <v>4</v>
      </c>
      <c r="E1191">
        <v>-174259</v>
      </c>
      <c r="F1191" t="s">
        <v>279</v>
      </c>
      <c r="G1191" t="s">
        <v>30</v>
      </c>
      <c r="H1191">
        <v>305795</v>
      </c>
      <c r="I1191" t="s">
        <v>303</v>
      </c>
    </row>
    <row r="1192" spans="1:9" x14ac:dyDescent="0.25">
      <c r="A1192">
        <v>70362</v>
      </c>
      <c r="B1192" t="s">
        <v>198</v>
      </c>
      <c r="C1192" t="s">
        <v>238</v>
      </c>
      <c r="D1192">
        <v>4</v>
      </c>
      <c r="E1192">
        <v>-174259</v>
      </c>
      <c r="F1192" t="s">
        <v>279</v>
      </c>
      <c r="G1192" t="s">
        <v>35</v>
      </c>
      <c r="H1192">
        <v>5242</v>
      </c>
      <c r="I1192" t="s">
        <v>304</v>
      </c>
    </row>
    <row r="1193" spans="1:9" x14ac:dyDescent="0.25">
      <c r="A1193">
        <v>70362</v>
      </c>
      <c r="B1193" t="s">
        <v>198</v>
      </c>
      <c r="C1193" t="s">
        <v>238</v>
      </c>
      <c r="D1193">
        <v>4</v>
      </c>
      <c r="E1193">
        <v>-174259</v>
      </c>
      <c r="F1193" t="s">
        <v>279</v>
      </c>
      <c r="G1193" t="s">
        <v>31</v>
      </c>
      <c r="H1193">
        <v>202601</v>
      </c>
      <c r="I1193" t="s">
        <v>305</v>
      </c>
    </row>
    <row r="1194" spans="1:9" x14ac:dyDescent="0.25">
      <c r="A1194">
        <v>70362</v>
      </c>
      <c r="B1194" t="s">
        <v>198</v>
      </c>
      <c r="C1194" t="s">
        <v>238</v>
      </c>
      <c r="D1194">
        <v>4</v>
      </c>
      <c r="E1194">
        <v>-174259</v>
      </c>
      <c r="F1194" t="s">
        <v>279</v>
      </c>
      <c r="G1194" t="s">
        <v>33</v>
      </c>
      <c r="H1194">
        <v>3565</v>
      </c>
      <c r="I1194" t="s">
        <v>320</v>
      </c>
    </row>
    <row r="1195" spans="1:9" x14ac:dyDescent="0.25">
      <c r="A1195">
        <v>70362</v>
      </c>
      <c r="B1195" t="s">
        <v>198</v>
      </c>
      <c r="C1195" t="s">
        <v>238</v>
      </c>
      <c r="D1195">
        <v>4</v>
      </c>
      <c r="E1195">
        <v>-174259</v>
      </c>
      <c r="F1195" t="s">
        <v>279</v>
      </c>
      <c r="G1195" t="s">
        <v>33</v>
      </c>
      <c r="H1195">
        <v>0</v>
      </c>
      <c r="I1195" t="s">
        <v>306</v>
      </c>
    </row>
    <row r="1196" spans="1:9" x14ac:dyDescent="0.25">
      <c r="A1196">
        <v>70362</v>
      </c>
      <c r="B1196" t="s">
        <v>198</v>
      </c>
      <c r="C1196" t="s">
        <v>238</v>
      </c>
      <c r="D1196">
        <v>4</v>
      </c>
      <c r="E1196">
        <v>-174259</v>
      </c>
      <c r="F1196" t="s">
        <v>279</v>
      </c>
      <c r="G1196" t="s">
        <v>33</v>
      </c>
      <c r="H1196">
        <v>0</v>
      </c>
      <c r="I1196" t="s">
        <v>378</v>
      </c>
    </row>
    <row r="1197" spans="1:9" x14ac:dyDescent="0.25">
      <c r="A1197">
        <v>70362</v>
      </c>
      <c r="B1197" t="s">
        <v>198</v>
      </c>
      <c r="C1197" t="s">
        <v>238</v>
      </c>
      <c r="D1197">
        <v>4</v>
      </c>
      <c r="E1197">
        <v>-174259</v>
      </c>
      <c r="F1197" t="s">
        <v>279</v>
      </c>
      <c r="G1197" t="s">
        <v>31</v>
      </c>
      <c r="H1197">
        <v>12340</v>
      </c>
      <c r="I1197" t="s">
        <v>307</v>
      </c>
    </row>
    <row r="1198" spans="1:9" x14ac:dyDescent="0.25">
      <c r="A1198">
        <v>70362</v>
      </c>
      <c r="B1198" t="s">
        <v>198</v>
      </c>
      <c r="C1198" t="s">
        <v>238</v>
      </c>
      <c r="D1198">
        <v>4</v>
      </c>
      <c r="E1198">
        <v>-174259</v>
      </c>
      <c r="F1198" t="s">
        <v>279</v>
      </c>
      <c r="G1198" t="s">
        <v>31</v>
      </c>
      <c r="H1198">
        <v>0</v>
      </c>
      <c r="I1198" t="s">
        <v>379</v>
      </c>
    </row>
    <row r="1199" spans="1:9" x14ac:dyDescent="0.25">
      <c r="A1199">
        <v>70362</v>
      </c>
      <c r="B1199" t="s">
        <v>198</v>
      </c>
      <c r="C1199" t="s">
        <v>238</v>
      </c>
      <c r="D1199">
        <v>4</v>
      </c>
      <c r="E1199">
        <v>-174259</v>
      </c>
      <c r="F1199" t="s">
        <v>279</v>
      </c>
      <c r="G1199" t="s">
        <v>30</v>
      </c>
      <c r="H1199">
        <v>10482</v>
      </c>
      <c r="I1199" t="s">
        <v>308</v>
      </c>
    </row>
    <row r="1200" spans="1:9" x14ac:dyDescent="0.25">
      <c r="A1200">
        <v>70362</v>
      </c>
      <c r="B1200" t="s">
        <v>198</v>
      </c>
      <c r="C1200" t="s">
        <v>238</v>
      </c>
      <c r="D1200">
        <v>4</v>
      </c>
      <c r="E1200">
        <v>-174259</v>
      </c>
      <c r="F1200" t="s">
        <v>279</v>
      </c>
      <c r="G1200" t="s">
        <v>35</v>
      </c>
      <c r="H1200">
        <v>7573</v>
      </c>
      <c r="I1200" t="s">
        <v>321</v>
      </c>
    </row>
    <row r="1201" spans="1:9" x14ac:dyDescent="0.25">
      <c r="A1201">
        <v>70362</v>
      </c>
      <c r="B1201" t="s">
        <v>198</v>
      </c>
      <c r="C1201" t="s">
        <v>238</v>
      </c>
      <c r="D1201">
        <v>4</v>
      </c>
      <c r="E1201">
        <v>-174259</v>
      </c>
      <c r="F1201" t="s">
        <v>279</v>
      </c>
      <c r="G1201" t="s">
        <v>33</v>
      </c>
      <c r="H1201">
        <v>0</v>
      </c>
      <c r="I1201" t="s">
        <v>380</v>
      </c>
    </row>
    <row r="1202" spans="1:9" x14ac:dyDescent="0.25">
      <c r="A1202">
        <v>70362</v>
      </c>
      <c r="B1202" t="s">
        <v>198</v>
      </c>
      <c r="C1202" t="s">
        <v>238</v>
      </c>
      <c r="D1202">
        <v>4</v>
      </c>
      <c r="E1202">
        <v>-174259</v>
      </c>
      <c r="F1202" t="s">
        <v>279</v>
      </c>
      <c r="G1202" t="s">
        <v>35</v>
      </c>
      <c r="H1202">
        <v>487</v>
      </c>
      <c r="I1202" t="s">
        <v>309</v>
      </c>
    </row>
    <row r="1203" spans="1:9" x14ac:dyDescent="0.25">
      <c r="A1203">
        <v>70362</v>
      </c>
      <c r="B1203" t="s">
        <v>198</v>
      </c>
      <c r="C1203" t="s">
        <v>238</v>
      </c>
      <c r="D1203">
        <v>4</v>
      </c>
      <c r="E1203">
        <v>-174259</v>
      </c>
      <c r="F1203" t="s">
        <v>279</v>
      </c>
      <c r="G1203" t="s">
        <v>35</v>
      </c>
      <c r="H1203">
        <v>2590</v>
      </c>
      <c r="I1203" t="s">
        <v>310</v>
      </c>
    </row>
    <row r="1204" spans="1:9" x14ac:dyDescent="0.25">
      <c r="A1204">
        <v>70362</v>
      </c>
      <c r="B1204" t="s">
        <v>198</v>
      </c>
      <c r="C1204" t="s">
        <v>238</v>
      </c>
      <c r="D1204">
        <v>4</v>
      </c>
      <c r="E1204">
        <v>-174259</v>
      </c>
      <c r="F1204" t="s">
        <v>279</v>
      </c>
      <c r="G1204" t="s">
        <v>35</v>
      </c>
      <c r="H1204">
        <v>12677</v>
      </c>
      <c r="I1204" t="s">
        <v>311</v>
      </c>
    </row>
    <row r="1205" spans="1:9" x14ac:dyDescent="0.25">
      <c r="A1205">
        <v>70362</v>
      </c>
      <c r="B1205" t="s">
        <v>198</v>
      </c>
      <c r="C1205" t="s">
        <v>238</v>
      </c>
      <c r="D1205">
        <v>4</v>
      </c>
      <c r="E1205">
        <v>-174259</v>
      </c>
      <c r="F1205" t="s">
        <v>279</v>
      </c>
      <c r="G1205" t="s">
        <v>35</v>
      </c>
      <c r="H1205">
        <v>280</v>
      </c>
      <c r="I1205" t="s">
        <v>312</v>
      </c>
    </row>
    <row r="1206" spans="1:9" x14ac:dyDescent="0.25">
      <c r="A1206">
        <v>70362</v>
      </c>
      <c r="B1206" t="s">
        <v>198</v>
      </c>
      <c r="C1206" t="s">
        <v>238</v>
      </c>
      <c r="D1206">
        <v>4</v>
      </c>
      <c r="E1206">
        <v>-174259</v>
      </c>
      <c r="F1206" t="s">
        <v>279</v>
      </c>
      <c r="G1206" t="s">
        <v>35</v>
      </c>
      <c r="H1206">
        <v>4892</v>
      </c>
      <c r="I1206" t="s">
        <v>313</v>
      </c>
    </row>
    <row r="1207" spans="1:9" x14ac:dyDescent="0.25">
      <c r="A1207">
        <v>70362</v>
      </c>
      <c r="B1207" t="s">
        <v>198</v>
      </c>
      <c r="C1207" t="s">
        <v>238</v>
      </c>
      <c r="D1207">
        <v>4</v>
      </c>
      <c r="E1207">
        <v>-174259</v>
      </c>
      <c r="F1207" t="s">
        <v>279</v>
      </c>
      <c r="G1207" t="s">
        <v>37</v>
      </c>
      <c r="H1207">
        <v>0</v>
      </c>
      <c r="I1207" t="s">
        <v>381</v>
      </c>
    </row>
    <row r="1208" spans="1:9" x14ac:dyDescent="0.25">
      <c r="A1208">
        <v>70362</v>
      </c>
      <c r="B1208" t="s">
        <v>198</v>
      </c>
      <c r="C1208" t="s">
        <v>238</v>
      </c>
      <c r="D1208">
        <v>4</v>
      </c>
      <c r="E1208">
        <v>-174259</v>
      </c>
      <c r="F1208" t="s">
        <v>279</v>
      </c>
      <c r="G1208" t="s">
        <v>37</v>
      </c>
      <c r="H1208">
        <v>26897</v>
      </c>
      <c r="I1208" t="s">
        <v>314</v>
      </c>
    </row>
    <row r="1209" spans="1:9" x14ac:dyDescent="0.25">
      <c r="A1209">
        <v>70362</v>
      </c>
      <c r="B1209" t="s">
        <v>198</v>
      </c>
      <c r="C1209" t="s">
        <v>238</v>
      </c>
      <c r="D1209">
        <v>4</v>
      </c>
      <c r="E1209">
        <v>-174259</v>
      </c>
      <c r="F1209" t="s">
        <v>279</v>
      </c>
      <c r="G1209" t="s">
        <v>35</v>
      </c>
      <c r="H1209">
        <v>3305</v>
      </c>
      <c r="I1209" t="s">
        <v>315</v>
      </c>
    </row>
    <row r="1210" spans="1:9" x14ac:dyDescent="0.25">
      <c r="A1210">
        <v>70362</v>
      </c>
      <c r="B1210" t="s">
        <v>198</v>
      </c>
      <c r="C1210" t="s">
        <v>238</v>
      </c>
      <c r="D1210">
        <v>4</v>
      </c>
      <c r="E1210">
        <v>-174259</v>
      </c>
      <c r="F1210" t="s">
        <v>279</v>
      </c>
      <c r="G1210" t="s">
        <v>37</v>
      </c>
      <c r="H1210">
        <v>0</v>
      </c>
      <c r="I1210" t="s">
        <v>323</v>
      </c>
    </row>
    <row r="1211" spans="1:9" x14ac:dyDescent="0.25">
      <c r="A1211">
        <v>70362</v>
      </c>
      <c r="B1211" t="s">
        <v>198</v>
      </c>
      <c r="C1211" t="s">
        <v>238</v>
      </c>
      <c r="D1211">
        <v>4</v>
      </c>
      <c r="E1211">
        <v>-174259</v>
      </c>
      <c r="F1211" t="s">
        <v>279</v>
      </c>
      <c r="G1211" t="s">
        <v>37</v>
      </c>
      <c r="H1211">
        <v>0</v>
      </c>
      <c r="I1211" t="s">
        <v>322</v>
      </c>
    </row>
    <row r="1212" spans="1:9" x14ac:dyDescent="0.25">
      <c r="A1212">
        <v>70362</v>
      </c>
      <c r="B1212" t="s">
        <v>198</v>
      </c>
      <c r="C1212" t="s">
        <v>238</v>
      </c>
      <c r="D1212">
        <v>4</v>
      </c>
      <c r="E1212">
        <v>-174259</v>
      </c>
      <c r="F1212" t="s">
        <v>279</v>
      </c>
      <c r="G1212" t="s">
        <v>37</v>
      </c>
      <c r="H1212">
        <v>0</v>
      </c>
      <c r="I1212" t="s">
        <v>382</v>
      </c>
    </row>
    <row r="1213" spans="1:9" x14ac:dyDescent="0.25">
      <c r="A1213">
        <v>70362</v>
      </c>
      <c r="B1213" t="s">
        <v>198</v>
      </c>
      <c r="C1213" t="s">
        <v>238</v>
      </c>
      <c r="D1213">
        <v>4</v>
      </c>
      <c r="E1213">
        <v>-174259</v>
      </c>
      <c r="F1213" t="s">
        <v>279</v>
      </c>
      <c r="G1213" t="s">
        <v>37</v>
      </c>
      <c r="H1213">
        <v>19895</v>
      </c>
      <c r="I1213" t="s">
        <v>316</v>
      </c>
    </row>
    <row r="1214" spans="1:9" x14ac:dyDescent="0.25">
      <c r="A1214">
        <v>70362</v>
      </c>
      <c r="B1214" t="s">
        <v>198</v>
      </c>
      <c r="C1214" t="s">
        <v>238</v>
      </c>
      <c r="D1214">
        <v>4</v>
      </c>
      <c r="E1214">
        <v>-174259</v>
      </c>
      <c r="F1214" t="s">
        <v>279</v>
      </c>
      <c r="G1214" t="s">
        <v>36</v>
      </c>
      <c r="H1214">
        <v>67404</v>
      </c>
      <c r="I1214" t="s">
        <v>317</v>
      </c>
    </row>
    <row r="1215" spans="1:9" x14ac:dyDescent="0.25">
      <c r="A1215">
        <v>70362</v>
      </c>
      <c r="B1215" t="s">
        <v>198</v>
      </c>
      <c r="C1215" t="s">
        <v>238</v>
      </c>
      <c r="D1215">
        <v>4</v>
      </c>
      <c r="E1215">
        <v>-174259</v>
      </c>
      <c r="F1215" t="s">
        <v>274</v>
      </c>
      <c r="G1215" t="s">
        <v>275</v>
      </c>
      <c r="H1215">
        <v>0</v>
      </c>
      <c r="I1215" t="s">
        <v>276</v>
      </c>
    </row>
    <row r="1216" spans="1:9" x14ac:dyDescent="0.25">
      <c r="A1216">
        <v>70362</v>
      </c>
      <c r="B1216" t="s">
        <v>198</v>
      </c>
      <c r="C1216" t="s">
        <v>238</v>
      </c>
      <c r="D1216">
        <v>4</v>
      </c>
      <c r="E1216">
        <v>-174259</v>
      </c>
      <c r="F1216" t="s">
        <v>279</v>
      </c>
      <c r="G1216" t="s">
        <v>29</v>
      </c>
      <c r="H1216">
        <v>0</v>
      </c>
      <c r="I1216" t="s">
        <v>324</v>
      </c>
    </row>
    <row r="1217" spans="1:9" x14ac:dyDescent="0.25">
      <c r="A1217">
        <v>70362</v>
      </c>
      <c r="B1217" t="s">
        <v>198</v>
      </c>
      <c r="C1217" t="s">
        <v>238</v>
      </c>
      <c r="D1217">
        <v>4</v>
      </c>
      <c r="E1217">
        <v>-174259</v>
      </c>
      <c r="F1217" t="s">
        <v>274</v>
      </c>
      <c r="G1217" t="s">
        <v>277</v>
      </c>
      <c r="H1217">
        <v>104</v>
      </c>
      <c r="I1217" t="s">
        <v>278</v>
      </c>
    </row>
    <row r="1218" spans="1:9" x14ac:dyDescent="0.25">
      <c r="A1218">
        <v>70362</v>
      </c>
      <c r="B1218" t="s">
        <v>198</v>
      </c>
      <c r="C1218" t="s">
        <v>238</v>
      </c>
      <c r="D1218">
        <v>4</v>
      </c>
      <c r="E1218">
        <v>-174259</v>
      </c>
      <c r="F1218" t="s">
        <v>274</v>
      </c>
      <c r="G1218" t="s">
        <v>300</v>
      </c>
      <c r="H1218">
        <v>0</v>
      </c>
      <c r="I1218" t="s">
        <v>383</v>
      </c>
    </row>
    <row r="1219" spans="1:9" x14ac:dyDescent="0.25">
      <c r="A1219">
        <v>70362</v>
      </c>
      <c r="B1219" t="s">
        <v>198</v>
      </c>
      <c r="C1219" t="s">
        <v>238</v>
      </c>
      <c r="D1219">
        <v>4</v>
      </c>
      <c r="E1219">
        <v>-174259</v>
      </c>
      <c r="F1219" t="s">
        <v>279</v>
      </c>
      <c r="G1219" t="s">
        <v>33</v>
      </c>
      <c r="H1219">
        <v>28412</v>
      </c>
      <c r="I1219" t="s">
        <v>280</v>
      </c>
    </row>
    <row r="1220" spans="1:9" x14ac:dyDescent="0.25">
      <c r="A1220">
        <v>70362</v>
      </c>
      <c r="B1220" t="s">
        <v>198</v>
      </c>
      <c r="C1220" t="s">
        <v>238</v>
      </c>
      <c r="D1220">
        <v>4</v>
      </c>
      <c r="E1220">
        <v>-174259</v>
      </c>
      <c r="F1220" t="s">
        <v>279</v>
      </c>
      <c r="G1220" t="s">
        <v>29</v>
      </c>
      <c r="H1220">
        <v>3843</v>
      </c>
      <c r="I1220" t="s">
        <v>281</v>
      </c>
    </row>
    <row r="1221" spans="1:9" x14ac:dyDescent="0.25">
      <c r="A1221">
        <v>70362</v>
      </c>
      <c r="B1221" t="s">
        <v>198</v>
      </c>
      <c r="C1221" t="s">
        <v>238</v>
      </c>
      <c r="D1221">
        <v>4</v>
      </c>
      <c r="E1221">
        <v>-174259</v>
      </c>
      <c r="F1221" t="s">
        <v>279</v>
      </c>
      <c r="G1221" t="s">
        <v>29</v>
      </c>
      <c r="H1221">
        <v>49607</v>
      </c>
      <c r="I1221" t="s">
        <v>282</v>
      </c>
    </row>
    <row r="1222" spans="1:9" x14ac:dyDescent="0.25">
      <c r="A1222">
        <v>70362</v>
      </c>
      <c r="B1222" t="s">
        <v>198</v>
      </c>
      <c r="C1222" t="s">
        <v>238</v>
      </c>
      <c r="D1222">
        <v>4</v>
      </c>
      <c r="E1222">
        <v>-174259</v>
      </c>
      <c r="F1222" t="s">
        <v>279</v>
      </c>
      <c r="G1222" t="s">
        <v>35</v>
      </c>
      <c r="H1222">
        <v>74949</v>
      </c>
      <c r="I1222" t="s">
        <v>283</v>
      </c>
    </row>
    <row r="1223" spans="1:9" x14ac:dyDescent="0.25">
      <c r="A1223">
        <v>70362</v>
      </c>
      <c r="B1223" t="s">
        <v>198</v>
      </c>
      <c r="C1223" t="s">
        <v>238</v>
      </c>
      <c r="D1223">
        <v>4</v>
      </c>
      <c r="E1223">
        <v>-174259</v>
      </c>
      <c r="F1223" t="s">
        <v>279</v>
      </c>
      <c r="G1223" t="s">
        <v>29</v>
      </c>
      <c r="H1223">
        <v>4670</v>
      </c>
      <c r="I1223" t="s">
        <v>284</v>
      </c>
    </row>
    <row r="1224" spans="1:9" x14ac:dyDescent="0.25">
      <c r="A1224">
        <v>70362</v>
      </c>
      <c r="B1224" t="s">
        <v>198</v>
      </c>
      <c r="C1224" t="s">
        <v>238</v>
      </c>
      <c r="D1224">
        <v>4</v>
      </c>
      <c r="E1224">
        <v>-174259</v>
      </c>
      <c r="F1224" t="s">
        <v>279</v>
      </c>
      <c r="G1224" t="s">
        <v>29</v>
      </c>
      <c r="H1224">
        <v>36820</v>
      </c>
      <c r="I1224" t="s">
        <v>285</v>
      </c>
    </row>
    <row r="1225" spans="1:9" x14ac:dyDescent="0.25">
      <c r="A1225">
        <v>70362</v>
      </c>
      <c r="B1225" t="s">
        <v>198</v>
      </c>
      <c r="C1225" t="s">
        <v>238</v>
      </c>
      <c r="D1225">
        <v>4</v>
      </c>
      <c r="E1225">
        <v>-174259</v>
      </c>
      <c r="F1225" t="s">
        <v>279</v>
      </c>
      <c r="G1225" t="s">
        <v>29</v>
      </c>
      <c r="H1225">
        <v>12</v>
      </c>
      <c r="I1225" t="s">
        <v>286</v>
      </c>
    </row>
    <row r="1226" spans="1:9" x14ac:dyDescent="0.25">
      <c r="A1226">
        <v>70362</v>
      </c>
      <c r="B1226" t="s">
        <v>198</v>
      </c>
      <c r="C1226" t="s">
        <v>238</v>
      </c>
      <c r="D1226">
        <v>4</v>
      </c>
      <c r="E1226">
        <v>-174259</v>
      </c>
      <c r="F1226" t="s">
        <v>279</v>
      </c>
      <c r="G1226" t="s">
        <v>29</v>
      </c>
      <c r="H1226">
        <v>0</v>
      </c>
      <c r="I1226" t="s">
        <v>327</v>
      </c>
    </row>
    <row r="1227" spans="1:9" x14ac:dyDescent="0.25">
      <c r="A1227">
        <v>70362</v>
      </c>
      <c r="B1227" t="s">
        <v>198</v>
      </c>
      <c r="C1227" t="s">
        <v>238</v>
      </c>
      <c r="D1227">
        <v>4</v>
      </c>
      <c r="E1227">
        <v>-174259</v>
      </c>
      <c r="F1227" t="s">
        <v>279</v>
      </c>
      <c r="G1227" t="s">
        <v>34</v>
      </c>
      <c r="H1227">
        <v>810</v>
      </c>
      <c r="I1227" t="s">
        <v>287</v>
      </c>
    </row>
    <row r="1228" spans="1:9" x14ac:dyDescent="0.25">
      <c r="A1228">
        <v>70362</v>
      </c>
      <c r="B1228" t="s">
        <v>198</v>
      </c>
      <c r="C1228" t="s">
        <v>238</v>
      </c>
      <c r="D1228">
        <v>4</v>
      </c>
      <c r="E1228">
        <v>-174259</v>
      </c>
      <c r="F1228" t="s">
        <v>279</v>
      </c>
      <c r="G1228" t="s">
        <v>29</v>
      </c>
      <c r="H1228">
        <v>45104</v>
      </c>
      <c r="I1228" t="s">
        <v>288</v>
      </c>
    </row>
    <row r="1229" spans="1:9" x14ac:dyDescent="0.25">
      <c r="A1229">
        <v>70362</v>
      </c>
      <c r="B1229" t="s">
        <v>198</v>
      </c>
      <c r="C1229" t="s">
        <v>238</v>
      </c>
      <c r="D1229">
        <v>4</v>
      </c>
      <c r="E1229">
        <v>-174259</v>
      </c>
      <c r="F1229" t="s">
        <v>279</v>
      </c>
      <c r="G1229" t="s">
        <v>34</v>
      </c>
      <c r="H1229">
        <v>10700</v>
      </c>
      <c r="I1229" t="s">
        <v>289</v>
      </c>
    </row>
    <row r="1230" spans="1:9" x14ac:dyDescent="0.25">
      <c r="A1230">
        <v>70362</v>
      </c>
      <c r="B1230" t="s">
        <v>198</v>
      </c>
      <c r="C1230" t="s">
        <v>238</v>
      </c>
      <c r="D1230">
        <v>4</v>
      </c>
      <c r="E1230">
        <v>-174259</v>
      </c>
      <c r="F1230" t="s">
        <v>279</v>
      </c>
      <c r="G1230" t="s">
        <v>29</v>
      </c>
      <c r="H1230">
        <v>4858</v>
      </c>
      <c r="I1230" t="s">
        <v>290</v>
      </c>
    </row>
    <row r="1231" spans="1:9" x14ac:dyDescent="0.25">
      <c r="A1231">
        <v>70362</v>
      </c>
      <c r="B1231" t="s">
        <v>198</v>
      </c>
      <c r="C1231" t="s">
        <v>238</v>
      </c>
      <c r="D1231">
        <v>4</v>
      </c>
      <c r="E1231">
        <v>-174259</v>
      </c>
      <c r="F1231" t="s">
        <v>279</v>
      </c>
      <c r="G1231" t="s">
        <v>32</v>
      </c>
      <c r="H1231">
        <v>59986</v>
      </c>
      <c r="I1231" t="s">
        <v>291</v>
      </c>
    </row>
    <row r="1232" spans="1:9" x14ac:dyDescent="0.25">
      <c r="A1232">
        <v>70362</v>
      </c>
      <c r="B1232" t="s">
        <v>198</v>
      </c>
      <c r="C1232" t="s">
        <v>238</v>
      </c>
      <c r="D1232">
        <v>4</v>
      </c>
      <c r="E1232">
        <v>-174259</v>
      </c>
      <c r="F1232" t="s">
        <v>279</v>
      </c>
      <c r="G1232" t="s">
        <v>29</v>
      </c>
      <c r="H1232">
        <v>12819</v>
      </c>
      <c r="I1232" t="s">
        <v>292</v>
      </c>
    </row>
    <row r="1233" spans="1:9" x14ac:dyDescent="0.25">
      <c r="A1233">
        <v>70362</v>
      </c>
      <c r="B1233" t="s">
        <v>198</v>
      </c>
      <c r="C1233" t="s">
        <v>238</v>
      </c>
      <c r="D1233">
        <v>4</v>
      </c>
      <c r="E1233">
        <v>-174259</v>
      </c>
      <c r="F1233" t="s">
        <v>279</v>
      </c>
      <c r="G1233" t="s">
        <v>29</v>
      </c>
      <c r="H1233">
        <v>0</v>
      </c>
      <c r="I1233" t="s">
        <v>384</v>
      </c>
    </row>
    <row r="1234" spans="1:9" x14ac:dyDescent="0.25">
      <c r="A1234">
        <v>70362</v>
      </c>
      <c r="B1234" t="s">
        <v>198</v>
      </c>
      <c r="C1234" t="s">
        <v>238</v>
      </c>
      <c r="D1234">
        <v>4</v>
      </c>
      <c r="E1234">
        <v>-174259</v>
      </c>
      <c r="F1234" t="s">
        <v>279</v>
      </c>
      <c r="G1234" t="s">
        <v>35</v>
      </c>
      <c r="H1234">
        <v>4924</v>
      </c>
      <c r="I1234" t="s">
        <v>293</v>
      </c>
    </row>
    <row r="1235" spans="1:9" x14ac:dyDescent="0.25">
      <c r="A1235">
        <v>70362</v>
      </c>
      <c r="B1235" t="s">
        <v>198</v>
      </c>
      <c r="C1235" t="s">
        <v>238</v>
      </c>
      <c r="D1235">
        <v>4</v>
      </c>
      <c r="E1235">
        <v>-174259</v>
      </c>
      <c r="F1235" t="s">
        <v>279</v>
      </c>
      <c r="G1235" t="s">
        <v>35</v>
      </c>
      <c r="H1235">
        <v>740</v>
      </c>
      <c r="I1235" t="s">
        <v>294</v>
      </c>
    </row>
    <row r="1236" spans="1:9" x14ac:dyDescent="0.25">
      <c r="A1236">
        <v>70362</v>
      </c>
      <c r="B1236" t="s">
        <v>198</v>
      </c>
      <c r="C1236" t="s">
        <v>238</v>
      </c>
      <c r="D1236">
        <v>4</v>
      </c>
      <c r="E1236">
        <v>-174259</v>
      </c>
      <c r="F1236" t="s">
        <v>279</v>
      </c>
      <c r="G1236" t="s">
        <v>35</v>
      </c>
      <c r="H1236">
        <v>3846</v>
      </c>
      <c r="I1236" t="s">
        <v>295</v>
      </c>
    </row>
    <row r="1237" spans="1:9" x14ac:dyDescent="0.25">
      <c r="A1237">
        <v>70362</v>
      </c>
      <c r="B1237" t="s">
        <v>198</v>
      </c>
      <c r="C1237" t="s">
        <v>238</v>
      </c>
      <c r="D1237">
        <v>4</v>
      </c>
      <c r="E1237">
        <v>-174259</v>
      </c>
      <c r="F1237" t="s">
        <v>279</v>
      </c>
      <c r="G1237" t="s">
        <v>35</v>
      </c>
      <c r="H1237">
        <v>-76</v>
      </c>
      <c r="I1237" t="s">
        <v>296</v>
      </c>
    </row>
    <row r="1238" spans="1:9" x14ac:dyDescent="0.25">
      <c r="A1238">
        <v>70362</v>
      </c>
      <c r="B1238" t="s">
        <v>198</v>
      </c>
      <c r="C1238" t="s">
        <v>238</v>
      </c>
      <c r="D1238">
        <v>4</v>
      </c>
      <c r="E1238">
        <v>-174259</v>
      </c>
      <c r="F1238" t="s">
        <v>279</v>
      </c>
      <c r="G1238" t="s">
        <v>35</v>
      </c>
      <c r="H1238">
        <v>0</v>
      </c>
      <c r="I1238" t="s">
        <v>325</v>
      </c>
    </row>
    <row r="1239" spans="1:9" x14ac:dyDescent="0.25">
      <c r="A1239">
        <v>70362</v>
      </c>
      <c r="B1239" t="s">
        <v>198</v>
      </c>
      <c r="C1239" t="s">
        <v>238</v>
      </c>
      <c r="D1239">
        <v>4</v>
      </c>
      <c r="E1239">
        <v>-174259</v>
      </c>
      <c r="F1239" t="s">
        <v>279</v>
      </c>
      <c r="G1239" t="s">
        <v>29</v>
      </c>
      <c r="H1239">
        <v>6815</v>
      </c>
      <c r="I1239" t="s">
        <v>297</v>
      </c>
    </row>
    <row r="1240" spans="1:9" x14ac:dyDescent="0.25">
      <c r="A1240">
        <v>70362</v>
      </c>
      <c r="B1240" t="s">
        <v>198</v>
      </c>
      <c r="C1240" t="s">
        <v>238</v>
      </c>
      <c r="D1240">
        <v>4</v>
      </c>
      <c r="E1240">
        <v>-174259</v>
      </c>
      <c r="F1240" t="s">
        <v>279</v>
      </c>
      <c r="G1240" t="s">
        <v>36</v>
      </c>
      <c r="H1240">
        <v>25707</v>
      </c>
      <c r="I1240" t="s">
        <v>298</v>
      </c>
    </row>
    <row r="1241" spans="1:9" x14ac:dyDescent="0.25">
      <c r="A1241">
        <v>70362</v>
      </c>
      <c r="B1241" t="s">
        <v>198</v>
      </c>
      <c r="C1241" t="s">
        <v>238</v>
      </c>
      <c r="D1241">
        <v>4</v>
      </c>
      <c r="E1241">
        <v>-174259</v>
      </c>
      <c r="F1241" t="s">
        <v>274</v>
      </c>
      <c r="G1241" t="s">
        <v>275</v>
      </c>
      <c r="H1241">
        <v>144439</v>
      </c>
      <c r="I1241" t="s">
        <v>299</v>
      </c>
    </row>
    <row r="1242" spans="1:9" x14ac:dyDescent="0.25">
      <c r="A1242">
        <v>70362</v>
      </c>
      <c r="B1242" t="s">
        <v>198</v>
      </c>
      <c r="C1242" t="s">
        <v>238</v>
      </c>
      <c r="D1242">
        <v>4</v>
      </c>
      <c r="E1242">
        <v>-174259</v>
      </c>
      <c r="F1242" t="s">
        <v>274</v>
      </c>
      <c r="G1242" t="s">
        <v>275</v>
      </c>
      <c r="H1242">
        <v>0</v>
      </c>
      <c r="I1242" t="s">
        <v>385</v>
      </c>
    </row>
    <row r="1243" spans="1:9" x14ac:dyDescent="0.25">
      <c r="A1243">
        <v>70363</v>
      </c>
      <c r="B1243" t="s">
        <v>200</v>
      </c>
      <c r="C1243" t="s">
        <v>238</v>
      </c>
      <c r="D1243">
        <v>4</v>
      </c>
      <c r="E1243">
        <v>-2414</v>
      </c>
      <c r="F1243" t="s">
        <v>279</v>
      </c>
      <c r="G1243" t="s">
        <v>35</v>
      </c>
      <c r="H1243">
        <v>1778</v>
      </c>
      <c r="I1243" t="s">
        <v>310</v>
      </c>
    </row>
    <row r="1244" spans="1:9" x14ac:dyDescent="0.25">
      <c r="A1244">
        <v>70363</v>
      </c>
      <c r="B1244" t="s">
        <v>200</v>
      </c>
      <c r="C1244" t="s">
        <v>238</v>
      </c>
      <c r="D1244">
        <v>4</v>
      </c>
      <c r="E1244">
        <v>-2414</v>
      </c>
      <c r="F1244" t="s">
        <v>279</v>
      </c>
      <c r="G1244" t="s">
        <v>35</v>
      </c>
      <c r="H1244">
        <v>10806</v>
      </c>
      <c r="I1244" t="s">
        <v>311</v>
      </c>
    </row>
    <row r="1245" spans="1:9" x14ac:dyDescent="0.25">
      <c r="A1245">
        <v>70363</v>
      </c>
      <c r="B1245" t="s">
        <v>200</v>
      </c>
      <c r="C1245" t="s">
        <v>238</v>
      </c>
      <c r="D1245">
        <v>4</v>
      </c>
      <c r="E1245">
        <v>-2414</v>
      </c>
      <c r="F1245" t="s">
        <v>279</v>
      </c>
      <c r="G1245" t="s">
        <v>35</v>
      </c>
      <c r="H1245">
        <v>57</v>
      </c>
      <c r="I1245" t="s">
        <v>312</v>
      </c>
    </row>
    <row r="1246" spans="1:9" x14ac:dyDescent="0.25">
      <c r="A1246">
        <v>70363</v>
      </c>
      <c r="B1246" t="s">
        <v>200</v>
      </c>
      <c r="C1246" t="s">
        <v>238</v>
      </c>
      <c r="D1246">
        <v>4</v>
      </c>
      <c r="E1246">
        <v>-2414</v>
      </c>
      <c r="F1246" t="s">
        <v>279</v>
      </c>
      <c r="G1246" t="s">
        <v>35</v>
      </c>
      <c r="H1246">
        <v>5431</v>
      </c>
      <c r="I1246" t="s">
        <v>313</v>
      </c>
    </row>
    <row r="1247" spans="1:9" x14ac:dyDescent="0.25">
      <c r="A1247">
        <v>70363</v>
      </c>
      <c r="B1247" t="s">
        <v>200</v>
      </c>
      <c r="C1247" t="s">
        <v>238</v>
      </c>
      <c r="D1247">
        <v>4</v>
      </c>
      <c r="E1247">
        <v>-2414</v>
      </c>
      <c r="F1247" t="s">
        <v>279</v>
      </c>
      <c r="G1247" t="s">
        <v>37</v>
      </c>
      <c r="H1247">
        <v>0</v>
      </c>
      <c r="I1247" t="s">
        <v>381</v>
      </c>
    </row>
    <row r="1248" spans="1:9" x14ac:dyDescent="0.25">
      <c r="A1248">
        <v>70363</v>
      </c>
      <c r="B1248" t="s">
        <v>200</v>
      </c>
      <c r="C1248" t="s">
        <v>238</v>
      </c>
      <c r="D1248">
        <v>4</v>
      </c>
      <c r="E1248">
        <v>-2414</v>
      </c>
      <c r="F1248" t="s">
        <v>279</v>
      </c>
      <c r="G1248" t="s">
        <v>37</v>
      </c>
      <c r="H1248">
        <v>20863</v>
      </c>
      <c r="I1248" t="s">
        <v>314</v>
      </c>
    </row>
    <row r="1249" spans="1:9" x14ac:dyDescent="0.25">
      <c r="A1249">
        <v>70363</v>
      </c>
      <c r="B1249" t="s">
        <v>200</v>
      </c>
      <c r="C1249" t="s">
        <v>238</v>
      </c>
      <c r="D1249">
        <v>4</v>
      </c>
      <c r="E1249">
        <v>-2414</v>
      </c>
      <c r="F1249" t="s">
        <v>279</v>
      </c>
      <c r="G1249" t="s">
        <v>35</v>
      </c>
      <c r="H1249">
        <v>12421</v>
      </c>
      <c r="I1249" t="s">
        <v>315</v>
      </c>
    </row>
    <row r="1250" spans="1:9" x14ac:dyDescent="0.25">
      <c r="A1250">
        <v>70363</v>
      </c>
      <c r="B1250" t="s">
        <v>200</v>
      </c>
      <c r="C1250" t="s">
        <v>238</v>
      </c>
      <c r="D1250">
        <v>4</v>
      </c>
      <c r="E1250">
        <v>-2414</v>
      </c>
      <c r="F1250" t="s">
        <v>279</v>
      </c>
      <c r="G1250" t="s">
        <v>37</v>
      </c>
      <c r="H1250">
        <v>0</v>
      </c>
      <c r="I1250" t="s">
        <v>323</v>
      </c>
    </row>
    <row r="1251" spans="1:9" x14ac:dyDescent="0.25">
      <c r="A1251">
        <v>70363</v>
      </c>
      <c r="B1251" t="s">
        <v>200</v>
      </c>
      <c r="C1251" t="s">
        <v>238</v>
      </c>
      <c r="D1251">
        <v>4</v>
      </c>
      <c r="E1251">
        <v>-2414</v>
      </c>
      <c r="F1251" t="s">
        <v>279</v>
      </c>
      <c r="G1251" t="s">
        <v>37</v>
      </c>
      <c r="H1251">
        <v>0</v>
      </c>
      <c r="I1251" t="s">
        <v>322</v>
      </c>
    </row>
    <row r="1252" spans="1:9" x14ac:dyDescent="0.25">
      <c r="A1252">
        <v>70363</v>
      </c>
      <c r="B1252" t="s">
        <v>200</v>
      </c>
      <c r="C1252" t="s">
        <v>238</v>
      </c>
      <c r="D1252">
        <v>4</v>
      </c>
      <c r="E1252">
        <v>-2414</v>
      </c>
      <c r="F1252" t="s">
        <v>279</v>
      </c>
      <c r="G1252" t="s">
        <v>37</v>
      </c>
      <c r="H1252">
        <v>0</v>
      </c>
      <c r="I1252" t="s">
        <v>382</v>
      </c>
    </row>
    <row r="1253" spans="1:9" x14ac:dyDescent="0.25">
      <c r="A1253">
        <v>70363</v>
      </c>
      <c r="B1253" t="s">
        <v>200</v>
      </c>
      <c r="C1253" t="s">
        <v>238</v>
      </c>
      <c r="D1253">
        <v>4</v>
      </c>
      <c r="E1253">
        <v>-2414</v>
      </c>
      <c r="F1253" t="s">
        <v>279</v>
      </c>
      <c r="G1253" t="s">
        <v>37</v>
      </c>
      <c r="H1253">
        <v>14185</v>
      </c>
      <c r="I1253" t="s">
        <v>316</v>
      </c>
    </row>
    <row r="1254" spans="1:9" x14ac:dyDescent="0.25">
      <c r="A1254">
        <v>70363</v>
      </c>
      <c r="B1254" t="s">
        <v>200</v>
      </c>
      <c r="C1254" t="s">
        <v>238</v>
      </c>
      <c r="D1254">
        <v>4</v>
      </c>
      <c r="E1254">
        <v>-2414</v>
      </c>
      <c r="F1254" t="s">
        <v>279</v>
      </c>
      <c r="G1254" t="s">
        <v>36</v>
      </c>
      <c r="H1254">
        <v>105341</v>
      </c>
      <c r="I1254" t="s">
        <v>317</v>
      </c>
    </row>
    <row r="1255" spans="1:9" x14ac:dyDescent="0.25">
      <c r="A1255">
        <v>70363</v>
      </c>
      <c r="B1255" t="s">
        <v>200</v>
      </c>
      <c r="C1255" t="s">
        <v>238</v>
      </c>
      <c r="D1255">
        <v>4</v>
      </c>
      <c r="E1255">
        <v>-2414</v>
      </c>
      <c r="F1255" t="s">
        <v>274</v>
      </c>
      <c r="G1255" t="s">
        <v>275</v>
      </c>
      <c r="H1255">
        <v>0</v>
      </c>
      <c r="I1255" t="s">
        <v>276</v>
      </c>
    </row>
    <row r="1256" spans="1:9" x14ac:dyDescent="0.25">
      <c r="A1256">
        <v>70363</v>
      </c>
      <c r="B1256" t="s">
        <v>200</v>
      </c>
      <c r="C1256" t="s">
        <v>238</v>
      </c>
      <c r="D1256">
        <v>4</v>
      </c>
      <c r="E1256">
        <v>-2414</v>
      </c>
      <c r="F1256" t="s">
        <v>279</v>
      </c>
      <c r="G1256" t="s">
        <v>29</v>
      </c>
      <c r="H1256">
        <v>0</v>
      </c>
      <c r="I1256" t="s">
        <v>324</v>
      </c>
    </row>
    <row r="1257" spans="1:9" x14ac:dyDescent="0.25">
      <c r="A1257">
        <v>70363</v>
      </c>
      <c r="B1257" t="s">
        <v>200</v>
      </c>
      <c r="C1257" t="s">
        <v>238</v>
      </c>
      <c r="D1257">
        <v>4</v>
      </c>
      <c r="E1257">
        <v>-2414</v>
      </c>
      <c r="F1257" t="s">
        <v>274</v>
      </c>
      <c r="G1257" t="s">
        <v>277</v>
      </c>
      <c r="H1257">
        <v>3625</v>
      </c>
      <c r="I1257" t="s">
        <v>278</v>
      </c>
    </row>
    <row r="1258" spans="1:9" x14ac:dyDescent="0.25">
      <c r="A1258">
        <v>70363</v>
      </c>
      <c r="B1258" t="s">
        <v>200</v>
      </c>
      <c r="C1258" t="s">
        <v>238</v>
      </c>
      <c r="D1258">
        <v>4</v>
      </c>
      <c r="E1258">
        <v>-2414</v>
      </c>
      <c r="F1258" t="s">
        <v>274</v>
      </c>
      <c r="G1258" t="s">
        <v>300</v>
      </c>
      <c r="H1258">
        <v>0</v>
      </c>
      <c r="I1258" t="s">
        <v>383</v>
      </c>
    </row>
    <row r="1259" spans="1:9" x14ac:dyDescent="0.25">
      <c r="A1259">
        <v>70363</v>
      </c>
      <c r="B1259" t="s">
        <v>200</v>
      </c>
      <c r="C1259" t="s">
        <v>238</v>
      </c>
      <c r="D1259">
        <v>4</v>
      </c>
      <c r="E1259">
        <v>-2414</v>
      </c>
      <c r="F1259" t="s">
        <v>279</v>
      </c>
      <c r="G1259" t="s">
        <v>33</v>
      </c>
      <c r="H1259">
        <v>17503</v>
      </c>
      <c r="I1259" t="s">
        <v>280</v>
      </c>
    </row>
    <row r="1260" spans="1:9" x14ac:dyDescent="0.25">
      <c r="A1260">
        <v>70363</v>
      </c>
      <c r="B1260" t="s">
        <v>200</v>
      </c>
      <c r="C1260" t="s">
        <v>238</v>
      </c>
      <c r="D1260">
        <v>4</v>
      </c>
      <c r="E1260">
        <v>-2414</v>
      </c>
      <c r="F1260" t="s">
        <v>279</v>
      </c>
      <c r="G1260" t="s">
        <v>29</v>
      </c>
      <c r="H1260">
        <v>5171</v>
      </c>
      <c r="I1260" t="s">
        <v>281</v>
      </c>
    </row>
    <row r="1261" spans="1:9" x14ac:dyDescent="0.25">
      <c r="A1261">
        <v>70363</v>
      </c>
      <c r="B1261" t="s">
        <v>200</v>
      </c>
      <c r="C1261" t="s">
        <v>238</v>
      </c>
      <c r="D1261">
        <v>4</v>
      </c>
      <c r="E1261">
        <v>-2414</v>
      </c>
      <c r="F1261" t="s">
        <v>279</v>
      </c>
      <c r="G1261" t="s">
        <v>29</v>
      </c>
      <c r="H1261">
        <v>64500</v>
      </c>
      <c r="I1261" t="s">
        <v>282</v>
      </c>
    </row>
    <row r="1262" spans="1:9" x14ac:dyDescent="0.25">
      <c r="A1262">
        <v>70363</v>
      </c>
      <c r="B1262" t="s">
        <v>200</v>
      </c>
      <c r="C1262" t="s">
        <v>238</v>
      </c>
      <c r="D1262">
        <v>4</v>
      </c>
      <c r="E1262">
        <v>-2414</v>
      </c>
      <c r="F1262" t="s">
        <v>279</v>
      </c>
      <c r="G1262" t="s">
        <v>35</v>
      </c>
      <c r="H1262">
        <v>85962</v>
      </c>
      <c r="I1262" t="s">
        <v>283</v>
      </c>
    </row>
    <row r="1263" spans="1:9" x14ac:dyDescent="0.25">
      <c r="A1263">
        <v>70363</v>
      </c>
      <c r="B1263" t="s">
        <v>200</v>
      </c>
      <c r="C1263" t="s">
        <v>238</v>
      </c>
      <c r="D1263">
        <v>4</v>
      </c>
      <c r="E1263">
        <v>-2414</v>
      </c>
      <c r="F1263" t="s">
        <v>279</v>
      </c>
      <c r="G1263" t="s">
        <v>29</v>
      </c>
      <c r="H1263">
        <v>7575</v>
      </c>
      <c r="I1263" t="s">
        <v>284</v>
      </c>
    </row>
    <row r="1264" spans="1:9" x14ac:dyDescent="0.25">
      <c r="A1264">
        <v>70363</v>
      </c>
      <c r="B1264" t="s">
        <v>200</v>
      </c>
      <c r="C1264" t="s">
        <v>238</v>
      </c>
      <c r="D1264">
        <v>4</v>
      </c>
      <c r="E1264">
        <v>-2414</v>
      </c>
      <c r="F1264" t="s">
        <v>279</v>
      </c>
      <c r="G1264" t="s">
        <v>29</v>
      </c>
      <c r="H1264">
        <v>36509</v>
      </c>
      <c r="I1264" t="s">
        <v>285</v>
      </c>
    </row>
    <row r="1265" spans="1:9" x14ac:dyDescent="0.25">
      <c r="A1265">
        <v>70363</v>
      </c>
      <c r="B1265" t="s">
        <v>200</v>
      </c>
      <c r="C1265" t="s">
        <v>238</v>
      </c>
      <c r="D1265">
        <v>4</v>
      </c>
      <c r="E1265">
        <v>-2414</v>
      </c>
      <c r="F1265" t="s">
        <v>279</v>
      </c>
      <c r="G1265" t="s">
        <v>29</v>
      </c>
      <c r="H1265">
        <v>5468</v>
      </c>
      <c r="I1265" t="s">
        <v>286</v>
      </c>
    </row>
    <row r="1266" spans="1:9" x14ac:dyDescent="0.25">
      <c r="A1266">
        <v>70363</v>
      </c>
      <c r="B1266" t="s">
        <v>200</v>
      </c>
      <c r="C1266" t="s">
        <v>238</v>
      </c>
      <c r="D1266">
        <v>4</v>
      </c>
      <c r="E1266">
        <v>-2414</v>
      </c>
      <c r="F1266" t="s">
        <v>279</v>
      </c>
      <c r="G1266" t="s">
        <v>29</v>
      </c>
      <c r="H1266">
        <v>0</v>
      </c>
      <c r="I1266" t="s">
        <v>327</v>
      </c>
    </row>
    <row r="1267" spans="1:9" x14ac:dyDescent="0.25">
      <c r="A1267">
        <v>70363</v>
      </c>
      <c r="B1267" t="s">
        <v>200</v>
      </c>
      <c r="C1267" t="s">
        <v>238</v>
      </c>
      <c r="D1267">
        <v>4</v>
      </c>
      <c r="E1267">
        <v>-2414</v>
      </c>
      <c r="F1267" t="s">
        <v>279</v>
      </c>
      <c r="G1267" t="s">
        <v>34</v>
      </c>
      <c r="H1267">
        <v>2035</v>
      </c>
      <c r="I1267" t="s">
        <v>287</v>
      </c>
    </row>
    <row r="1268" spans="1:9" x14ac:dyDescent="0.25">
      <c r="A1268">
        <v>70363</v>
      </c>
      <c r="B1268" t="s">
        <v>200</v>
      </c>
      <c r="C1268" t="s">
        <v>238</v>
      </c>
      <c r="D1268">
        <v>4</v>
      </c>
      <c r="E1268">
        <v>-2414</v>
      </c>
      <c r="F1268" t="s">
        <v>279</v>
      </c>
      <c r="G1268" t="s">
        <v>29</v>
      </c>
      <c r="H1268">
        <v>45275</v>
      </c>
      <c r="I1268" t="s">
        <v>288</v>
      </c>
    </row>
    <row r="1269" spans="1:9" x14ac:dyDescent="0.25">
      <c r="A1269">
        <v>70363</v>
      </c>
      <c r="B1269" t="s">
        <v>200</v>
      </c>
      <c r="C1269" t="s">
        <v>238</v>
      </c>
      <c r="D1269">
        <v>4</v>
      </c>
      <c r="E1269">
        <v>-2414</v>
      </c>
      <c r="F1269" t="s">
        <v>279</v>
      </c>
      <c r="G1269" t="s">
        <v>34</v>
      </c>
      <c r="H1269">
        <v>10700</v>
      </c>
      <c r="I1269" t="s">
        <v>289</v>
      </c>
    </row>
    <row r="1270" spans="1:9" x14ac:dyDescent="0.25">
      <c r="A1270">
        <v>70363</v>
      </c>
      <c r="B1270" t="s">
        <v>200</v>
      </c>
      <c r="C1270" t="s">
        <v>238</v>
      </c>
      <c r="D1270">
        <v>4</v>
      </c>
      <c r="E1270">
        <v>-2414</v>
      </c>
      <c r="F1270" t="s">
        <v>279</v>
      </c>
      <c r="G1270" t="s">
        <v>29</v>
      </c>
      <c r="H1270">
        <v>4811</v>
      </c>
      <c r="I1270" t="s">
        <v>290</v>
      </c>
    </row>
    <row r="1271" spans="1:9" x14ac:dyDescent="0.25">
      <c r="A1271">
        <v>70363</v>
      </c>
      <c r="B1271" t="s">
        <v>200</v>
      </c>
      <c r="C1271" t="s">
        <v>238</v>
      </c>
      <c r="D1271">
        <v>4</v>
      </c>
      <c r="E1271">
        <v>-2414</v>
      </c>
      <c r="F1271" t="s">
        <v>279</v>
      </c>
      <c r="G1271" t="s">
        <v>32</v>
      </c>
      <c r="H1271">
        <v>61402</v>
      </c>
      <c r="I1271" t="s">
        <v>291</v>
      </c>
    </row>
    <row r="1272" spans="1:9" x14ac:dyDescent="0.25">
      <c r="A1272">
        <v>70363</v>
      </c>
      <c r="B1272" t="s">
        <v>200</v>
      </c>
      <c r="C1272" t="s">
        <v>238</v>
      </c>
      <c r="D1272">
        <v>4</v>
      </c>
      <c r="E1272">
        <v>-2414</v>
      </c>
      <c r="F1272" t="s">
        <v>279</v>
      </c>
      <c r="G1272" t="s">
        <v>29</v>
      </c>
      <c r="H1272">
        <v>12669</v>
      </c>
      <c r="I1272" t="s">
        <v>292</v>
      </c>
    </row>
    <row r="1273" spans="1:9" x14ac:dyDescent="0.25">
      <c r="A1273">
        <v>70363</v>
      </c>
      <c r="B1273" t="s">
        <v>200</v>
      </c>
      <c r="C1273" t="s">
        <v>238</v>
      </c>
      <c r="D1273">
        <v>4</v>
      </c>
      <c r="E1273">
        <v>-2414</v>
      </c>
      <c r="F1273" t="s">
        <v>279</v>
      </c>
      <c r="G1273" t="s">
        <v>29</v>
      </c>
      <c r="H1273">
        <v>0</v>
      </c>
      <c r="I1273" t="s">
        <v>384</v>
      </c>
    </row>
    <row r="1274" spans="1:9" x14ac:dyDescent="0.25">
      <c r="A1274">
        <v>70363</v>
      </c>
      <c r="B1274" t="s">
        <v>200</v>
      </c>
      <c r="C1274" t="s">
        <v>238</v>
      </c>
      <c r="D1274">
        <v>4</v>
      </c>
      <c r="E1274">
        <v>-2414</v>
      </c>
      <c r="F1274" t="s">
        <v>279</v>
      </c>
      <c r="G1274" t="s">
        <v>35</v>
      </c>
      <c r="H1274">
        <v>5924</v>
      </c>
      <c r="I1274" t="s">
        <v>293</v>
      </c>
    </row>
    <row r="1275" spans="1:9" x14ac:dyDescent="0.25">
      <c r="A1275">
        <v>70363</v>
      </c>
      <c r="B1275" t="s">
        <v>200</v>
      </c>
      <c r="C1275" t="s">
        <v>238</v>
      </c>
      <c r="D1275">
        <v>4</v>
      </c>
      <c r="E1275">
        <v>-2414</v>
      </c>
      <c r="F1275" t="s">
        <v>279</v>
      </c>
      <c r="G1275" t="s">
        <v>35</v>
      </c>
      <c r="H1275">
        <v>464</v>
      </c>
      <c r="I1275" t="s">
        <v>294</v>
      </c>
    </row>
    <row r="1276" spans="1:9" x14ac:dyDescent="0.25">
      <c r="A1276">
        <v>70363</v>
      </c>
      <c r="B1276" t="s">
        <v>200</v>
      </c>
      <c r="C1276" t="s">
        <v>238</v>
      </c>
      <c r="D1276">
        <v>4</v>
      </c>
      <c r="E1276">
        <v>-2414</v>
      </c>
      <c r="F1276" t="s">
        <v>279</v>
      </c>
      <c r="G1276" t="s">
        <v>35</v>
      </c>
      <c r="H1276">
        <v>3315</v>
      </c>
      <c r="I1276" t="s">
        <v>295</v>
      </c>
    </row>
    <row r="1277" spans="1:9" x14ac:dyDescent="0.25">
      <c r="A1277">
        <v>70363</v>
      </c>
      <c r="B1277" t="s">
        <v>200</v>
      </c>
      <c r="C1277" t="s">
        <v>238</v>
      </c>
      <c r="D1277">
        <v>4</v>
      </c>
      <c r="E1277">
        <v>-2414</v>
      </c>
      <c r="F1277" t="s">
        <v>279</v>
      </c>
      <c r="G1277" t="s">
        <v>35</v>
      </c>
      <c r="H1277">
        <v>2197</v>
      </c>
      <c r="I1277" t="s">
        <v>296</v>
      </c>
    </row>
    <row r="1278" spans="1:9" x14ac:dyDescent="0.25">
      <c r="A1278">
        <v>70363</v>
      </c>
      <c r="B1278" t="s">
        <v>200</v>
      </c>
      <c r="C1278" t="s">
        <v>238</v>
      </c>
      <c r="D1278">
        <v>4</v>
      </c>
      <c r="E1278">
        <v>-2414</v>
      </c>
      <c r="F1278" t="s">
        <v>279</v>
      </c>
      <c r="G1278" t="s">
        <v>35</v>
      </c>
      <c r="H1278">
        <v>0</v>
      </c>
      <c r="I1278" t="s">
        <v>325</v>
      </c>
    </row>
    <row r="1279" spans="1:9" x14ac:dyDescent="0.25">
      <c r="A1279">
        <v>70363</v>
      </c>
      <c r="B1279" t="s">
        <v>200</v>
      </c>
      <c r="C1279" t="s">
        <v>238</v>
      </c>
      <c r="D1279">
        <v>4</v>
      </c>
      <c r="E1279">
        <v>-2414</v>
      </c>
      <c r="F1279" t="s">
        <v>279</v>
      </c>
      <c r="G1279" t="s">
        <v>29</v>
      </c>
      <c r="H1279">
        <v>9876</v>
      </c>
      <c r="I1279" t="s">
        <v>297</v>
      </c>
    </row>
    <row r="1280" spans="1:9" x14ac:dyDescent="0.25">
      <c r="A1280">
        <v>70363</v>
      </c>
      <c r="B1280" t="s">
        <v>200</v>
      </c>
      <c r="C1280" t="s">
        <v>238</v>
      </c>
      <c r="D1280">
        <v>4</v>
      </c>
      <c r="E1280">
        <v>-2414</v>
      </c>
      <c r="F1280" t="s">
        <v>279</v>
      </c>
      <c r="G1280" t="s">
        <v>36</v>
      </c>
      <c r="H1280">
        <v>24529</v>
      </c>
      <c r="I1280" t="s">
        <v>298</v>
      </c>
    </row>
    <row r="1281" spans="1:9" x14ac:dyDescent="0.25">
      <c r="A1281">
        <v>70363</v>
      </c>
      <c r="B1281" t="s">
        <v>200</v>
      </c>
      <c r="C1281" t="s">
        <v>238</v>
      </c>
      <c r="D1281">
        <v>4</v>
      </c>
      <c r="E1281">
        <v>-2414</v>
      </c>
      <c r="F1281" t="s">
        <v>274</v>
      </c>
      <c r="G1281" t="s">
        <v>275</v>
      </c>
      <c r="H1281">
        <v>192718</v>
      </c>
      <c r="I1281" t="s">
        <v>299</v>
      </c>
    </row>
    <row r="1282" spans="1:9" x14ac:dyDescent="0.25">
      <c r="A1282">
        <v>70363</v>
      </c>
      <c r="B1282" t="s">
        <v>200</v>
      </c>
      <c r="C1282" t="s">
        <v>238</v>
      </c>
      <c r="D1282">
        <v>4</v>
      </c>
      <c r="E1282">
        <v>-2414</v>
      </c>
      <c r="F1282" t="s">
        <v>274</v>
      </c>
      <c r="G1282" t="s">
        <v>275</v>
      </c>
      <c r="H1282">
        <v>0</v>
      </c>
      <c r="I1282" t="s">
        <v>385</v>
      </c>
    </row>
    <row r="1283" spans="1:9" x14ac:dyDescent="0.25">
      <c r="A1283">
        <v>70363</v>
      </c>
      <c r="B1283" t="s">
        <v>200</v>
      </c>
      <c r="C1283" t="s">
        <v>238</v>
      </c>
      <c r="D1283">
        <v>4</v>
      </c>
      <c r="E1283">
        <v>-2414</v>
      </c>
      <c r="F1283" t="s">
        <v>279</v>
      </c>
      <c r="G1283" t="s">
        <v>31</v>
      </c>
      <c r="H1283">
        <v>0</v>
      </c>
      <c r="I1283" t="s">
        <v>364</v>
      </c>
    </row>
    <row r="1284" spans="1:9" x14ac:dyDescent="0.25">
      <c r="A1284">
        <v>70363</v>
      </c>
      <c r="B1284" t="s">
        <v>200</v>
      </c>
      <c r="C1284" t="s">
        <v>238</v>
      </c>
      <c r="D1284">
        <v>4</v>
      </c>
      <c r="E1284">
        <v>-2414</v>
      </c>
      <c r="F1284" t="s">
        <v>279</v>
      </c>
      <c r="G1284" t="s">
        <v>31</v>
      </c>
      <c r="H1284">
        <v>0</v>
      </c>
      <c r="I1284" t="s">
        <v>365</v>
      </c>
    </row>
    <row r="1285" spans="1:9" x14ac:dyDescent="0.25">
      <c r="A1285">
        <v>70363</v>
      </c>
      <c r="B1285" t="s">
        <v>200</v>
      </c>
      <c r="C1285" t="s">
        <v>238</v>
      </c>
      <c r="D1285">
        <v>4</v>
      </c>
      <c r="E1285">
        <v>-2414</v>
      </c>
      <c r="F1285" t="s">
        <v>279</v>
      </c>
      <c r="G1285" t="s">
        <v>31</v>
      </c>
      <c r="H1285">
        <v>0</v>
      </c>
      <c r="I1285" t="s">
        <v>366</v>
      </c>
    </row>
    <row r="1286" spans="1:9" x14ac:dyDescent="0.25">
      <c r="A1286">
        <v>70363</v>
      </c>
      <c r="B1286" t="s">
        <v>200</v>
      </c>
      <c r="C1286" t="s">
        <v>238</v>
      </c>
      <c r="D1286">
        <v>4</v>
      </c>
      <c r="E1286">
        <v>-2414</v>
      </c>
      <c r="F1286" t="s">
        <v>279</v>
      </c>
      <c r="G1286" t="s">
        <v>31</v>
      </c>
      <c r="H1286">
        <v>0</v>
      </c>
      <c r="I1286" t="s">
        <v>367</v>
      </c>
    </row>
    <row r="1287" spans="1:9" x14ac:dyDescent="0.25">
      <c r="A1287">
        <v>70363</v>
      </c>
      <c r="B1287" t="s">
        <v>200</v>
      </c>
      <c r="C1287" t="s">
        <v>238</v>
      </c>
      <c r="D1287">
        <v>4</v>
      </c>
      <c r="E1287">
        <v>-2414</v>
      </c>
      <c r="F1287" t="s">
        <v>279</v>
      </c>
      <c r="G1287" t="s">
        <v>31</v>
      </c>
      <c r="H1287">
        <v>0</v>
      </c>
      <c r="I1287" t="s">
        <v>368</v>
      </c>
    </row>
    <row r="1288" spans="1:9" x14ac:dyDescent="0.25">
      <c r="A1288">
        <v>70363</v>
      </c>
      <c r="B1288" t="s">
        <v>200</v>
      </c>
      <c r="C1288" t="s">
        <v>238</v>
      </c>
      <c r="D1288">
        <v>4</v>
      </c>
      <c r="E1288">
        <v>-2414</v>
      </c>
      <c r="F1288" t="s">
        <v>279</v>
      </c>
      <c r="G1288" t="s">
        <v>31</v>
      </c>
      <c r="H1288">
        <v>0</v>
      </c>
      <c r="I1288" t="s">
        <v>369</v>
      </c>
    </row>
    <row r="1289" spans="1:9" x14ac:dyDescent="0.25">
      <c r="A1289">
        <v>70363</v>
      </c>
      <c r="B1289" t="s">
        <v>200</v>
      </c>
      <c r="C1289" t="s">
        <v>238</v>
      </c>
      <c r="D1289">
        <v>4</v>
      </c>
      <c r="E1289">
        <v>-2414</v>
      </c>
      <c r="F1289" t="s">
        <v>279</v>
      </c>
      <c r="G1289" t="s">
        <v>31</v>
      </c>
      <c r="H1289">
        <v>0</v>
      </c>
      <c r="I1289" t="s">
        <v>370</v>
      </c>
    </row>
    <row r="1290" spans="1:9" x14ac:dyDescent="0.25">
      <c r="A1290">
        <v>70363</v>
      </c>
      <c r="B1290" t="s">
        <v>200</v>
      </c>
      <c r="C1290" t="s">
        <v>238</v>
      </c>
      <c r="D1290">
        <v>4</v>
      </c>
      <c r="E1290">
        <v>-2414</v>
      </c>
      <c r="F1290" t="s">
        <v>279</v>
      </c>
      <c r="G1290" t="s">
        <v>31</v>
      </c>
      <c r="H1290">
        <v>0</v>
      </c>
      <c r="I1290" t="s">
        <v>371</v>
      </c>
    </row>
    <row r="1291" spans="1:9" x14ac:dyDescent="0.25">
      <c r="A1291">
        <v>70363</v>
      </c>
      <c r="B1291" t="s">
        <v>200</v>
      </c>
      <c r="C1291" t="s">
        <v>238</v>
      </c>
      <c r="D1291">
        <v>4</v>
      </c>
      <c r="E1291">
        <v>-2414</v>
      </c>
      <c r="F1291" t="s">
        <v>279</v>
      </c>
      <c r="G1291" t="s">
        <v>31</v>
      </c>
      <c r="H1291">
        <v>0</v>
      </c>
      <c r="I1291" t="s">
        <v>328</v>
      </c>
    </row>
    <row r="1292" spans="1:9" x14ac:dyDescent="0.25">
      <c r="A1292">
        <v>70363</v>
      </c>
      <c r="B1292" t="s">
        <v>200</v>
      </c>
      <c r="C1292" t="s">
        <v>238</v>
      </c>
      <c r="D1292">
        <v>4</v>
      </c>
      <c r="E1292">
        <v>-2414</v>
      </c>
      <c r="F1292" t="s">
        <v>279</v>
      </c>
      <c r="G1292" t="s">
        <v>33</v>
      </c>
      <c r="H1292">
        <v>0</v>
      </c>
      <c r="I1292" t="s">
        <v>372</v>
      </c>
    </row>
    <row r="1293" spans="1:9" x14ac:dyDescent="0.25">
      <c r="A1293">
        <v>70363</v>
      </c>
      <c r="B1293" t="s">
        <v>200</v>
      </c>
      <c r="C1293" t="s">
        <v>238</v>
      </c>
      <c r="D1293">
        <v>4</v>
      </c>
      <c r="E1293">
        <v>-2414</v>
      </c>
      <c r="F1293" t="s">
        <v>279</v>
      </c>
      <c r="G1293" t="s">
        <v>33</v>
      </c>
      <c r="H1293">
        <v>0</v>
      </c>
      <c r="I1293" t="s">
        <v>329</v>
      </c>
    </row>
    <row r="1294" spans="1:9" x14ac:dyDescent="0.25">
      <c r="A1294">
        <v>70363</v>
      </c>
      <c r="B1294" t="s">
        <v>200</v>
      </c>
      <c r="C1294" t="s">
        <v>238</v>
      </c>
      <c r="D1294">
        <v>4</v>
      </c>
      <c r="E1294">
        <v>-2414</v>
      </c>
      <c r="F1294" t="s">
        <v>279</v>
      </c>
      <c r="G1294" t="s">
        <v>33</v>
      </c>
      <c r="H1294">
        <v>93330</v>
      </c>
      <c r="I1294" t="s">
        <v>319</v>
      </c>
    </row>
    <row r="1295" spans="1:9" x14ac:dyDescent="0.25">
      <c r="A1295">
        <v>70363</v>
      </c>
      <c r="B1295" t="s">
        <v>200</v>
      </c>
      <c r="C1295" t="s">
        <v>238</v>
      </c>
      <c r="D1295">
        <v>4</v>
      </c>
      <c r="E1295">
        <v>-2414</v>
      </c>
      <c r="F1295" t="s">
        <v>279</v>
      </c>
      <c r="G1295" t="s">
        <v>33</v>
      </c>
      <c r="H1295">
        <v>0</v>
      </c>
      <c r="I1295" t="s">
        <v>373</v>
      </c>
    </row>
    <row r="1296" spans="1:9" x14ac:dyDescent="0.25">
      <c r="A1296">
        <v>70363</v>
      </c>
      <c r="B1296" t="s">
        <v>200</v>
      </c>
      <c r="C1296" t="s">
        <v>238</v>
      </c>
      <c r="D1296">
        <v>4</v>
      </c>
      <c r="E1296">
        <v>-2414</v>
      </c>
      <c r="F1296" t="s">
        <v>279</v>
      </c>
      <c r="G1296" t="s">
        <v>33</v>
      </c>
      <c r="H1296">
        <v>0</v>
      </c>
      <c r="I1296" t="s">
        <v>374</v>
      </c>
    </row>
    <row r="1297" spans="1:9" x14ac:dyDescent="0.25">
      <c r="A1297">
        <v>70363</v>
      </c>
      <c r="B1297" t="s">
        <v>200</v>
      </c>
      <c r="C1297" t="s">
        <v>238</v>
      </c>
      <c r="D1297">
        <v>4</v>
      </c>
      <c r="E1297">
        <v>-2414</v>
      </c>
      <c r="F1297" t="s">
        <v>279</v>
      </c>
      <c r="G1297" t="s">
        <v>33</v>
      </c>
      <c r="H1297">
        <v>0</v>
      </c>
      <c r="I1297" t="s">
        <v>326</v>
      </c>
    </row>
    <row r="1298" spans="1:9" x14ac:dyDescent="0.25">
      <c r="A1298">
        <v>70363</v>
      </c>
      <c r="B1298" t="s">
        <v>200</v>
      </c>
      <c r="C1298" t="s">
        <v>238</v>
      </c>
      <c r="D1298">
        <v>4</v>
      </c>
      <c r="E1298">
        <v>-2414</v>
      </c>
      <c r="F1298" t="s">
        <v>279</v>
      </c>
      <c r="G1298" t="s">
        <v>33</v>
      </c>
      <c r="H1298">
        <v>0</v>
      </c>
      <c r="I1298" t="s">
        <v>375</v>
      </c>
    </row>
    <row r="1299" spans="1:9" x14ac:dyDescent="0.25">
      <c r="A1299">
        <v>70363</v>
      </c>
      <c r="B1299" t="s">
        <v>200</v>
      </c>
      <c r="C1299" t="s">
        <v>238</v>
      </c>
      <c r="D1299">
        <v>4</v>
      </c>
      <c r="E1299">
        <v>-2414</v>
      </c>
      <c r="F1299" t="s">
        <v>279</v>
      </c>
      <c r="G1299" t="s">
        <v>33</v>
      </c>
      <c r="H1299">
        <v>0</v>
      </c>
      <c r="I1299" t="s">
        <v>376</v>
      </c>
    </row>
    <row r="1300" spans="1:9" x14ac:dyDescent="0.25">
      <c r="A1300">
        <v>70363</v>
      </c>
      <c r="B1300" t="s">
        <v>200</v>
      </c>
      <c r="C1300" t="s">
        <v>238</v>
      </c>
      <c r="D1300">
        <v>4</v>
      </c>
      <c r="E1300">
        <v>-2414</v>
      </c>
      <c r="F1300" t="s">
        <v>279</v>
      </c>
      <c r="G1300" t="s">
        <v>33</v>
      </c>
      <c r="H1300">
        <v>0</v>
      </c>
      <c r="I1300" t="s">
        <v>377</v>
      </c>
    </row>
    <row r="1301" spans="1:9" x14ac:dyDescent="0.25">
      <c r="A1301">
        <v>70363</v>
      </c>
      <c r="B1301" t="s">
        <v>200</v>
      </c>
      <c r="C1301" t="s">
        <v>238</v>
      </c>
      <c r="D1301">
        <v>4</v>
      </c>
      <c r="E1301">
        <v>-2414</v>
      </c>
      <c r="F1301" t="s">
        <v>274</v>
      </c>
      <c r="G1301" t="s">
        <v>275</v>
      </c>
      <c r="H1301">
        <v>991156</v>
      </c>
      <c r="I1301" t="s">
        <v>318</v>
      </c>
    </row>
    <row r="1302" spans="1:9" x14ac:dyDescent="0.25">
      <c r="A1302">
        <v>70363</v>
      </c>
      <c r="B1302" t="s">
        <v>200</v>
      </c>
      <c r="C1302" t="s">
        <v>238</v>
      </c>
      <c r="D1302">
        <v>4</v>
      </c>
      <c r="E1302">
        <v>-2414</v>
      </c>
      <c r="F1302" t="s">
        <v>274</v>
      </c>
      <c r="G1302" t="s">
        <v>300</v>
      </c>
      <c r="H1302">
        <v>29967</v>
      </c>
      <c r="I1302" t="s">
        <v>301</v>
      </c>
    </row>
    <row r="1303" spans="1:9" x14ac:dyDescent="0.25">
      <c r="A1303">
        <v>70363</v>
      </c>
      <c r="B1303" t="s">
        <v>200</v>
      </c>
      <c r="C1303" t="s">
        <v>238</v>
      </c>
      <c r="D1303">
        <v>4</v>
      </c>
      <c r="E1303">
        <v>-2414</v>
      </c>
      <c r="F1303" t="s">
        <v>274</v>
      </c>
      <c r="G1303" t="s">
        <v>275</v>
      </c>
      <c r="H1303">
        <v>-38654</v>
      </c>
      <c r="I1303" t="s">
        <v>302</v>
      </c>
    </row>
    <row r="1304" spans="1:9" x14ac:dyDescent="0.25">
      <c r="A1304">
        <v>70363</v>
      </c>
      <c r="B1304" t="s">
        <v>200</v>
      </c>
      <c r="C1304" t="s">
        <v>238</v>
      </c>
      <c r="D1304">
        <v>4</v>
      </c>
      <c r="E1304">
        <v>-2414</v>
      </c>
      <c r="F1304" t="s">
        <v>279</v>
      </c>
      <c r="G1304" t="s">
        <v>30</v>
      </c>
      <c r="H1304">
        <v>154242</v>
      </c>
      <c r="I1304" t="s">
        <v>303</v>
      </c>
    </row>
    <row r="1305" spans="1:9" x14ac:dyDescent="0.25">
      <c r="A1305">
        <v>70363</v>
      </c>
      <c r="B1305" t="s">
        <v>200</v>
      </c>
      <c r="C1305" t="s">
        <v>238</v>
      </c>
      <c r="D1305">
        <v>4</v>
      </c>
      <c r="E1305">
        <v>-2414</v>
      </c>
      <c r="F1305" t="s">
        <v>279</v>
      </c>
      <c r="G1305" t="s">
        <v>35</v>
      </c>
      <c r="H1305">
        <v>3227</v>
      </c>
      <c r="I1305" t="s">
        <v>304</v>
      </c>
    </row>
    <row r="1306" spans="1:9" x14ac:dyDescent="0.25">
      <c r="A1306">
        <v>70363</v>
      </c>
      <c r="B1306" t="s">
        <v>200</v>
      </c>
      <c r="C1306" t="s">
        <v>238</v>
      </c>
      <c r="D1306">
        <v>4</v>
      </c>
      <c r="E1306">
        <v>-2414</v>
      </c>
      <c r="F1306" t="s">
        <v>279</v>
      </c>
      <c r="G1306" t="s">
        <v>31</v>
      </c>
      <c r="H1306">
        <v>304031</v>
      </c>
      <c r="I1306" t="s">
        <v>305</v>
      </c>
    </row>
    <row r="1307" spans="1:9" x14ac:dyDescent="0.25">
      <c r="A1307">
        <v>70363</v>
      </c>
      <c r="B1307" t="s">
        <v>200</v>
      </c>
      <c r="C1307" t="s">
        <v>238</v>
      </c>
      <c r="D1307">
        <v>4</v>
      </c>
      <c r="E1307">
        <v>-2414</v>
      </c>
      <c r="F1307" t="s">
        <v>279</v>
      </c>
      <c r="G1307" t="s">
        <v>33</v>
      </c>
      <c r="H1307">
        <v>2985</v>
      </c>
      <c r="I1307" t="s">
        <v>320</v>
      </c>
    </row>
    <row r="1308" spans="1:9" x14ac:dyDescent="0.25">
      <c r="A1308">
        <v>70363</v>
      </c>
      <c r="B1308" t="s">
        <v>200</v>
      </c>
      <c r="C1308" t="s">
        <v>238</v>
      </c>
      <c r="D1308">
        <v>4</v>
      </c>
      <c r="E1308">
        <v>-2414</v>
      </c>
      <c r="F1308" t="s">
        <v>279</v>
      </c>
      <c r="G1308" t="s">
        <v>33</v>
      </c>
      <c r="H1308">
        <v>0</v>
      </c>
      <c r="I1308" t="s">
        <v>306</v>
      </c>
    </row>
    <row r="1309" spans="1:9" x14ac:dyDescent="0.25">
      <c r="A1309">
        <v>70363</v>
      </c>
      <c r="B1309" t="s">
        <v>200</v>
      </c>
      <c r="C1309" t="s">
        <v>238</v>
      </c>
      <c r="D1309">
        <v>4</v>
      </c>
      <c r="E1309">
        <v>-2414</v>
      </c>
      <c r="F1309" t="s">
        <v>279</v>
      </c>
      <c r="G1309" t="s">
        <v>33</v>
      </c>
      <c r="H1309">
        <v>0</v>
      </c>
      <c r="I1309" t="s">
        <v>378</v>
      </c>
    </row>
    <row r="1310" spans="1:9" x14ac:dyDescent="0.25">
      <c r="A1310">
        <v>70363</v>
      </c>
      <c r="B1310" t="s">
        <v>200</v>
      </c>
      <c r="C1310" t="s">
        <v>238</v>
      </c>
      <c r="D1310">
        <v>4</v>
      </c>
      <c r="E1310">
        <v>-2414</v>
      </c>
      <c r="F1310" t="s">
        <v>279</v>
      </c>
      <c r="G1310" t="s">
        <v>31</v>
      </c>
      <c r="H1310">
        <v>28625</v>
      </c>
      <c r="I1310" t="s">
        <v>307</v>
      </c>
    </row>
    <row r="1311" spans="1:9" x14ac:dyDescent="0.25">
      <c r="A1311">
        <v>70363</v>
      </c>
      <c r="B1311" t="s">
        <v>200</v>
      </c>
      <c r="C1311" t="s">
        <v>238</v>
      </c>
      <c r="D1311">
        <v>4</v>
      </c>
      <c r="E1311">
        <v>-2414</v>
      </c>
      <c r="F1311" t="s">
        <v>279</v>
      </c>
      <c r="G1311" t="s">
        <v>31</v>
      </c>
      <c r="H1311">
        <v>0</v>
      </c>
      <c r="I1311" t="s">
        <v>379</v>
      </c>
    </row>
    <row r="1312" spans="1:9" x14ac:dyDescent="0.25">
      <c r="A1312">
        <v>70363</v>
      </c>
      <c r="B1312" t="s">
        <v>200</v>
      </c>
      <c r="C1312" t="s">
        <v>238</v>
      </c>
      <c r="D1312">
        <v>4</v>
      </c>
      <c r="E1312">
        <v>-2414</v>
      </c>
      <c r="F1312" t="s">
        <v>279</v>
      </c>
      <c r="G1312" t="s">
        <v>30</v>
      </c>
      <c r="H1312">
        <v>6777</v>
      </c>
      <c r="I1312" t="s">
        <v>308</v>
      </c>
    </row>
    <row r="1313" spans="1:9" x14ac:dyDescent="0.25">
      <c r="A1313">
        <v>70363</v>
      </c>
      <c r="B1313" t="s">
        <v>200</v>
      </c>
      <c r="C1313" t="s">
        <v>238</v>
      </c>
      <c r="D1313">
        <v>4</v>
      </c>
      <c r="E1313">
        <v>-2414</v>
      </c>
      <c r="F1313" t="s">
        <v>279</v>
      </c>
      <c r="G1313" t="s">
        <v>35</v>
      </c>
      <c r="H1313">
        <v>11084</v>
      </c>
      <c r="I1313" t="s">
        <v>321</v>
      </c>
    </row>
    <row r="1314" spans="1:9" x14ac:dyDescent="0.25">
      <c r="A1314">
        <v>70363</v>
      </c>
      <c r="B1314" t="s">
        <v>200</v>
      </c>
      <c r="C1314" t="s">
        <v>238</v>
      </c>
      <c r="D1314">
        <v>4</v>
      </c>
      <c r="E1314">
        <v>-2414</v>
      </c>
      <c r="F1314" t="s">
        <v>279</v>
      </c>
      <c r="G1314" t="s">
        <v>33</v>
      </c>
      <c r="H1314">
        <v>0</v>
      </c>
      <c r="I1314" t="s">
        <v>380</v>
      </c>
    </row>
    <row r="1315" spans="1:9" x14ac:dyDescent="0.25">
      <c r="A1315">
        <v>70363</v>
      </c>
      <c r="B1315" t="s">
        <v>200</v>
      </c>
      <c r="C1315" t="s">
        <v>238</v>
      </c>
      <c r="D1315">
        <v>4</v>
      </c>
      <c r="E1315">
        <v>-2414</v>
      </c>
      <c r="F1315" t="s">
        <v>279</v>
      </c>
      <c r="G1315" t="s">
        <v>35</v>
      </c>
      <c r="H1315">
        <v>158</v>
      </c>
      <c r="I1315" t="s">
        <v>309</v>
      </c>
    </row>
    <row r="1316" spans="1:9" x14ac:dyDescent="0.25">
      <c r="A1316">
        <v>70364</v>
      </c>
      <c r="B1316" t="s">
        <v>202</v>
      </c>
      <c r="C1316" t="s">
        <v>238</v>
      </c>
      <c r="D1316">
        <v>4</v>
      </c>
      <c r="E1316">
        <v>-87271</v>
      </c>
      <c r="F1316" t="s">
        <v>279</v>
      </c>
      <c r="G1316" t="s">
        <v>29</v>
      </c>
      <c r="H1316">
        <v>9566</v>
      </c>
      <c r="I1316" t="s">
        <v>290</v>
      </c>
    </row>
    <row r="1317" spans="1:9" x14ac:dyDescent="0.25">
      <c r="A1317">
        <v>70364</v>
      </c>
      <c r="B1317" t="s">
        <v>202</v>
      </c>
      <c r="C1317" t="s">
        <v>238</v>
      </c>
      <c r="D1317">
        <v>4</v>
      </c>
      <c r="E1317">
        <v>-87271</v>
      </c>
      <c r="F1317" t="s">
        <v>279</v>
      </c>
      <c r="G1317" t="s">
        <v>32</v>
      </c>
      <c r="H1317">
        <v>75713</v>
      </c>
      <c r="I1317" t="s">
        <v>291</v>
      </c>
    </row>
    <row r="1318" spans="1:9" x14ac:dyDescent="0.25">
      <c r="A1318">
        <v>70364</v>
      </c>
      <c r="B1318" t="s">
        <v>202</v>
      </c>
      <c r="C1318" t="s">
        <v>238</v>
      </c>
      <c r="D1318">
        <v>4</v>
      </c>
      <c r="E1318">
        <v>-87271</v>
      </c>
      <c r="F1318" t="s">
        <v>279</v>
      </c>
      <c r="G1318" t="s">
        <v>29</v>
      </c>
      <c r="H1318">
        <v>16497</v>
      </c>
      <c r="I1318" t="s">
        <v>292</v>
      </c>
    </row>
    <row r="1319" spans="1:9" x14ac:dyDescent="0.25">
      <c r="A1319">
        <v>70364</v>
      </c>
      <c r="B1319" t="s">
        <v>202</v>
      </c>
      <c r="C1319" t="s">
        <v>238</v>
      </c>
      <c r="D1319">
        <v>4</v>
      </c>
      <c r="E1319">
        <v>-87271</v>
      </c>
      <c r="F1319" t="s">
        <v>279</v>
      </c>
      <c r="G1319" t="s">
        <v>29</v>
      </c>
      <c r="H1319">
        <v>0</v>
      </c>
      <c r="I1319" t="s">
        <v>384</v>
      </c>
    </row>
    <row r="1320" spans="1:9" x14ac:dyDescent="0.25">
      <c r="A1320">
        <v>70364</v>
      </c>
      <c r="B1320" t="s">
        <v>202</v>
      </c>
      <c r="C1320" t="s">
        <v>238</v>
      </c>
      <c r="D1320">
        <v>4</v>
      </c>
      <c r="E1320">
        <v>-87271</v>
      </c>
      <c r="F1320" t="s">
        <v>279</v>
      </c>
      <c r="G1320" t="s">
        <v>35</v>
      </c>
      <c r="H1320">
        <v>0</v>
      </c>
      <c r="I1320" t="s">
        <v>293</v>
      </c>
    </row>
    <row r="1321" spans="1:9" x14ac:dyDescent="0.25">
      <c r="A1321">
        <v>70364</v>
      </c>
      <c r="B1321" t="s">
        <v>202</v>
      </c>
      <c r="C1321" t="s">
        <v>238</v>
      </c>
      <c r="D1321">
        <v>4</v>
      </c>
      <c r="E1321">
        <v>-87271</v>
      </c>
      <c r="F1321" t="s">
        <v>279</v>
      </c>
      <c r="G1321" t="s">
        <v>35</v>
      </c>
      <c r="H1321">
        <v>1288</v>
      </c>
      <c r="I1321" t="s">
        <v>294</v>
      </c>
    </row>
    <row r="1322" spans="1:9" x14ac:dyDescent="0.25">
      <c r="A1322">
        <v>70364</v>
      </c>
      <c r="B1322" t="s">
        <v>202</v>
      </c>
      <c r="C1322" t="s">
        <v>238</v>
      </c>
      <c r="D1322">
        <v>4</v>
      </c>
      <c r="E1322">
        <v>-87271</v>
      </c>
      <c r="F1322" t="s">
        <v>279</v>
      </c>
      <c r="G1322" t="s">
        <v>35</v>
      </c>
      <c r="H1322">
        <v>28115</v>
      </c>
      <c r="I1322" t="s">
        <v>295</v>
      </c>
    </row>
    <row r="1323" spans="1:9" x14ac:dyDescent="0.25">
      <c r="A1323">
        <v>70364</v>
      </c>
      <c r="B1323" t="s">
        <v>202</v>
      </c>
      <c r="C1323" t="s">
        <v>238</v>
      </c>
      <c r="D1323">
        <v>4</v>
      </c>
      <c r="E1323">
        <v>-87271</v>
      </c>
      <c r="F1323" t="s">
        <v>279</v>
      </c>
      <c r="G1323" t="s">
        <v>35</v>
      </c>
      <c r="H1323">
        <v>7220</v>
      </c>
      <c r="I1323" t="s">
        <v>296</v>
      </c>
    </row>
    <row r="1324" spans="1:9" x14ac:dyDescent="0.25">
      <c r="A1324">
        <v>70364</v>
      </c>
      <c r="B1324" t="s">
        <v>202</v>
      </c>
      <c r="C1324" t="s">
        <v>238</v>
      </c>
      <c r="D1324">
        <v>4</v>
      </c>
      <c r="E1324">
        <v>-87271</v>
      </c>
      <c r="F1324" t="s">
        <v>279</v>
      </c>
      <c r="G1324" t="s">
        <v>35</v>
      </c>
      <c r="H1324">
        <v>1005</v>
      </c>
      <c r="I1324" t="s">
        <v>325</v>
      </c>
    </row>
    <row r="1325" spans="1:9" x14ac:dyDescent="0.25">
      <c r="A1325">
        <v>70364</v>
      </c>
      <c r="B1325" t="s">
        <v>202</v>
      </c>
      <c r="C1325" t="s">
        <v>238</v>
      </c>
      <c r="D1325">
        <v>4</v>
      </c>
      <c r="E1325">
        <v>-87271</v>
      </c>
      <c r="F1325" t="s">
        <v>279</v>
      </c>
      <c r="G1325" t="s">
        <v>29</v>
      </c>
      <c r="H1325">
        <v>19356</v>
      </c>
      <c r="I1325" t="s">
        <v>297</v>
      </c>
    </row>
    <row r="1326" spans="1:9" x14ac:dyDescent="0.25">
      <c r="A1326">
        <v>70364</v>
      </c>
      <c r="B1326" t="s">
        <v>202</v>
      </c>
      <c r="C1326" t="s">
        <v>238</v>
      </c>
      <c r="D1326">
        <v>4</v>
      </c>
      <c r="E1326">
        <v>-87271</v>
      </c>
      <c r="F1326" t="s">
        <v>279</v>
      </c>
      <c r="G1326" t="s">
        <v>36</v>
      </c>
      <c r="H1326">
        <v>41804</v>
      </c>
      <c r="I1326" t="s">
        <v>298</v>
      </c>
    </row>
    <row r="1327" spans="1:9" x14ac:dyDescent="0.25">
      <c r="A1327">
        <v>70364</v>
      </c>
      <c r="B1327" t="s">
        <v>202</v>
      </c>
      <c r="C1327" t="s">
        <v>238</v>
      </c>
      <c r="D1327">
        <v>4</v>
      </c>
      <c r="E1327">
        <v>-87271</v>
      </c>
      <c r="F1327" t="s">
        <v>274</v>
      </c>
      <c r="G1327" t="s">
        <v>275</v>
      </c>
      <c r="H1327">
        <v>799437</v>
      </c>
      <c r="I1327" t="s">
        <v>299</v>
      </c>
    </row>
    <row r="1328" spans="1:9" x14ac:dyDescent="0.25">
      <c r="A1328">
        <v>70364</v>
      </c>
      <c r="B1328" t="s">
        <v>202</v>
      </c>
      <c r="C1328" t="s">
        <v>238</v>
      </c>
      <c r="D1328">
        <v>4</v>
      </c>
      <c r="E1328">
        <v>-87271</v>
      </c>
      <c r="F1328" t="s">
        <v>274</v>
      </c>
      <c r="G1328" t="s">
        <v>275</v>
      </c>
      <c r="H1328">
        <v>0</v>
      </c>
      <c r="I1328" t="s">
        <v>385</v>
      </c>
    </row>
    <row r="1329" spans="1:9" x14ac:dyDescent="0.25">
      <c r="A1329">
        <v>70364</v>
      </c>
      <c r="B1329" t="s">
        <v>202</v>
      </c>
      <c r="C1329" t="s">
        <v>238</v>
      </c>
      <c r="D1329">
        <v>4</v>
      </c>
      <c r="E1329">
        <v>-87271</v>
      </c>
      <c r="F1329" t="s">
        <v>279</v>
      </c>
      <c r="G1329" t="s">
        <v>30</v>
      </c>
      <c r="H1329">
        <v>15657</v>
      </c>
      <c r="I1329" t="s">
        <v>308</v>
      </c>
    </row>
    <row r="1330" spans="1:9" x14ac:dyDescent="0.25">
      <c r="A1330">
        <v>70364</v>
      </c>
      <c r="B1330" t="s">
        <v>202</v>
      </c>
      <c r="C1330" t="s">
        <v>238</v>
      </c>
      <c r="D1330">
        <v>4</v>
      </c>
      <c r="E1330">
        <v>-87271</v>
      </c>
      <c r="F1330" t="s">
        <v>279</v>
      </c>
      <c r="G1330" t="s">
        <v>35</v>
      </c>
      <c r="H1330">
        <v>26156</v>
      </c>
      <c r="I1330" t="s">
        <v>321</v>
      </c>
    </row>
    <row r="1331" spans="1:9" x14ac:dyDescent="0.25">
      <c r="A1331">
        <v>70364</v>
      </c>
      <c r="B1331" t="s">
        <v>202</v>
      </c>
      <c r="C1331" t="s">
        <v>238</v>
      </c>
      <c r="D1331">
        <v>4</v>
      </c>
      <c r="E1331">
        <v>-87271</v>
      </c>
      <c r="F1331" t="s">
        <v>279</v>
      </c>
      <c r="G1331" t="s">
        <v>33</v>
      </c>
      <c r="H1331">
        <v>0</v>
      </c>
      <c r="I1331" t="s">
        <v>380</v>
      </c>
    </row>
    <row r="1332" spans="1:9" x14ac:dyDescent="0.25">
      <c r="A1332">
        <v>70364</v>
      </c>
      <c r="B1332" t="s">
        <v>202</v>
      </c>
      <c r="C1332" t="s">
        <v>238</v>
      </c>
      <c r="D1332">
        <v>4</v>
      </c>
      <c r="E1332">
        <v>-87271</v>
      </c>
      <c r="F1332" t="s">
        <v>279</v>
      </c>
      <c r="G1332" t="s">
        <v>35</v>
      </c>
      <c r="H1332">
        <v>165</v>
      </c>
      <c r="I1332" t="s">
        <v>309</v>
      </c>
    </row>
    <row r="1333" spans="1:9" x14ac:dyDescent="0.25">
      <c r="A1333">
        <v>70364</v>
      </c>
      <c r="B1333" t="s">
        <v>202</v>
      </c>
      <c r="C1333" t="s">
        <v>238</v>
      </c>
      <c r="D1333">
        <v>4</v>
      </c>
      <c r="E1333">
        <v>-87271</v>
      </c>
      <c r="F1333" t="s">
        <v>279</v>
      </c>
      <c r="G1333" t="s">
        <v>35</v>
      </c>
      <c r="H1333">
        <v>4208</v>
      </c>
      <c r="I1333" t="s">
        <v>310</v>
      </c>
    </row>
    <row r="1334" spans="1:9" x14ac:dyDescent="0.25">
      <c r="A1334">
        <v>70364</v>
      </c>
      <c r="B1334" t="s">
        <v>202</v>
      </c>
      <c r="C1334" t="s">
        <v>238</v>
      </c>
      <c r="D1334">
        <v>4</v>
      </c>
      <c r="E1334">
        <v>-87271</v>
      </c>
      <c r="F1334" t="s">
        <v>279</v>
      </c>
      <c r="G1334" t="s">
        <v>35</v>
      </c>
      <c r="H1334">
        <v>16025</v>
      </c>
      <c r="I1334" t="s">
        <v>311</v>
      </c>
    </row>
    <row r="1335" spans="1:9" x14ac:dyDescent="0.25">
      <c r="A1335">
        <v>70364</v>
      </c>
      <c r="B1335" t="s">
        <v>202</v>
      </c>
      <c r="C1335" t="s">
        <v>238</v>
      </c>
      <c r="D1335">
        <v>4</v>
      </c>
      <c r="E1335">
        <v>-87271</v>
      </c>
      <c r="F1335" t="s">
        <v>279</v>
      </c>
      <c r="G1335" t="s">
        <v>35</v>
      </c>
      <c r="H1335">
        <v>266</v>
      </c>
      <c r="I1335" t="s">
        <v>312</v>
      </c>
    </row>
    <row r="1336" spans="1:9" x14ac:dyDescent="0.25">
      <c r="A1336">
        <v>70364</v>
      </c>
      <c r="B1336" t="s">
        <v>202</v>
      </c>
      <c r="C1336" t="s">
        <v>238</v>
      </c>
      <c r="D1336">
        <v>4</v>
      </c>
      <c r="E1336">
        <v>-87271</v>
      </c>
      <c r="F1336" t="s">
        <v>279</v>
      </c>
      <c r="G1336" t="s">
        <v>35</v>
      </c>
      <c r="H1336">
        <v>2175</v>
      </c>
      <c r="I1336" t="s">
        <v>313</v>
      </c>
    </row>
    <row r="1337" spans="1:9" x14ac:dyDescent="0.25">
      <c r="A1337">
        <v>70364</v>
      </c>
      <c r="B1337" t="s">
        <v>202</v>
      </c>
      <c r="C1337" t="s">
        <v>238</v>
      </c>
      <c r="D1337">
        <v>4</v>
      </c>
      <c r="E1337">
        <v>-87271</v>
      </c>
      <c r="F1337" t="s">
        <v>279</v>
      </c>
      <c r="G1337" t="s">
        <v>37</v>
      </c>
      <c r="H1337">
        <v>0</v>
      </c>
      <c r="I1337" t="s">
        <v>381</v>
      </c>
    </row>
    <row r="1338" spans="1:9" x14ac:dyDescent="0.25">
      <c r="A1338">
        <v>70364</v>
      </c>
      <c r="B1338" t="s">
        <v>202</v>
      </c>
      <c r="C1338" t="s">
        <v>238</v>
      </c>
      <c r="D1338">
        <v>4</v>
      </c>
      <c r="E1338">
        <v>-87271</v>
      </c>
      <c r="F1338" t="s">
        <v>279</v>
      </c>
      <c r="G1338" t="s">
        <v>37</v>
      </c>
      <c r="H1338">
        <v>17336</v>
      </c>
      <c r="I1338" t="s">
        <v>314</v>
      </c>
    </row>
    <row r="1339" spans="1:9" x14ac:dyDescent="0.25">
      <c r="A1339">
        <v>70364</v>
      </c>
      <c r="B1339" t="s">
        <v>202</v>
      </c>
      <c r="C1339" t="s">
        <v>238</v>
      </c>
      <c r="D1339">
        <v>4</v>
      </c>
      <c r="E1339">
        <v>-87271</v>
      </c>
      <c r="F1339" t="s">
        <v>279</v>
      </c>
      <c r="G1339" t="s">
        <v>35</v>
      </c>
      <c r="H1339">
        <v>4482</v>
      </c>
      <c r="I1339" t="s">
        <v>315</v>
      </c>
    </row>
    <row r="1340" spans="1:9" x14ac:dyDescent="0.25">
      <c r="A1340">
        <v>70364</v>
      </c>
      <c r="B1340" t="s">
        <v>202</v>
      </c>
      <c r="C1340" t="s">
        <v>238</v>
      </c>
      <c r="D1340">
        <v>4</v>
      </c>
      <c r="E1340">
        <v>-87271</v>
      </c>
      <c r="F1340" t="s">
        <v>279</v>
      </c>
      <c r="G1340" t="s">
        <v>37</v>
      </c>
      <c r="H1340">
        <v>0</v>
      </c>
      <c r="I1340" t="s">
        <v>323</v>
      </c>
    </row>
    <row r="1341" spans="1:9" x14ac:dyDescent="0.25">
      <c r="A1341">
        <v>70364</v>
      </c>
      <c r="B1341" t="s">
        <v>202</v>
      </c>
      <c r="C1341" t="s">
        <v>238</v>
      </c>
      <c r="D1341">
        <v>4</v>
      </c>
      <c r="E1341">
        <v>-87271</v>
      </c>
      <c r="F1341" t="s">
        <v>279</v>
      </c>
      <c r="G1341" t="s">
        <v>37</v>
      </c>
      <c r="H1341">
        <v>50</v>
      </c>
      <c r="I1341" t="s">
        <v>322</v>
      </c>
    </row>
    <row r="1342" spans="1:9" x14ac:dyDescent="0.25">
      <c r="A1342">
        <v>70364</v>
      </c>
      <c r="B1342" t="s">
        <v>202</v>
      </c>
      <c r="C1342" t="s">
        <v>238</v>
      </c>
      <c r="D1342">
        <v>4</v>
      </c>
      <c r="E1342">
        <v>-87271</v>
      </c>
      <c r="F1342" t="s">
        <v>279</v>
      </c>
      <c r="G1342" t="s">
        <v>37</v>
      </c>
      <c r="H1342">
        <v>0</v>
      </c>
      <c r="I1342" t="s">
        <v>382</v>
      </c>
    </row>
    <row r="1343" spans="1:9" x14ac:dyDescent="0.25">
      <c r="A1343">
        <v>70364</v>
      </c>
      <c r="B1343" t="s">
        <v>202</v>
      </c>
      <c r="C1343" t="s">
        <v>238</v>
      </c>
      <c r="D1343">
        <v>4</v>
      </c>
      <c r="E1343">
        <v>-87271</v>
      </c>
      <c r="F1343" t="s">
        <v>279</v>
      </c>
      <c r="G1343" t="s">
        <v>37</v>
      </c>
      <c r="H1343">
        <v>63815</v>
      </c>
      <c r="I1343" t="s">
        <v>316</v>
      </c>
    </row>
    <row r="1344" spans="1:9" x14ac:dyDescent="0.25">
      <c r="A1344">
        <v>70364</v>
      </c>
      <c r="B1344" t="s">
        <v>202</v>
      </c>
      <c r="C1344" t="s">
        <v>238</v>
      </c>
      <c r="D1344">
        <v>4</v>
      </c>
      <c r="E1344">
        <v>-87271</v>
      </c>
      <c r="F1344" t="s">
        <v>279</v>
      </c>
      <c r="G1344" t="s">
        <v>36</v>
      </c>
      <c r="H1344">
        <v>95382</v>
      </c>
      <c r="I1344" t="s">
        <v>317</v>
      </c>
    </row>
    <row r="1345" spans="1:9" x14ac:dyDescent="0.25">
      <c r="A1345">
        <v>70364</v>
      </c>
      <c r="B1345" t="s">
        <v>202</v>
      </c>
      <c r="C1345" t="s">
        <v>238</v>
      </c>
      <c r="D1345">
        <v>4</v>
      </c>
      <c r="E1345">
        <v>-87271</v>
      </c>
      <c r="F1345" t="s">
        <v>274</v>
      </c>
      <c r="G1345" t="s">
        <v>275</v>
      </c>
      <c r="H1345">
        <v>-891</v>
      </c>
      <c r="I1345" t="s">
        <v>276</v>
      </c>
    </row>
    <row r="1346" spans="1:9" x14ac:dyDescent="0.25">
      <c r="A1346">
        <v>70364</v>
      </c>
      <c r="B1346" t="s">
        <v>202</v>
      </c>
      <c r="C1346" t="s">
        <v>238</v>
      </c>
      <c r="D1346">
        <v>4</v>
      </c>
      <c r="E1346">
        <v>-87271</v>
      </c>
      <c r="F1346" t="s">
        <v>279</v>
      </c>
      <c r="G1346" t="s">
        <v>29</v>
      </c>
      <c r="H1346">
        <v>0</v>
      </c>
      <c r="I1346" t="s">
        <v>324</v>
      </c>
    </row>
    <row r="1347" spans="1:9" x14ac:dyDescent="0.25">
      <c r="A1347">
        <v>70364</v>
      </c>
      <c r="B1347" t="s">
        <v>202</v>
      </c>
      <c r="C1347" t="s">
        <v>238</v>
      </c>
      <c r="D1347">
        <v>4</v>
      </c>
      <c r="E1347">
        <v>-87271</v>
      </c>
      <c r="F1347" t="s">
        <v>274</v>
      </c>
      <c r="G1347" t="s">
        <v>277</v>
      </c>
      <c r="H1347">
        <v>25</v>
      </c>
      <c r="I1347" t="s">
        <v>278</v>
      </c>
    </row>
    <row r="1348" spans="1:9" x14ac:dyDescent="0.25">
      <c r="A1348">
        <v>70364</v>
      </c>
      <c r="B1348" t="s">
        <v>202</v>
      </c>
      <c r="C1348" t="s">
        <v>238</v>
      </c>
      <c r="D1348">
        <v>4</v>
      </c>
      <c r="E1348">
        <v>-87271</v>
      </c>
      <c r="F1348" t="s">
        <v>274</v>
      </c>
      <c r="G1348" t="s">
        <v>300</v>
      </c>
      <c r="H1348">
        <v>0</v>
      </c>
      <c r="I1348" t="s">
        <v>383</v>
      </c>
    </row>
    <row r="1349" spans="1:9" x14ac:dyDescent="0.25">
      <c r="A1349">
        <v>70364</v>
      </c>
      <c r="B1349" t="s">
        <v>202</v>
      </c>
      <c r="C1349" t="s">
        <v>238</v>
      </c>
      <c r="D1349">
        <v>4</v>
      </c>
      <c r="E1349">
        <v>-87271</v>
      </c>
      <c r="F1349" t="s">
        <v>279</v>
      </c>
      <c r="G1349" t="s">
        <v>33</v>
      </c>
      <c r="H1349">
        <v>38306</v>
      </c>
      <c r="I1349" t="s">
        <v>280</v>
      </c>
    </row>
    <row r="1350" spans="1:9" x14ac:dyDescent="0.25">
      <c r="A1350">
        <v>70364</v>
      </c>
      <c r="B1350" t="s">
        <v>202</v>
      </c>
      <c r="C1350" t="s">
        <v>238</v>
      </c>
      <c r="D1350">
        <v>4</v>
      </c>
      <c r="E1350">
        <v>-87271</v>
      </c>
      <c r="F1350" t="s">
        <v>279</v>
      </c>
      <c r="G1350" t="s">
        <v>29</v>
      </c>
      <c r="H1350">
        <v>13579</v>
      </c>
      <c r="I1350" t="s">
        <v>281</v>
      </c>
    </row>
    <row r="1351" spans="1:9" x14ac:dyDescent="0.25">
      <c r="A1351">
        <v>70364</v>
      </c>
      <c r="B1351" t="s">
        <v>202</v>
      </c>
      <c r="C1351" t="s">
        <v>238</v>
      </c>
      <c r="D1351">
        <v>4</v>
      </c>
      <c r="E1351">
        <v>-87271</v>
      </c>
      <c r="F1351" t="s">
        <v>279</v>
      </c>
      <c r="G1351" t="s">
        <v>29</v>
      </c>
      <c r="H1351">
        <v>112972</v>
      </c>
      <c r="I1351" t="s">
        <v>282</v>
      </c>
    </row>
    <row r="1352" spans="1:9" x14ac:dyDescent="0.25">
      <c r="A1352">
        <v>70364</v>
      </c>
      <c r="B1352" t="s">
        <v>202</v>
      </c>
      <c r="C1352" t="s">
        <v>238</v>
      </c>
      <c r="D1352">
        <v>4</v>
      </c>
      <c r="E1352">
        <v>-87271</v>
      </c>
      <c r="F1352" t="s">
        <v>279</v>
      </c>
      <c r="G1352" t="s">
        <v>35</v>
      </c>
      <c r="H1352">
        <v>109006</v>
      </c>
      <c r="I1352" t="s">
        <v>283</v>
      </c>
    </row>
    <row r="1353" spans="1:9" x14ac:dyDescent="0.25">
      <c r="A1353">
        <v>70364</v>
      </c>
      <c r="B1353" t="s">
        <v>202</v>
      </c>
      <c r="C1353" t="s">
        <v>238</v>
      </c>
      <c r="D1353">
        <v>4</v>
      </c>
      <c r="E1353">
        <v>-87271</v>
      </c>
      <c r="F1353" t="s">
        <v>279</v>
      </c>
      <c r="G1353" t="s">
        <v>29</v>
      </c>
      <c r="H1353">
        <v>9473</v>
      </c>
      <c r="I1353" t="s">
        <v>284</v>
      </c>
    </row>
    <row r="1354" spans="1:9" x14ac:dyDescent="0.25">
      <c r="A1354">
        <v>70364</v>
      </c>
      <c r="B1354" t="s">
        <v>202</v>
      </c>
      <c r="C1354" t="s">
        <v>238</v>
      </c>
      <c r="D1354">
        <v>4</v>
      </c>
      <c r="E1354">
        <v>-87271</v>
      </c>
      <c r="F1354" t="s">
        <v>279</v>
      </c>
      <c r="G1354" t="s">
        <v>29</v>
      </c>
      <c r="H1354">
        <v>59549</v>
      </c>
      <c r="I1354" t="s">
        <v>285</v>
      </c>
    </row>
    <row r="1355" spans="1:9" x14ac:dyDescent="0.25">
      <c r="A1355">
        <v>70364</v>
      </c>
      <c r="B1355" t="s">
        <v>202</v>
      </c>
      <c r="C1355" t="s">
        <v>238</v>
      </c>
      <c r="D1355">
        <v>4</v>
      </c>
      <c r="E1355">
        <v>-87271</v>
      </c>
      <c r="F1355" t="s">
        <v>279</v>
      </c>
      <c r="G1355" t="s">
        <v>29</v>
      </c>
      <c r="H1355">
        <v>14697</v>
      </c>
      <c r="I1355" t="s">
        <v>286</v>
      </c>
    </row>
    <row r="1356" spans="1:9" x14ac:dyDescent="0.25">
      <c r="A1356">
        <v>70364</v>
      </c>
      <c r="B1356" t="s">
        <v>202</v>
      </c>
      <c r="C1356" t="s">
        <v>238</v>
      </c>
      <c r="D1356">
        <v>4</v>
      </c>
      <c r="E1356">
        <v>-87271</v>
      </c>
      <c r="F1356" t="s">
        <v>279</v>
      </c>
      <c r="G1356" t="s">
        <v>29</v>
      </c>
      <c r="H1356">
        <v>0</v>
      </c>
      <c r="I1356" t="s">
        <v>327</v>
      </c>
    </row>
    <row r="1357" spans="1:9" x14ac:dyDescent="0.25">
      <c r="A1357">
        <v>70364</v>
      </c>
      <c r="B1357" t="s">
        <v>202</v>
      </c>
      <c r="C1357" t="s">
        <v>238</v>
      </c>
      <c r="D1357">
        <v>4</v>
      </c>
      <c r="E1357">
        <v>-87271</v>
      </c>
      <c r="F1357" t="s">
        <v>279</v>
      </c>
      <c r="G1357" t="s">
        <v>34</v>
      </c>
      <c r="H1357">
        <v>19907</v>
      </c>
      <c r="I1357" t="s">
        <v>287</v>
      </c>
    </row>
    <row r="1358" spans="1:9" x14ac:dyDescent="0.25">
      <c r="A1358">
        <v>70364</v>
      </c>
      <c r="B1358" t="s">
        <v>202</v>
      </c>
      <c r="C1358" t="s">
        <v>238</v>
      </c>
      <c r="D1358">
        <v>4</v>
      </c>
      <c r="E1358">
        <v>-87271</v>
      </c>
      <c r="F1358" t="s">
        <v>279</v>
      </c>
      <c r="G1358" t="s">
        <v>29</v>
      </c>
      <c r="H1358">
        <v>44110</v>
      </c>
      <c r="I1358" t="s">
        <v>288</v>
      </c>
    </row>
    <row r="1359" spans="1:9" x14ac:dyDescent="0.25">
      <c r="A1359">
        <v>70364</v>
      </c>
      <c r="B1359" t="s">
        <v>202</v>
      </c>
      <c r="C1359" t="s">
        <v>238</v>
      </c>
      <c r="D1359">
        <v>4</v>
      </c>
      <c r="E1359">
        <v>-87271</v>
      </c>
      <c r="F1359" t="s">
        <v>279</v>
      </c>
      <c r="G1359" t="s">
        <v>34</v>
      </c>
      <c r="H1359">
        <v>12200</v>
      </c>
      <c r="I1359" t="s">
        <v>289</v>
      </c>
    </row>
    <row r="1360" spans="1:9" x14ac:dyDescent="0.25">
      <c r="A1360">
        <v>70364</v>
      </c>
      <c r="B1360" t="s">
        <v>202</v>
      </c>
      <c r="C1360" t="s">
        <v>238</v>
      </c>
      <c r="D1360">
        <v>4</v>
      </c>
      <c r="E1360">
        <v>-87271</v>
      </c>
      <c r="F1360" t="s">
        <v>279</v>
      </c>
      <c r="G1360" t="s">
        <v>31</v>
      </c>
      <c r="H1360">
        <v>0</v>
      </c>
      <c r="I1360" t="s">
        <v>364</v>
      </c>
    </row>
    <row r="1361" spans="1:9" x14ac:dyDescent="0.25">
      <c r="A1361">
        <v>70364</v>
      </c>
      <c r="B1361" t="s">
        <v>202</v>
      </c>
      <c r="C1361" t="s">
        <v>238</v>
      </c>
      <c r="D1361">
        <v>4</v>
      </c>
      <c r="E1361">
        <v>-87271</v>
      </c>
      <c r="F1361" t="s">
        <v>279</v>
      </c>
      <c r="G1361" t="s">
        <v>31</v>
      </c>
      <c r="H1361">
        <v>0</v>
      </c>
      <c r="I1361" t="s">
        <v>365</v>
      </c>
    </row>
    <row r="1362" spans="1:9" x14ac:dyDescent="0.25">
      <c r="A1362">
        <v>70364</v>
      </c>
      <c r="B1362" t="s">
        <v>202</v>
      </c>
      <c r="C1362" t="s">
        <v>238</v>
      </c>
      <c r="D1362">
        <v>4</v>
      </c>
      <c r="E1362">
        <v>-87271</v>
      </c>
      <c r="F1362" t="s">
        <v>279</v>
      </c>
      <c r="G1362" t="s">
        <v>31</v>
      </c>
      <c r="H1362">
        <v>0</v>
      </c>
      <c r="I1362" t="s">
        <v>366</v>
      </c>
    </row>
    <row r="1363" spans="1:9" x14ac:dyDescent="0.25">
      <c r="A1363">
        <v>70364</v>
      </c>
      <c r="B1363" t="s">
        <v>202</v>
      </c>
      <c r="C1363" t="s">
        <v>238</v>
      </c>
      <c r="D1363">
        <v>4</v>
      </c>
      <c r="E1363">
        <v>-87271</v>
      </c>
      <c r="F1363" t="s">
        <v>279</v>
      </c>
      <c r="G1363" t="s">
        <v>31</v>
      </c>
      <c r="H1363">
        <v>0</v>
      </c>
      <c r="I1363" t="s">
        <v>367</v>
      </c>
    </row>
    <row r="1364" spans="1:9" x14ac:dyDescent="0.25">
      <c r="A1364">
        <v>70364</v>
      </c>
      <c r="B1364" t="s">
        <v>202</v>
      </c>
      <c r="C1364" t="s">
        <v>238</v>
      </c>
      <c r="D1364">
        <v>4</v>
      </c>
      <c r="E1364">
        <v>-87271</v>
      </c>
      <c r="F1364" t="s">
        <v>279</v>
      </c>
      <c r="G1364" t="s">
        <v>31</v>
      </c>
      <c r="H1364">
        <v>0</v>
      </c>
      <c r="I1364" t="s">
        <v>368</v>
      </c>
    </row>
    <row r="1365" spans="1:9" x14ac:dyDescent="0.25">
      <c r="A1365">
        <v>70364</v>
      </c>
      <c r="B1365" t="s">
        <v>202</v>
      </c>
      <c r="C1365" t="s">
        <v>238</v>
      </c>
      <c r="D1365">
        <v>4</v>
      </c>
      <c r="E1365">
        <v>-87271</v>
      </c>
      <c r="F1365" t="s">
        <v>279</v>
      </c>
      <c r="G1365" t="s">
        <v>31</v>
      </c>
      <c r="H1365">
        <v>0</v>
      </c>
      <c r="I1365" t="s">
        <v>369</v>
      </c>
    </row>
    <row r="1366" spans="1:9" x14ac:dyDescent="0.25">
      <c r="A1366">
        <v>70364</v>
      </c>
      <c r="B1366" t="s">
        <v>202</v>
      </c>
      <c r="C1366" t="s">
        <v>238</v>
      </c>
      <c r="D1366">
        <v>4</v>
      </c>
      <c r="E1366">
        <v>-87271</v>
      </c>
      <c r="F1366" t="s">
        <v>279</v>
      </c>
      <c r="G1366" t="s">
        <v>31</v>
      </c>
      <c r="H1366">
        <v>0</v>
      </c>
      <c r="I1366" t="s">
        <v>370</v>
      </c>
    </row>
    <row r="1367" spans="1:9" x14ac:dyDescent="0.25">
      <c r="A1367">
        <v>70364</v>
      </c>
      <c r="B1367" t="s">
        <v>202</v>
      </c>
      <c r="C1367" t="s">
        <v>238</v>
      </c>
      <c r="D1367">
        <v>4</v>
      </c>
      <c r="E1367">
        <v>-87271</v>
      </c>
      <c r="F1367" t="s">
        <v>279</v>
      </c>
      <c r="G1367" t="s">
        <v>31</v>
      </c>
      <c r="H1367">
        <v>0</v>
      </c>
      <c r="I1367" t="s">
        <v>371</v>
      </c>
    </row>
    <row r="1368" spans="1:9" x14ac:dyDescent="0.25">
      <c r="A1368">
        <v>70364</v>
      </c>
      <c r="B1368" t="s">
        <v>202</v>
      </c>
      <c r="C1368" t="s">
        <v>238</v>
      </c>
      <c r="D1368">
        <v>4</v>
      </c>
      <c r="E1368">
        <v>-87271</v>
      </c>
      <c r="F1368" t="s">
        <v>279</v>
      </c>
      <c r="G1368" t="s">
        <v>31</v>
      </c>
      <c r="H1368">
        <v>0</v>
      </c>
      <c r="I1368" t="s">
        <v>328</v>
      </c>
    </row>
    <row r="1369" spans="1:9" x14ac:dyDescent="0.25">
      <c r="A1369">
        <v>70364</v>
      </c>
      <c r="B1369" t="s">
        <v>202</v>
      </c>
      <c r="C1369" t="s">
        <v>238</v>
      </c>
      <c r="D1369">
        <v>4</v>
      </c>
      <c r="E1369">
        <v>-87271</v>
      </c>
      <c r="F1369" t="s">
        <v>279</v>
      </c>
      <c r="G1369" t="s">
        <v>33</v>
      </c>
      <c r="H1369">
        <v>0</v>
      </c>
      <c r="I1369" t="s">
        <v>372</v>
      </c>
    </row>
    <row r="1370" spans="1:9" x14ac:dyDescent="0.25">
      <c r="A1370">
        <v>70364</v>
      </c>
      <c r="B1370" t="s">
        <v>202</v>
      </c>
      <c r="C1370" t="s">
        <v>238</v>
      </c>
      <c r="D1370">
        <v>4</v>
      </c>
      <c r="E1370">
        <v>-87271</v>
      </c>
      <c r="F1370" t="s">
        <v>279</v>
      </c>
      <c r="G1370" t="s">
        <v>33</v>
      </c>
      <c r="H1370">
        <v>0</v>
      </c>
      <c r="I1370" t="s">
        <v>329</v>
      </c>
    </row>
    <row r="1371" spans="1:9" x14ac:dyDescent="0.25">
      <c r="A1371">
        <v>70364</v>
      </c>
      <c r="B1371" t="s">
        <v>202</v>
      </c>
      <c r="C1371" t="s">
        <v>238</v>
      </c>
      <c r="D1371">
        <v>4</v>
      </c>
      <c r="E1371">
        <v>-87271</v>
      </c>
      <c r="F1371" t="s">
        <v>279</v>
      </c>
      <c r="G1371" t="s">
        <v>33</v>
      </c>
      <c r="H1371">
        <v>0</v>
      </c>
      <c r="I1371" t="s">
        <v>319</v>
      </c>
    </row>
    <row r="1372" spans="1:9" x14ac:dyDescent="0.25">
      <c r="A1372">
        <v>70364</v>
      </c>
      <c r="B1372" t="s">
        <v>202</v>
      </c>
      <c r="C1372" t="s">
        <v>238</v>
      </c>
      <c r="D1372">
        <v>4</v>
      </c>
      <c r="E1372">
        <v>-87271</v>
      </c>
      <c r="F1372" t="s">
        <v>279</v>
      </c>
      <c r="G1372" t="s">
        <v>33</v>
      </c>
      <c r="H1372">
        <v>0</v>
      </c>
      <c r="I1372" t="s">
        <v>373</v>
      </c>
    </row>
    <row r="1373" spans="1:9" x14ac:dyDescent="0.25">
      <c r="A1373">
        <v>70364</v>
      </c>
      <c r="B1373" t="s">
        <v>202</v>
      </c>
      <c r="C1373" t="s">
        <v>238</v>
      </c>
      <c r="D1373">
        <v>4</v>
      </c>
      <c r="E1373">
        <v>-87271</v>
      </c>
      <c r="F1373" t="s">
        <v>279</v>
      </c>
      <c r="G1373" t="s">
        <v>33</v>
      </c>
      <c r="H1373">
        <v>0</v>
      </c>
      <c r="I1373" t="s">
        <v>374</v>
      </c>
    </row>
    <row r="1374" spans="1:9" x14ac:dyDescent="0.25">
      <c r="A1374">
        <v>70364</v>
      </c>
      <c r="B1374" t="s">
        <v>202</v>
      </c>
      <c r="C1374" t="s">
        <v>238</v>
      </c>
      <c r="D1374">
        <v>4</v>
      </c>
      <c r="E1374">
        <v>-87271</v>
      </c>
      <c r="F1374" t="s">
        <v>279</v>
      </c>
      <c r="G1374" t="s">
        <v>33</v>
      </c>
      <c r="H1374">
        <v>0</v>
      </c>
      <c r="I1374" t="s">
        <v>326</v>
      </c>
    </row>
    <row r="1375" spans="1:9" x14ac:dyDescent="0.25">
      <c r="A1375">
        <v>70364</v>
      </c>
      <c r="B1375" t="s">
        <v>202</v>
      </c>
      <c r="C1375" t="s">
        <v>238</v>
      </c>
      <c r="D1375">
        <v>4</v>
      </c>
      <c r="E1375">
        <v>-87271</v>
      </c>
      <c r="F1375" t="s">
        <v>279</v>
      </c>
      <c r="G1375" t="s">
        <v>33</v>
      </c>
      <c r="H1375">
        <v>0</v>
      </c>
      <c r="I1375" t="s">
        <v>375</v>
      </c>
    </row>
    <row r="1376" spans="1:9" x14ac:dyDescent="0.25">
      <c r="A1376">
        <v>70364</v>
      </c>
      <c r="B1376" t="s">
        <v>202</v>
      </c>
      <c r="C1376" t="s">
        <v>238</v>
      </c>
      <c r="D1376">
        <v>4</v>
      </c>
      <c r="E1376">
        <v>-87271</v>
      </c>
      <c r="F1376" t="s">
        <v>279</v>
      </c>
      <c r="G1376" t="s">
        <v>33</v>
      </c>
      <c r="H1376">
        <v>0</v>
      </c>
      <c r="I1376" t="s">
        <v>376</v>
      </c>
    </row>
    <row r="1377" spans="1:9" x14ac:dyDescent="0.25">
      <c r="A1377">
        <v>70364</v>
      </c>
      <c r="B1377" t="s">
        <v>202</v>
      </c>
      <c r="C1377" t="s">
        <v>238</v>
      </c>
      <c r="D1377">
        <v>4</v>
      </c>
      <c r="E1377">
        <v>-87271</v>
      </c>
      <c r="F1377" t="s">
        <v>279</v>
      </c>
      <c r="G1377" t="s">
        <v>33</v>
      </c>
      <c r="H1377">
        <v>0</v>
      </c>
      <c r="I1377" t="s">
        <v>377</v>
      </c>
    </row>
    <row r="1378" spans="1:9" x14ac:dyDescent="0.25">
      <c r="A1378">
        <v>70364</v>
      </c>
      <c r="B1378" t="s">
        <v>202</v>
      </c>
      <c r="C1378" t="s">
        <v>238</v>
      </c>
      <c r="D1378">
        <v>4</v>
      </c>
      <c r="E1378">
        <v>-87271</v>
      </c>
      <c r="F1378" t="s">
        <v>274</v>
      </c>
      <c r="G1378" t="s">
        <v>275</v>
      </c>
      <c r="H1378">
        <v>867132</v>
      </c>
      <c r="I1378" t="s">
        <v>318</v>
      </c>
    </row>
    <row r="1379" spans="1:9" x14ac:dyDescent="0.25">
      <c r="A1379">
        <v>70364</v>
      </c>
      <c r="B1379" t="s">
        <v>202</v>
      </c>
      <c r="C1379" t="s">
        <v>238</v>
      </c>
      <c r="D1379">
        <v>4</v>
      </c>
      <c r="E1379">
        <v>-87271</v>
      </c>
      <c r="F1379" t="s">
        <v>274</v>
      </c>
      <c r="G1379" t="s">
        <v>300</v>
      </c>
      <c r="H1379">
        <v>22067</v>
      </c>
      <c r="I1379" t="s">
        <v>301</v>
      </c>
    </row>
    <row r="1380" spans="1:9" x14ac:dyDescent="0.25">
      <c r="A1380">
        <v>70364</v>
      </c>
      <c r="B1380" t="s">
        <v>202</v>
      </c>
      <c r="C1380" t="s">
        <v>238</v>
      </c>
      <c r="D1380">
        <v>4</v>
      </c>
      <c r="E1380">
        <v>-87271</v>
      </c>
      <c r="F1380" t="s">
        <v>274</v>
      </c>
      <c r="G1380" t="s">
        <v>275</v>
      </c>
      <c r="H1380">
        <v>-51545</v>
      </c>
      <c r="I1380" t="s">
        <v>302</v>
      </c>
    </row>
    <row r="1381" spans="1:9" x14ac:dyDescent="0.25">
      <c r="A1381">
        <v>70364</v>
      </c>
      <c r="B1381" t="s">
        <v>202</v>
      </c>
      <c r="C1381" t="s">
        <v>238</v>
      </c>
      <c r="D1381">
        <v>4</v>
      </c>
      <c r="E1381">
        <v>-87271</v>
      </c>
      <c r="F1381" t="s">
        <v>279</v>
      </c>
      <c r="G1381" t="s">
        <v>30</v>
      </c>
      <c r="H1381">
        <v>132839</v>
      </c>
      <c r="I1381" t="s">
        <v>303</v>
      </c>
    </row>
    <row r="1382" spans="1:9" x14ac:dyDescent="0.25">
      <c r="A1382">
        <v>70364</v>
      </c>
      <c r="B1382" t="s">
        <v>202</v>
      </c>
      <c r="C1382" t="s">
        <v>238</v>
      </c>
      <c r="D1382">
        <v>4</v>
      </c>
      <c r="E1382">
        <v>-87271</v>
      </c>
      <c r="F1382" t="s">
        <v>279</v>
      </c>
      <c r="G1382" t="s">
        <v>35</v>
      </c>
      <c r="H1382">
        <v>13756</v>
      </c>
      <c r="I1382" t="s">
        <v>304</v>
      </c>
    </row>
    <row r="1383" spans="1:9" x14ac:dyDescent="0.25">
      <c r="A1383">
        <v>70364</v>
      </c>
      <c r="B1383" t="s">
        <v>202</v>
      </c>
      <c r="C1383" t="s">
        <v>238</v>
      </c>
      <c r="D1383">
        <v>4</v>
      </c>
      <c r="E1383">
        <v>-87271</v>
      </c>
      <c r="F1383" t="s">
        <v>279</v>
      </c>
      <c r="G1383" t="s">
        <v>31</v>
      </c>
      <c r="H1383">
        <v>425563</v>
      </c>
      <c r="I1383" t="s">
        <v>305</v>
      </c>
    </row>
    <row r="1384" spans="1:9" x14ac:dyDescent="0.25">
      <c r="A1384">
        <v>70364</v>
      </c>
      <c r="B1384" t="s">
        <v>202</v>
      </c>
      <c r="C1384" t="s">
        <v>238</v>
      </c>
      <c r="D1384">
        <v>4</v>
      </c>
      <c r="E1384">
        <v>-87271</v>
      </c>
      <c r="F1384" t="s">
        <v>279</v>
      </c>
      <c r="G1384" t="s">
        <v>33</v>
      </c>
      <c r="H1384">
        <v>0</v>
      </c>
      <c r="I1384" t="s">
        <v>320</v>
      </c>
    </row>
    <row r="1385" spans="1:9" x14ac:dyDescent="0.25">
      <c r="A1385">
        <v>70364</v>
      </c>
      <c r="B1385" t="s">
        <v>202</v>
      </c>
      <c r="C1385" t="s">
        <v>238</v>
      </c>
      <c r="D1385">
        <v>4</v>
      </c>
      <c r="E1385">
        <v>-87271</v>
      </c>
      <c r="F1385" t="s">
        <v>279</v>
      </c>
      <c r="G1385" t="s">
        <v>33</v>
      </c>
      <c r="H1385">
        <v>0</v>
      </c>
      <c r="I1385" t="s">
        <v>306</v>
      </c>
    </row>
    <row r="1386" spans="1:9" x14ac:dyDescent="0.25">
      <c r="A1386">
        <v>70364</v>
      </c>
      <c r="B1386" t="s">
        <v>202</v>
      </c>
      <c r="C1386" t="s">
        <v>238</v>
      </c>
      <c r="D1386">
        <v>4</v>
      </c>
      <c r="E1386">
        <v>-87271</v>
      </c>
      <c r="F1386" t="s">
        <v>279</v>
      </c>
      <c r="G1386" t="s">
        <v>33</v>
      </c>
      <c r="H1386">
        <v>0</v>
      </c>
      <c r="I1386" t="s">
        <v>378</v>
      </c>
    </row>
    <row r="1387" spans="1:9" x14ac:dyDescent="0.25">
      <c r="A1387">
        <v>70364</v>
      </c>
      <c r="B1387" t="s">
        <v>202</v>
      </c>
      <c r="C1387" t="s">
        <v>238</v>
      </c>
      <c r="D1387">
        <v>4</v>
      </c>
      <c r="E1387">
        <v>-87271</v>
      </c>
      <c r="F1387" t="s">
        <v>279</v>
      </c>
      <c r="G1387" t="s">
        <v>31</v>
      </c>
      <c r="H1387">
        <v>271258</v>
      </c>
      <c r="I1387" t="s">
        <v>307</v>
      </c>
    </row>
    <row r="1388" spans="1:9" x14ac:dyDescent="0.25">
      <c r="A1388">
        <v>70364</v>
      </c>
      <c r="B1388" t="s">
        <v>202</v>
      </c>
      <c r="C1388" t="s">
        <v>238</v>
      </c>
      <c r="D1388">
        <v>4</v>
      </c>
      <c r="E1388">
        <v>-87271</v>
      </c>
      <c r="F1388" t="s">
        <v>279</v>
      </c>
      <c r="G1388" t="s">
        <v>31</v>
      </c>
      <c r="H1388">
        <v>0</v>
      </c>
      <c r="I1388" t="s">
        <v>379</v>
      </c>
    </row>
    <row r="1389" spans="1:9" x14ac:dyDescent="0.25">
      <c r="A1389">
        <v>70365</v>
      </c>
      <c r="B1389" t="s">
        <v>204</v>
      </c>
      <c r="C1389" t="s">
        <v>238</v>
      </c>
      <c r="D1389">
        <v>4</v>
      </c>
      <c r="E1389">
        <v>-170978</v>
      </c>
      <c r="F1389" t="s">
        <v>279</v>
      </c>
      <c r="G1389" t="s">
        <v>29</v>
      </c>
      <c r="H1389">
        <v>0</v>
      </c>
      <c r="I1389" t="s">
        <v>327</v>
      </c>
    </row>
    <row r="1390" spans="1:9" x14ac:dyDescent="0.25">
      <c r="A1390">
        <v>70365</v>
      </c>
      <c r="B1390" t="s">
        <v>204</v>
      </c>
      <c r="C1390" t="s">
        <v>238</v>
      </c>
      <c r="D1390">
        <v>4</v>
      </c>
      <c r="E1390">
        <v>-170978</v>
      </c>
      <c r="F1390" t="s">
        <v>279</v>
      </c>
      <c r="G1390" t="s">
        <v>34</v>
      </c>
      <c r="H1390">
        <v>10624</v>
      </c>
      <c r="I1390" t="s">
        <v>287</v>
      </c>
    </row>
    <row r="1391" spans="1:9" x14ac:dyDescent="0.25">
      <c r="A1391">
        <v>70365</v>
      </c>
      <c r="B1391" t="s">
        <v>204</v>
      </c>
      <c r="C1391" t="s">
        <v>238</v>
      </c>
      <c r="D1391">
        <v>4</v>
      </c>
      <c r="E1391">
        <v>-170978</v>
      </c>
      <c r="F1391" t="s">
        <v>279</v>
      </c>
      <c r="G1391" t="s">
        <v>29</v>
      </c>
      <c r="H1391">
        <v>51888</v>
      </c>
      <c r="I1391" t="s">
        <v>288</v>
      </c>
    </row>
    <row r="1392" spans="1:9" x14ac:dyDescent="0.25">
      <c r="A1392">
        <v>70365</v>
      </c>
      <c r="B1392" t="s">
        <v>204</v>
      </c>
      <c r="C1392" t="s">
        <v>238</v>
      </c>
      <c r="D1392">
        <v>4</v>
      </c>
      <c r="E1392">
        <v>-170978</v>
      </c>
      <c r="F1392" t="s">
        <v>279</v>
      </c>
      <c r="G1392" t="s">
        <v>34</v>
      </c>
      <c r="H1392">
        <v>10700</v>
      </c>
      <c r="I1392" t="s">
        <v>289</v>
      </c>
    </row>
    <row r="1393" spans="1:9" x14ac:dyDescent="0.25">
      <c r="A1393">
        <v>70365</v>
      </c>
      <c r="B1393" t="s">
        <v>204</v>
      </c>
      <c r="C1393" t="s">
        <v>238</v>
      </c>
      <c r="D1393">
        <v>4</v>
      </c>
      <c r="E1393">
        <v>-170978</v>
      </c>
      <c r="F1393" t="s">
        <v>279</v>
      </c>
      <c r="G1393" t="s">
        <v>29</v>
      </c>
      <c r="H1393">
        <v>2496</v>
      </c>
      <c r="I1393" t="s">
        <v>297</v>
      </c>
    </row>
    <row r="1394" spans="1:9" x14ac:dyDescent="0.25">
      <c r="A1394">
        <v>70365</v>
      </c>
      <c r="B1394" t="s">
        <v>204</v>
      </c>
      <c r="C1394" t="s">
        <v>238</v>
      </c>
      <c r="D1394">
        <v>4</v>
      </c>
      <c r="E1394">
        <v>-170978</v>
      </c>
      <c r="F1394" t="s">
        <v>279</v>
      </c>
      <c r="G1394" t="s">
        <v>36</v>
      </c>
      <c r="H1394">
        <v>27293</v>
      </c>
      <c r="I1394" t="s">
        <v>298</v>
      </c>
    </row>
    <row r="1395" spans="1:9" x14ac:dyDescent="0.25">
      <c r="A1395">
        <v>70365</v>
      </c>
      <c r="B1395" t="s">
        <v>204</v>
      </c>
      <c r="C1395" t="s">
        <v>238</v>
      </c>
      <c r="D1395">
        <v>4</v>
      </c>
      <c r="E1395">
        <v>-170978</v>
      </c>
      <c r="F1395" t="s">
        <v>274</v>
      </c>
      <c r="G1395" t="s">
        <v>275</v>
      </c>
      <c r="H1395">
        <v>194180</v>
      </c>
      <c r="I1395" t="s">
        <v>299</v>
      </c>
    </row>
    <row r="1396" spans="1:9" x14ac:dyDescent="0.25">
      <c r="A1396">
        <v>70365</v>
      </c>
      <c r="B1396" t="s">
        <v>204</v>
      </c>
      <c r="C1396" t="s">
        <v>238</v>
      </c>
      <c r="D1396">
        <v>4</v>
      </c>
      <c r="E1396">
        <v>-170978</v>
      </c>
      <c r="F1396" t="s">
        <v>274</v>
      </c>
      <c r="G1396" t="s">
        <v>275</v>
      </c>
      <c r="H1396">
        <v>0</v>
      </c>
      <c r="I1396" t="s">
        <v>385</v>
      </c>
    </row>
    <row r="1397" spans="1:9" x14ac:dyDescent="0.25">
      <c r="A1397">
        <v>70365</v>
      </c>
      <c r="B1397" t="s">
        <v>204</v>
      </c>
      <c r="C1397" t="s">
        <v>238</v>
      </c>
      <c r="D1397">
        <v>4</v>
      </c>
      <c r="E1397">
        <v>-170978</v>
      </c>
      <c r="F1397" t="s">
        <v>279</v>
      </c>
      <c r="G1397" t="s">
        <v>29</v>
      </c>
      <c r="H1397">
        <v>6343</v>
      </c>
      <c r="I1397" t="s">
        <v>290</v>
      </c>
    </row>
    <row r="1398" spans="1:9" x14ac:dyDescent="0.25">
      <c r="A1398">
        <v>70365</v>
      </c>
      <c r="B1398" t="s">
        <v>204</v>
      </c>
      <c r="C1398" t="s">
        <v>238</v>
      </c>
      <c r="D1398">
        <v>4</v>
      </c>
      <c r="E1398">
        <v>-170978</v>
      </c>
      <c r="F1398" t="s">
        <v>279</v>
      </c>
      <c r="G1398" t="s">
        <v>32</v>
      </c>
      <c r="H1398">
        <v>61679</v>
      </c>
      <c r="I1398" t="s">
        <v>291</v>
      </c>
    </row>
    <row r="1399" spans="1:9" x14ac:dyDescent="0.25">
      <c r="A1399">
        <v>70365</v>
      </c>
      <c r="B1399" t="s">
        <v>204</v>
      </c>
      <c r="C1399" t="s">
        <v>238</v>
      </c>
      <c r="D1399">
        <v>4</v>
      </c>
      <c r="E1399">
        <v>-170978</v>
      </c>
      <c r="F1399" t="s">
        <v>279</v>
      </c>
      <c r="G1399" t="s">
        <v>29</v>
      </c>
      <c r="H1399">
        <v>12315</v>
      </c>
      <c r="I1399" t="s">
        <v>292</v>
      </c>
    </row>
    <row r="1400" spans="1:9" x14ac:dyDescent="0.25">
      <c r="A1400">
        <v>70365</v>
      </c>
      <c r="B1400" t="s">
        <v>204</v>
      </c>
      <c r="C1400" t="s">
        <v>238</v>
      </c>
      <c r="D1400">
        <v>4</v>
      </c>
      <c r="E1400">
        <v>-170978</v>
      </c>
      <c r="F1400" t="s">
        <v>279</v>
      </c>
      <c r="G1400" t="s">
        <v>29</v>
      </c>
      <c r="H1400">
        <v>0</v>
      </c>
      <c r="I1400" t="s">
        <v>384</v>
      </c>
    </row>
    <row r="1401" spans="1:9" x14ac:dyDescent="0.25">
      <c r="A1401">
        <v>70365</v>
      </c>
      <c r="B1401" t="s">
        <v>204</v>
      </c>
      <c r="C1401" t="s">
        <v>238</v>
      </c>
      <c r="D1401">
        <v>4</v>
      </c>
      <c r="E1401">
        <v>-170978</v>
      </c>
      <c r="F1401" t="s">
        <v>279</v>
      </c>
      <c r="G1401" t="s">
        <v>35</v>
      </c>
      <c r="H1401">
        <v>7112</v>
      </c>
      <c r="I1401" t="s">
        <v>293</v>
      </c>
    </row>
    <row r="1402" spans="1:9" x14ac:dyDescent="0.25">
      <c r="A1402">
        <v>70365</v>
      </c>
      <c r="B1402" t="s">
        <v>204</v>
      </c>
      <c r="C1402" t="s">
        <v>238</v>
      </c>
      <c r="D1402">
        <v>4</v>
      </c>
      <c r="E1402">
        <v>-170978</v>
      </c>
      <c r="F1402" t="s">
        <v>279</v>
      </c>
      <c r="G1402" t="s">
        <v>35</v>
      </c>
      <c r="H1402">
        <v>5213</v>
      </c>
      <c r="I1402" t="s">
        <v>294</v>
      </c>
    </row>
    <row r="1403" spans="1:9" x14ac:dyDescent="0.25">
      <c r="A1403">
        <v>70365</v>
      </c>
      <c r="B1403" t="s">
        <v>204</v>
      </c>
      <c r="C1403" t="s">
        <v>238</v>
      </c>
      <c r="D1403">
        <v>4</v>
      </c>
      <c r="E1403">
        <v>-170978</v>
      </c>
      <c r="F1403" t="s">
        <v>279</v>
      </c>
      <c r="G1403" t="s">
        <v>35</v>
      </c>
      <c r="H1403">
        <v>7601</v>
      </c>
      <c r="I1403" t="s">
        <v>295</v>
      </c>
    </row>
    <row r="1404" spans="1:9" x14ac:dyDescent="0.25">
      <c r="A1404">
        <v>70365</v>
      </c>
      <c r="B1404" t="s">
        <v>204</v>
      </c>
      <c r="C1404" t="s">
        <v>238</v>
      </c>
      <c r="D1404">
        <v>4</v>
      </c>
      <c r="E1404">
        <v>-170978</v>
      </c>
      <c r="F1404" t="s">
        <v>279</v>
      </c>
      <c r="G1404" t="s">
        <v>35</v>
      </c>
      <c r="H1404">
        <v>3686</v>
      </c>
      <c r="I1404" t="s">
        <v>296</v>
      </c>
    </row>
    <row r="1405" spans="1:9" x14ac:dyDescent="0.25">
      <c r="A1405">
        <v>70365</v>
      </c>
      <c r="B1405" t="s">
        <v>204</v>
      </c>
      <c r="C1405" t="s">
        <v>238</v>
      </c>
      <c r="D1405">
        <v>4</v>
      </c>
      <c r="E1405">
        <v>-170978</v>
      </c>
      <c r="F1405" t="s">
        <v>279</v>
      </c>
      <c r="G1405" t="s">
        <v>35</v>
      </c>
      <c r="H1405">
        <v>576</v>
      </c>
      <c r="I1405" t="s">
        <v>325</v>
      </c>
    </row>
    <row r="1406" spans="1:9" x14ac:dyDescent="0.25">
      <c r="A1406">
        <v>70365</v>
      </c>
      <c r="B1406" t="s">
        <v>204</v>
      </c>
      <c r="C1406" t="s">
        <v>238</v>
      </c>
      <c r="D1406">
        <v>4</v>
      </c>
      <c r="E1406">
        <v>-170978</v>
      </c>
      <c r="F1406" t="s">
        <v>279</v>
      </c>
      <c r="G1406" t="s">
        <v>33</v>
      </c>
      <c r="H1406">
        <v>0</v>
      </c>
      <c r="I1406" t="s">
        <v>374</v>
      </c>
    </row>
    <row r="1407" spans="1:9" x14ac:dyDescent="0.25">
      <c r="A1407">
        <v>70365</v>
      </c>
      <c r="B1407" t="s">
        <v>204</v>
      </c>
      <c r="C1407" t="s">
        <v>238</v>
      </c>
      <c r="D1407">
        <v>4</v>
      </c>
      <c r="E1407">
        <v>-170978</v>
      </c>
      <c r="F1407" t="s">
        <v>279</v>
      </c>
      <c r="G1407" t="s">
        <v>33</v>
      </c>
      <c r="H1407">
        <v>0</v>
      </c>
      <c r="I1407" t="s">
        <v>326</v>
      </c>
    </row>
    <row r="1408" spans="1:9" x14ac:dyDescent="0.25">
      <c r="A1408">
        <v>70365</v>
      </c>
      <c r="B1408" t="s">
        <v>204</v>
      </c>
      <c r="C1408" t="s">
        <v>238</v>
      </c>
      <c r="D1408">
        <v>4</v>
      </c>
      <c r="E1408">
        <v>-170978</v>
      </c>
      <c r="F1408" t="s">
        <v>279</v>
      </c>
      <c r="G1408" t="s">
        <v>33</v>
      </c>
      <c r="H1408">
        <v>0</v>
      </c>
      <c r="I1408" t="s">
        <v>375</v>
      </c>
    </row>
    <row r="1409" spans="1:9" x14ac:dyDescent="0.25">
      <c r="A1409">
        <v>70365</v>
      </c>
      <c r="B1409" t="s">
        <v>204</v>
      </c>
      <c r="C1409" t="s">
        <v>238</v>
      </c>
      <c r="D1409">
        <v>4</v>
      </c>
      <c r="E1409">
        <v>-170978</v>
      </c>
      <c r="F1409" t="s">
        <v>279</v>
      </c>
      <c r="G1409" t="s">
        <v>33</v>
      </c>
      <c r="H1409">
        <v>0</v>
      </c>
      <c r="I1409" t="s">
        <v>376</v>
      </c>
    </row>
    <row r="1410" spans="1:9" x14ac:dyDescent="0.25">
      <c r="A1410">
        <v>70365</v>
      </c>
      <c r="B1410" t="s">
        <v>204</v>
      </c>
      <c r="C1410" t="s">
        <v>238</v>
      </c>
      <c r="D1410">
        <v>4</v>
      </c>
      <c r="E1410">
        <v>-170978</v>
      </c>
      <c r="F1410" t="s">
        <v>279</v>
      </c>
      <c r="G1410" t="s">
        <v>33</v>
      </c>
      <c r="H1410">
        <v>0</v>
      </c>
      <c r="I1410" t="s">
        <v>377</v>
      </c>
    </row>
    <row r="1411" spans="1:9" x14ac:dyDescent="0.25">
      <c r="A1411">
        <v>70365</v>
      </c>
      <c r="B1411" t="s">
        <v>204</v>
      </c>
      <c r="C1411" t="s">
        <v>238</v>
      </c>
      <c r="D1411">
        <v>4</v>
      </c>
      <c r="E1411">
        <v>-170978</v>
      </c>
      <c r="F1411" t="s">
        <v>274</v>
      </c>
      <c r="G1411" t="s">
        <v>275</v>
      </c>
      <c r="H1411">
        <v>863004</v>
      </c>
      <c r="I1411" t="s">
        <v>318</v>
      </c>
    </row>
    <row r="1412" spans="1:9" x14ac:dyDescent="0.25">
      <c r="A1412">
        <v>70365</v>
      </c>
      <c r="B1412" t="s">
        <v>204</v>
      </c>
      <c r="C1412" t="s">
        <v>238</v>
      </c>
      <c r="D1412">
        <v>4</v>
      </c>
      <c r="E1412">
        <v>-170978</v>
      </c>
      <c r="F1412" t="s">
        <v>274</v>
      </c>
      <c r="G1412" t="s">
        <v>300</v>
      </c>
      <c r="H1412">
        <v>25100</v>
      </c>
      <c r="I1412" t="s">
        <v>301</v>
      </c>
    </row>
    <row r="1413" spans="1:9" x14ac:dyDescent="0.25">
      <c r="A1413">
        <v>70365</v>
      </c>
      <c r="B1413" t="s">
        <v>204</v>
      </c>
      <c r="C1413" t="s">
        <v>238</v>
      </c>
      <c r="D1413">
        <v>4</v>
      </c>
      <c r="E1413">
        <v>-170978</v>
      </c>
      <c r="F1413" t="s">
        <v>274</v>
      </c>
      <c r="G1413" t="s">
        <v>275</v>
      </c>
      <c r="H1413">
        <v>-19355</v>
      </c>
      <c r="I1413" t="s">
        <v>302</v>
      </c>
    </row>
    <row r="1414" spans="1:9" x14ac:dyDescent="0.25">
      <c r="A1414">
        <v>70365</v>
      </c>
      <c r="B1414" t="s">
        <v>204</v>
      </c>
      <c r="C1414" t="s">
        <v>238</v>
      </c>
      <c r="D1414">
        <v>4</v>
      </c>
      <c r="E1414">
        <v>-170978</v>
      </c>
      <c r="F1414" t="s">
        <v>279</v>
      </c>
      <c r="G1414" t="s">
        <v>30</v>
      </c>
      <c r="H1414">
        <v>78463</v>
      </c>
      <c r="I1414" t="s">
        <v>303</v>
      </c>
    </row>
    <row r="1415" spans="1:9" x14ac:dyDescent="0.25">
      <c r="A1415">
        <v>70365</v>
      </c>
      <c r="B1415" t="s">
        <v>204</v>
      </c>
      <c r="C1415" t="s">
        <v>238</v>
      </c>
      <c r="D1415">
        <v>4</v>
      </c>
      <c r="E1415">
        <v>-170978</v>
      </c>
      <c r="F1415" t="s">
        <v>279</v>
      </c>
      <c r="G1415" t="s">
        <v>35</v>
      </c>
      <c r="H1415">
        <v>44073</v>
      </c>
      <c r="I1415" t="s">
        <v>304</v>
      </c>
    </row>
    <row r="1416" spans="1:9" x14ac:dyDescent="0.25">
      <c r="A1416">
        <v>70365</v>
      </c>
      <c r="B1416" t="s">
        <v>204</v>
      </c>
      <c r="C1416" t="s">
        <v>238</v>
      </c>
      <c r="D1416">
        <v>4</v>
      </c>
      <c r="E1416">
        <v>-170978</v>
      </c>
      <c r="F1416" t="s">
        <v>279</v>
      </c>
      <c r="G1416" t="s">
        <v>31</v>
      </c>
      <c r="H1416">
        <v>269784</v>
      </c>
      <c r="I1416" t="s">
        <v>305</v>
      </c>
    </row>
    <row r="1417" spans="1:9" x14ac:dyDescent="0.25">
      <c r="A1417">
        <v>70365</v>
      </c>
      <c r="B1417" t="s">
        <v>204</v>
      </c>
      <c r="C1417" t="s">
        <v>238</v>
      </c>
      <c r="D1417">
        <v>4</v>
      </c>
      <c r="E1417">
        <v>-170978</v>
      </c>
      <c r="F1417" t="s">
        <v>279</v>
      </c>
      <c r="G1417" t="s">
        <v>33</v>
      </c>
      <c r="H1417">
        <v>0</v>
      </c>
      <c r="I1417" t="s">
        <v>320</v>
      </c>
    </row>
    <row r="1418" spans="1:9" x14ac:dyDescent="0.25">
      <c r="A1418">
        <v>70365</v>
      </c>
      <c r="B1418" t="s">
        <v>204</v>
      </c>
      <c r="C1418" t="s">
        <v>238</v>
      </c>
      <c r="D1418">
        <v>4</v>
      </c>
      <c r="E1418">
        <v>-170978</v>
      </c>
      <c r="F1418" t="s">
        <v>279</v>
      </c>
      <c r="G1418" t="s">
        <v>33</v>
      </c>
      <c r="H1418">
        <v>0</v>
      </c>
      <c r="I1418" t="s">
        <v>306</v>
      </c>
    </row>
    <row r="1419" spans="1:9" x14ac:dyDescent="0.25">
      <c r="A1419">
        <v>70365</v>
      </c>
      <c r="B1419" t="s">
        <v>204</v>
      </c>
      <c r="C1419" t="s">
        <v>238</v>
      </c>
      <c r="D1419">
        <v>4</v>
      </c>
      <c r="E1419">
        <v>-170978</v>
      </c>
      <c r="F1419" t="s">
        <v>279</v>
      </c>
      <c r="G1419" t="s">
        <v>33</v>
      </c>
      <c r="H1419">
        <v>0</v>
      </c>
      <c r="I1419" t="s">
        <v>378</v>
      </c>
    </row>
    <row r="1420" spans="1:9" x14ac:dyDescent="0.25">
      <c r="A1420">
        <v>70365</v>
      </c>
      <c r="B1420" t="s">
        <v>204</v>
      </c>
      <c r="C1420" t="s">
        <v>238</v>
      </c>
      <c r="D1420">
        <v>4</v>
      </c>
      <c r="E1420">
        <v>-170978</v>
      </c>
      <c r="F1420" t="s">
        <v>279</v>
      </c>
      <c r="G1420" t="s">
        <v>31</v>
      </c>
      <c r="H1420">
        <v>290200</v>
      </c>
      <c r="I1420" t="s">
        <v>307</v>
      </c>
    </row>
    <row r="1421" spans="1:9" x14ac:dyDescent="0.25">
      <c r="A1421">
        <v>70365</v>
      </c>
      <c r="B1421" t="s">
        <v>204</v>
      </c>
      <c r="C1421" t="s">
        <v>238</v>
      </c>
      <c r="D1421">
        <v>4</v>
      </c>
      <c r="E1421">
        <v>-170978</v>
      </c>
      <c r="F1421" t="s">
        <v>279</v>
      </c>
      <c r="G1421" t="s">
        <v>31</v>
      </c>
      <c r="H1421">
        <v>0</v>
      </c>
      <c r="I1421" t="s">
        <v>379</v>
      </c>
    </row>
    <row r="1422" spans="1:9" x14ac:dyDescent="0.25">
      <c r="A1422">
        <v>70365</v>
      </c>
      <c r="B1422" t="s">
        <v>204</v>
      </c>
      <c r="C1422" t="s">
        <v>238</v>
      </c>
      <c r="D1422">
        <v>4</v>
      </c>
      <c r="E1422">
        <v>-170978</v>
      </c>
      <c r="F1422" t="s">
        <v>279</v>
      </c>
      <c r="G1422" t="s">
        <v>30</v>
      </c>
      <c r="H1422">
        <v>17438</v>
      </c>
      <c r="I1422" t="s">
        <v>308</v>
      </c>
    </row>
    <row r="1423" spans="1:9" x14ac:dyDescent="0.25">
      <c r="A1423">
        <v>70365</v>
      </c>
      <c r="B1423" t="s">
        <v>204</v>
      </c>
      <c r="C1423" t="s">
        <v>238</v>
      </c>
      <c r="D1423">
        <v>4</v>
      </c>
      <c r="E1423">
        <v>-170978</v>
      </c>
      <c r="F1423" t="s">
        <v>279</v>
      </c>
      <c r="G1423" t="s">
        <v>35</v>
      </c>
      <c r="H1423">
        <v>7073</v>
      </c>
      <c r="I1423" t="s">
        <v>321</v>
      </c>
    </row>
    <row r="1424" spans="1:9" x14ac:dyDescent="0.25">
      <c r="A1424">
        <v>70365</v>
      </c>
      <c r="B1424" t="s">
        <v>204</v>
      </c>
      <c r="C1424" t="s">
        <v>238</v>
      </c>
      <c r="D1424">
        <v>4</v>
      </c>
      <c r="E1424">
        <v>-170978</v>
      </c>
      <c r="F1424" t="s">
        <v>279</v>
      </c>
      <c r="G1424" t="s">
        <v>33</v>
      </c>
      <c r="H1424">
        <v>0</v>
      </c>
      <c r="I1424" t="s">
        <v>380</v>
      </c>
    </row>
    <row r="1425" spans="1:9" x14ac:dyDescent="0.25">
      <c r="A1425">
        <v>70365</v>
      </c>
      <c r="B1425" t="s">
        <v>204</v>
      </c>
      <c r="C1425" t="s">
        <v>238</v>
      </c>
      <c r="D1425">
        <v>4</v>
      </c>
      <c r="E1425">
        <v>-170978</v>
      </c>
      <c r="F1425" t="s">
        <v>279</v>
      </c>
      <c r="G1425" t="s">
        <v>31</v>
      </c>
      <c r="H1425">
        <v>0</v>
      </c>
      <c r="I1425" t="s">
        <v>364</v>
      </c>
    </row>
    <row r="1426" spans="1:9" x14ac:dyDescent="0.25">
      <c r="A1426">
        <v>70365</v>
      </c>
      <c r="B1426" t="s">
        <v>204</v>
      </c>
      <c r="C1426" t="s">
        <v>238</v>
      </c>
      <c r="D1426">
        <v>4</v>
      </c>
      <c r="E1426">
        <v>-170978</v>
      </c>
      <c r="F1426" t="s">
        <v>279</v>
      </c>
      <c r="G1426" t="s">
        <v>31</v>
      </c>
      <c r="H1426">
        <v>0</v>
      </c>
      <c r="I1426" t="s">
        <v>365</v>
      </c>
    </row>
    <row r="1427" spans="1:9" x14ac:dyDescent="0.25">
      <c r="A1427">
        <v>70365</v>
      </c>
      <c r="B1427" t="s">
        <v>204</v>
      </c>
      <c r="C1427" t="s">
        <v>238</v>
      </c>
      <c r="D1427">
        <v>4</v>
      </c>
      <c r="E1427">
        <v>-170978</v>
      </c>
      <c r="F1427" t="s">
        <v>279</v>
      </c>
      <c r="G1427" t="s">
        <v>31</v>
      </c>
      <c r="H1427">
        <v>0</v>
      </c>
      <c r="I1427" t="s">
        <v>366</v>
      </c>
    </row>
    <row r="1428" spans="1:9" x14ac:dyDescent="0.25">
      <c r="A1428">
        <v>70365</v>
      </c>
      <c r="B1428" t="s">
        <v>204</v>
      </c>
      <c r="C1428" t="s">
        <v>238</v>
      </c>
      <c r="D1428">
        <v>4</v>
      </c>
      <c r="E1428">
        <v>-170978</v>
      </c>
      <c r="F1428" t="s">
        <v>279</v>
      </c>
      <c r="G1428" t="s">
        <v>31</v>
      </c>
      <c r="H1428">
        <v>0</v>
      </c>
      <c r="I1428" t="s">
        <v>367</v>
      </c>
    </row>
    <row r="1429" spans="1:9" x14ac:dyDescent="0.25">
      <c r="A1429">
        <v>70365</v>
      </c>
      <c r="B1429" t="s">
        <v>204</v>
      </c>
      <c r="C1429" t="s">
        <v>238</v>
      </c>
      <c r="D1429">
        <v>4</v>
      </c>
      <c r="E1429">
        <v>-170978</v>
      </c>
      <c r="F1429" t="s">
        <v>279</v>
      </c>
      <c r="G1429" t="s">
        <v>31</v>
      </c>
      <c r="H1429">
        <v>0</v>
      </c>
      <c r="I1429" t="s">
        <v>368</v>
      </c>
    </row>
    <row r="1430" spans="1:9" x14ac:dyDescent="0.25">
      <c r="A1430">
        <v>70365</v>
      </c>
      <c r="B1430" t="s">
        <v>204</v>
      </c>
      <c r="C1430" t="s">
        <v>238</v>
      </c>
      <c r="D1430">
        <v>4</v>
      </c>
      <c r="E1430">
        <v>-170978</v>
      </c>
      <c r="F1430" t="s">
        <v>279</v>
      </c>
      <c r="G1430" t="s">
        <v>31</v>
      </c>
      <c r="H1430">
        <v>0</v>
      </c>
      <c r="I1430" t="s">
        <v>369</v>
      </c>
    </row>
    <row r="1431" spans="1:9" x14ac:dyDescent="0.25">
      <c r="A1431">
        <v>70365</v>
      </c>
      <c r="B1431" t="s">
        <v>204</v>
      </c>
      <c r="C1431" t="s">
        <v>238</v>
      </c>
      <c r="D1431">
        <v>4</v>
      </c>
      <c r="E1431">
        <v>-170978</v>
      </c>
      <c r="F1431" t="s">
        <v>279</v>
      </c>
      <c r="G1431" t="s">
        <v>31</v>
      </c>
      <c r="H1431">
        <v>0</v>
      </c>
      <c r="I1431" t="s">
        <v>370</v>
      </c>
    </row>
    <row r="1432" spans="1:9" x14ac:dyDescent="0.25">
      <c r="A1432">
        <v>70365</v>
      </c>
      <c r="B1432" t="s">
        <v>204</v>
      </c>
      <c r="C1432" t="s">
        <v>238</v>
      </c>
      <c r="D1432">
        <v>4</v>
      </c>
      <c r="E1432">
        <v>-170978</v>
      </c>
      <c r="F1432" t="s">
        <v>279</v>
      </c>
      <c r="G1432" t="s">
        <v>31</v>
      </c>
      <c r="H1432">
        <v>0</v>
      </c>
      <c r="I1432" t="s">
        <v>371</v>
      </c>
    </row>
    <row r="1433" spans="1:9" x14ac:dyDescent="0.25">
      <c r="A1433">
        <v>70365</v>
      </c>
      <c r="B1433" t="s">
        <v>204</v>
      </c>
      <c r="C1433" t="s">
        <v>238</v>
      </c>
      <c r="D1433">
        <v>4</v>
      </c>
      <c r="E1433">
        <v>-170978</v>
      </c>
      <c r="F1433" t="s">
        <v>279</v>
      </c>
      <c r="G1433" t="s">
        <v>31</v>
      </c>
      <c r="H1433">
        <v>0</v>
      </c>
      <c r="I1433" t="s">
        <v>328</v>
      </c>
    </row>
    <row r="1434" spans="1:9" x14ac:dyDescent="0.25">
      <c r="A1434">
        <v>70365</v>
      </c>
      <c r="B1434" t="s">
        <v>204</v>
      </c>
      <c r="C1434" t="s">
        <v>238</v>
      </c>
      <c r="D1434">
        <v>4</v>
      </c>
      <c r="E1434">
        <v>-170978</v>
      </c>
      <c r="F1434" t="s">
        <v>279</v>
      </c>
      <c r="G1434" t="s">
        <v>33</v>
      </c>
      <c r="H1434">
        <v>0</v>
      </c>
      <c r="I1434" t="s">
        <v>372</v>
      </c>
    </row>
    <row r="1435" spans="1:9" x14ac:dyDescent="0.25">
      <c r="A1435">
        <v>70365</v>
      </c>
      <c r="B1435" t="s">
        <v>204</v>
      </c>
      <c r="C1435" t="s">
        <v>238</v>
      </c>
      <c r="D1435">
        <v>4</v>
      </c>
      <c r="E1435">
        <v>-170978</v>
      </c>
      <c r="F1435" t="s">
        <v>279</v>
      </c>
      <c r="G1435" t="s">
        <v>33</v>
      </c>
      <c r="H1435">
        <v>0</v>
      </c>
      <c r="I1435" t="s">
        <v>329</v>
      </c>
    </row>
    <row r="1436" spans="1:9" x14ac:dyDescent="0.25">
      <c r="A1436">
        <v>70365</v>
      </c>
      <c r="B1436" t="s">
        <v>204</v>
      </c>
      <c r="C1436" t="s">
        <v>238</v>
      </c>
      <c r="D1436">
        <v>4</v>
      </c>
      <c r="E1436">
        <v>-170978</v>
      </c>
      <c r="F1436" t="s">
        <v>279</v>
      </c>
      <c r="G1436" t="s">
        <v>33</v>
      </c>
      <c r="H1436">
        <v>0</v>
      </c>
      <c r="I1436" t="s">
        <v>319</v>
      </c>
    </row>
    <row r="1437" spans="1:9" x14ac:dyDescent="0.25">
      <c r="A1437">
        <v>70365</v>
      </c>
      <c r="B1437" t="s">
        <v>204</v>
      </c>
      <c r="C1437" t="s">
        <v>238</v>
      </c>
      <c r="D1437">
        <v>4</v>
      </c>
      <c r="E1437">
        <v>-170978</v>
      </c>
      <c r="F1437" t="s">
        <v>279</v>
      </c>
      <c r="G1437" t="s">
        <v>33</v>
      </c>
      <c r="H1437">
        <v>0</v>
      </c>
      <c r="I1437" t="s">
        <v>373</v>
      </c>
    </row>
    <row r="1438" spans="1:9" x14ac:dyDescent="0.25">
      <c r="A1438">
        <v>70365</v>
      </c>
      <c r="B1438" t="s">
        <v>204</v>
      </c>
      <c r="C1438" t="s">
        <v>238</v>
      </c>
      <c r="D1438">
        <v>4</v>
      </c>
      <c r="E1438">
        <v>-170978</v>
      </c>
      <c r="F1438" t="s">
        <v>279</v>
      </c>
      <c r="G1438" t="s">
        <v>33</v>
      </c>
      <c r="H1438">
        <v>-1</v>
      </c>
      <c r="I1438" t="s">
        <v>280</v>
      </c>
    </row>
    <row r="1439" spans="1:9" x14ac:dyDescent="0.25">
      <c r="A1439">
        <v>70365</v>
      </c>
      <c r="B1439" t="s">
        <v>204</v>
      </c>
      <c r="C1439" t="s">
        <v>238</v>
      </c>
      <c r="D1439">
        <v>4</v>
      </c>
      <c r="E1439">
        <v>-170978</v>
      </c>
      <c r="F1439" t="s">
        <v>279</v>
      </c>
      <c r="G1439" t="s">
        <v>29</v>
      </c>
      <c r="H1439">
        <v>4815</v>
      </c>
      <c r="I1439" t="s">
        <v>281</v>
      </c>
    </row>
    <row r="1440" spans="1:9" x14ac:dyDescent="0.25">
      <c r="A1440">
        <v>70365</v>
      </c>
      <c r="B1440" t="s">
        <v>204</v>
      </c>
      <c r="C1440" t="s">
        <v>238</v>
      </c>
      <c r="D1440">
        <v>4</v>
      </c>
      <c r="E1440">
        <v>-170978</v>
      </c>
      <c r="F1440" t="s">
        <v>279</v>
      </c>
      <c r="G1440" t="s">
        <v>29</v>
      </c>
      <c r="H1440">
        <v>52785</v>
      </c>
      <c r="I1440" t="s">
        <v>282</v>
      </c>
    </row>
    <row r="1441" spans="1:9" x14ac:dyDescent="0.25">
      <c r="A1441">
        <v>70365</v>
      </c>
      <c r="B1441" t="s">
        <v>204</v>
      </c>
      <c r="C1441" t="s">
        <v>238</v>
      </c>
      <c r="D1441">
        <v>4</v>
      </c>
      <c r="E1441">
        <v>-170978</v>
      </c>
      <c r="F1441" t="s">
        <v>279</v>
      </c>
      <c r="G1441" t="s">
        <v>35</v>
      </c>
      <c r="H1441">
        <v>81934</v>
      </c>
      <c r="I1441" t="s">
        <v>283</v>
      </c>
    </row>
    <row r="1442" spans="1:9" x14ac:dyDescent="0.25">
      <c r="A1442">
        <v>70365</v>
      </c>
      <c r="B1442" t="s">
        <v>204</v>
      </c>
      <c r="C1442" t="s">
        <v>238</v>
      </c>
      <c r="D1442">
        <v>4</v>
      </c>
      <c r="E1442">
        <v>-170978</v>
      </c>
      <c r="F1442" t="s">
        <v>279</v>
      </c>
      <c r="G1442" t="s">
        <v>29</v>
      </c>
      <c r="H1442">
        <v>5634</v>
      </c>
      <c r="I1442" t="s">
        <v>284</v>
      </c>
    </row>
    <row r="1443" spans="1:9" x14ac:dyDescent="0.25">
      <c r="A1443">
        <v>70365</v>
      </c>
      <c r="B1443" t="s">
        <v>204</v>
      </c>
      <c r="C1443" t="s">
        <v>238</v>
      </c>
      <c r="D1443">
        <v>4</v>
      </c>
      <c r="E1443">
        <v>-170978</v>
      </c>
      <c r="F1443" t="s">
        <v>279</v>
      </c>
      <c r="G1443" t="s">
        <v>29</v>
      </c>
      <c r="H1443">
        <v>30063</v>
      </c>
      <c r="I1443" t="s">
        <v>285</v>
      </c>
    </row>
    <row r="1444" spans="1:9" x14ac:dyDescent="0.25">
      <c r="A1444">
        <v>70365</v>
      </c>
      <c r="B1444" t="s">
        <v>204</v>
      </c>
      <c r="C1444" t="s">
        <v>238</v>
      </c>
      <c r="D1444">
        <v>4</v>
      </c>
      <c r="E1444">
        <v>-170978</v>
      </c>
      <c r="F1444" t="s">
        <v>279</v>
      </c>
      <c r="G1444" t="s">
        <v>29</v>
      </c>
      <c r="H1444">
        <v>229</v>
      </c>
      <c r="I1444" t="s">
        <v>286</v>
      </c>
    </row>
    <row r="1445" spans="1:9" x14ac:dyDescent="0.25">
      <c r="A1445">
        <v>70365</v>
      </c>
      <c r="B1445" t="s">
        <v>204</v>
      </c>
      <c r="C1445" t="s">
        <v>238</v>
      </c>
      <c r="D1445">
        <v>4</v>
      </c>
      <c r="E1445">
        <v>-170978</v>
      </c>
      <c r="F1445" t="s">
        <v>279</v>
      </c>
      <c r="G1445" t="s">
        <v>35</v>
      </c>
      <c r="H1445">
        <v>3311</v>
      </c>
      <c r="I1445" t="s">
        <v>309</v>
      </c>
    </row>
    <row r="1446" spans="1:9" x14ac:dyDescent="0.25">
      <c r="A1446">
        <v>70365</v>
      </c>
      <c r="B1446" t="s">
        <v>204</v>
      </c>
      <c r="C1446" t="s">
        <v>238</v>
      </c>
      <c r="D1446">
        <v>4</v>
      </c>
      <c r="E1446">
        <v>-170978</v>
      </c>
      <c r="F1446" t="s">
        <v>279</v>
      </c>
      <c r="G1446" t="s">
        <v>35</v>
      </c>
      <c r="H1446">
        <v>2319</v>
      </c>
      <c r="I1446" t="s">
        <v>310</v>
      </c>
    </row>
    <row r="1447" spans="1:9" x14ac:dyDescent="0.25">
      <c r="A1447">
        <v>70365</v>
      </c>
      <c r="B1447" t="s">
        <v>204</v>
      </c>
      <c r="C1447" t="s">
        <v>238</v>
      </c>
      <c r="D1447">
        <v>4</v>
      </c>
      <c r="E1447">
        <v>-170978</v>
      </c>
      <c r="F1447" t="s">
        <v>279</v>
      </c>
      <c r="G1447" t="s">
        <v>35</v>
      </c>
      <c r="H1447">
        <v>11184</v>
      </c>
      <c r="I1447" t="s">
        <v>311</v>
      </c>
    </row>
    <row r="1448" spans="1:9" x14ac:dyDescent="0.25">
      <c r="A1448">
        <v>70365</v>
      </c>
      <c r="B1448" t="s">
        <v>204</v>
      </c>
      <c r="C1448" t="s">
        <v>238</v>
      </c>
      <c r="D1448">
        <v>4</v>
      </c>
      <c r="E1448">
        <v>-170978</v>
      </c>
      <c r="F1448" t="s">
        <v>279</v>
      </c>
      <c r="G1448" t="s">
        <v>35</v>
      </c>
      <c r="H1448">
        <v>307</v>
      </c>
      <c r="I1448" t="s">
        <v>312</v>
      </c>
    </row>
    <row r="1449" spans="1:9" x14ac:dyDescent="0.25">
      <c r="A1449">
        <v>70365</v>
      </c>
      <c r="B1449" t="s">
        <v>204</v>
      </c>
      <c r="C1449" t="s">
        <v>238</v>
      </c>
      <c r="D1449">
        <v>4</v>
      </c>
      <c r="E1449">
        <v>-170978</v>
      </c>
      <c r="F1449" t="s">
        <v>279</v>
      </c>
      <c r="G1449" t="s">
        <v>35</v>
      </c>
      <c r="H1449">
        <v>1545</v>
      </c>
      <c r="I1449" t="s">
        <v>313</v>
      </c>
    </row>
    <row r="1450" spans="1:9" x14ac:dyDescent="0.25">
      <c r="A1450">
        <v>70365</v>
      </c>
      <c r="B1450" t="s">
        <v>204</v>
      </c>
      <c r="C1450" t="s">
        <v>238</v>
      </c>
      <c r="D1450">
        <v>4</v>
      </c>
      <c r="E1450">
        <v>-170978</v>
      </c>
      <c r="F1450" t="s">
        <v>279</v>
      </c>
      <c r="G1450" t="s">
        <v>37</v>
      </c>
      <c r="H1450">
        <v>0</v>
      </c>
      <c r="I1450" t="s">
        <v>381</v>
      </c>
    </row>
    <row r="1451" spans="1:9" x14ac:dyDescent="0.25">
      <c r="A1451">
        <v>70365</v>
      </c>
      <c r="B1451" t="s">
        <v>204</v>
      </c>
      <c r="C1451" t="s">
        <v>238</v>
      </c>
      <c r="D1451">
        <v>4</v>
      </c>
      <c r="E1451">
        <v>-170978</v>
      </c>
      <c r="F1451" t="s">
        <v>279</v>
      </c>
      <c r="G1451" t="s">
        <v>37</v>
      </c>
      <c r="H1451">
        <v>20270</v>
      </c>
      <c r="I1451" t="s">
        <v>314</v>
      </c>
    </row>
    <row r="1452" spans="1:9" x14ac:dyDescent="0.25">
      <c r="A1452">
        <v>70365</v>
      </c>
      <c r="B1452" t="s">
        <v>204</v>
      </c>
      <c r="C1452" t="s">
        <v>238</v>
      </c>
      <c r="D1452">
        <v>4</v>
      </c>
      <c r="E1452">
        <v>-170978</v>
      </c>
      <c r="F1452" t="s">
        <v>279</v>
      </c>
      <c r="G1452" t="s">
        <v>35</v>
      </c>
      <c r="H1452">
        <v>1659</v>
      </c>
      <c r="I1452" t="s">
        <v>315</v>
      </c>
    </row>
    <row r="1453" spans="1:9" x14ac:dyDescent="0.25">
      <c r="A1453">
        <v>70365</v>
      </c>
      <c r="B1453" t="s">
        <v>204</v>
      </c>
      <c r="C1453" t="s">
        <v>238</v>
      </c>
      <c r="D1453">
        <v>4</v>
      </c>
      <c r="E1453">
        <v>-170978</v>
      </c>
      <c r="F1453" t="s">
        <v>279</v>
      </c>
      <c r="G1453" t="s">
        <v>37</v>
      </c>
      <c r="H1453">
        <v>0</v>
      </c>
      <c r="I1453" t="s">
        <v>323</v>
      </c>
    </row>
    <row r="1454" spans="1:9" x14ac:dyDescent="0.25">
      <c r="A1454">
        <v>70365</v>
      </c>
      <c r="B1454" t="s">
        <v>204</v>
      </c>
      <c r="C1454" t="s">
        <v>238</v>
      </c>
      <c r="D1454">
        <v>4</v>
      </c>
      <c r="E1454">
        <v>-170978</v>
      </c>
      <c r="F1454" t="s">
        <v>279</v>
      </c>
      <c r="G1454" t="s">
        <v>37</v>
      </c>
      <c r="H1454">
        <v>15</v>
      </c>
      <c r="I1454" t="s">
        <v>322</v>
      </c>
    </row>
    <row r="1455" spans="1:9" x14ac:dyDescent="0.25">
      <c r="A1455">
        <v>70365</v>
      </c>
      <c r="B1455" t="s">
        <v>204</v>
      </c>
      <c r="C1455" t="s">
        <v>238</v>
      </c>
      <c r="D1455">
        <v>4</v>
      </c>
      <c r="E1455">
        <v>-170978</v>
      </c>
      <c r="F1455" t="s">
        <v>279</v>
      </c>
      <c r="G1455" t="s">
        <v>37</v>
      </c>
      <c r="H1455">
        <v>0</v>
      </c>
      <c r="I1455" t="s">
        <v>382</v>
      </c>
    </row>
    <row r="1456" spans="1:9" x14ac:dyDescent="0.25">
      <c r="A1456">
        <v>70365</v>
      </c>
      <c r="B1456" t="s">
        <v>204</v>
      </c>
      <c r="C1456" t="s">
        <v>238</v>
      </c>
      <c r="D1456">
        <v>4</v>
      </c>
      <c r="E1456">
        <v>-170978</v>
      </c>
      <c r="F1456" t="s">
        <v>279</v>
      </c>
      <c r="G1456" t="s">
        <v>37</v>
      </c>
      <c r="H1456">
        <v>35947</v>
      </c>
      <c r="I1456" t="s">
        <v>316</v>
      </c>
    </row>
    <row r="1457" spans="1:9" x14ac:dyDescent="0.25">
      <c r="A1457">
        <v>70365</v>
      </c>
      <c r="B1457" t="s">
        <v>204</v>
      </c>
      <c r="C1457" t="s">
        <v>238</v>
      </c>
      <c r="D1457">
        <v>4</v>
      </c>
      <c r="E1457">
        <v>-170978</v>
      </c>
      <c r="F1457" t="s">
        <v>279</v>
      </c>
      <c r="G1457" t="s">
        <v>36</v>
      </c>
      <c r="H1457">
        <v>67344</v>
      </c>
      <c r="I1457" t="s">
        <v>317</v>
      </c>
    </row>
    <row r="1458" spans="1:9" x14ac:dyDescent="0.25">
      <c r="A1458">
        <v>70365</v>
      </c>
      <c r="B1458" t="s">
        <v>204</v>
      </c>
      <c r="C1458" t="s">
        <v>238</v>
      </c>
      <c r="D1458">
        <v>4</v>
      </c>
      <c r="E1458">
        <v>-170978</v>
      </c>
      <c r="F1458" t="s">
        <v>274</v>
      </c>
      <c r="G1458" t="s">
        <v>275</v>
      </c>
      <c r="H1458">
        <v>0</v>
      </c>
      <c r="I1458" t="s">
        <v>276</v>
      </c>
    </row>
    <row r="1459" spans="1:9" x14ac:dyDescent="0.25">
      <c r="A1459">
        <v>70365</v>
      </c>
      <c r="B1459" t="s">
        <v>204</v>
      </c>
      <c r="C1459" t="s">
        <v>238</v>
      </c>
      <c r="D1459">
        <v>4</v>
      </c>
      <c r="E1459">
        <v>-170978</v>
      </c>
      <c r="F1459" t="s">
        <v>279</v>
      </c>
      <c r="G1459" t="s">
        <v>29</v>
      </c>
      <c r="H1459">
        <v>0</v>
      </c>
      <c r="I1459" t="s">
        <v>324</v>
      </c>
    </row>
    <row r="1460" spans="1:9" x14ac:dyDescent="0.25">
      <c r="A1460">
        <v>70365</v>
      </c>
      <c r="B1460" t="s">
        <v>204</v>
      </c>
      <c r="C1460" t="s">
        <v>238</v>
      </c>
      <c r="D1460">
        <v>4</v>
      </c>
      <c r="E1460">
        <v>-170978</v>
      </c>
      <c r="F1460" t="s">
        <v>274</v>
      </c>
      <c r="G1460" t="s">
        <v>277</v>
      </c>
      <c r="H1460">
        <v>10</v>
      </c>
      <c r="I1460" t="s">
        <v>278</v>
      </c>
    </row>
    <row r="1461" spans="1:9" x14ac:dyDescent="0.25">
      <c r="A1461">
        <v>70365</v>
      </c>
      <c r="B1461" t="s">
        <v>204</v>
      </c>
      <c r="C1461" t="s">
        <v>238</v>
      </c>
      <c r="D1461">
        <v>4</v>
      </c>
      <c r="E1461">
        <v>-170978</v>
      </c>
      <c r="F1461" t="s">
        <v>274</v>
      </c>
      <c r="G1461" t="s">
        <v>300</v>
      </c>
      <c r="H1461">
        <v>0</v>
      </c>
      <c r="I1461" t="s">
        <v>383</v>
      </c>
    </row>
    <row r="1462" spans="1:9" x14ac:dyDescent="0.25">
      <c r="A1462">
        <v>70366</v>
      </c>
      <c r="B1462" t="s">
        <v>206</v>
      </c>
      <c r="C1462" t="s">
        <v>238</v>
      </c>
      <c r="D1462">
        <v>4</v>
      </c>
      <c r="E1462">
        <v>153815</v>
      </c>
      <c r="F1462" t="s">
        <v>279</v>
      </c>
      <c r="G1462" t="s">
        <v>31</v>
      </c>
      <c r="H1462">
        <v>0</v>
      </c>
      <c r="I1462" t="s">
        <v>364</v>
      </c>
    </row>
    <row r="1463" spans="1:9" x14ac:dyDescent="0.25">
      <c r="A1463">
        <v>70366</v>
      </c>
      <c r="B1463" t="s">
        <v>206</v>
      </c>
      <c r="C1463" t="s">
        <v>238</v>
      </c>
      <c r="D1463">
        <v>4</v>
      </c>
      <c r="E1463">
        <v>153815</v>
      </c>
      <c r="F1463" t="s">
        <v>279</v>
      </c>
      <c r="G1463" t="s">
        <v>31</v>
      </c>
      <c r="H1463">
        <v>0</v>
      </c>
      <c r="I1463" t="s">
        <v>365</v>
      </c>
    </row>
    <row r="1464" spans="1:9" x14ac:dyDescent="0.25">
      <c r="A1464">
        <v>70366</v>
      </c>
      <c r="B1464" t="s">
        <v>206</v>
      </c>
      <c r="C1464" t="s">
        <v>238</v>
      </c>
      <c r="D1464">
        <v>4</v>
      </c>
      <c r="E1464">
        <v>153815</v>
      </c>
      <c r="F1464" t="s">
        <v>279</v>
      </c>
      <c r="G1464" t="s">
        <v>31</v>
      </c>
      <c r="H1464">
        <v>0</v>
      </c>
      <c r="I1464" t="s">
        <v>366</v>
      </c>
    </row>
    <row r="1465" spans="1:9" x14ac:dyDescent="0.25">
      <c r="A1465">
        <v>70366</v>
      </c>
      <c r="B1465" t="s">
        <v>206</v>
      </c>
      <c r="C1465" t="s">
        <v>238</v>
      </c>
      <c r="D1465">
        <v>4</v>
      </c>
      <c r="E1465">
        <v>153815</v>
      </c>
      <c r="F1465" t="s">
        <v>279</v>
      </c>
      <c r="G1465" t="s">
        <v>31</v>
      </c>
      <c r="H1465">
        <v>0</v>
      </c>
      <c r="I1465" t="s">
        <v>367</v>
      </c>
    </row>
    <row r="1466" spans="1:9" x14ac:dyDescent="0.25">
      <c r="A1466">
        <v>70366</v>
      </c>
      <c r="B1466" t="s">
        <v>206</v>
      </c>
      <c r="C1466" t="s">
        <v>238</v>
      </c>
      <c r="D1466">
        <v>4</v>
      </c>
      <c r="E1466">
        <v>153815</v>
      </c>
      <c r="F1466" t="s">
        <v>279</v>
      </c>
      <c r="G1466" t="s">
        <v>31</v>
      </c>
      <c r="H1466">
        <v>0</v>
      </c>
      <c r="I1466" t="s">
        <v>368</v>
      </c>
    </row>
    <row r="1467" spans="1:9" x14ac:dyDescent="0.25">
      <c r="A1467">
        <v>70366</v>
      </c>
      <c r="B1467" t="s">
        <v>206</v>
      </c>
      <c r="C1467" t="s">
        <v>238</v>
      </c>
      <c r="D1467">
        <v>4</v>
      </c>
      <c r="E1467">
        <v>153815</v>
      </c>
      <c r="F1467" t="s">
        <v>279</v>
      </c>
      <c r="G1467" t="s">
        <v>31</v>
      </c>
      <c r="H1467">
        <v>0</v>
      </c>
      <c r="I1467" t="s">
        <v>369</v>
      </c>
    </row>
    <row r="1468" spans="1:9" x14ac:dyDescent="0.25">
      <c r="A1468">
        <v>70366</v>
      </c>
      <c r="B1468" t="s">
        <v>206</v>
      </c>
      <c r="C1468" t="s">
        <v>238</v>
      </c>
      <c r="D1468">
        <v>4</v>
      </c>
      <c r="E1468">
        <v>153815</v>
      </c>
      <c r="F1468" t="s">
        <v>279</v>
      </c>
      <c r="G1468" t="s">
        <v>31</v>
      </c>
      <c r="H1468">
        <v>0</v>
      </c>
      <c r="I1468" t="s">
        <v>370</v>
      </c>
    </row>
    <row r="1469" spans="1:9" x14ac:dyDescent="0.25">
      <c r="A1469">
        <v>70366</v>
      </c>
      <c r="B1469" t="s">
        <v>206</v>
      </c>
      <c r="C1469" t="s">
        <v>238</v>
      </c>
      <c r="D1469">
        <v>4</v>
      </c>
      <c r="E1469">
        <v>153815</v>
      </c>
      <c r="F1469" t="s">
        <v>279</v>
      </c>
      <c r="G1469" t="s">
        <v>31</v>
      </c>
      <c r="H1469">
        <v>0</v>
      </c>
      <c r="I1469" t="s">
        <v>371</v>
      </c>
    </row>
    <row r="1470" spans="1:9" x14ac:dyDescent="0.25">
      <c r="A1470">
        <v>70366</v>
      </c>
      <c r="B1470" t="s">
        <v>206</v>
      </c>
      <c r="C1470" t="s">
        <v>238</v>
      </c>
      <c r="D1470">
        <v>4</v>
      </c>
      <c r="E1470">
        <v>153815</v>
      </c>
      <c r="F1470" t="s">
        <v>279</v>
      </c>
      <c r="G1470" t="s">
        <v>31</v>
      </c>
      <c r="H1470">
        <v>0</v>
      </c>
      <c r="I1470" t="s">
        <v>328</v>
      </c>
    </row>
    <row r="1471" spans="1:9" x14ac:dyDescent="0.25">
      <c r="A1471">
        <v>70366</v>
      </c>
      <c r="B1471" t="s">
        <v>206</v>
      </c>
      <c r="C1471" t="s">
        <v>238</v>
      </c>
      <c r="D1471">
        <v>4</v>
      </c>
      <c r="E1471">
        <v>153815</v>
      </c>
      <c r="F1471" t="s">
        <v>279</v>
      </c>
      <c r="G1471" t="s">
        <v>33</v>
      </c>
      <c r="H1471">
        <v>0</v>
      </c>
      <c r="I1471" t="s">
        <v>372</v>
      </c>
    </row>
    <row r="1472" spans="1:9" x14ac:dyDescent="0.25">
      <c r="A1472">
        <v>70366</v>
      </c>
      <c r="B1472" t="s">
        <v>206</v>
      </c>
      <c r="C1472" t="s">
        <v>238</v>
      </c>
      <c r="D1472">
        <v>4</v>
      </c>
      <c r="E1472">
        <v>153815</v>
      </c>
      <c r="F1472" t="s">
        <v>279</v>
      </c>
      <c r="G1472" t="s">
        <v>33</v>
      </c>
      <c r="H1472">
        <v>0</v>
      </c>
      <c r="I1472" t="s">
        <v>329</v>
      </c>
    </row>
    <row r="1473" spans="1:9" x14ac:dyDescent="0.25">
      <c r="A1473">
        <v>70366</v>
      </c>
      <c r="B1473" t="s">
        <v>206</v>
      </c>
      <c r="C1473" t="s">
        <v>238</v>
      </c>
      <c r="D1473">
        <v>4</v>
      </c>
      <c r="E1473">
        <v>153815</v>
      </c>
      <c r="F1473" t="s">
        <v>279</v>
      </c>
      <c r="G1473" t="s">
        <v>33</v>
      </c>
      <c r="H1473">
        <v>0</v>
      </c>
      <c r="I1473" t="s">
        <v>319</v>
      </c>
    </row>
    <row r="1474" spans="1:9" x14ac:dyDescent="0.25">
      <c r="A1474">
        <v>70366</v>
      </c>
      <c r="B1474" t="s">
        <v>206</v>
      </c>
      <c r="C1474" t="s">
        <v>238</v>
      </c>
      <c r="D1474">
        <v>4</v>
      </c>
      <c r="E1474">
        <v>153815</v>
      </c>
      <c r="F1474" t="s">
        <v>279</v>
      </c>
      <c r="G1474" t="s">
        <v>33</v>
      </c>
      <c r="H1474">
        <v>0</v>
      </c>
      <c r="I1474" t="s">
        <v>373</v>
      </c>
    </row>
    <row r="1475" spans="1:9" x14ac:dyDescent="0.25">
      <c r="A1475">
        <v>70366</v>
      </c>
      <c r="B1475" t="s">
        <v>206</v>
      </c>
      <c r="C1475" t="s">
        <v>238</v>
      </c>
      <c r="D1475">
        <v>4</v>
      </c>
      <c r="E1475">
        <v>153815</v>
      </c>
      <c r="F1475" t="s">
        <v>279</v>
      </c>
      <c r="G1475" t="s">
        <v>33</v>
      </c>
      <c r="H1475">
        <v>0</v>
      </c>
      <c r="I1475" t="s">
        <v>374</v>
      </c>
    </row>
    <row r="1476" spans="1:9" x14ac:dyDescent="0.25">
      <c r="A1476">
        <v>70366</v>
      </c>
      <c r="B1476" t="s">
        <v>206</v>
      </c>
      <c r="C1476" t="s">
        <v>238</v>
      </c>
      <c r="D1476">
        <v>4</v>
      </c>
      <c r="E1476">
        <v>153815</v>
      </c>
      <c r="F1476" t="s">
        <v>279</v>
      </c>
      <c r="G1476" t="s">
        <v>33</v>
      </c>
      <c r="H1476">
        <v>0</v>
      </c>
      <c r="I1476" t="s">
        <v>326</v>
      </c>
    </row>
    <row r="1477" spans="1:9" x14ac:dyDescent="0.25">
      <c r="A1477">
        <v>70366</v>
      </c>
      <c r="B1477" t="s">
        <v>206</v>
      </c>
      <c r="C1477" t="s">
        <v>238</v>
      </c>
      <c r="D1477">
        <v>4</v>
      </c>
      <c r="E1477">
        <v>153815</v>
      </c>
      <c r="F1477" t="s">
        <v>279</v>
      </c>
      <c r="G1477" t="s">
        <v>33</v>
      </c>
      <c r="H1477">
        <v>0</v>
      </c>
      <c r="I1477" t="s">
        <v>375</v>
      </c>
    </row>
    <row r="1478" spans="1:9" x14ac:dyDescent="0.25">
      <c r="A1478">
        <v>70366</v>
      </c>
      <c r="B1478" t="s">
        <v>206</v>
      </c>
      <c r="C1478" t="s">
        <v>238</v>
      </c>
      <c r="D1478">
        <v>4</v>
      </c>
      <c r="E1478">
        <v>153815</v>
      </c>
      <c r="F1478" t="s">
        <v>279</v>
      </c>
      <c r="G1478" t="s">
        <v>33</v>
      </c>
      <c r="H1478">
        <v>0</v>
      </c>
      <c r="I1478" t="s">
        <v>376</v>
      </c>
    </row>
    <row r="1479" spans="1:9" x14ac:dyDescent="0.25">
      <c r="A1479">
        <v>70366</v>
      </c>
      <c r="B1479" t="s">
        <v>206</v>
      </c>
      <c r="C1479" t="s">
        <v>238</v>
      </c>
      <c r="D1479">
        <v>4</v>
      </c>
      <c r="E1479">
        <v>153815</v>
      </c>
      <c r="F1479" t="s">
        <v>279</v>
      </c>
      <c r="G1479" t="s">
        <v>33</v>
      </c>
      <c r="H1479">
        <v>0</v>
      </c>
      <c r="I1479" t="s">
        <v>377</v>
      </c>
    </row>
    <row r="1480" spans="1:9" x14ac:dyDescent="0.25">
      <c r="A1480">
        <v>70366</v>
      </c>
      <c r="B1480" t="s">
        <v>206</v>
      </c>
      <c r="C1480" t="s">
        <v>238</v>
      </c>
      <c r="D1480">
        <v>4</v>
      </c>
      <c r="E1480">
        <v>153815</v>
      </c>
      <c r="F1480" t="s">
        <v>274</v>
      </c>
      <c r="G1480" t="s">
        <v>275</v>
      </c>
      <c r="H1480">
        <v>778993</v>
      </c>
      <c r="I1480" t="s">
        <v>318</v>
      </c>
    </row>
    <row r="1481" spans="1:9" x14ac:dyDescent="0.25">
      <c r="A1481">
        <v>70366</v>
      </c>
      <c r="B1481" t="s">
        <v>206</v>
      </c>
      <c r="C1481" t="s">
        <v>238</v>
      </c>
      <c r="D1481">
        <v>4</v>
      </c>
      <c r="E1481">
        <v>153815</v>
      </c>
      <c r="F1481" t="s">
        <v>274</v>
      </c>
      <c r="G1481" t="s">
        <v>300</v>
      </c>
      <c r="H1481">
        <v>26794</v>
      </c>
      <c r="I1481" t="s">
        <v>301</v>
      </c>
    </row>
    <row r="1482" spans="1:9" x14ac:dyDescent="0.25">
      <c r="A1482">
        <v>70366</v>
      </c>
      <c r="B1482" t="s">
        <v>206</v>
      </c>
      <c r="C1482" t="s">
        <v>238</v>
      </c>
      <c r="D1482">
        <v>4</v>
      </c>
      <c r="E1482">
        <v>153815</v>
      </c>
      <c r="F1482" t="s">
        <v>274</v>
      </c>
      <c r="G1482" t="s">
        <v>275</v>
      </c>
      <c r="H1482">
        <v>-10550</v>
      </c>
      <c r="I1482" t="s">
        <v>302</v>
      </c>
    </row>
    <row r="1483" spans="1:9" x14ac:dyDescent="0.25">
      <c r="A1483">
        <v>70366</v>
      </c>
      <c r="B1483" t="s">
        <v>206</v>
      </c>
      <c r="C1483" t="s">
        <v>238</v>
      </c>
      <c r="D1483">
        <v>4</v>
      </c>
      <c r="E1483">
        <v>153815</v>
      </c>
      <c r="F1483" t="s">
        <v>279</v>
      </c>
      <c r="G1483" t="s">
        <v>30</v>
      </c>
      <c r="H1483">
        <v>74767</v>
      </c>
      <c r="I1483" t="s">
        <v>303</v>
      </c>
    </row>
    <row r="1484" spans="1:9" x14ac:dyDescent="0.25">
      <c r="A1484">
        <v>70366</v>
      </c>
      <c r="B1484" t="s">
        <v>206</v>
      </c>
      <c r="C1484" t="s">
        <v>238</v>
      </c>
      <c r="D1484">
        <v>4</v>
      </c>
      <c r="E1484">
        <v>153815</v>
      </c>
      <c r="F1484" t="s">
        <v>279</v>
      </c>
      <c r="G1484" t="s">
        <v>35</v>
      </c>
      <c r="H1484">
        <v>-898</v>
      </c>
      <c r="I1484" t="s">
        <v>304</v>
      </c>
    </row>
    <row r="1485" spans="1:9" x14ac:dyDescent="0.25">
      <c r="A1485">
        <v>70366</v>
      </c>
      <c r="B1485" t="s">
        <v>206</v>
      </c>
      <c r="C1485" t="s">
        <v>238</v>
      </c>
      <c r="D1485">
        <v>4</v>
      </c>
      <c r="E1485">
        <v>153815</v>
      </c>
      <c r="F1485" t="s">
        <v>279</v>
      </c>
      <c r="G1485" t="s">
        <v>31</v>
      </c>
      <c r="H1485">
        <v>243286</v>
      </c>
      <c r="I1485" t="s">
        <v>305</v>
      </c>
    </row>
    <row r="1486" spans="1:9" x14ac:dyDescent="0.25">
      <c r="A1486">
        <v>70366</v>
      </c>
      <c r="B1486" t="s">
        <v>206</v>
      </c>
      <c r="C1486" t="s">
        <v>238</v>
      </c>
      <c r="D1486">
        <v>4</v>
      </c>
      <c r="E1486">
        <v>153815</v>
      </c>
      <c r="F1486" t="s">
        <v>279</v>
      </c>
      <c r="G1486" t="s">
        <v>33</v>
      </c>
      <c r="H1486">
        <v>0</v>
      </c>
      <c r="I1486" t="s">
        <v>320</v>
      </c>
    </row>
    <row r="1487" spans="1:9" x14ac:dyDescent="0.25">
      <c r="A1487">
        <v>70366</v>
      </c>
      <c r="B1487" t="s">
        <v>206</v>
      </c>
      <c r="C1487" t="s">
        <v>238</v>
      </c>
      <c r="D1487">
        <v>4</v>
      </c>
      <c r="E1487">
        <v>153815</v>
      </c>
      <c r="F1487" t="s">
        <v>279</v>
      </c>
      <c r="G1487" t="s">
        <v>33</v>
      </c>
      <c r="H1487">
        <v>0</v>
      </c>
      <c r="I1487" t="s">
        <v>306</v>
      </c>
    </row>
    <row r="1488" spans="1:9" x14ac:dyDescent="0.25">
      <c r="A1488">
        <v>70366</v>
      </c>
      <c r="B1488" t="s">
        <v>206</v>
      </c>
      <c r="C1488" t="s">
        <v>238</v>
      </c>
      <c r="D1488">
        <v>4</v>
      </c>
      <c r="E1488">
        <v>153815</v>
      </c>
      <c r="F1488" t="s">
        <v>279</v>
      </c>
      <c r="G1488" t="s">
        <v>33</v>
      </c>
      <c r="H1488">
        <v>0</v>
      </c>
      <c r="I1488" t="s">
        <v>378</v>
      </c>
    </row>
    <row r="1489" spans="1:9" x14ac:dyDescent="0.25">
      <c r="A1489">
        <v>70366</v>
      </c>
      <c r="B1489" t="s">
        <v>206</v>
      </c>
      <c r="C1489" t="s">
        <v>238</v>
      </c>
      <c r="D1489">
        <v>4</v>
      </c>
      <c r="E1489">
        <v>153815</v>
      </c>
      <c r="F1489" t="s">
        <v>279</v>
      </c>
      <c r="G1489" t="s">
        <v>31</v>
      </c>
      <c r="H1489">
        <v>83596</v>
      </c>
      <c r="I1489" t="s">
        <v>307</v>
      </c>
    </row>
    <row r="1490" spans="1:9" x14ac:dyDescent="0.25">
      <c r="A1490">
        <v>70366</v>
      </c>
      <c r="B1490" t="s">
        <v>206</v>
      </c>
      <c r="C1490" t="s">
        <v>238</v>
      </c>
      <c r="D1490">
        <v>4</v>
      </c>
      <c r="E1490">
        <v>153815</v>
      </c>
      <c r="F1490" t="s">
        <v>279</v>
      </c>
      <c r="G1490" t="s">
        <v>31</v>
      </c>
      <c r="H1490">
        <v>0</v>
      </c>
      <c r="I1490" t="s">
        <v>379</v>
      </c>
    </row>
    <row r="1491" spans="1:9" x14ac:dyDescent="0.25">
      <c r="A1491">
        <v>70366</v>
      </c>
      <c r="B1491" t="s">
        <v>206</v>
      </c>
      <c r="C1491" t="s">
        <v>238</v>
      </c>
      <c r="D1491">
        <v>4</v>
      </c>
      <c r="E1491">
        <v>153815</v>
      </c>
      <c r="F1491" t="s">
        <v>279</v>
      </c>
      <c r="G1491" t="s">
        <v>30</v>
      </c>
      <c r="H1491">
        <v>16846</v>
      </c>
      <c r="I1491" t="s">
        <v>308</v>
      </c>
    </row>
    <row r="1492" spans="1:9" x14ac:dyDescent="0.25">
      <c r="A1492">
        <v>70366</v>
      </c>
      <c r="B1492" t="s">
        <v>206</v>
      </c>
      <c r="C1492" t="s">
        <v>238</v>
      </c>
      <c r="D1492">
        <v>4</v>
      </c>
      <c r="E1492">
        <v>153815</v>
      </c>
      <c r="F1492" t="s">
        <v>279</v>
      </c>
      <c r="G1492" t="s">
        <v>35</v>
      </c>
      <c r="H1492">
        <v>16031</v>
      </c>
      <c r="I1492" t="s">
        <v>321</v>
      </c>
    </row>
    <row r="1493" spans="1:9" x14ac:dyDescent="0.25">
      <c r="A1493">
        <v>70366</v>
      </c>
      <c r="B1493" t="s">
        <v>206</v>
      </c>
      <c r="C1493" t="s">
        <v>238</v>
      </c>
      <c r="D1493">
        <v>4</v>
      </c>
      <c r="E1493">
        <v>153815</v>
      </c>
      <c r="F1493" t="s">
        <v>279</v>
      </c>
      <c r="G1493" t="s">
        <v>33</v>
      </c>
      <c r="H1493">
        <v>0</v>
      </c>
      <c r="I1493" t="s">
        <v>380</v>
      </c>
    </row>
    <row r="1494" spans="1:9" x14ac:dyDescent="0.25">
      <c r="A1494">
        <v>70366</v>
      </c>
      <c r="B1494" t="s">
        <v>206</v>
      </c>
      <c r="C1494" t="s">
        <v>238</v>
      </c>
      <c r="D1494">
        <v>4</v>
      </c>
      <c r="E1494">
        <v>153815</v>
      </c>
      <c r="F1494" t="s">
        <v>279</v>
      </c>
      <c r="G1494" t="s">
        <v>35</v>
      </c>
      <c r="H1494">
        <v>3321</v>
      </c>
      <c r="I1494" t="s">
        <v>309</v>
      </c>
    </row>
    <row r="1495" spans="1:9" x14ac:dyDescent="0.25">
      <c r="A1495">
        <v>70366</v>
      </c>
      <c r="B1495" t="s">
        <v>206</v>
      </c>
      <c r="C1495" t="s">
        <v>238</v>
      </c>
      <c r="D1495">
        <v>4</v>
      </c>
      <c r="E1495">
        <v>153815</v>
      </c>
      <c r="F1495" t="s">
        <v>279</v>
      </c>
      <c r="G1495" t="s">
        <v>35</v>
      </c>
      <c r="H1495">
        <v>2006</v>
      </c>
      <c r="I1495" t="s">
        <v>310</v>
      </c>
    </row>
    <row r="1496" spans="1:9" x14ac:dyDescent="0.25">
      <c r="A1496">
        <v>70366</v>
      </c>
      <c r="B1496" t="s">
        <v>206</v>
      </c>
      <c r="C1496" t="s">
        <v>238</v>
      </c>
      <c r="D1496">
        <v>4</v>
      </c>
      <c r="E1496">
        <v>153815</v>
      </c>
      <c r="F1496" t="s">
        <v>279</v>
      </c>
      <c r="G1496" t="s">
        <v>35</v>
      </c>
      <c r="H1496">
        <v>9634</v>
      </c>
      <c r="I1496" t="s">
        <v>311</v>
      </c>
    </row>
    <row r="1497" spans="1:9" x14ac:dyDescent="0.25">
      <c r="A1497">
        <v>70366</v>
      </c>
      <c r="B1497" t="s">
        <v>206</v>
      </c>
      <c r="C1497" t="s">
        <v>238</v>
      </c>
      <c r="D1497">
        <v>4</v>
      </c>
      <c r="E1497">
        <v>153815</v>
      </c>
      <c r="F1497" t="s">
        <v>279</v>
      </c>
      <c r="G1497" t="s">
        <v>35</v>
      </c>
      <c r="H1497">
        <v>294</v>
      </c>
      <c r="I1497" t="s">
        <v>312</v>
      </c>
    </row>
    <row r="1498" spans="1:9" x14ac:dyDescent="0.25">
      <c r="A1498">
        <v>70366</v>
      </c>
      <c r="B1498" t="s">
        <v>206</v>
      </c>
      <c r="C1498" t="s">
        <v>238</v>
      </c>
      <c r="D1498">
        <v>4</v>
      </c>
      <c r="E1498">
        <v>153815</v>
      </c>
      <c r="F1498" t="s">
        <v>279</v>
      </c>
      <c r="G1498" t="s">
        <v>35</v>
      </c>
      <c r="H1498">
        <v>1395</v>
      </c>
      <c r="I1498" t="s">
        <v>313</v>
      </c>
    </row>
    <row r="1499" spans="1:9" x14ac:dyDescent="0.25">
      <c r="A1499">
        <v>70366</v>
      </c>
      <c r="B1499" t="s">
        <v>206</v>
      </c>
      <c r="C1499" t="s">
        <v>238</v>
      </c>
      <c r="D1499">
        <v>4</v>
      </c>
      <c r="E1499">
        <v>153815</v>
      </c>
      <c r="F1499" t="s">
        <v>279</v>
      </c>
      <c r="G1499" t="s">
        <v>37</v>
      </c>
      <c r="H1499">
        <v>0</v>
      </c>
      <c r="I1499" t="s">
        <v>381</v>
      </c>
    </row>
    <row r="1500" spans="1:9" x14ac:dyDescent="0.25">
      <c r="A1500">
        <v>70366</v>
      </c>
      <c r="B1500" t="s">
        <v>206</v>
      </c>
      <c r="C1500" t="s">
        <v>238</v>
      </c>
      <c r="D1500">
        <v>4</v>
      </c>
      <c r="E1500">
        <v>153815</v>
      </c>
      <c r="F1500" t="s">
        <v>279</v>
      </c>
      <c r="G1500" t="s">
        <v>37</v>
      </c>
      <c r="H1500">
        <v>19979</v>
      </c>
      <c r="I1500" t="s">
        <v>314</v>
      </c>
    </row>
    <row r="1501" spans="1:9" x14ac:dyDescent="0.25">
      <c r="A1501">
        <v>70366</v>
      </c>
      <c r="B1501" t="s">
        <v>206</v>
      </c>
      <c r="C1501" t="s">
        <v>238</v>
      </c>
      <c r="D1501">
        <v>4</v>
      </c>
      <c r="E1501">
        <v>153815</v>
      </c>
      <c r="F1501" t="s">
        <v>279</v>
      </c>
      <c r="G1501" t="s">
        <v>35</v>
      </c>
      <c r="H1501">
        <v>3322</v>
      </c>
      <c r="I1501" t="s">
        <v>315</v>
      </c>
    </row>
    <row r="1502" spans="1:9" x14ac:dyDescent="0.25">
      <c r="A1502">
        <v>70366</v>
      </c>
      <c r="B1502" t="s">
        <v>206</v>
      </c>
      <c r="C1502" t="s">
        <v>238</v>
      </c>
      <c r="D1502">
        <v>4</v>
      </c>
      <c r="E1502">
        <v>153815</v>
      </c>
      <c r="F1502" t="s">
        <v>279</v>
      </c>
      <c r="G1502" t="s">
        <v>37</v>
      </c>
      <c r="H1502">
        <v>1832</v>
      </c>
      <c r="I1502" t="s">
        <v>323</v>
      </c>
    </row>
    <row r="1503" spans="1:9" x14ac:dyDescent="0.25">
      <c r="A1503">
        <v>70366</v>
      </c>
      <c r="B1503" t="s">
        <v>206</v>
      </c>
      <c r="C1503" t="s">
        <v>238</v>
      </c>
      <c r="D1503">
        <v>4</v>
      </c>
      <c r="E1503">
        <v>153815</v>
      </c>
      <c r="F1503" t="s">
        <v>279</v>
      </c>
      <c r="G1503" t="s">
        <v>37</v>
      </c>
      <c r="H1503">
        <v>10</v>
      </c>
      <c r="I1503" t="s">
        <v>322</v>
      </c>
    </row>
    <row r="1504" spans="1:9" x14ac:dyDescent="0.25">
      <c r="A1504">
        <v>70366</v>
      </c>
      <c r="B1504" t="s">
        <v>206</v>
      </c>
      <c r="C1504" t="s">
        <v>238</v>
      </c>
      <c r="D1504">
        <v>4</v>
      </c>
      <c r="E1504">
        <v>153815</v>
      </c>
      <c r="F1504" t="s">
        <v>279</v>
      </c>
      <c r="G1504" t="s">
        <v>37</v>
      </c>
      <c r="H1504">
        <v>0</v>
      </c>
      <c r="I1504" t="s">
        <v>382</v>
      </c>
    </row>
    <row r="1505" spans="1:9" x14ac:dyDescent="0.25">
      <c r="A1505">
        <v>70366</v>
      </c>
      <c r="B1505" t="s">
        <v>206</v>
      </c>
      <c r="C1505" t="s">
        <v>238</v>
      </c>
      <c r="D1505">
        <v>4</v>
      </c>
      <c r="E1505">
        <v>153815</v>
      </c>
      <c r="F1505" t="s">
        <v>279</v>
      </c>
      <c r="G1505" t="s">
        <v>37</v>
      </c>
      <c r="H1505">
        <v>24100</v>
      </c>
      <c r="I1505" t="s">
        <v>316</v>
      </c>
    </row>
    <row r="1506" spans="1:9" x14ac:dyDescent="0.25">
      <c r="A1506">
        <v>70366</v>
      </c>
      <c r="B1506" t="s">
        <v>206</v>
      </c>
      <c r="C1506" t="s">
        <v>238</v>
      </c>
      <c r="D1506">
        <v>4</v>
      </c>
      <c r="E1506">
        <v>153815</v>
      </c>
      <c r="F1506" t="s">
        <v>279</v>
      </c>
      <c r="G1506" t="s">
        <v>36</v>
      </c>
      <c r="H1506">
        <v>52120</v>
      </c>
      <c r="I1506" t="s">
        <v>317</v>
      </c>
    </row>
    <row r="1507" spans="1:9" x14ac:dyDescent="0.25">
      <c r="A1507">
        <v>70366</v>
      </c>
      <c r="B1507" t="s">
        <v>206</v>
      </c>
      <c r="C1507" t="s">
        <v>238</v>
      </c>
      <c r="D1507">
        <v>4</v>
      </c>
      <c r="E1507">
        <v>153815</v>
      </c>
      <c r="F1507" t="s">
        <v>274</v>
      </c>
      <c r="G1507" t="s">
        <v>275</v>
      </c>
      <c r="H1507">
        <v>0</v>
      </c>
      <c r="I1507" t="s">
        <v>276</v>
      </c>
    </row>
    <row r="1508" spans="1:9" x14ac:dyDescent="0.25">
      <c r="A1508">
        <v>70366</v>
      </c>
      <c r="B1508" t="s">
        <v>206</v>
      </c>
      <c r="C1508" t="s">
        <v>238</v>
      </c>
      <c r="D1508">
        <v>4</v>
      </c>
      <c r="E1508">
        <v>153815</v>
      </c>
      <c r="F1508" t="s">
        <v>279</v>
      </c>
      <c r="G1508" t="s">
        <v>29</v>
      </c>
      <c r="H1508">
        <v>0</v>
      </c>
      <c r="I1508" t="s">
        <v>324</v>
      </c>
    </row>
    <row r="1509" spans="1:9" x14ac:dyDescent="0.25">
      <c r="A1509">
        <v>70366</v>
      </c>
      <c r="B1509" t="s">
        <v>206</v>
      </c>
      <c r="C1509" t="s">
        <v>238</v>
      </c>
      <c r="D1509">
        <v>4</v>
      </c>
      <c r="E1509">
        <v>153815</v>
      </c>
      <c r="F1509" t="s">
        <v>274</v>
      </c>
      <c r="G1509" t="s">
        <v>277</v>
      </c>
      <c r="H1509">
        <v>18</v>
      </c>
      <c r="I1509" t="s">
        <v>278</v>
      </c>
    </row>
    <row r="1510" spans="1:9" x14ac:dyDescent="0.25">
      <c r="A1510">
        <v>70366</v>
      </c>
      <c r="B1510" t="s">
        <v>206</v>
      </c>
      <c r="C1510" t="s">
        <v>238</v>
      </c>
      <c r="D1510">
        <v>4</v>
      </c>
      <c r="E1510">
        <v>153815</v>
      </c>
      <c r="F1510" t="s">
        <v>274</v>
      </c>
      <c r="G1510" t="s">
        <v>300</v>
      </c>
      <c r="H1510">
        <v>0</v>
      </c>
      <c r="I1510" t="s">
        <v>383</v>
      </c>
    </row>
    <row r="1511" spans="1:9" x14ac:dyDescent="0.25">
      <c r="A1511">
        <v>70366</v>
      </c>
      <c r="B1511" t="s">
        <v>206</v>
      </c>
      <c r="C1511" t="s">
        <v>238</v>
      </c>
      <c r="D1511">
        <v>4</v>
      </c>
      <c r="E1511">
        <v>153815</v>
      </c>
      <c r="F1511" t="s">
        <v>279</v>
      </c>
      <c r="G1511" t="s">
        <v>33</v>
      </c>
      <c r="H1511">
        <v>2</v>
      </c>
      <c r="I1511" t="s">
        <v>280</v>
      </c>
    </row>
    <row r="1512" spans="1:9" x14ac:dyDescent="0.25">
      <c r="A1512">
        <v>70366</v>
      </c>
      <c r="B1512" t="s">
        <v>206</v>
      </c>
      <c r="C1512" t="s">
        <v>238</v>
      </c>
      <c r="D1512">
        <v>4</v>
      </c>
      <c r="E1512">
        <v>153815</v>
      </c>
      <c r="F1512" t="s">
        <v>279</v>
      </c>
      <c r="G1512" t="s">
        <v>29</v>
      </c>
      <c r="H1512">
        <v>3201</v>
      </c>
      <c r="I1512" t="s">
        <v>281</v>
      </c>
    </row>
    <row r="1513" spans="1:9" x14ac:dyDescent="0.25">
      <c r="A1513">
        <v>70366</v>
      </c>
      <c r="B1513" t="s">
        <v>206</v>
      </c>
      <c r="C1513" t="s">
        <v>238</v>
      </c>
      <c r="D1513">
        <v>4</v>
      </c>
      <c r="E1513">
        <v>153815</v>
      </c>
      <c r="F1513" t="s">
        <v>279</v>
      </c>
      <c r="G1513" t="s">
        <v>29</v>
      </c>
      <c r="H1513">
        <v>53751</v>
      </c>
      <c r="I1513" t="s">
        <v>282</v>
      </c>
    </row>
    <row r="1514" spans="1:9" x14ac:dyDescent="0.25">
      <c r="A1514">
        <v>70366</v>
      </c>
      <c r="B1514" t="s">
        <v>206</v>
      </c>
      <c r="C1514" t="s">
        <v>238</v>
      </c>
      <c r="D1514">
        <v>4</v>
      </c>
      <c r="E1514">
        <v>153815</v>
      </c>
      <c r="F1514" t="s">
        <v>279</v>
      </c>
      <c r="G1514" t="s">
        <v>35</v>
      </c>
      <c r="H1514">
        <v>63223</v>
      </c>
      <c r="I1514" t="s">
        <v>283</v>
      </c>
    </row>
    <row r="1515" spans="1:9" x14ac:dyDescent="0.25">
      <c r="A1515">
        <v>70366</v>
      </c>
      <c r="B1515" t="s">
        <v>206</v>
      </c>
      <c r="C1515" t="s">
        <v>238</v>
      </c>
      <c r="D1515">
        <v>4</v>
      </c>
      <c r="E1515">
        <v>153815</v>
      </c>
      <c r="F1515" t="s">
        <v>279</v>
      </c>
      <c r="G1515" t="s">
        <v>29</v>
      </c>
      <c r="H1515">
        <v>5653</v>
      </c>
      <c r="I1515" t="s">
        <v>284</v>
      </c>
    </row>
    <row r="1516" spans="1:9" x14ac:dyDescent="0.25">
      <c r="A1516">
        <v>70366</v>
      </c>
      <c r="B1516" t="s">
        <v>206</v>
      </c>
      <c r="C1516" t="s">
        <v>238</v>
      </c>
      <c r="D1516">
        <v>4</v>
      </c>
      <c r="E1516">
        <v>153815</v>
      </c>
      <c r="F1516" t="s">
        <v>279</v>
      </c>
      <c r="G1516" t="s">
        <v>29</v>
      </c>
      <c r="H1516">
        <v>24382</v>
      </c>
      <c r="I1516" t="s">
        <v>285</v>
      </c>
    </row>
    <row r="1517" spans="1:9" x14ac:dyDescent="0.25">
      <c r="A1517">
        <v>70366</v>
      </c>
      <c r="B1517" t="s">
        <v>206</v>
      </c>
      <c r="C1517" t="s">
        <v>238</v>
      </c>
      <c r="D1517">
        <v>4</v>
      </c>
      <c r="E1517">
        <v>153815</v>
      </c>
      <c r="F1517" t="s">
        <v>279</v>
      </c>
      <c r="G1517" t="s">
        <v>29</v>
      </c>
      <c r="H1517">
        <v>0</v>
      </c>
      <c r="I1517" t="s">
        <v>286</v>
      </c>
    </row>
    <row r="1518" spans="1:9" x14ac:dyDescent="0.25">
      <c r="A1518">
        <v>70366</v>
      </c>
      <c r="B1518" t="s">
        <v>206</v>
      </c>
      <c r="C1518" t="s">
        <v>238</v>
      </c>
      <c r="D1518">
        <v>4</v>
      </c>
      <c r="E1518">
        <v>153815</v>
      </c>
      <c r="F1518" t="s">
        <v>279</v>
      </c>
      <c r="G1518" t="s">
        <v>29</v>
      </c>
      <c r="H1518">
        <v>0</v>
      </c>
      <c r="I1518" t="s">
        <v>327</v>
      </c>
    </row>
    <row r="1519" spans="1:9" x14ac:dyDescent="0.25">
      <c r="A1519">
        <v>70366</v>
      </c>
      <c r="B1519" t="s">
        <v>206</v>
      </c>
      <c r="C1519" t="s">
        <v>238</v>
      </c>
      <c r="D1519">
        <v>4</v>
      </c>
      <c r="E1519">
        <v>153815</v>
      </c>
      <c r="F1519" t="s">
        <v>279</v>
      </c>
      <c r="G1519" t="s">
        <v>34</v>
      </c>
      <c r="H1519">
        <v>9852</v>
      </c>
      <c r="I1519" t="s">
        <v>287</v>
      </c>
    </row>
    <row r="1520" spans="1:9" x14ac:dyDescent="0.25">
      <c r="A1520">
        <v>70366</v>
      </c>
      <c r="B1520" t="s">
        <v>206</v>
      </c>
      <c r="C1520" t="s">
        <v>238</v>
      </c>
      <c r="D1520">
        <v>4</v>
      </c>
      <c r="E1520">
        <v>153815</v>
      </c>
      <c r="F1520" t="s">
        <v>279</v>
      </c>
      <c r="G1520" t="s">
        <v>29</v>
      </c>
      <c r="H1520">
        <v>51358</v>
      </c>
      <c r="I1520" t="s">
        <v>288</v>
      </c>
    </row>
    <row r="1521" spans="1:9" x14ac:dyDescent="0.25">
      <c r="A1521">
        <v>70366</v>
      </c>
      <c r="B1521" t="s">
        <v>206</v>
      </c>
      <c r="C1521" t="s">
        <v>238</v>
      </c>
      <c r="D1521">
        <v>4</v>
      </c>
      <c r="E1521">
        <v>153815</v>
      </c>
      <c r="F1521" t="s">
        <v>279</v>
      </c>
      <c r="G1521" t="s">
        <v>34</v>
      </c>
      <c r="H1521">
        <v>10700</v>
      </c>
      <c r="I1521" t="s">
        <v>289</v>
      </c>
    </row>
    <row r="1522" spans="1:9" x14ac:dyDescent="0.25">
      <c r="A1522">
        <v>70366</v>
      </c>
      <c r="B1522" t="s">
        <v>206</v>
      </c>
      <c r="C1522" t="s">
        <v>238</v>
      </c>
      <c r="D1522">
        <v>4</v>
      </c>
      <c r="E1522">
        <v>153815</v>
      </c>
      <c r="F1522" t="s">
        <v>279</v>
      </c>
      <c r="G1522" t="s">
        <v>29</v>
      </c>
      <c r="H1522">
        <v>5614</v>
      </c>
      <c r="I1522" t="s">
        <v>290</v>
      </c>
    </row>
    <row r="1523" spans="1:9" x14ac:dyDescent="0.25">
      <c r="A1523">
        <v>70366</v>
      </c>
      <c r="B1523" t="s">
        <v>206</v>
      </c>
      <c r="C1523" t="s">
        <v>238</v>
      </c>
      <c r="D1523">
        <v>4</v>
      </c>
      <c r="E1523">
        <v>153815</v>
      </c>
      <c r="F1523" t="s">
        <v>279</v>
      </c>
      <c r="G1523" t="s">
        <v>32</v>
      </c>
      <c r="H1523">
        <v>61603</v>
      </c>
      <c r="I1523" t="s">
        <v>291</v>
      </c>
    </row>
    <row r="1524" spans="1:9" x14ac:dyDescent="0.25">
      <c r="A1524">
        <v>70366</v>
      </c>
      <c r="B1524" t="s">
        <v>206</v>
      </c>
      <c r="C1524" t="s">
        <v>238</v>
      </c>
      <c r="D1524">
        <v>4</v>
      </c>
      <c r="E1524">
        <v>153815</v>
      </c>
      <c r="F1524" t="s">
        <v>279</v>
      </c>
      <c r="G1524" t="s">
        <v>29</v>
      </c>
      <c r="H1524">
        <v>12155</v>
      </c>
      <c r="I1524" t="s">
        <v>292</v>
      </c>
    </row>
    <row r="1525" spans="1:9" x14ac:dyDescent="0.25">
      <c r="A1525">
        <v>70366</v>
      </c>
      <c r="B1525" t="s">
        <v>206</v>
      </c>
      <c r="C1525" t="s">
        <v>238</v>
      </c>
      <c r="D1525">
        <v>4</v>
      </c>
      <c r="E1525">
        <v>153815</v>
      </c>
      <c r="F1525" t="s">
        <v>279</v>
      </c>
      <c r="G1525" t="s">
        <v>29</v>
      </c>
      <c r="H1525">
        <v>0</v>
      </c>
      <c r="I1525" t="s">
        <v>384</v>
      </c>
    </row>
    <row r="1526" spans="1:9" x14ac:dyDescent="0.25">
      <c r="A1526">
        <v>70366</v>
      </c>
      <c r="B1526" t="s">
        <v>206</v>
      </c>
      <c r="C1526" t="s">
        <v>238</v>
      </c>
      <c r="D1526">
        <v>4</v>
      </c>
      <c r="E1526">
        <v>153815</v>
      </c>
      <c r="F1526" t="s">
        <v>279</v>
      </c>
      <c r="G1526" t="s">
        <v>35</v>
      </c>
      <c r="H1526">
        <v>16228</v>
      </c>
      <c r="I1526" t="s">
        <v>293</v>
      </c>
    </row>
    <row r="1527" spans="1:9" x14ac:dyDescent="0.25">
      <c r="A1527">
        <v>70366</v>
      </c>
      <c r="B1527" t="s">
        <v>206</v>
      </c>
      <c r="C1527" t="s">
        <v>238</v>
      </c>
      <c r="D1527">
        <v>4</v>
      </c>
      <c r="E1527">
        <v>153815</v>
      </c>
      <c r="F1527" t="s">
        <v>279</v>
      </c>
      <c r="G1527" t="s">
        <v>35</v>
      </c>
      <c r="H1527">
        <v>6357</v>
      </c>
      <c r="I1527" t="s">
        <v>294</v>
      </c>
    </row>
    <row r="1528" spans="1:9" x14ac:dyDescent="0.25">
      <c r="A1528">
        <v>70366</v>
      </c>
      <c r="B1528" t="s">
        <v>206</v>
      </c>
      <c r="C1528" t="s">
        <v>238</v>
      </c>
      <c r="D1528">
        <v>4</v>
      </c>
      <c r="E1528">
        <v>153815</v>
      </c>
      <c r="F1528" t="s">
        <v>279</v>
      </c>
      <c r="G1528" t="s">
        <v>35</v>
      </c>
      <c r="H1528">
        <v>5222</v>
      </c>
      <c r="I1528" t="s">
        <v>295</v>
      </c>
    </row>
    <row r="1529" spans="1:9" x14ac:dyDescent="0.25">
      <c r="A1529">
        <v>70366</v>
      </c>
      <c r="B1529" t="s">
        <v>206</v>
      </c>
      <c r="C1529" t="s">
        <v>238</v>
      </c>
      <c r="D1529">
        <v>4</v>
      </c>
      <c r="E1529">
        <v>153815</v>
      </c>
      <c r="F1529" t="s">
        <v>279</v>
      </c>
      <c r="G1529" t="s">
        <v>35</v>
      </c>
      <c r="H1529">
        <v>2093</v>
      </c>
      <c r="I1529" t="s">
        <v>296</v>
      </c>
    </row>
    <row r="1530" spans="1:9" x14ac:dyDescent="0.25">
      <c r="A1530">
        <v>70366</v>
      </c>
      <c r="B1530" t="s">
        <v>206</v>
      </c>
      <c r="C1530" t="s">
        <v>238</v>
      </c>
      <c r="D1530">
        <v>4</v>
      </c>
      <c r="E1530">
        <v>153815</v>
      </c>
      <c r="F1530" t="s">
        <v>279</v>
      </c>
      <c r="G1530" t="s">
        <v>35</v>
      </c>
      <c r="H1530">
        <v>0</v>
      </c>
      <c r="I1530" t="s">
        <v>325</v>
      </c>
    </row>
    <row r="1531" spans="1:9" x14ac:dyDescent="0.25">
      <c r="A1531">
        <v>70366</v>
      </c>
      <c r="B1531" t="s">
        <v>206</v>
      </c>
      <c r="C1531" t="s">
        <v>238</v>
      </c>
      <c r="D1531">
        <v>4</v>
      </c>
      <c r="E1531">
        <v>153815</v>
      </c>
      <c r="F1531" t="s">
        <v>279</v>
      </c>
      <c r="G1531" t="s">
        <v>29</v>
      </c>
      <c r="H1531">
        <v>1892</v>
      </c>
      <c r="I1531" t="s">
        <v>297</v>
      </c>
    </row>
    <row r="1532" spans="1:9" x14ac:dyDescent="0.25">
      <c r="A1532">
        <v>70366</v>
      </c>
      <c r="B1532" t="s">
        <v>206</v>
      </c>
      <c r="C1532" t="s">
        <v>238</v>
      </c>
      <c r="D1532">
        <v>4</v>
      </c>
      <c r="E1532">
        <v>153815</v>
      </c>
      <c r="F1532" t="s">
        <v>279</v>
      </c>
      <c r="G1532" t="s">
        <v>36</v>
      </c>
      <c r="H1532">
        <v>26196</v>
      </c>
      <c r="I1532" t="s">
        <v>298</v>
      </c>
    </row>
    <row r="1533" spans="1:9" x14ac:dyDescent="0.25">
      <c r="A1533">
        <v>70366</v>
      </c>
      <c r="B1533" t="s">
        <v>206</v>
      </c>
      <c r="C1533" t="s">
        <v>238</v>
      </c>
      <c r="D1533">
        <v>4</v>
      </c>
      <c r="E1533">
        <v>153815</v>
      </c>
      <c r="F1533" t="s">
        <v>274</v>
      </c>
      <c r="G1533" t="s">
        <v>275</v>
      </c>
      <c r="H1533">
        <v>269683</v>
      </c>
      <c r="I1533" t="s">
        <v>299</v>
      </c>
    </row>
    <row r="1534" spans="1:9" x14ac:dyDescent="0.25">
      <c r="A1534">
        <v>70366</v>
      </c>
      <c r="B1534" t="s">
        <v>206</v>
      </c>
      <c r="C1534" t="s">
        <v>238</v>
      </c>
      <c r="D1534">
        <v>4</v>
      </c>
      <c r="E1534">
        <v>153815</v>
      </c>
      <c r="F1534" t="s">
        <v>274</v>
      </c>
      <c r="G1534" t="s">
        <v>275</v>
      </c>
      <c r="H1534">
        <v>0</v>
      </c>
      <c r="I1534" t="s">
        <v>385</v>
      </c>
    </row>
    <row r="1535" spans="1:9" x14ac:dyDescent="0.25">
      <c r="A1535">
        <v>70367</v>
      </c>
      <c r="B1535" t="s">
        <v>208</v>
      </c>
      <c r="C1535" t="s">
        <v>238</v>
      </c>
      <c r="D1535">
        <v>4</v>
      </c>
      <c r="E1535">
        <v>15547</v>
      </c>
      <c r="F1535" t="s">
        <v>279</v>
      </c>
      <c r="G1535" t="s">
        <v>31</v>
      </c>
      <c r="H1535">
        <v>0</v>
      </c>
      <c r="I1535" t="s">
        <v>364</v>
      </c>
    </row>
    <row r="1536" spans="1:9" x14ac:dyDescent="0.25">
      <c r="A1536">
        <v>70367</v>
      </c>
      <c r="B1536" t="s">
        <v>208</v>
      </c>
      <c r="C1536" t="s">
        <v>238</v>
      </c>
      <c r="D1536">
        <v>4</v>
      </c>
      <c r="E1536">
        <v>15547</v>
      </c>
      <c r="F1536" t="s">
        <v>279</v>
      </c>
      <c r="G1536" t="s">
        <v>31</v>
      </c>
      <c r="H1536">
        <v>0</v>
      </c>
      <c r="I1536" t="s">
        <v>365</v>
      </c>
    </row>
    <row r="1537" spans="1:9" x14ac:dyDescent="0.25">
      <c r="A1537">
        <v>70367</v>
      </c>
      <c r="B1537" t="s">
        <v>208</v>
      </c>
      <c r="C1537" t="s">
        <v>238</v>
      </c>
      <c r="D1537">
        <v>4</v>
      </c>
      <c r="E1537">
        <v>15547</v>
      </c>
      <c r="F1537" t="s">
        <v>279</v>
      </c>
      <c r="G1537" t="s">
        <v>31</v>
      </c>
      <c r="H1537">
        <v>0</v>
      </c>
      <c r="I1537" t="s">
        <v>366</v>
      </c>
    </row>
    <row r="1538" spans="1:9" x14ac:dyDescent="0.25">
      <c r="A1538">
        <v>70367</v>
      </c>
      <c r="B1538" t="s">
        <v>208</v>
      </c>
      <c r="C1538" t="s">
        <v>238</v>
      </c>
      <c r="D1538">
        <v>4</v>
      </c>
      <c r="E1538">
        <v>15547</v>
      </c>
      <c r="F1538" t="s">
        <v>279</v>
      </c>
      <c r="G1538" t="s">
        <v>31</v>
      </c>
      <c r="H1538">
        <v>0</v>
      </c>
      <c r="I1538" t="s">
        <v>367</v>
      </c>
    </row>
    <row r="1539" spans="1:9" x14ac:dyDescent="0.25">
      <c r="A1539">
        <v>70367</v>
      </c>
      <c r="B1539" t="s">
        <v>208</v>
      </c>
      <c r="C1539" t="s">
        <v>238</v>
      </c>
      <c r="D1539">
        <v>4</v>
      </c>
      <c r="E1539">
        <v>15547</v>
      </c>
      <c r="F1539" t="s">
        <v>279</v>
      </c>
      <c r="G1539" t="s">
        <v>37</v>
      </c>
      <c r="H1539">
        <v>0</v>
      </c>
      <c r="I1539" t="s">
        <v>381</v>
      </c>
    </row>
    <row r="1540" spans="1:9" x14ac:dyDescent="0.25">
      <c r="A1540">
        <v>70367</v>
      </c>
      <c r="B1540" t="s">
        <v>208</v>
      </c>
      <c r="C1540" t="s">
        <v>238</v>
      </c>
      <c r="D1540">
        <v>4</v>
      </c>
      <c r="E1540">
        <v>15547</v>
      </c>
      <c r="F1540" t="s">
        <v>279</v>
      </c>
      <c r="G1540" t="s">
        <v>37</v>
      </c>
      <c r="H1540">
        <v>38390</v>
      </c>
      <c r="I1540" t="s">
        <v>314</v>
      </c>
    </row>
    <row r="1541" spans="1:9" x14ac:dyDescent="0.25">
      <c r="A1541">
        <v>70367</v>
      </c>
      <c r="B1541" t="s">
        <v>208</v>
      </c>
      <c r="C1541" t="s">
        <v>238</v>
      </c>
      <c r="D1541">
        <v>4</v>
      </c>
      <c r="E1541">
        <v>15547</v>
      </c>
      <c r="F1541" t="s">
        <v>279</v>
      </c>
      <c r="G1541" t="s">
        <v>35</v>
      </c>
      <c r="H1541">
        <v>6355</v>
      </c>
      <c r="I1541" t="s">
        <v>315</v>
      </c>
    </row>
    <row r="1542" spans="1:9" x14ac:dyDescent="0.25">
      <c r="A1542">
        <v>70367</v>
      </c>
      <c r="B1542" t="s">
        <v>208</v>
      </c>
      <c r="C1542" t="s">
        <v>238</v>
      </c>
      <c r="D1542">
        <v>4</v>
      </c>
      <c r="E1542">
        <v>15547</v>
      </c>
      <c r="F1542" t="s">
        <v>279</v>
      </c>
      <c r="G1542" t="s">
        <v>37</v>
      </c>
      <c r="H1542">
        <v>0</v>
      </c>
      <c r="I1542" t="s">
        <v>323</v>
      </c>
    </row>
    <row r="1543" spans="1:9" x14ac:dyDescent="0.25">
      <c r="A1543">
        <v>70367</v>
      </c>
      <c r="B1543" t="s">
        <v>208</v>
      </c>
      <c r="C1543" t="s">
        <v>238</v>
      </c>
      <c r="D1543">
        <v>4</v>
      </c>
      <c r="E1543">
        <v>15547</v>
      </c>
      <c r="F1543" t="s">
        <v>279</v>
      </c>
      <c r="G1543" t="s">
        <v>37</v>
      </c>
      <c r="H1543">
        <v>0</v>
      </c>
      <c r="I1543" t="s">
        <v>322</v>
      </c>
    </row>
    <row r="1544" spans="1:9" x14ac:dyDescent="0.25">
      <c r="A1544">
        <v>70367</v>
      </c>
      <c r="B1544" t="s">
        <v>208</v>
      </c>
      <c r="C1544" t="s">
        <v>238</v>
      </c>
      <c r="D1544">
        <v>4</v>
      </c>
      <c r="E1544">
        <v>15547</v>
      </c>
      <c r="F1544" t="s">
        <v>279</v>
      </c>
      <c r="G1544" t="s">
        <v>37</v>
      </c>
      <c r="H1544">
        <v>0</v>
      </c>
      <c r="I1544" t="s">
        <v>382</v>
      </c>
    </row>
    <row r="1545" spans="1:9" x14ac:dyDescent="0.25">
      <c r="A1545">
        <v>70367</v>
      </c>
      <c r="B1545" t="s">
        <v>208</v>
      </c>
      <c r="C1545" t="s">
        <v>238</v>
      </c>
      <c r="D1545">
        <v>4</v>
      </c>
      <c r="E1545">
        <v>15547</v>
      </c>
      <c r="F1545" t="s">
        <v>279</v>
      </c>
      <c r="G1545" t="s">
        <v>37</v>
      </c>
      <c r="H1545">
        <v>40538</v>
      </c>
      <c r="I1545" t="s">
        <v>316</v>
      </c>
    </row>
    <row r="1546" spans="1:9" x14ac:dyDescent="0.25">
      <c r="A1546">
        <v>70367</v>
      </c>
      <c r="B1546" t="s">
        <v>208</v>
      </c>
      <c r="C1546" t="s">
        <v>238</v>
      </c>
      <c r="D1546">
        <v>4</v>
      </c>
      <c r="E1546">
        <v>15547</v>
      </c>
      <c r="F1546" t="s">
        <v>279</v>
      </c>
      <c r="G1546" t="s">
        <v>36</v>
      </c>
      <c r="H1546">
        <v>92646</v>
      </c>
      <c r="I1546" t="s">
        <v>317</v>
      </c>
    </row>
    <row r="1547" spans="1:9" x14ac:dyDescent="0.25">
      <c r="A1547">
        <v>70367</v>
      </c>
      <c r="B1547" t="s">
        <v>208</v>
      </c>
      <c r="C1547" t="s">
        <v>238</v>
      </c>
      <c r="D1547">
        <v>4</v>
      </c>
      <c r="E1547">
        <v>15547</v>
      </c>
      <c r="F1547" t="s">
        <v>274</v>
      </c>
      <c r="G1547" t="s">
        <v>275</v>
      </c>
      <c r="H1547">
        <v>-3399</v>
      </c>
      <c r="I1547" t="s">
        <v>276</v>
      </c>
    </row>
    <row r="1548" spans="1:9" x14ac:dyDescent="0.25">
      <c r="A1548">
        <v>70367</v>
      </c>
      <c r="B1548" t="s">
        <v>208</v>
      </c>
      <c r="C1548" t="s">
        <v>238</v>
      </c>
      <c r="D1548">
        <v>4</v>
      </c>
      <c r="E1548">
        <v>15547</v>
      </c>
      <c r="F1548" t="s">
        <v>279</v>
      </c>
      <c r="G1548" t="s">
        <v>29</v>
      </c>
      <c r="H1548">
        <v>0</v>
      </c>
      <c r="I1548" t="s">
        <v>324</v>
      </c>
    </row>
    <row r="1549" spans="1:9" x14ac:dyDescent="0.25">
      <c r="A1549">
        <v>70367</v>
      </c>
      <c r="B1549" t="s">
        <v>208</v>
      </c>
      <c r="C1549" t="s">
        <v>238</v>
      </c>
      <c r="D1549">
        <v>4</v>
      </c>
      <c r="E1549">
        <v>15547</v>
      </c>
      <c r="F1549" t="s">
        <v>274</v>
      </c>
      <c r="G1549" t="s">
        <v>277</v>
      </c>
      <c r="H1549">
        <v>136</v>
      </c>
      <c r="I1549" t="s">
        <v>278</v>
      </c>
    </row>
    <row r="1550" spans="1:9" x14ac:dyDescent="0.25">
      <c r="A1550">
        <v>70367</v>
      </c>
      <c r="B1550" t="s">
        <v>208</v>
      </c>
      <c r="C1550" t="s">
        <v>238</v>
      </c>
      <c r="D1550">
        <v>4</v>
      </c>
      <c r="E1550">
        <v>15547</v>
      </c>
      <c r="F1550" t="s">
        <v>274</v>
      </c>
      <c r="G1550" t="s">
        <v>300</v>
      </c>
      <c r="H1550">
        <v>0</v>
      </c>
      <c r="I1550" t="s">
        <v>383</v>
      </c>
    </row>
    <row r="1551" spans="1:9" x14ac:dyDescent="0.25">
      <c r="A1551">
        <v>70367</v>
      </c>
      <c r="B1551" t="s">
        <v>208</v>
      </c>
      <c r="C1551" t="s">
        <v>238</v>
      </c>
      <c r="D1551">
        <v>4</v>
      </c>
      <c r="E1551">
        <v>15547</v>
      </c>
      <c r="F1551" t="s">
        <v>279</v>
      </c>
      <c r="G1551" t="s">
        <v>33</v>
      </c>
      <c r="H1551">
        <v>-1</v>
      </c>
      <c r="I1551" t="s">
        <v>280</v>
      </c>
    </row>
    <row r="1552" spans="1:9" x14ac:dyDescent="0.25">
      <c r="A1552">
        <v>70367</v>
      </c>
      <c r="B1552" t="s">
        <v>208</v>
      </c>
      <c r="C1552" t="s">
        <v>238</v>
      </c>
      <c r="D1552">
        <v>4</v>
      </c>
      <c r="E1552">
        <v>15547</v>
      </c>
      <c r="F1552" t="s">
        <v>279</v>
      </c>
      <c r="G1552" t="s">
        <v>29</v>
      </c>
      <c r="H1552">
        <v>558</v>
      </c>
      <c r="I1552" t="s">
        <v>281</v>
      </c>
    </row>
    <row r="1553" spans="1:9" x14ac:dyDescent="0.25">
      <c r="A1553">
        <v>70367</v>
      </c>
      <c r="B1553" t="s">
        <v>208</v>
      </c>
      <c r="C1553" t="s">
        <v>238</v>
      </c>
      <c r="D1553">
        <v>4</v>
      </c>
      <c r="E1553">
        <v>15547</v>
      </c>
      <c r="F1553" t="s">
        <v>279</v>
      </c>
      <c r="G1553" t="s">
        <v>29</v>
      </c>
      <c r="H1553">
        <v>132288</v>
      </c>
      <c r="I1553" t="s">
        <v>282</v>
      </c>
    </row>
    <row r="1554" spans="1:9" x14ac:dyDescent="0.25">
      <c r="A1554">
        <v>70367</v>
      </c>
      <c r="B1554" t="s">
        <v>208</v>
      </c>
      <c r="C1554" t="s">
        <v>238</v>
      </c>
      <c r="D1554">
        <v>4</v>
      </c>
      <c r="E1554">
        <v>15547</v>
      </c>
      <c r="F1554" t="s">
        <v>279</v>
      </c>
      <c r="G1554" t="s">
        <v>35</v>
      </c>
      <c r="H1554">
        <v>89254</v>
      </c>
      <c r="I1554" t="s">
        <v>283</v>
      </c>
    </row>
    <row r="1555" spans="1:9" x14ac:dyDescent="0.25">
      <c r="A1555">
        <v>70367</v>
      </c>
      <c r="B1555" t="s">
        <v>208</v>
      </c>
      <c r="C1555" t="s">
        <v>238</v>
      </c>
      <c r="D1555">
        <v>4</v>
      </c>
      <c r="E1555">
        <v>15547</v>
      </c>
      <c r="F1555" t="s">
        <v>279</v>
      </c>
      <c r="G1555" t="s">
        <v>29</v>
      </c>
      <c r="H1555">
        <v>0</v>
      </c>
      <c r="I1555" t="s">
        <v>284</v>
      </c>
    </row>
    <row r="1556" spans="1:9" x14ac:dyDescent="0.25">
      <c r="A1556">
        <v>70367</v>
      </c>
      <c r="B1556" t="s">
        <v>208</v>
      </c>
      <c r="C1556" t="s">
        <v>238</v>
      </c>
      <c r="D1556">
        <v>4</v>
      </c>
      <c r="E1556">
        <v>15547</v>
      </c>
      <c r="F1556" t="s">
        <v>279</v>
      </c>
      <c r="G1556" t="s">
        <v>29</v>
      </c>
      <c r="H1556">
        <v>39320</v>
      </c>
      <c r="I1556" t="s">
        <v>285</v>
      </c>
    </row>
    <row r="1557" spans="1:9" x14ac:dyDescent="0.25">
      <c r="A1557">
        <v>70367</v>
      </c>
      <c r="B1557" t="s">
        <v>208</v>
      </c>
      <c r="C1557" t="s">
        <v>238</v>
      </c>
      <c r="D1557">
        <v>4</v>
      </c>
      <c r="E1557">
        <v>15547</v>
      </c>
      <c r="F1557" t="s">
        <v>279</v>
      </c>
      <c r="G1557" t="s">
        <v>29</v>
      </c>
      <c r="H1557">
        <v>9402</v>
      </c>
      <c r="I1557" t="s">
        <v>286</v>
      </c>
    </row>
    <row r="1558" spans="1:9" x14ac:dyDescent="0.25">
      <c r="A1558">
        <v>70367</v>
      </c>
      <c r="B1558" t="s">
        <v>208</v>
      </c>
      <c r="C1558" t="s">
        <v>238</v>
      </c>
      <c r="D1558">
        <v>4</v>
      </c>
      <c r="E1558">
        <v>15547</v>
      </c>
      <c r="F1558" t="s">
        <v>279</v>
      </c>
      <c r="G1558" t="s">
        <v>29</v>
      </c>
      <c r="H1558">
        <v>0</v>
      </c>
      <c r="I1558" t="s">
        <v>327</v>
      </c>
    </row>
    <row r="1559" spans="1:9" x14ac:dyDescent="0.25">
      <c r="A1559">
        <v>70367</v>
      </c>
      <c r="B1559" t="s">
        <v>208</v>
      </c>
      <c r="C1559" t="s">
        <v>238</v>
      </c>
      <c r="D1559">
        <v>4</v>
      </c>
      <c r="E1559">
        <v>15547</v>
      </c>
      <c r="F1559" t="s">
        <v>279</v>
      </c>
      <c r="G1559" t="s">
        <v>34</v>
      </c>
      <c r="H1559">
        <v>33202</v>
      </c>
      <c r="I1559" t="s">
        <v>287</v>
      </c>
    </row>
    <row r="1560" spans="1:9" x14ac:dyDescent="0.25">
      <c r="A1560">
        <v>70367</v>
      </c>
      <c r="B1560" t="s">
        <v>208</v>
      </c>
      <c r="C1560" t="s">
        <v>238</v>
      </c>
      <c r="D1560">
        <v>4</v>
      </c>
      <c r="E1560">
        <v>15547</v>
      </c>
      <c r="F1560" t="s">
        <v>279</v>
      </c>
      <c r="G1560" t="s">
        <v>29</v>
      </c>
      <c r="H1560">
        <v>65947</v>
      </c>
      <c r="I1560" t="s">
        <v>288</v>
      </c>
    </row>
    <row r="1561" spans="1:9" x14ac:dyDescent="0.25">
      <c r="A1561">
        <v>70367</v>
      </c>
      <c r="B1561" t="s">
        <v>208</v>
      </c>
      <c r="C1561" t="s">
        <v>238</v>
      </c>
      <c r="D1561">
        <v>4</v>
      </c>
      <c r="E1561">
        <v>15547</v>
      </c>
      <c r="F1561" t="s">
        <v>279</v>
      </c>
      <c r="G1561" t="s">
        <v>34</v>
      </c>
      <c r="H1561">
        <v>11575</v>
      </c>
      <c r="I1561" t="s">
        <v>289</v>
      </c>
    </row>
    <row r="1562" spans="1:9" x14ac:dyDescent="0.25">
      <c r="A1562">
        <v>70367</v>
      </c>
      <c r="B1562" t="s">
        <v>208</v>
      </c>
      <c r="C1562" t="s">
        <v>238</v>
      </c>
      <c r="D1562">
        <v>4</v>
      </c>
      <c r="E1562">
        <v>15547</v>
      </c>
      <c r="F1562" t="s">
        <v>279</v>
      </c>
      <c r="G1562" t="s">
        <v>29</v>
      </c>
      <c r="H1562">
        <v>7648</v>
      </c>
      <c r="I1562" t="s">
        <v>290</v>
      </c>
    </row>
    <row r="1563" spans="1:9" x14ac:dyDescent="0.25">
      <c r="A1563">
        <v>70367</v>
      </c>
      <c r="B1563" t="s">
        <v>208</v>
      </c>
      <c r="C1563" t="s">
        <v>238</v>
      </c>
      <c r="D1563">
        <v>4</v>
      </c>
      <c r="E1563">
        <v>15547</v>
      </c>
      <c r="F1563" t="s">
        <v>279</v>
      </c>
      <c r="G1563" t="s">
        <v>32</v>
      </c>
      <c r="H1563">
        <v>134704</v>
      </c>
      <c r="I1563" t="s">
        <v>291</v>
      </c>
    </row>
    <row r="1564" spans="1:9" x14ac:dyDescent="0.25">
      <c r="A1564">
        <v>70367</v>
      </c>
      <c r="B1564" t="s">
        <v>208</v>
      </c>
      <c r="C1564" t="s">
        <v>238</v>
      </c>
      <c r="D1564">
        <v>4</v>
      </c>
      <c r="E1564">
        <v>15547</v>
      </c>
      <c r="F1564" t="s">
        <v>279</v>
      </c>
      <c r="G1564" t="s">
        <v>29</v>
      </c>
      <c r="H1564">
        <v>20668</v>
      </c>
      <c r="I1564" t="s">
        <v>292</v>
      </c>
    </row>
    <row r="1565" spans="1:9" x14ac:dyDescent="0.25">
      <c r="A1565">
        <v>70367</v>
      </c>
      <c r="B1565" t="s">
        <v>208</v>
      </c>
      <c r="C1565" t="s">
        <v>238</v>
      </c>
      <c r="D1565">
        <v>4</v>
      </c>
      <c r="E1565">
        <v>15547</v>
      </c>
      <c r="F1565" t="s">
        <v>279</v>
      </c>
      <c r="G1565" t="s">
        <v>29</v>
      </c>
      <c r="H1565">
        <v>0</v>
      </c>
      <c r="I1565" t="s">
        <v>384</v>
      </c>
    </row>
    <row r="1566" spans="1:9" x14ac:dyDescent="0.25">
      <c r="A1566">
        <v>70367</v>
      </c>
      <c r="B1566" t="s">
        <v>208</v>
      </c>
      <c r="C1566" t="s">
        <v>238</v>
      </c>
      <c r="D1566">
        <v>4</v>
      </c>
      <c r="E1566">
        <v>15547</v>
      </c>
      <c r="F1566" t="s">
        <v>279</v>
      </c>
      <c r="G1566" t="s">
        <v>35</v>
      </c>
      <c r="H1566">
        <v>9751</v>
      </c>
      <c r="I1566" t="s">
        <v>293</v>
      </c>
    </row>
    <row r="1567" spans="1:9" x14ac:dyDescent="0.25">
      <c r="A1567">
        <v>70367</v>
      </c>
      <c r="B1567" t="s">
        <v>208</v>
      </c>
      <c r="C1567" t="s">
        <v>238</v>
      </c>
      <c r="D1567">
        <v>4</v>
      </c>
      <c r="E1567">
        <v>15547</v>
      </c>
      <c r="F1567" t="s">
        <v>279</v>
      </c>
      <c r="G1567" t="s">
        <v>35</v>
      </c>
      <c r="H1567">
        <v>6441</v>
      </c>
      <c r="I1567" t="s">
        <v>294</v>
      </c>
    </row>
    <row r="1568" spans="1:9" x14ac:dyDescent="0.25">
      <c r="A1568">
        <v>70367</v>
      </c>
      <c r="B1568" t="s">
        <v>208</v>
      </c>
      <c r="C1568" t="s">
        <v>238</v>
      </c>
      <c r="D1568">
        <v>4</v>
      </c>
      <c r="E1568">
        <v>15547</v>
      </c>
      <c r="F1568" t="s">
        <v>279</v>
      </c>
      <c r="G1568" t="s">
        <v>35</v>
      </c>
      <c r="H1568">
        <v>5089</v>
      </c>
      <c r="I1568" t="s">
        <v>295</v>
      </c>
    </row>
    <row r="1569" spans="1:9" x14ac:dyDescent="0.25">
      <c r="A1569">
        <v>70367</v>
      </c>
      <c r="B1569" t="s">
        <v>208</v>
      </c>
      <c r="C1569" t="s">
        <v>238</v>
      </c>
      <c r="D1569">
        <v>4</v>
      </c>
      <c r="E1569">
        <v>15547</v>
      </c>
      <c r="F1569" t="s">
        <v>279</v>
      </c>
      <c r="G1569" t="s">
        <v>35</v>
      </c>
      <c r="H1569">
        <v>12790</v>
      </c>
      <c r="I1569" t="s">
        <v>296</v>
      </c>
    </row>
    <row r="1570" spans="1:9" x14ac:dyDescent="0.25">
      <c r="A1570">
        <v>70367</v>
      </c>
      <c r="B1570" t="s">
        <v>208</v>
      </c>
      <c r="C1570" t="s">
        <v>238</v>
      </c>
      <c r="D1570">
        <v>4</v>
      </c>
      <c r="E1570">
        <v>15547</v>
      </c>
      <c r="F1570" t="s">
        <v>279</v>
      </c>
      <c r="G1570" t="s">
        <v>31</v>
      </c>
      <c r="H1570">
        <v>17961</v>
      </c>
      <c r="I1570" t="s">
        <v>368</v>
      </c>
    </row>
    <row r="1571" spans="1:9" x14ac:dyDescent="0.25">
      <c r="A1571">
        <v>70367</v>
      </c>
      <c r="B1571" t="s">
        <v>208</v>
      </c>
      <c r="C1571" t="s">
        <v>238</v>
      </c>
      <c r="D1571">
        <v>4</v>
      </c>
      <c r="E1571">
        <v>15547</v>
      </c>
      <c r="F1571" t="s">
        <v>279</v>
      </c>
      <c r="G1571" t="s">
        <v>31</v>
      </c>
      <c r="H1571">
        <v>0</v>
      </c>
      <c r="I1571" t="s">
        <v>369</v>
      </c>
    </row>
    <row r="1572" spans="1:9" x14ac:dyDescent="0.25">
      <c r="A1572">
        <v>70367</v>
      </c>
      <c r="B1572" t="s">
        <v>208</v>
      </c>
      <c r="C1572" t="s">
        <v>238</v>
      </c>
      <c r="D1572">
        <v>4</v>
      </c>
      <c r="E1572">
        <v>15547</v>
      </c>
      <c r="F1572" t="s">
        <v>279</v>
      </c>
      <c r="G1572" t="s">
        <v>31</v>
      </c>
      <c r="H1572">
        <v>0</v>
      </c>
      <c r="I1572" t="s">
        <v>370</v>
      </c>
    </row>
    <row r="1573" spans="1:9" x14ac:dyDescent="0.25">
      <c r="A1573">
        <v>70367</v>
      </c>
      <c r="B1573" t="s">
        <v>208</v>
      </c>
      <c r="C1573" t="s">
        <v>238</v>
      </c>
      <c r="D1573">
        <v>4</v>
      </c>
      <c r="E1573">
        <v>15547</v>
      </c>
      <c r="F1573" t="s">
        <v>279</v>
      </c>
      <c r="G1573" t="s">
        <v>31</v>
      </c>
      <c r="H1573">
        <v>0</v>
      </c>
      <c r="I1573" t="s">
        <v>371</v>
      </c>
    </row>
    <row r="1574" spans="1:9" x14ac:dyDescent="0.25">
      <c r="A1574">
        <v>70367</v>
      </c>
      <c r="B1574" t="s">
        <v>208</v>
      </c>
      <c r="C1574" t="s">
        <v>238</v>
      </c>
      <c r="D1574">
        <v>4</v>
      </c>
      <c r="E1574">
        <v>15547</v>
      </c>
      <c r="F1574" t="s">
        <v>279</v>
      </c>
      <c r="G1574" t="s">
        <v>31</v>
      </c>
      <c r="H1574">
        <v>0</v>
      </c>
      <c r="I1574" t="s">
        <v>328</v>
      </c>
    </row>
    <row r="1575" spans="1:9" x14ac:dyDescent="0.25">
      <c r="A1575">
        <v>70367</v>
      </c>
      <c r="B1575" t="s">
        <v>208</v>
      </c>
      <c r="C1575" t="s">
        <v>238</v>
      </c>
      <c r="D1575">
        <v>4</v>
      </c>
      <c r="E1575">
        <v>15547</v>
      </c>
      <c r="F1575" t="s">
        <v>279</v>
      </c>
      <c r="G1575" t="s">
        <v>33</v>
      </c>
      <c r="H1575">
        <v>0</v>
      </c>
      <c r="I1575" t="s">
        <v>372</v>
      </c>
    </row>
    <row r="1576" spans="1:9" x14ac:dyDescent="0.25">
      <c r="A1576">
        <v>70367</v>
      </c>
      <c r="B1576" t="s">
        <v>208</v>
      </c>
      <c r="C1576" t="s">
        <v>238</v>
      </c>
      <c r="D1576">
        <v>4</v>
      </c>
      <c r="E1576">
        <v>15547</v>
      </c>
      <c r="F1576" t="s">
        <v>279</v>
      </c>
      <c r="G1576" t="s">
        <v>33</v>
      </c>
      <c r="H1576">
        <v>0</v>
      </c>
      <c r="I1576" t="s">
        <v>329</v>
      </c>
    </row>
    <row r="1577" spans="1:9" x14ac:dyDescent="0.25">
      <c r="A1577">
        <v>70367</v>
      </c>
      <c r="B1577" t="s">
        <v>208</v>
      </c>
      <c r="C1577" t="s">
        <v>238</v>
      </c>
      <c r="D1577">
        <v>4</v>
      </c>
      <c r="E1577">
        <v>15547</v>
      </c>
      <c r="F1577" t="s">
        <v>279</v>
      </c>
      <c r="G1577" t="s">
        <v>33</v>
      </c>
      <c r="H1577">
        <v>0</v>
      </c>
      <c r="I1577" t="s">
        <v>319</v>
      </c>
    </row>
    <row r="1578" spans="1:9" x14ac:dyDescent="0.25">
      <c r="A1578">
        <v>70367</v>
      </c>
      <c r="B1578" t="s">
        <v>208</v>
      </c>
      <c r="C1578" t="s">
        <v>238</v>
      </c>
      <c r="D1578">
        <v>4</v>
      </c>
      <c r="E1578">
        <v>15547</v>
      </c>
      <c r="F1578" t="s">
        <v>279</v>
      </c>
      <c r="G1578" t="s">
        <v>33</v>
      </c>
      <c r="H1578">
        <v>0</v>
      </c>
      <c r="I1578" t="s">
        <v>373</v>
      </c>
    </row>
    <row r="1579" spans="1:9" x14ac:dyDescent="0.25">
      <c r="A1579">
        <v>70367</v>
      </c>
      <c r="B1579" t="s">
        <v>208</v>
      </c>
      <c r="C1579" t="s">
        <v>238</v>
      </c>
      <c r="D1579">
        <v>4</v>
      </c>
      <c r="E1579">
        <v>15547</v>
      </c>
      <c r="F1579" t="s">
        <v>279</v>
      </c>
      <c r="G1579" t="s">
        <v>33</v>
      </c>
      <c r="H1579">
        <v>0</v>
      </c>
      <c r="I1579" t="s">
        <v>374</v>
      </c>
    </row>
    <row r="1580" spans="1:9" x14ac:dyDescent="0.25">
      <c r="A1580">
        <v>70367</v>
      </c>
      <c r="B1580" t="s">
        <v>208</v>
      </c>
      <c r="C1580" t="s">
        <v>238</v>
      </c>
      <c r="D1580">
        <v>4</v>
      </c>
      <c r="E1580">
        <v>15547</v>
      </c>
      <c r="F1580" t="s">
        <v>279</v>
      </c>
      <c r="G1580" t="s">
        <v>33</v>
      </c>
      <c r="H1580">
        <v>0</v>
      </c>
      <c r="I1580" t="s">
        <v>326</v>
      </c>
    </row>
    <row r="1581" spans="1:9" x14ac:dyDescent="0.25">
      <c r="A1581">
        <v>70367</v>
      </c>
      <c r="B1581" t="s">
        <v>208</v>
      </c>
      <c r="C1581" t="s">
        <v>238</v>
      </c>
      <c r="D1581">
        <v>4</v>
      </c>
      <c r="E1581">
        <v>15547</v>
      </c>
      <c r="F1581" t="s">
        <v>279</v>
      </c>
      <c r="G1581" t="s">
        <v>33</v>
      </c>
      <c r="H1581">
        <v>0</v>
      </c>
      <c r="I1581" t="s">
        <v>375</v>
      </c>
    </row>
    <row r="1582" spans="1:9" x14ac:dyDescent="0.25">
      <c r="A1582">
        <v>70367</v>
      </c>
      <c r="B1582" t="s">
        <v>208</v>
      </c>
      <c r="C1582" t="s">
        <v>238</v>
      </c>
      <c r="D1582">
        <v>4</v>
      </c>
      <c r="E1582">
        <v>15547</v>
      </c>
      <c r="F1582" t="s">
        <v>279</v>
      </c>
      <c r="G1582" t="s">
        <v>33</v>
      </c>
      <c r="H1582">
        <v>0</v>
      </c>
      <c r="I1582" t="s">
        <v>376</v>
      </c>
    </row>
    <row r="1583" spans="1:9" x14ac:dyDescent="0.25">
      <c r="A1583">
        <v>70367</v>
      </c>
      <c r="B1583" t="s">
        <v>208</v>
      </c>
      <c r="C1583" t="s">
        <v>238</v>
      </c>
      <c r="D1583">
        <v>4</v>
      </c>
      <c r="E1583">
        <v>15547</v>
      </c>
      <c r="F1583" t="s">
        <v>279</v>
      </c>
      <c r="G1583" t="s">
        <v>33</v>
      </c>
      <c r="H1583">
        <v>0</v>
      </c>
      <c r="I1583" t="s">
        <v>377</v>
      </c>
    </row>
    <row r="1584" spans="1:9" x14ac:dyDescent="0.25">
      <c r="A1584">
        <v>70367</v>
      </c>
      <c r="B1584" t="s">
        <v>208</v>
      </c>
      <c r="C1584" t="s">
        <v>238</v>
      </c>
      <c r="D1584">
        <v>4</v>
      </c>
      <c r="E1584">
        <v>15547</v>
      </c>
      <c r="F1584" t="s">
        <v>274</v>
      </c>
      <c r="G1584" t="s">
        <v>275</v>
      </c>
      <c r="H1584">
        <v>575091</v>
      </c>
      <c r="I1584" t="s">
        <v>318</v>
      </c>
    </row>
    <row r="1585" spans="1:9" x14ac:dyDescent="0.25">
      <c r="A1585">
        <v>70367</v>
      </c>
      <c r="B1585" t="s">
        <v>208</v>
      </c>
      <c r="C1585" t="s">
        <v>238</v>
      </c>
      <c r="D1585">
        <v>4</v>
      </c>
      <c r="E1585">
        <v>15547</v>
      </c>
      <c r="F1585" t="s">
        <v>274</v>
      </c>
      <c r="G1585" t="s">
        <v>300</v>
      </c>
      <c r="H1585">
        <v>44864</v>
      </c>
      <c r="I1585" t="s">
        <v>301</v>
      </c>
    </row>
    <row r="1586" spans="1:9" x14ac:dyDescent="0.25">
      <c r="A1586">
        <v>70367</v>
      </c>
      <c r="B1586" t="s">
        <v>208</v>
      </c>
      <c r="C1586" t="s">
        <v>238</v>
      </c>
      <c r="D1586">
        <v>4</v>
      </c>
      <c r="E1586">
        <v>15547</v>
      </c>
      <c r="F1586" t="s">
        <v>274</v>
      </c>
      <c r="G1586" t="s">
        <v>275</v>
      </c>
      <c r="H1586">
        <v>-47315</v>
      </c>
      <c r="I1586" t="s">
        <v>302</v>
      </c>
    </row>
    <row r="1587" spans="1:9" x14ac:dyDescent="0.25">
      <c r="A1587">
        <v>70367</v>
      </c>
      <c r="B1587" t="s">
        <v>208</v>
      </c>
      <c r="C1587" t="s">
        <v>238</v>
      </c>
      <c r="D1587">
        <v>4</v>
      </c>
      <c r="E1587">
        <v>15547</v>
      </c>
      <c r="F1587" t="s">
        <v>279</v>
      </c>
      <c r="G1587" t="s">
        <v>30</v>
      </c>
      <c r="H1587">
        <v>153160</v>
      </c>
      <c r="I1587" t="s">
        <v>303</v>
      </c>
    </row>
    <row r="1588" spans="1:9" x14ac:dyDescent="0.25">
      <c r="A1588">
        <v>70367</v>
      </c>
      <c r="B1588" t="s">
        <v>208</v>
      </c>
      <c r="C1588" t="s">
        <v>238</v>
      </c>
      <c r="D1588">
        <v>4</v>
      </c>
      <c r="E1588">
        <v>15547</v>
      </c>
      <c r="F1588" t="s">
        <v>279</v>
      </c>
      <c r="G1588" t="s">
        <v>35</v>
      </c>
      <c r="H1588">
        <v>73573</v>
      </c>
      <c r="I1588" t="s">
        <v>304</v>
      </c>
    </row>
    <row r="1589" spans="1:9" x14ac:dyDescent="0.25">
      <c r="A1589">
        <v>70367</v>
      </c>
      <c r="B1589" t="s">
        <v>208</v>
      </c>
      <c r="C1589" t="s">
        <v>238</v>
      </c>
      <c r="D1589">
        <v>4</v>
      </c>
      <c r="E1589">
        <v>15547</v>
      </c>
      <c r="F1589" t="s">
        <v>279</v>
      </c>
      <c r="G1589" t="s">
        <v>31</v>
      </c>
      <c r="H1589">
        <v>679866</v>
      </c>
      <c r="I1589" t="s">
        <v>305</v>
      </c>
    </row>
    <row r="1590" spans="1:9" x14ac:dyDescent="0.25">
      <c r="A1590">
        <v>70367</v>
      </c>
      <c r="B1590" t="s">
        <v>208</v>
      </c>
      <c r="C1590" t="s">
        <v>238</v>
      </c>
      <c r="D1590">
        <v>4</v>
      </c>
      <c r="E1590">
        <v>15547</v>
      </c>
      <c r="F1590" t="s">
        <v>279</v>
      </c>
      <c r="G1590" t="s">
        <v>33</v>
      </c>
      <c r="H1590">
        <v>0</v>
      </c>
      <c r="I1590" t="s">
        <v>320</v>
      </c>
    </row>
    <row r="1591" spans="1:9" x14ac:dyDescent="0.25">
      <c r="A1591">
        <v>70367</v>
      </c>
      <c r="B1591" t="s">
        <v>208</v>
      </c>
      <c r="C1591" t="s">
        <v>238</v>
      </c>
      <c r="D1591">
        <v>4</v>
      </c>
      <c r="E1591">
        <v>15547</v>
      </c>
      <c r="F1591" t="s">
        <v>279</v>
      </c>
      <c r="G1591" t="s">
        <v>33</v>
      </c>
      <c r="H1591">
        <v>0</v>
      </c>
      <c r="I1591" t="s">
        <v>306</v>
      </c>
    </row>
    <row r="1592" spans="1:9" x14ac:dyDescent="0.25">
      <c r="A1592">
        <v>70367</v>
      </c>
      <c r="B1592" t="s">
        <v>208</v>
      </c>
      <c r="C1592" t="s">
        <v>238</v>
      </c>
      <c r="D1592">
        <v>4</v>
      </c>
      <c r="E1592">
        <v>15547</v>
      </c>
      <c r="F1592" t="s">
        <v>279</v>
      </c>
      <c r="G1592" t="s">
        <v>33</v>
      </c>
      <c r="H1592">
        <v>0</v>
      </c>
      <c r="I1592" t="s">
        <v>378</v>
      </c>
    </row>
    <row r="1593" spans="1:9" x14ac:dyDescent="0.25">
      <c r="A1593">
        <v>70367</v>
      </c>
      <c r="B1593" t="s">
        <v>208</v>
      </c>
      <c r="C1593" t="s">
        <v>238</v>
      </c>
      <c r="D1593">
        <v>4</v>
      </c>
      <c r="E1593">
        <v>15547</v>
      </c>
      <c r="F1593" t="s">
        <v>279</v>
      </c>
      <c r="G1593" t="s">
        <v>31</v>
      </c>
      <c r="H1593">
        <v>866084</v>
      </c>
      <c r="I1593" t="s">
        <v>307</v>
      </c>
    </row>
    <row r="1594" spans="1:9" x14ac:dyDescent="0.25">
      <c r="A1594">
        <v>70367</v>
      </c>
      <c r="B1594" t="s">
        <v>208</v>
      </c>
      <c r="C1594" t="s">
        <v>238</v>
      </c>
      <c r="D1594">
        <v>4</v>
      </c>
      <c r="E1594">
        <v>15547</v>
      </c>
      <c r="F1594" t="s">
        <v>279</v>
      </c>
      <c r="G1594" t="s">
        <v>31</v>
      </c>
      <c r="H1594">
        <v>0</v>
      </c>
      <c r="I1594" t="s">
        <v>379</v>
      </c>
    </row>
    <row r="1595" spans="1:9" x14ac:dyDescent="0.25">
      <c r="A1595">
        <v>70367</v>
      </c>
      <c r="B1595" t="s">
        <v>208</v>
      </c>
      <c r="C1595" t="s">
        <v>238</v>
      </c>
      <c r="D1595">
        <v>4</v>
      </c>
      <c r="E1595">
        <v>15547</v>
      </c>
      <c r="F1595" t="s">
        <v>279</v>
      </c>
      <c r="G1595" t="s">
        <v>30</v>
      </c>
      <c r="H1595">
        <v>34508</v>
      </c>
      <c r="I1595" t="s">
        <v>308</v>
      </c>
    </row>
    <row r="1596" spans="1:9" x14ac:dyDescent="0.25">
      <c r="A1596">
        <v>70367</v>
      </c>
      <c r="B1596" t="s">
        <v>208</v>
      </c>
      <c r="C1596" t="s">
        <v>238</v>
      </c>
      <c r="D1596">
        <v>4</v>
      </c>
      <c r="E1596">
        <v>15547</v>
      </c>
      <c r="F1596" t="s">
        <v>279</v>
      </c>
      <c r="G1596" t="s">
        <v>35</v>
      </c>
      <c r="H1596">
        <v>13585</v>
      </c>
      <c r="I1596" t="s">
        <v>321</v>
      </c>
    </row>
    <row r="1597" spans="1:9" x14ac:dyDescent="0.25">
      <c r="A1597">
        <v>70367</v>
      </c>
      <c r="B1597" t="s">
        <v>208</v>
      </c>
      <c r="C1597" t="s">
        <v>238</v>
      </c>
      <c r="D1597">
        <v>4</v>
      </c>
      <c r="E1597">
        <v>15547</v>
      </c>
      <c r="F1597" t="s">
        <v>279</v>
      </c>
      <c r="G1597" t="s">
        <v>33</v>
      </c>
      <c r="H1597">
        <v>0</v>
      </c>
      <c r="I1597" t="s">
        <v>380</v>
      </c>
    </row>
    <row r="1598" spans="1:9" x14ac:dyDescent="0.25">
      <c r="A1598">
        <v>70367</v>
      </c>
      <c r="B1598" t="s">
        <v>208</v>
      </c>
      <c r="C1598" t="s">
        <v>238</v>
      </c>
      <c r="D1598">
        <v>4</v>
      </c>
      <c r="E1598">
        <v>15547</v>
      </c>
      <c r="F1598" t="s">
        <v>279</v>
      </c>
      <c r="G1598" t="s">
        <v>35</v>
      </c>
      <c r="H1598">
        <v>807</v>
      </c>
      <c r="I1598" t="s">
        <v>309</v>
      </c>
    </row>
    <row r="1599" spans="1:9" x14ac:dyDescent="0.25">
      <c r="A1599">
        <v>70367</v>
      </c>
      <c r="B1599" t="s">
        <v>208</v>
      </c>
      <c r="C1599" t="s">
        <v>238</v>
      </c>
      <c r="D1599">
        <v>4</v>
      </c>
      <c r="E1599">
        <v>15547</v>
      </c>
      <c r="F1599" t="s">
        <v>279</v>
      </c>
      <c r="G1599" t="s">
        <v>35</v>
      </c>
      <c r="H1599">
        <v>4982</v>
      </c>
      <c r="I1599" t="s">
        <v>310</v>
      </c>
    </row>
    <row r="1600" spans="1:9" x14ac:dyDescent="0.25">
      <c r="A1600">
        <v>70367</v>
      </c>
      <c r="B1600" t="s">
        <v>208</v>
      </c>
      <c r="C1600" t="s">
        <v>238</v>
      </c>
      <c r="D1600">
        <v>4</v>
      </c>
      <c r="E1600">
        <v>15547</v>
      </c>
      <c r="F1600" t="s">
        <v>279</v>
      </c>
      <c r="G1600" t="s">
        <v>35</v>
      </c>
      <c r="H1600">
        <v>35410</v>
      </c>
      <c r="I1600" t="s">
        <v>311</v>
      </c>
    </row>
    <row r="1601" spans="1:9" x14ac:dyDescent="0.25">
      <c r="A1601">
        <v>70367</v>
      </c>
      <c r="B1601" t="s">
        <v>208</v>
      </c>
      <c r="C1601" t="s">
        <v>238</v>
      </c>
      <c r="D1601">
        <v>4</v>
      </c>
      <c r="E1601">
        <v>15547</v>
      </c>
      <c r="F1601" t="s">
        <v>279</v>
      </c>
      <c r="G1601" t="s">
        <v>35</v>
      </c>
      <c r="H1601">
        <v>293</v>
      </c>
      <c r="I1601" t="s">
        <v>312</v>
      </c>
    </row>
    <row r="1602" spans="1:9" x14ac:dyDescent="0.25">
      <c r="A1602">
        <v>70367</v>
      </c>
      <c r="B1602" t="s">
        <v>208</v>
      </c>
      <c r="C1602" t="s">
        <v>238</v>
      </c>
      <c r="D1602">
        <v>4</v>
      </c>
      <c r="E1602">
        <v>15547</v>
      </c>
      <c r="F1602" t="s">
        <v>279</v>
      </c>
      <c r="G1602" t="s">
        <v>35</v>
      </c>
      <c r="H1602">
        <v>1000</v>
      </c>
      <c r="I1602" t="s">
        <v>313</v>
      </c>
    </row>
    <row r="1603" spans="1:9" x14ac:dyDescent="0.25">
      <c r="A1603">
        <v>70367</v>
      </c>
      <c r="B1603" t="s">
        <v>208</v>
      </c>
      <c r="C1603" t="s">
        <v>238</v>
      </c>
      <c r="D1603">
        <v>4</v>
      </c>
      <c r="E1603">
        <v>15547</v>
      </c>
      <c r="F1603" t="s">
        <v>279</v>
      </c>
      <c r="G1603" t="s">
        <v>35</v>
      </c>
      <c r="H1603">
        <v>0</v>
      </c>
      <c r="I1603" t="s">
        <v>325</v>
      </c>
    </row>
    <row r="1604" spans="1:9" x14ac:dyDescent="0.25">
      <c r="A1604">
        <v>70367</v>
      </c>
      <c r="B1604" t="s">
        <v>208</v>
      </c>
      <c r="C1604" t="s">
        <v>238</v>
      </c>
      <c r="D1604">
        <v>4</v>
      </c>
      <c r="E1604">
        <v>15547</v>
      </c>
      <c r="F1604" t="s">
        <v>279</v>
      </c>
      <c r="G1604" t="s">
        <v>29</v>
      </c>
      <c r="H1604">
        <v>2231</v>
      </c>
      <c r="I1604" t="s">
        <v>297</v>
      </c>
    </row>
    <row r="1605" spans="1:9" x14ac:dyDescent="0.25">
      <c r="A1605">
        <v>70367</v>
      </c>
      <c r="B1605" t="s">
        <v>208</v>
      </c>
      <c r="C1605" t="s">
        <v>238</v>
      </c>
      <c r="D1605">
        <v>4</v>
      </c>
      <c r="E1605">
        <v>15547</v>
      </c>
      <c r="F1605" t="s">
        <v>279</v>
      </c>
      <c r="G1605" t="s">
        <v>36</v>
      </c>
      <c r="H1605">
        <v>67440</v>
      </c>
      <c r="I1605" t="s">
        <v>298</v>
      </c>
    </row>
    <row r="1606" spans="1:9" x14ac:dyDescent="0.25">
      <c r="A1606">
        <v>70367</v>
      </c>
      <c r="B1606" t="s">
        <v>208</v>
      </c>
      <c r="C1606" t="s">
        <v>238</v>
      </c>
      <c r="D1606">
        <v>4</v>
      </c>
      <c r="E1606">
        <v>15547</v>
      </c>
      <c r="F1606" t="s">
        <v>274</v>
      </c>
      <c r="G1606" t="s">
        <v>275</v>
      </c>
      <c r="H1606">
        <v>2153635</v>
      </c>
      <c r="I1606" t="s">
        <v>299</v>
      </c>
    </row>
    <row r="1607" spans="1:9" x14ac:dyDescent="0.25">
      <c r="A1607">
        <v>70367</v>
      </c>
      <c r="B1607" t="s">
        <v>208</v>
      </c>
      <c r="C1607" t="s">
        <v>238</v>
      </c>
      <c r="D1607">
        <v>4</v>
      </c>
      <c r="E1607">
        <v>15547</v>
      </c>
      <c r="F1607" t="s">
        <v>274</v>
      </c>
      <c r="G1607" t="s">
        <v>275</v>
      </c>
      <c r="H1607">
        <v>0</v>
      </c>
      <c r="I1607" t="s">
        <v>385</v>
      </c>
    </row>
    <row r="1608" spans="1:9" x14ac:dyDescent="0.25">
      <c r="A1608">
        <v>70368</v>
      </c>
      <c r="B1608" t="s">
        <v>211</v>
      </c>
      <c r="C1608" t="s">
        <v>238</v>
      </c>
      <c r="D1608">
        <v>4</v>
      </c>
      <c r="E1608">
        <v>-155844</v>
      </c>
      <c r="F1608" t="s">
        <v>279</v>
      </c>
      <c r="G1608" t="s">
        <v>29</v>
      </c>
      <c r="H1608">
        <v>628</v>
      </c>
      <c r="I1608" t="s">
        <v>286</v>
      </c>
    </row>
    <row r="1609" spans="1:9" x14ac:dyDescent="0.25">
      <c r="A1609">
        <v>70368</v>
      </c>
      <c r="B1609" t="s">
        <v>211</v>
      </c>
      <c r="C1609" t="s">
        <v>238</v>
      </c>
      <c r="D1609">
        <v>4</v>
      </c>
      <c r="E1609">
        <v>-155844</v>
      </c>
      <c r="F1609" t="s">
        <v>279</v>
      </c>
      <c r="G1609" t="s">
        <v>29</v>
      </c>
      <c r="H1609">
        <v>0</v>
      </c>
      <c r="I1609" t="s">
        <v>327</v>
      </c>
    </row>
    <row r="1610" spans="1:9" x14ac:dyDescent="0.25">
      <c r="A1610">
        <v>70368</v>
      </c>
      <c r="B1610" t="s">
        <v>211</v>
      </c>
      <c r="C1610" t="s">
        <v>238</v>
      </c>
      <c r="D1610">
        <v>4</v>
      </c>
      <c r="E1610">
        <v>-155844</v>
      </c>
      <c r="F1610" t="s">
        <v>279</v>
      </c>
      <c r="G1610" t="s">
        <v>34</v>
      </c>
      <c r="H1610">
        <v>10236</v>
      </c>
      <c r="I1610" t="s">
        <v>287</v>
      </c>
    </row>
    <row r="1611" spans="1:9" x14ac:dyDescent="0.25">
      <c r="A1611">
        <v>70368</v>
      </c>
      <c r="B1611" t="s">
        <v>211</v>
      </c>
      <c r="C1611" t="s">
        <v>238</v>
      </c>
      <c r="D1611">
        <v>4</v>
      </c>
      <c r="E1611">
        <v>-155844</v>
      </c>
      <c r="F1611" t="s">
        <v>279</v>
      </c>
      <c r="G1611" t="s">
        <v>29</v>
      </c>
      <c r="H1611">
        <v>50060</v>
      </c>
      <c r="I1611" t="s">
        <v>288</v>
      </c>
    </row>
    <row r="1612" spans="1:9" x14ac:dyDescent="0.25">
      <c r="A1612">
        <v>70368</v>
      </c>
      <c r="B1612" t="s">
        <v>211</v>
      </c>
      <c r="C1612" t="s">
        <v>238</v>
      </c>
      <c r="D1612">
        <v>4</v>
      </c>
      <c r="E1612">
        <v>-155844</v>
      </c>
      <c r="F1612" t="s">
        <v>279</v>
      </c>
      <c r="G1612" t="s">
        <v>34</v>
      </c>
      <c r="H1612">
        <v>10700</v>
      </c>
      <c r="I1612" t="s">
        <v>289</v>
      </c>
    </row>
    <row r="1613" spans="1:9" x14ac:dyDescent="0.25">
      <c r="A1613">
        <v>70368</v>
      </c>
      <c r="B1613" t="s">
        <v>211</v>
      </c>
      <c r="C1613" t="s">
        <v>238</v>
      </c>
      <c r="D1613">
        <v>4</v>
      </c>
      <c r="E1613">
        <v>-155844</v>
      </c>
      <c r="F1613" t="s">
        <v>279</v>
      </c>
      <c r="G1613" t="s">
        <v>29</v>
      </c>
      <c r="H1613">
        <v>6117</v>
      </c>
      <c r="I1613" t="s">
        <v>290</v>
      </c>
    </row>
    <row r="1614" spans="1:9" x14ac:dyDescent="0.25">
      <c r="A1614">
        <v>70368</v>
      </c>
      <c r="B1614" t="s">
        <v>211</v>
      </c>
      <c r="C1614" t="s">
        <v>238</v>
      </c>
      <c r="D1614">
        <v>4</v>
      </c>
      <c r="E1614">
        <v>-155844</v>
      </c>
      <c r="F1614" t="s">
        <v>279</v>
      </c>
      <c r="G1614" t="s">
        <v>32</v>
      </c>
      <c r="H1614">
        <v>62237</v>
      </c>
      <c r="I1614" t="s">
        <v>291</v>
      </c>
    </row>
    <row r="1615" spans="1:9" x14ac:dyDescent="0.25">
      <c r="A1615">
        <v>70368</v>
      </c>
      <c r="B1615" t="s">
        <v>211</v>
      </c>
      <c r="C1615" t="s">
        <v>238</v>
      </c>
      <c r="D1615">
        <v>4</v>
      </c>
      <c r="E1615">
        <v>-155844</v>
      </c>
      <c r="F1615" t="s">
        <v>279</v>
      </c>
      <c r="G1615" t="s">
        <v>29</v>
      </c>
      <c r="H1615">
        <v>12622</v>
      </c>
      <c r="I1615" t="s">
        <v>292</v>
      </c>
    </row>
    <row r="1616" spans="1:9" x14ac:dyDescent="0.25">
      <c r="A1616">
        <v>70368</v>
      </c>
      <c r="B1616" t="s">
        <v>211</v>
      </c>
      <c r="C1616" t="s">
        <v>238</v>
      </c>
      <c r="D1616">
        <v>4</v>
      </c>
      <c r="E1616">
        <v>-155844</v>
      </c>
      <c r="F1616" t="s">
        <v>279</v>
      </c>
      <c r="G1616" t="s">
        <v>29</v>
      </c>
      <c r="H1616">
        <v>0</v>
      </c>
      <c r="I1616" t="s">
        <v>384</v>
      </c>
    </row>
    <row r="1617" spans="1:9" x14ac:dyDescent="0.25">
      <c r="A1617">
        <v>70368</v>
      </c>
      <c r="B1617" t="s">
        <v>211</v>
      </c>
      <c r="C1617" t="s">
        <v>238</v>
      </c>
      <c r="D1617">
        <v>4</v>
      </c>
      <c r="E1617">
        <v>-155844</v>
      </c>
      <c r="F1617" t="s">
        <v>279</v>
      </c>
      <c r="G1617" t="s">
        <v>35</v>
      </c>
      <c r="H1617">
        <v>4078</v>
      </c>
      <c r="I1617" t="s">
        <v>293</v>
      </c>
    </row>
    <row r="1618" spans="1:9" x14ac:dyDescent="0.25">
      <c r="A1618">
        <v>70368</v>
      </c>
      <c r="B1618" t="s">
        <v>211</v>
      </c>
      <c r="C1618" t="s">
        <v>238</v>
      </c>
      <c r="D1618">
        <v>4</v>
      </c>
      <c r="E1618">
        <v>-155844</v>
      </c>
      <c r="F1618" t="s">
        <v>279</v>
      </c>
      <c r="G1618" t="s">
        <v>35</v>
      </c>
      <c r="H1618">
        <v>151</v>
      </c>
      <c r="I1618" t="s">
        <v>294</v>
      </c>
    </row>
    <row r="1619" spans="1:9" x14ac:dyDescent="0.25">
      <c r="A1619">
        <v>70368</v>
      </c>
      <c r="B1619" t="s">
        <v>211</v>
      </c>
      <c r="C1619" t="s">
        <v>238</v>
      </c>
      <c r="D1619">
        <v>4</v>
      </c>
      <c r="E1619">
        <v>-155844</v>
      </c>
      <c r="F1619" t="s">
        <v>279</v>
      </c>
      <c r="G1619" t="s">
        <v>35</v>
      </c>
      <c r="H1619">
        <v>3684</v>
      </c>
      <c r="I1619" t="s">
        <v>295</v>
      </c>
    </row>
    <row r="1620" spans="1:9" x14ac:dyDescent="0.25">
      <c r="A1620">
        <v>70368</v>
      </c>
      <c r="B1620" t="s">
        <v>211</v>
      </c>
      <c r="C1620" t="s">
        <v>238</v>
      </c>
      <c r="D1620">
        <v>4</v>
      </c>
      <c r="E1620">
        <v>-155844</v>
      </c>
      <c r="F1620" t="s">
        <v>279</v>
      </c>
      <c r="G1620" t="s">
        <v>35</v>
      </c>
      <c r="H1620">
        <v>5602</v>
      </c>
      <c r="I1620" t="s">
        <v>296</v>
      </c>
    </row>
    <row r="1621" spans="1:9" x14ac:dyDescent="0.25">
      <c r="A1621">
        <v>70368</v>
      </c>
      <c r="B1621" t="s">
        <v>211</v>
      </c>
      <c r="C1621" t="s">
        <v>238</v>
      </c>
      <c r="D1621">
        <v>4</v>
      </c>
      <c r="E1621">
        <v>-155844</v>
      </c>
      <c r="F1621" t="s">
        <v>279</v>
      </c>
      <c r="G1621" t="s">
        <v>35</v>
      </c>
      <c r="H1621">
        <v>0</v>
      </c>
      <c r="I1621" t="s">
        <v>325</v>
      </c>
    </row>
    <row r="1622" spans="1:9" x14ac:dyDescent="0.25">
      <c r="A1622">
        <v>70368</v>
      </c>
      <c r="B1622" t="s">
        <v>211</v>
      </c>
      <c r="C1622" t="s">
        <v>238</v>
      </c>
      <c r="D1622">
        <v>4</v>
      </c>
      <c r="E1622">
        <v>-155844</v>
      </c>
      <c r="F1622" t="s">
        <v>279</v>
      </c>
      <c r="G1622" t="s">
        <v>29</v>
      </c>
      <c r="H1622">
        <v>4277</v>
      </c>
      <c r="I1622" t="s">
        <v>297</v>
      </c>
    </row>
    <row r="1623" spans="1:9" x14ac:dyDescent="0.25">
      <c r="A1623">
        <v>70368</v>
      </c>
      <c r="B1623" t="s">
        <v>211</v>
      </c>
      <c r="C1623" t="s">
        <v>238</v>
      </c>
      <c r="D1623">
        <v>4</v>
      </c>
      <c r="E1623">
        <v>-155844</v>
      </c>
      <c r="F1623" t="s">
        <v>279</v>
      </c>
      <c r="G1623" t="s">
        <v>36</v>
      </c>
      <c r="H1623">
        <v>28151</v>
      </c>
      <c r="I1623" t="s">
        <v>298</v>
      </c>
    </row>
    <row r="1624" spans="1:9" x14ac:dyDescent="0.25">
      <c r="A1624">
        <v>70368</v>
      </c>
      <c r="B1624" t="s">
        <v>211</v>
      </c>
      <c r="C1624" t="s">
        <v>238</v>
      </c>
      <c r="D1624">
        <v>4</v>
      </c>
      <c r="E1624">
        <v>-155844</v>
      </c>
      <c r="F1624" t="s">
        <v>274</v>
      </c>
      <c r="G1624" t="s">
        <v>275</v>
      </c>
      <c r="H1624">
        <v>122101</v>
      </c>
      <c r="I1624" t="s">
        <v>299</v>
      </c>
    </row>
    <row r="1625" spans="1:9" x14ac:dyDescent="0.25">
      <c r="A1625">
        <v>70368</v>
      </c>
      <c r="B1625" t="s">
        <v>211</v>
      </c>
      <c r="C1625" t="s">
        <v>238</v>
      </c>
      <c r="D1625">
        <v>4</v>
      </c>
      <c r="E1625">
        <v>-155844</v>
      </c>
      <c r="F1625" t="s">
        <v>274</v>
      </c>
      <c r="G1625" t="s">
        <v>275</v>
      </c>
      <c r="H1625">
        <v>0</v>
      </c>
      <c r="I1625" t="s">
        <v>385</v>
      </c>
    </row>
    <row r="1626" spans="1:9" x14ac:dyDescent="0.25">
      <c r="A1626">
        <v>70368</v>
      </c>
      <c r="B1626" t="s">
        <v>211</v>
      </c>
      <c r="C1626" t="s">
        <v>238</v>
      </c>
      <c r="D1626">
        <v>4</v>
      </c>
      <c r="E1626">
        <v>-155844</v>
      </c>
      <c r="F1626" t="s">
        <v>279</v>
      </c>
      <c r="G1626" t="s">
        <v>31</v>
      </c>
      <c r="H1626">
        <v>221024</v>
      </c>
      <c r="I1626" t="s">
        <v>305</v>
      </c>
    </row>
    <row r="1627" spans="1:9" x14ac:dyDescent="0.25">
      <c r="A1627">
        <v>70368</v>
      </c>
      <c r="B1627" t="s">
        <v>211</v>
      </c>
      <c r="C1627" t="s">
        <v>238</v>
      </c>
      <c r="D1627">
        <v>4</v>
      </c>
      <c r="E1627">
        <v>-155844</v>
      </c>
      <c r="F1627" t="s">
        <v>279</v>
      </c>
      <c r="G1627" t="s">
        <v>33</v>
      </c>
      <c r="H1627">
        <v>0</v>
      </c>
      <c r="I1627" t="s">
        <v>320</v>
      </c>
    </row>
    <row r="1628" spans="1:9" x14ac:dyDescent="0.25">
      <c r="A1628">
        <v>70368</v>
      </c>
      <c r="B1628" t="s">
        <v>211</v>
      </c>
      <c r="C1628" t="s">
        <v>238</v>
      </c>
      <c r="D1628">
        <v>4</v>
      </c>
      <c r="E1628">
        <v>-155844</v>
      </c>
      <c r="F1628" t="s">
        <v>279</v>
      </c>
      <c r="G1628" t="s">
        <v>33</v>
      </c>
      <c r="H1628">
        <v>0</v>
      </c>
      <c r="I1628" t="s">
        <v>306</v>
      </c>
    </row>
    <row r="1629" spans="1:9" x14ac:dyDescent="0.25">
      <c r="A1629">
        <v>70368</v>
      </c>
      <c r="B1629" t="s">
        <v>211</v>
      </c>
      <c r="C1629" t="s">
        <v>238</v>
      </c>
      <c r="D1629">
        <v>4</v>
      </c>
      <c r="E1629">
        <v>-155844</v>
      </c>
      <c r="F1629" t="s">
        <v>279</v>
      </c>
      <c r="G1629" t="s">
        <v>33</v>
      </c>
      <c r="H1629">
        <v>0</v>
      </c>
      <c r="I1629" t="s">
        <v>378</v>
      </c>
    </row>
    <row r="1630" spans="1:9" x14ac:dyDescent="0.25">
      <c r="A1630">
        <v>70368</v>
      </c>
      <c r="B1630" t="s">
        <v>211</v>
      </c>
      <c r="C1630" t="s">
        <v>238</v>
      </c>
      <c r="D1630">
        <v>4</v>
      </c>
      <c r="E1630">
        <v>-155844</v>
      </c>
      <c r="F1630" t="s">
        <v>279</v>
      </c>
      <c r="G1630" t="s">
        <v>31</v>
      </c>
      <c r="H1630">
        <v>303951</v>
      </c>
      <c r="I1630" t="s">
        <v>307</v>
      </c>
    </row>
    <row r="1631" spans="1:9" x14ac:dyDescent="0.25">
      <c r="A1631">
        <v>70368</v>
      </c>
      <c r="B1631" t="s">
        <v>211</v>
      </c>
      <c r="C1631" t="s">
        <v>238</v>
      </c>
      <c r="D1631">
        <v>4</v>
      </c>
      <c r="E1631">
        <v>-155844</v>
      </c>
      <c r="F1631" t="s">
        <v>279</v>
      </c>
      <c r="G1631" t="s">
        <v>31</v>
      </c>
      <c r="H1631">
        <v>0</v>
      </c>
      <c r="I1631" t="s">
        <v>379</v>
      </c>
    </row>
    <row r="1632" spans="1:9" x14ac:dyDescent="0.25">
      <c r="A1632">
        <v>70368</v>
      </c>
      <c r="B1632" t="s">
        <v>211</v>
      </c>
      <c r="C1632" t="s">
        <v>238</v>
      </c>
      <c r="D1632">
        <v>4</v>
      </c>
      <c r="E1632">
        <v>-155844</v>
      </c>
      <c r="F1632" t="s">
        <v>279</v>
      </c>
      <c r="G1632" t="s">
        <v>30</v>
      </c>
      <c r="H1632">
        <v>29055</v>
      </c>
      <c r="I1632" t="s">
        <v>308</v>
      </c>
    </row>
    <row r="1633" spans="1:9" x14ac:dyDescent="0.25">
      <c r="A1633">
        <v>70368</v>
      </c>
      <c r="B1633" t="s">
        <v>211</v>
      </c>
      <c r="C1633" t="s">
        <v>238</v>
      </c>
      <c r="D1633">
        <v>4</v>
      </c>
      <c r="E1633">
        <v>-155844</v>
      </c>
      <c r="F1633" t="s">
        <v>279</v>
      </c>
      <c r="G1633" t="s">
        <v>35</v>
      </c>
      <c r="H1633">
        <v>5792</v>
      </c>
      <c r="I1633" t="s">
        <v>321</v>
      </c>
    </row>
    <row r="1634" spans="1:9" x14ac:dyDescent="0.25">
      <c r="A1634">
        <v>70368</v>
      </c>
      <c r="B1634" t="s">
        <v>211</v>
      </c>
      <c r="C1634" t="s">
        <v>238</v>
      </c>
      <c r="D1634">
        <v>4</v>
      </c>
      <c r="E1634">
        <v>-155844</v>
      </c>
      <c r="F1634" t="s">
        <v>279</v>
      </c>
      <c r="G1634" t="s">
        <v>33</v>
      </c>
      <c r="H1634">
        <v>0</v>
      </c>
      <c r="I1634" t="s">
        <v>380</v>
      </c>
    </row>
    <row r="1635" spans="1:9" x14ac:dyDescent="0.25">
      <c r="A1635">
        <v>70368</v>
      </c>
      <c r="B1635" t="s">
        <v>211</v>
      </c>
      <c r="C1635" t="s">
        <v>238</v>
      </c>
      <c r="D1635">
        <v>4</v>
      </c>
      <c r="E1635">
        <v>-155844</v>
      </c>
      <c r="F1635" t="s">
        <v>279</v>
      </c>
      <c r="G1635" t="s">
        <v>35</v>
      </c>
      <c r="H1635">
        <v>348</v>
      </c>
      <c r="I1635" t="s">
        <v>309</v>
      </c>
    </row>
    <row r="1636" spans="1:9" x14ac:dyDescent="0.25">
      <c r="A1636">
        <v>70368</v>
      </c>
      <c r="B1636" t="s">
        <v>211</v>
      </c>
      <c r="C1636" t="s">
        <v>238</v>
      </c>
      <c r="D1636">
        <v>4</v>
      </c>
      <c r="E1636">
        <v>-155844</v>
      </c>
      <c r="F1636" t="s">
        <v>279</v>
      </c>
      <c r="G1636" t="s">
        <v>35</v>
      </c>
      <c r="H1636">
        <v>4593</v>
      </c>
      <c r="I1636" t="s">
        <v>310</v>
      </c>
    </row>
    <row r="1637" spans="1:9" x14ac:dyDescent="0.25">
      <c r="A1637">
        <v>70368</v>
      </c>
      <c r="B1637" t="s">
        <v>211</v>
      </c>
      <c r="C1637" t="s">
        <v>238</v>
      </c>
      <c r="D1637">
        <v>4</v>
      </c>
      <c r="E1637">
        <v>-155844</v>
      </c>
      <c r="F1637" t="s">
        <v>279</v>
      </c>
      <c r="G1637" t="s">
        <v>35</v>
      </c>
      <c r="H1637">
        <v>16027</v>
      </c>
      <c r="I1637" t="s">
        <v>311</v>
      </c>
    </row>
    <row r="1638" spans="1:9" x14ac:dyDescent="0.25">
      <c r="A1638">
        <v>70368</v>
      </c>
      <c r="B1638" t="s">
        <v>211</v>
      </c>
      <c r="C1638" t="s">
        <v>238</v>
      </c>
      <c r="D1638">
        <v>4</v>
      </c>
      <c r="E1638">
        <v>-155844</v>
      </c>
      <c r="F1638" t="s">
        <v>279</v>
      </c>
      <c r="G1638" t="s">
        <v>35</v>
      </c>
      <c r="H1638">
        <v>104</v>
      </c>
      <c r="I1638" t="s">
        <v>312</v>
      </c>
    </row>
    <row r="1639" spans="1:9" x14ac:dyDescent="0.25">
      <c r="A1639">
        <v>70368</v>
      </c>
      <c r="B1639" t="s">
        <v>211</v>
      </c>
      <c r="C1639" t="s">
        <v>238</v>
      </c>
      <c r="D1639">
        <v>4</v>
      </c>
      <c r="E1639">
        <v>-155844</v>
      </c>
      <c r="F1639" t="s">
        <v>279</v>
      </c>
      <c r="G1639" t="s">
        <v>35</v>
      </c>
      <c r="H1639">
        <v>570</v>
      </c>
      <c r="I1639" t="s">
        <v>313</v>
      </c>
    </row>
    <row r="1640" spans="1:9" x14ac:dyDescent="0.25">
      <c r="A1640">
        <v>70368</v>
      </c>
      <c r="B1640" t="s">
        <v>211</v>
      </c>
      <c r="C1640" t="s">
        <v>238</v>
      </c>
      <c r="D1640">
        <v>4</v>
      </c>
      <c r="E1640">
        <v>-155844</v>
      </c>
      <c r="F1640" t="s">
        <v>279</v>
      </c>
      <c r="G1640" t="s">
        <v>37</v>
      </c>
      <c r="H1640">
        <v>0</v>
      </c>
      <c r="I1640" t="s">
        <v>381</v>
      </c>
    </row>
    <row r="1641" spans="1:9" x14ac:dyDescent="0.25">
      <c r="A1641">
        <v>70368</v>
      </c>
      <c r="B1641" t="s">
        <v>211</v>
      </c>
      <c r="C1641" t="s">
        <v>238</v>
      </c>
      <c r="D1641">
        <v>4</v>
      </c>
      <c r="E1641">
        <v>-155844</v>
      </c>
      <c r="F1641" t="s">
        <v>279</v>
      </c>
      <c r="G1641" t="s">
        <v>37</v>
      </c>
      <c r="H1641">
        <v>22778</v>
      </c>
      <c r="I1641" t="s">
        <v>314</v>
      </c>
    </row>
    <row r="1642" spans="1:9" x14ac:dyDescent="0.25">
      <c r="A1642">
        <v>70368</v>
      </c>
      <c r="B1642" t="s">
        <v>211</v>
      </c>
      <c r="C1642" t="s">
        <v>238</v>
      </c>
      <c r="D1642">
        <v>4</v>
      </c>
      <c r="E1642">
        <v>-155844</v>
      </c>
      <c r="F1642" t="s">
        <v>279</v>
      </c>
      <c r="G1642" t="s">
        <v>35</v>
      </c>
      <c r="H1642">
        <v>1997</v>
      </c>
      <c r="I1642" t="s">
        <v>315</v>
      </c>
    </row>
    <row r="1643" spans="1:9" x14ac:dyDescent="0.25">
      <c r="A1643">
        <v>70368</v>
      </c>
      <c r="B1643" t="s">
        <v>211</v>
      </c>
      <c r="C1643" t="s">
        <v>238</v>
      </c>
      <c r="D1643">
        <v>4</v>
      </c>
      <c r="E1643">
        <v>-155844</v>
      </c>
      <c r="F1643" t="s">
        <v>279</v>
      </c>
      <c r="G1643" t="s">
        <v>37</v>
      </c>
      <c r="H1643">
        <v>0</v>
      </c>
      <c r="I1643" t="s">
        <v>323</v>
      </c>
    </row>
    <row r="1644" spans="1:9" x14ac:dyDescent="0.25">
      <c r="A1644">
        <v>70368</v>
      </c>
      <c r="B1644" t="s">
        <v>211</v>
      </c>
      <c r="C1644" t="s">
        <v>238</v>
      </c>
      <c r="D1644">
        <v>4</v>
      </c>
      <c r="E1644">
        <v>-155844</v>
      </c>
      <c r="F1644" t="s">
        <v>279</v>
      </c>
      <c r="G1644" t="s">
        <v>37</v>
      </c>
      <c r="H1644">
        <v>0</v>
      </c>
      <c r="I1644" t="s">
        <v>322</v>
      </c>
    </row>
    <row r="1645" spans="1:9" x14ac:dyDescent="0.25">
      <c r="A1645">
        <v>70368</v>
      </c>
      <c r="B1645" t="s">
        <v>211</v>
      </c>
      <c r="C1645" t="s">
        <v>238</v>
      </c>
      <c r="D1645">
        <v>4</v>
      </c>
      <c r="E1645">
        <v>-155844</v>
      </c>
      <c r="F1645" t="s">
        <v>279</v>
      </c>
      <c r="G1645" t="s">
        <v>37</v>
      </c>
      <c r="H1645">
        <v>0</v>
      </c>
      <c r="I1645" t="s">
        <v>382</v>
      </c>
    </row>
    <row r="1646" spans="1:9" x14ac:dyDescent="0.25">
      <c r="A1646">
        <v>70368</v>
      </c>
      <c r="B1646" t="s">
        <v>211</v>
      </c>
      <c r="C1646" t="s">
        <v>238</v>
      </c>
      <c r="D1646">
        <v>4</v>
      </c>
      <c r="E1646">
        <v>-155844</v>
      </c>
      <c r="F1646" t="s">
        <v>279</v>
      </c>
      <c r="G1646" t="s">
        <v>37</v>
      </c>
      <c r="H1646">
        <v>18138</v>
      </c>
      <c r="I1646" t="s">
        <v>316</v>
      </c>
    </row>
    <row r="1647" spans="1:9" x14ac:dyDescent="0.25">
      <c r="A1647">
        <v>70368</v>
      </c>
      <c r="B1647" t="s">
        <v>211</v>
      </c>
      <c r="C1647" t="s">
        <v>238</v>
      </c>
      <c r="D1647">
        <v>4</v>
      </c>
      <c r="E1647">
        <v>-155844</v>
      </c>
      <c r="F1647" t="s">
        <v>279</v>
      </c>
      <c r="G1647" t="s">
        <v>36</v>
      </c>
      <c r="H1647">
        <v>40442</v>
      </c>
      <c r="I1647" t="s">
        <v>317</v>
      </c>
    </row>
    <row r="1648" spans="1:9" x14ac:dyDescent="0.25">
      <c r="A1648">
        <v>70368</v>
      </c>
      <c r="B1648" t="s">
        <v>211</v>
      </c>
      <c r="C1648" t="s">
        <v>238</v>
      </c>
      <c r="D1648">
        <v>4</v>
      </c>
      <c r="E1648">
        <v>-155844</v>
      </c>
      <c r="F1648" t="s">
        <v>274</v>
      </c>
      <c r="G1648" t="s">
        <v>275</v>
      </c>
      <c r="H1648">
        <v>0</v>
      </c>
      <c r="I1648" t="s">
        <v>276</v>
      </c>
    </row>
    <row r="1649" spans="1:9" x14ac:dyDescent="0.25">
      <c r="A1649">
        <v>70368</v>
      </c>
      <c r="B1649" t="s">
        <v>211</v>
      </c>
      <c r="C1649" t="s">
        <v>238</v>
      </c>
      <c r="D1649">
        <v>4</v>
      </c>
      <c r="E1649">
        <v>-155844</v>
      </c>
      <c r="F1649" t="s">
        <v>279</v>
      </c>
      <c r="G1649" t="s">
        <v>29</v>
      </c>
      <c r="H1649">
        <v>0</v>
      </c>
      <c r="I1649" t="s">
        <v>324</v>
      </c>
    </row>
    <row r="1650" spans="1:9" x14ac:dyDescent="0.25">
      <c r="A1650">
        <v>70368</v>
      </c>
      <c r="B1650" t="s">
        <v>211</v>
      </c>
      <c r="C1650" t="s">
        <v>238</v>
      </c>
      <c r="D1650">
        <v>4</v>
      </c>
      <c r="E1650">
        <v>-155844</v>
      </c>
      <c r="F1650" t="s">
        <v>274</v>
      </c>
      <c r="G1650" t="s">
        <v>277</v>
      </c>
      <c r="H1650">
        <v>342</v>
      </c>
      <c r="I1650" t="s">
        <v>278</v>
      </c>
    </row>
    <row r="1651" spans="1:9" x14ac:dyDescent="0.25">
      <c r="A1651">
        <v>70368</v>
      </c>
      <c r="B1651" t="s">
        <v>211</v>
      </c>
      <c r="C1651" t="s">
        <v>238</v>
      </c>
      <c r="D1651">
        <v>4</v>
      </c>
      <c r="E1651">
        <v>-155844</v>
      </c>
      <c r="F1651" t="s">
        <v>274</v>
      </c>
      <c r="G1651" t="s">
        <v>300</v>
      </c>
      <c r="H1651">
        <v>0</v>
      </c>
      <c r="I1651" t="s">
        <v>383</v>
      </c>
    </row>
    <row r="1652" spans="1:9" x14ac:dyDescent="0.25">
      <c r="A1652">
        <v>70368</v>
      </c>
      <c r="B1652" t="s">
        <v>211</v>
      </c>
      <c r="C1652" t="s">
        <v>238</v>
      </c>
      <c r="D1652">
        <v>4</v>
      </c>
      <c r="E1652">
        <v>-155844</v>
      </c>
      <c r="F1652" t="s">
        <v>279</v>
      </c>
      <c r="G1652" t="s">
        <v>33</v>
      </c>
      <c r="H1652">
        <v>46681</v>
      </c>
      <c r="I1652" t="s">
        <v>280</v>
      </c>
    </row>
    <row r="1653" spans="1:9" x14ac:dyDescent="0.25">
      <c r="A1653">
        <v>70368</v>
      </c>
      <c r="B1653" t="s">
        <v>211</v>
      </c>
      <c r="C1653" t="s">
        <v>238</v>
      </c>
      <c r="D1653">
        <v>4</v>
      </c>
      <c r="E1653">
        <v>-155844</v>
      </c>
      <c r="F1653" t="s">
        <v>279</v>
      </c>
      <c r="G1653" t="s">
        <v>29</v>
      </c>
      <c r="H1653">
        <v>4520</v>
      </c>
      <c r="I1653" t="s">
        <v>281</v>
      </c>
    </row>
    <row r="1654" spans="1:9" x14ac:dyDescent="0.25">
      <c r="A1654">
        <v>70368</v>
      </c>
      <c r="B1654" t="s">
        <v>211</v>
      </c>
      <c r="C1654" t="s">
        <v>238</v>
      </c>
      <c r="D1654">
        <v>4</v>
      </c>
      <c r="E1654">
        <v>-155844</v>
      </c>
      <c r="F1654" t="s">
        <v>279</v>
      </c>
      <c r="G1654" t="s">
        <v>29</v>
      </c>
      <c r="H1654">
        <v>56458</v>
      </c>
      <c r="I1654" t="s">
        <v>282</v>
      </c>
    </row>
    <row r="1655" spans="1:9" x14ac:dyDescent="0.25">
      <c r="A1655">
        <v>70368</v>
      </c>
      <c r="B1655" t="s">
        <v>211</v>
      </c>
      <c r="C1655" t="s">
        <v>238</v>
      </c>
      <c r="D1655">
        <v>4</v>
      </c>
      <c r="E1655">
        <v>-155844</v>
      </c>
      <c r="F1655" t="s">
        <v>279</v>
      </c>
      <c r="G1655" t="s">
        <v>35</v>
      </c>
      <c r="H1655">
        <v>56305</v>
      </c>
      <c r="I1655" t="s">
        <v>283</v>
      </c>
    </row>
    <row r="1656" spans="1:9" x14ac:dyDescent="0.25">
      <c r="A1656">
        <v>70368</v>
      </c>
      <c r="B1656" t="s">
        <v>211</v>
      </c>
      <c r="C1656" t="s">
        <v>238</v>
      </c>
      <c r="D1656">
        <v>4</v>
      </c>
      <c r="E1656">
        <v>-155844</v>
      </c>
      <c r="F1656" t="s">
        <v>279</v>
      </c>
      <c r="G1656" t="s">
        <v>29</v>
      </c>
      <c r="H1656">
        <v>4653</v>
      </c>
      <c r="I1656" t="s">
        <v>284</v>
      </c>
    </row>
    <row r="1657" spans="1:9" x14ac:dyDescent="0.25">
      <c r="A1657">
        <v>70368</v>
      </c>
      <c r="B1657" t="s">
        <v>211</v>
      </c>
      <c r="C1657" t="s">
        <v>238</v>
      </c>
      <c r="D1657">
        <v>4</v>
      </c>
      <c r="E1657">
        <v>-155844</v>
      </c>
      <c r="F1657" t="s">
        <v>279</v>
      </c>
      <c r="G1657" t="s">
        <v>29</v>
      </c>
      <c r="H1657">
        <v>26997</v>
      </c>
      <c r="I1657" t="s">
        <v>285</v>
      </c>
    </row>
    <row r="1658" spans="1:9" x14ac:dyDescent="0.25">
      <c r="A1658">
        <v>70368</v>
      </c>
      <c r="B1658" t="s">
        <v>211</v>
      </c>
      <c r="C1658" t="s">
        <v>238</v>
      </c>
      <c r="D1658">
        <v>4</v>
      </c>
      <c r="E1658">
        <v>-155844</v>
      </c>
      <c r="F1658" t="s">
        <v>279</v>
      </c>
      <c r="G1658" t="s">
        <v>31</v>
      </c>
      <c r="H1658">
        <v>0</v>
      </c>
      <c r="I1658" t="s">
        <v>364</v>
      </c>
    </row>
    <row r="1659" spans="1:9" x14ac:dyDescent="0.25">
      <c r="A1659">
        <v>70368</v>
      </c>
      <c r="B1659" t="s">
        <v>211</v>
      </c>
      <c r="C1659" t="s">
        <v>238</v>
      </c>
      <c r="D1659">
        <v>4</v>
      </c>
      <c r="E1659">
        <v>-155844</v>
      </c>
      <c r="F1659" t="s">
        <v>279</v>
      </c>
      <c r="G1659" t="s">
        <v>31</v>
      </c>
      <c r="H1659">
        <v>0</v>
      </c>
      <c r="I1659" t="s">
        <v>365</v>
      </c>
    </row>
    <row r="1660" spans="1:9" x14ac:dyDescent="0.25">
      <c r="A1660">
        <v>70368</v>
      </c>
      <c r="B1660" t="s">
        <v>211</v>
      </c>
      <c r="C1660" t="s">
        <v>238</v>
      </c>
      <c r="D1660">
        <v>4</v>
      </c>
      <c r="E1660">
        <v>-155844</v>
      </c>
      <c r="F1660" t="s">
        <v>279</v>
      </c>
      <c r="G1660" t="s">
        <v>31</v>
      </c>
      <c r="H1660">
        <v>0</v>
      </c>
      <c r="I1660" t="s">
        <v>366</v>
      </c>
    </row>
    <row r="1661" spans="1:9" x14ac:dyDescent="0.25">
      <c r="A1661">
        <v>70368</v>
      </c>
      <c r="B1661" t="s">
        <v>211</v>
      </c>
      <c r="C1661" t="s">
        <v>238</v>
      </c>
      <c r="D1661">
        <v>4</v>
      </c>
      <c r="E1661">
        <v>-155844</v>
      </c>
      <c r="F1661" t="s">
        <v>279</v>
      </c>
      <c r="G1661" t="s">
        <v>31</v>
      </c>
      <c r="H1661">
        <v>0</v>
      </c>
      <c r="I1661" t="s">
        <v>367</v>
      </c>
    </row>
    <row r="1662" spans="1:9" x14ac:dyDescent="0.25">
      <c r="A1662">
        <v>70368</v>
      </c>
      <c r="B1662" t="s">
        <v>211</v>
      </c>
      <c r="C1662" t="s">
        <v>238</v>
      </c>
      <c r="D1662">
        <v>4</v>
      </c>
      <c r="E1662">
        <v>-155844</v>
      </c>
      <c r="F1662" t="s">
        <v>279</v>
      </c>
      <c r="G1662" t="s">
        <v>31</v>
      </c>
      <c r="H1662">
        <v>0</v>
      </c>
      <c r="I1662" t="s">
        <v>368</v>
      </c>
    </row>
    <row r="1663" spans="1:9" x14ac:dyDescent="0.25">
      <c r="A1663">
        <v>70368</v>
      </c>
      <c r="B1663" t="s">
        <v>211</v>
      </c>
      <c r="C1663" t="s">
        <v>238</v>
      </c>
      <c r="D1663">
        <v>4</v>
      </c>
      <c r="E1663">
        <v>-155844</v>
      </c>
      <c r="F1663" t="s">
        <v>279</v>
      </c>
      <c r="G1663" t="s">
        <v>31</v>
      </c>
      <c r="H1663">
        <v>0</v>
      </c>
      <c r="I1663" t="s">
        <v>369</v>
      </c>
    </row>
    <row r="1664" spans="1:9" x14ac:dyDescent="0.25">
      <c r="A1664">
        <v>70368</v>
      </c>
      <c r="B1664" t="s">
        <v>211</v>
      </c>
      <c r="C1664" t="s">
        <v>238</v>
      </c>
      <c r="D1664">
        <v>4</v>
      </c>
      <c r="E1664">
        <v>-155844</v>
      </c>
      <c r="F1664" t="s">
        <v>279</v>
      </c>
      <c r="G1664" t="s">
        <v>31</v>
      </c>
      <c r="H1664">
        <v>0</v>
      </c>
      <c r="I1664" t="s">
        <v>370</v>
      </c>
    </row>
    <row r="1665" spans="1:9" x14ac:dyDescent="0.25">
      <c r="A1665">
        <v>70368</v>
      </c>
      <c r="B1665" t="s">
        <v>211</v>
      </c>
      <c r="C1665" t="s">
        <v>238</v>
      </c>
      <c r="D1665">
        <v>4</v>
      </c>
      <c r="E1665">
        <v>-155844</v>
      </c>
      <c r="F1665" t="s">
        <v>279</v>
      </c>
      <c r="G1665" t="s">
        <v>31</v>
      </c>
      <c r="H1665">
        <v>0</v>
      </c>
      <c r="I1665" t="s">
        <v>371</v>
      </c>
    </row>
    <row r="1666" spans="1:9" x14ac:dyDescent="0.25">
      <c r="A1666">
        <v>70368</v>
      </c>
      <c r="B1666" t="s">
        <v>211</v>
      </c>
      <c r="C1666" t="s">
        <v>238</v>
      </c>
      <c r="D1666">
        <v>4</v>
      </c>
      <c r="E1666">
        <v>-155844</v>
      </c>
      <c r="F1666" t="s">
        <v>279</v>
      </c>
      <c r="G1666" t="s">
        <v>31</v>
      </c>
      <c r="H1666">
        <v>0</v>
      </c>
      <c r="I1666" t="s">
        <v>328</v>
      </c>
    </row>
    <row r="1667" spans="1:9" x14ac:dyDescent="0.25">
      <c r="A1667">
        <v>70368</v>
      </c>
      <c r="B1667" t="s">
        <v>211</v>
      </c>
      <c r="C1667" t="s">
        <v>238</v>
      </c>
      <c r="D1667">
        <v>4</v>
      </c>
      <c r="E1667">
        <v>-155844</v>
      </c>
      <c r="F1667" t="s">
        <v>279</v>
      </c>
      <c r="G1667" t="s">
        <v>33</v>
      </c>
      <c r="H1667">
        <v>0</v>
      </c>
      <c r="I1667" t="s">
        <v>372</v>
      </c>
    </row>
    <row r="1668" spans="1:9" x14ac:dyDescent="0.25">
      <c r="A1668">
        <v>70368</v>
      </c>
      <c r="B1668" t="s">
        <v>211</v>
      </c>
      <c r="C1668" t="s">
        <v>238</v>
      </c>
      <c r="D1668">
        <v>4</v>
      </c>
      <c r="E1668">
        <v>-155844</v>
      </c>
      <c r="F1668" t="s">
        <v>279</v>
      </c>
      <c r="G1668" t="s">
        <v>33</v>
      </c>
      <c r="H1668">
        <v>0</v>
      </c>
      <c r="I1668" t="s">
        <v>329</v>
      </c>
    </row>
    <row r="1669" spans="1:9" x14ac:dyDescent="0.25">
      <c r="A1669">
        <v>70368</v>
      </c>
      <c r="B1669" t="s">
        <v>211</v>
      </c>
      <c r="C1669" t="s">
        <v>238</v>
      </c>
      <c r="D1669">
        <v>4</v>
      </c>
      <c r="E1669">
        <v>-155844</v>
      </c>
      <c r="F1669" t="s">
        <v>279</v>
      </c>
      <c r="G1669" t="s">
        <v>33</v>
      </c>
      <c r="H1669">
        <v>0</v>
      </c>
      <c r="I1669" t="s">
        <v>319</v>
      </c>
    </row>
    <row r="1670" spans="1:9" x14ac:dyDescent="0.25">
      <c r="A1670">
        <v>70368</v>
      </c>
      <c r="B1670" t="s">
        <v>211</v>
      </c>
      <c r="C1670" t="s">
        <v>238</v>
      </c>
      <c r="D1670">
        <v>4</v>
      </c>
      <c r="E1670">
        <v>-155844</v>
      </c>
      <c r="F1670" t="s">
        <v>279</v>
      </c>
      <c r="G1670" t="s">
        <v>33</v>
      </c>
      <c r="H1670">
        <v>0</v>
      </c>
      <c r="I1670" t="s">
        <v>373</v>
      </c>
    </row>
    <row r="1671" spans="1:9" x14ac:dyDescent="0.25">
      <c r="A1671">
        <v>70368</v>
      </c>
      <c r="B1671" t="s">
        <v>211</v>
      </c>
      <c r="C1671" t="s">
        <v>238</v>
      </c>
      <c r="D1671">
        <v>4</v>
      </c>
      <c r="E1671">
        <v>-155844</v>
      </c>
      <c r="F1671" t="s">
        <v>279</v>
      </c>
      <c r="G1671" t="s">
        <v>33</v>
      </c>
      <c r="H1671">
        <v>0</v>
      </c>
      <c r="I1671" t="s">
        <v>374</v>
      </c>
    </row>
    <row r="1672" spans="1:9" x14ac:dyDescent="0.25">
      <c r="A1672">
        <v>70368</v>
      </c>
      <c r="B1672" t="s">
        <v>211</v>
      </c>
      <c r="C1672" t="s">
        <v>238</v>
      </c>
      <c r="D1672">
        <v>4</v>
      </c>
      <c r="E1672">
        <v>-155844</v>
      </c>
      <c r="F1672" t="s">
        <v>279</v>
      </c>
      <c r="G1672" t="s">
        <v>33</v>
      </c>
      <c r="H1672">
        <v>0</v>
      </c>
      <c r="I1672" t="s">
        <v>326</v>
      </c>
    </row>
    <row r="1673" spans="1:9" x14ac:dyDescent="0.25">
      <c r="A1673">
        <v>70368</v>
      </c>
      <c r="B1673" t="s">
        <v>211</v>
      </c>
      <c r="C1673" t="s">
        <v>238</v>
      </c>
      <c r="D1673">
        <v>4</v>
      </c>
      <c r="E1673">
        <v>-155844</v>
      </c>
      <c r="F1673" t="s">
        <v>279</v>
      </c>
      <c r="G1673" t="s">
        <v>33</v>
      </c>
      <c r="H1673">
        <v>0</v>
      </c>
      <c r="I1673" t="s">
        <v>375</v>
      </c>
    </row>
    <row r="1674" spans="1:9" x14ac:dyDescent="0.25">
      <c r="A1674">
        <v>70368</v>
      </c>
      <c r="B1674" t="s">
        <v>211</v>
      </c>
      <c r="C1674" t="s">
        <v>238</v>
      </c>
      <c r="D1674">
        <v>4</v>
      </c>
      <c r="E1674">
        <v>-155844</v>
      </c>
      <c r="F1674" t="s">
        <v>279</v>
      </c>
      <c r="G1674" t="s">
        <v>33</v>
      </c>
      <c r="H1674">
        <v>0</v>
      </c>
      <c r="I1674" t="s">
        <v>376</v>
      </c>
    </row>
    <row r="1675" spans="1:9" x14ac:dyDescent="0.25">
      <c r="A1675">
        <v>70368</v>
      </c>
      <c r="B1675" t="s">
        <v>211</v>
      </c>
      <c r="C1675" t="s">
        <v>238</v>
      </c>
      <c r="D1675">
        <v>4</v>
      </c>
      <c r="E1675">
        <v>-155844</v>
      </c>
      <c r="F1675" t="s">
        <v>279</v>
      </c>
      <c r="G1675" t="s">
        <v>33</v>
      </c>
      <c r="H1675">
        <v>0</v>
      </c>
      <c r="I1675" t="s">
        <v>377</v>
      </c>
    </row>
    <row r="1676" spans="1:9" x14ac:dyDescent="0.25">
      <c r="A1676">
        <v>70368</v>
      </c>
      <c r="B1676" t="s">
        <v>211</v>
      </c>
      <c r="C1676" t="s">
        <v>238</v>
      </c>
      <c r="D1676">
        <v>4</v>
      </c>
      <c r="E1676">
        <v>-155844</v>
      </c>
      <c r="F1676" t="s">
        <v>274</v>
      </c>
      <c r="G1676" t="s">
        <v>275</v>
      </c>
      <c r="H1676">
        <v>896191</v>
      </c>
      <c r="I1676" t="s">
        <v>318</v>
      </c>
    </row>
    <row r="1677" spans="1:9" x14ac:dyDescent="0.25">
      <c r="A1677">
        <v>70368</v>
      </c>
      <c r="B1677" t="s">
        <v>211</v>
      </c>
      <c r="C1677" t="s">
        <v>238</v>
      </c>
      <c r="D1677">
        <v>4</v>
      </c>
      <c r="E1677">
        <v>-155844</v>
      </c>
      <c r="F1677" t="s">
        <v>274</v>
      </c>
      <c r="G1677" t="s">
        <v>300</v>
      </c>
      <c r="H1677">
        <v>27043</v>
      </c>
      <c r="I1677" t="s">
        <v>301</v>
      </c>
    </row>
    <row r="1678" spans="1:9" x14ac:dyDescent="0.25">
      <c r="A1678">
        <v>70368</v>
      </c>
      <c r="B1678" t="s">
        <v>211</v>
      </c>
      <c r="C1678" t="s">
        <v>238</v>
      </c>
      <c r="D1678">
        <v>4</v>
      </c>
      <c r="E1678">
        <v>-155844</v>
      </c>
      <c r="F1678" t="s">
        <v>274</v>
      </c>
      <c r="G1678" t="s">
        <v>275</v>
      </c>
      <c r="H1678">
        <v>-50317</v>
      </c>
      <c r="I1678" t="s">
        <v>302</v>
      </c>
    </row>
    <row r="1679" spans="1:9" x14ac:dyDescent="0.25">
      <c r="A1679">
        <v>70368</v>
      </c>
      <c r="B1679" t="s">
        <v>211</v>
      </c>
      <c r="C1679" t="s">
        <v>238</v>
      </c>
      <c r="D1679">
        <v>4</v>
      </c>
      <c r="E1679">
        <v>-155844</v>
      </c>
      <c r="F1679" t="s">
        <v>279</v>
      </c>
      <c r="G1679" t="s">
        <v>30</v>
      </c>
      <c r="H1679">
        <v>85693</v>
      </c>
      <c r="I1679" t="s">
        <v>303</v>
      </c>
    </row>
    <row r="1680" spans="1:9" x14ac:dyDescent="0.25">
      <c r="A1680">
        <v>70368</v>
      </c>
      <c r="B1680" t="s">
        <v>211</v>
      </c>
      <c r="C1680" t="s">
        <v>238</v>
      </c>
      <c r="D1680">
        <v>4</v>
      </c>
      <c r="E1680">
        <v>-155844</v>
      </c>
      <c r="F1680" t="s">
        <v>279</v>
      </c>
      <c r="G1680" t="s">
        <v>35</v>
      </c>
      <c r="H1680">
        <v>6535</v>
      </c>
      <c r="I1680" t="s">
        <v>304</v>
      </c>
    </row>
    <row r="1681" spans="1:9" x14ac:dyDescent="0.25">
      <c r="A1681">
        <v>70369</v>
      </c>
      <c r="B1681" t="s">
        <v>213</v>
      </c>
      <c r="C1681" t="s">
        <v>238</v>
      </c>
      <c r="D1681">
        <v>4</v>
      </c>
      <c r="E1681">
        <v>-334646</v>
      </c>
      <c r="F1681" t="s">
        <v>279</v>
      </c>
      <c r="G1681" t="s">
        <v>31</v>
      </c>
      <c r="H1681">
        <v>0</v>
      </c>
      <c r="I1681" t="s">
        <v>328</v>
      </c>
    </row>
    <row r="1682" spans="1:9" x14ac:dyDescent="0.25">
      <c r="A1682">
        <v>70369</v>
      </c>
      <c r="B1682" t="s">
        <v>213</v>
      </c>
      <c r="C1682" t="s">
        <v>238</v>
      </c>
      <c r="D1682">
        <v>4</v>
      </c>
      <c r="E1682">
        <v>-334646</v>
      </c>
      <c r="F1682" t="s">
        <v>279</v>
      </c>
      <c r="G1682" t="s">
        <v>33</v>
      </c>
      <c r="H1682">
        <v>0</v>
      </c>
      <c r="I1682" t="s">
        <v>372</v>
      </c>
    </row>
    <row r="1683" spans="1:9" x14ac:dyDescent="0.25">
      <c r="A1683">
        <v>70369</v>
      </c>
      <c r="B1683" t="s">
        <v>213</v>
      </c>
      <c r="C1683" t="s">
        <v>238</v>
      </c>
      <c r="D1683">
        <v>4</v>
      </c>
      <c r="E1683">
        <v>-334646</v>
      </c>
      <c r="F1683" t="s">
        <v>279</v>
      </c>
      <c r="G1683" t="s">
        <v>33</v>
      </c>
      <c r="H1683">
        <v>0</v>
      </c>
      <c r="I1683" t="s">
        <v>329</v>
      </c>
    </row>
    <row r="1684" spans="1:9" x14ac:dyDescent="0.25">
      <c r="A1684">
        <v>70369</v>
      </c>
      <c r="B1684" t="s">
        <v>213</v>
      </c>
      <c r="C1684" t="s">
        <v>238</v>
      </c>
      <c r="D1684">
        <v>4</v>
      </c>
      <c r="E1684">
        <v>-334646</v>
      </c>
      <c r="F1684" t="s">
        <v>279</v>
      </c>
      <c r="G1684" t="s">
        <v>33</v>
      </c>
      <c r="H1684">
        <v>6580</v>
      </c>
      <c r="I1684" t="s">
        <v>319</v>
      </c>
    </row>
    <row r="1685" spans="1:9" x14ac:dyDescent="0.25">
      <c r="A1685">
        <v>70369</v>
      </c>
      <c r="B1685" t="s">
        <v>213</v>
      </c>
      <c r="C1685" t="s">
        <v>238</v>
      </c>
      <c r="D1685">
        <v>4</v>
      </c>
      <c r="E1685">
        <v>-334646</v>
      </c>
      <c r="F1685" t="s">
        <v>279</v>
      </c>
      <c r="G1685" t="s">
        <v>33</v>
      </c>
      <c r="H1685">
        <v>0</v>
      </c>
      <c r="I1685" t="s">
        <v>373</v>
      </c>
    </row>
    <row r="1686" spans="1:9" x14ac:dyDescent="0.25">
      <c r="A1686">
        <v>70369</v>
      </c>
      <c r="B1686" t="s">
        <v>213</v>
      </c>
      <c r="C1686" t="s">
        <v>238</v>
      </c>
      <c r="D1686">
        <v>4</v>
      </c>
      <c r="E1686">
        <v>-334646</v>
      </c>
      <c r="F1686" t="s">
        <v>279</v>
      </c>
      <c r="G1686" t="s">
        <v>33</v>
      </c>
      <c r="H1686">
        <v>0</v>
      </c>
      <c r="I1686" t="s">
        <v>374</v>
      </c>
    </row>
    <row r="1687" spans="1:9" x14ac:dyDescent="0.25">
      <c r="A1687">
        <v>70369</v>
      </c>
      <c r="B1687" t="s">
        <v>213</v>
      </c>
      <c r="C1687" t="s">
        <v>238</v>
      </c>
      <c r="D1687">
        <v>4</v>
      </c>
      <c r="E1687">
        <v>-334646</v>
      </c>
      <c r="F1687" t="s">
        <v>279</v>
      </c>
      <c r="G1687" t="s">
        <v>33</v>
      </c>
      <c r="H1687">
        <v>61509</v>
      </c>
      <c r="I1687" t="s">
        <v>326</v>
      </c>
    </row>
    <row r="1688" spans="1:9" x14ac:dyDescent="0.25">
      <c r="A1688">
        <v>70369</v>
      </c>
      <c r="B1688" t="s">
        <v>213</v>
      </c>
      <c r="C1688" t="s">
        <v>238</v>
      </c>
      <c r="D1688">
        <v>4</v>
      </c>
      <c r="E1688">
        <v>-334646</v>
      </c>
      <c r="F1688" t="s">
        <v>279</v>
      </c>
      <c r="G1688" t="s">
        <v>33</v>
      </c>
      <c r="H1688">
        <v>0</v>
      </c>
      <c r="I1688" t="s">
        <v>375</v>
      </c>
    </row>
    <row r="1689" spans="1:9" x14ac:dyDescent="0.25">
      <c r="A1689">
        <v>70369</v>
      </c>
      <c r="B1689" t="s">
        <v>213</v>
      </c>
      <c r="C1689" t="s">
        <v>238</v>
      </c>
      <c r="D1689">
        <v>4</v>
      </c>
      <c r="E1689">
        <v>-334646</v>
      </c>
      <c r="F1689" t="s">
        <v>279</v>
      </c>
      <c r="G1689" t="s">
        <v>33</v>
      </c>
      <c r="H1689">
        <v>0</v>
      </c>
      <c r="I1689" t="s">
        <v>376</v>
      </c>
    </row>
    <row r="1690" spans="1:9" x14ac:dyDescent="0.25">
      <c r="A1690">
        <v>70369</v>
      </c>
      <c r="B1690" t="s">
        <v>213</v>
      </c>
      <c r="C1690" t="s">
        <v>238</v>
      </c>
      <c r="D1690">
        <v>4</v>
      </c>
      <c r="E1690">
        <v>-334646</v>
      </c>
      <c r="F1690" t="s">
        <v>279</v>
      </c>
      <c r="G1690" t="s">
        <v>33</v>
      </c>
      <c r="H1690">
        <v>0</v>
      </c>
      <c r="I1690" t="s">
        <v>377</v>
      </c>
    </row>
    <row r="1691" spans="1:9" x14ac:dyDescent="0.25">
      <c r="A1691">
        <v>70369</v>
      </c>
      <c r="B1691" t="s">
        <v>213</v>
      </c>
      <c r="C1691" t="s">
        <v>238</v>
      </c>
      <c r="D1691">
        <v>4</v>
      </c>
      <c r="E1691">
        <v>-334646</v>
      </c>
      <c r="F1691" t="s">
        <v>274</v>
      </c>
      <c r="G1691" t="s">
        <v>275</v>
      </c>
      <c r="H1691">
        <v>975834</v>
      </c>
      <c r="I1691" t="s">
        <v>318</v>
      </c>
    </row>
    <row r="1692" spans="1:9" x14ac:dyDescent="0.25">
      <c r="A1692">
        <v>70369</v>
      </c>
      <c r="B1692" t="s">
        <v>213</v>
      </c>
      <c r="C1692" t="s">
        <v>238</v>
      </c>
      <c r="D1692">
        <v>4</v>
      </c>
      <c r="E1692">
        <v>-334646</v>
      </c>
      <c r="F1692" t="s">
        <v>274</v>
      </c>
      <c r="G1692" t="s">
        <v>300</v>
      </c>
      <c r="H1692">
        <v>7721</v>
      </c>
      <c r="I1692" t="s">
        <v>301</v>
      </c>
    </row>
    <row r="1693" spans="1:9" x14ac:dyDescent="0.25">
      <c r="A1693">
        <v>70369</v>
      </c>
      <c r="B1693" t="s">
        <v>213</v>
      </c>
      <c r="C1693" t="s">
        <v>238</v>
      </c>
      <c r="D1693">
        <v>4</v>
      </c>
      <c r="E1693">
        <v>-334646</v>
      </c>
      <c r="F1693" t="s">
        <v>274</v>
      </c>
      <c r="G1693" t="s">
        <v>275</v>
      </c>
      <c r="H1693">
        <v>-27670</v>
      </c>
      <c r="I1693" t="s">
        <v>302</v>
      </c>
    </row>
    <row r="1694" spans="1:9" x14ac:dyDescent="0.25">
      <c r="A1694">
        <v>70369</v>
      </c>
      <c r="B1694" t="s">
        <v>213</v>
      </c>
      <c r="C1694" t="s">
        <v>238</v>
      </c>
      <c r="D1694">
        <v>4</v>
      </c>
      <c r="E1694">
        <v>-334646</v>
      </c>
      <c r="F1694" t="s">
        <v>279</v>
      </c>
      <c r="G1694" t="s">
        <v>30</v>
      </c>
      <c r="H1694">
        <v>512232</v>
      </c>
      <c r="I1694" t="s">
        <v>303</v>
      </c>
    </row>
    <row r="1695" spans="1:9" x14ac:dyDescent="0.25">
      <c r="A1695">
        <v>70369</v>
      </c>
      <c r="B1695" t="s">
        <v>213</v>
      </c>
      <c r="C1695" t="s">
        <v>238</v>
      </c>
      <c r="D1695">
        <v>4</v>
      </c>
      <c r="E1695">
        <v>-334646</v>
      </c>
      <c r="F1695" t="s">
        <v>279</v>
      </c>
      <c r="G1695" t="s">
        <v>35</v>
      </c>
      <c r="H1695">
        <v>7234</v>
      </c>
      <c r="I1695" t="s">
        <v>304</v>
      </c>
    </row>
    <row r="1696" spans="1:9" x14ac:dyDescent="0.25">
      <c r="A1696">
        <v>70369</v>
      </c>
      <c r="B1696" t="s">
        <v>213</v>
      </c>
      <c r="C1696" t="s">
        <v>238</v>
      </c>
      <c r="D1696">
        <v>4</v>
      </c>
      <c r="E1696">
        <v>-334646</v>
      </c>
      <c r="F1696" t="s">
        <v>279</v>
      </c>
      <c r="G1696" t="s">
        <v>31</v>
      </c>
      <c r="H1696">
        <v>281587</v>
      </c>
      <c r="I1696" t="s">
        <v>305</v>
      </c>
    </row>
    <row r="1697" spans="1:9" x14ac:dyDescent="0.25">
      <c r="A1697">
        <v>70369</v>
      </c>
      <c r="B1697" t="s">
        <v>213</v>
      </c>
      <c r="C1697" t="s">
        <v>238</v>
      </c>
      <c r="D1697">
        <v>4</v>
      </c>
      <c r="E1697">
        <v>-334646</v>
      </c>
      <c r="F1697" t="s">
        <v>279</v>
      </c>
      <c r="G1697" t="s">
        <v>33</v>
      </c>
      <c r="H1697">
        <v>0</v>
      </c>
      <c r="I1697" t="s">
        <v>320</v>
      </c>
    </row>
    <row r="1698" spans="1:9" x14ac:dyDescent="0.25">
      <c r="A1698">
        <v>70369</v>
      </c>
      <c r="B1698" t="s">
        <v>213</v>
      </c>
      <c r="C1698" t="s">
        <v>238</v>
      </c>
      <c r="D1698">
        <v>4</v>
      </c>
      <c r="E1698">
        <v>-334646</v>
      </c>
      <c r="F1698" t="s">
        <v>279</v>
      </c>
      <c r="G1698" t="s">
        <v>33</v>
      </c>
      <c r="H1698">
        <v>0</v>
      </c>
      <c r="I1698" t="s">
        <v>306</v>
      </c>
    </row>
    <row r="1699" spans="1:9" x14ac:dyDescent="0.25">
      <c r="A1699">
        <v>70369</v>
      </c>
      <c r="B1699" t="s">
        <v>213</v>
      </c>
      <c r="C1699" t="s">
        <v>238</v>
      </c>
      <c r="D1699">
        <v>4</v>
      </c>
      <c r="E1699">
        <v>-334646</v>
      </c>
      <c r="F1699" t="s">
        <v>279</v>
      </c>
      <c r="G1699" t="s">
        <v>33</v>
      </c>
      <c r="H1699">
        <v>0</v>
      </c>
      <c r="I1699" t="s">
        <v>378</v>
      </c>
    </row>
    <row r="1700" spans="1:9" x14ac:dyDescent="0.25">
      <c r="A1700">
        <v>70369</v>
      </c>
      <c r="B1700" t="s">
        <v>213</v>
      </c>
      <c r="C1700" t="s">
        <v>238</v>
      </c>
      <c r="D1700">
        <v>4</v>
      </c>
      <c r="E1700">
        <v>-334646</v>
      </c>
      <c r="F1700" t="s">
        <v>279</v>
      </c>
      <c r="G1700" t="s">
        <v>31</v>
      </c>
      <c r="H1700">
        <v>21947</v>
      </c>
      <c r="I1700" t="s">
        <v>307</v>
      </c>
    </row>
    <row r="1701" spans="1:9" x14ac:dyDescent="0.25">
      <c r="A1701">
        <v>70369</v>
      </c>
      <c r="B1701" t="s">
        <v>213</v>
      </c>
      <c r="C1701" t="s">
        <v>238</v>
      </c>
      <c r="D1701">
        <v>4</v>
      </c>
      <c r="E1701">
        <v>-334646</v>
      </c>
      <c r="F1701" t="s">
        <v>279</v>
      </c>
      <c r="G1701" t="s">
        <v>31</v>
      </c>
      <c r="H1701">
        <v>0</v>
      </c>
      <c r="I1701" t="s">
        <v>379</v>
      </c>
    </row>
    <row r="1702" spans="1:9" x14ac:dyDescent="0.25">
      <c r="A1702">
        <v>70369</v>
      </c>
      <c r="B1702" t="s">
        <v>213</v>
      </c>
      <c r="C1702" t="s">
        <v>238</v>
      </c>
      <c r="D1702">
        <v>4</v>
      </c>
      <c r="E1702">
        <v>-334646</v>
      </c>
      <c r="F1702" t="s">
        <v>279</v>
      </c>
      <c r="G1702" t="s">
        <v>30</v>
      </c>
      <c r="H1702">
        <v>15611</v>
      </c>
      <c r="I1702" t="s">
        <v>308</v>
      </c>
    </row>
    <row r="1703" spans="1:9" x14ac:dyDescent="0.25">
      <c r="A1703">
        <v>70369</v>
      </c>
      <c r="B1703" t="s">
        <v>213</v>
      </c>
      <c r="C1703" t="s">
        <v>238</v>
      </c>
      <c r="D1703">
        <v>4</v>
      </c>
      <c r="E1703">
        <v>-334646</v>
      </c>
      <c r="F1703" t="s">
        <v>279</v>
      </c>
      <c r="G1703" t="s">
        <v>35</v>
      </c>
      <c r="H1703">
        <v>3265</v>
      </c>
      <c r="I1703" t="s">
        <v>321</v>
      </c>
    </row>
    <row r="1704" spans="1:9" x14ac:dyDescent="0.25">
      <c r="A1704">
        <v>70369</v>
      </c>
      <c r="B1704" t="s">
        <v>213</v>
      </c>
      <c r="C1704" t="s">
        <v>238</v>
      </c>
      <c r="D1704">
        <v>4</v>
      </c>
      <c r="E1704">
        <v>-334646</v>
      </c>
      <c r="F1704" t="s">
        <v>279</v>
      </c>
      <c r="G1704" t="s">
        <v>33</v>
      </c>
      <c r="H1704">
        <v>0</v>
      </c>
      <c r="I1704" t="s">
        <v>380</v>
      </c>
    </row>
    <row r="1705" spans="1:9" x14ac:dyDescent="0.25">
      <c r="A1705">
        <v>70369</v>
      </c>
      <c r="B1705" t="s">
        <v>213</v>
      </c>
      <c r="C1705" t="s">
        <v>238</v>
      </c>
      <c r="D1705">
        <v>4</v>
      </c>
      <c r="E1705">
        <v>-334646</v>
      </c>
      <c r="F1705" t="s">
        <v>279</v>
      </c>
      <c r="G1705" t="s">
        <v>35</v>
      </c>
      <c r="H1705">
        <v>110</v>
      </c>
      <c r="I1705" t="s">
        <v>309</v>
      </c>
    </row>
    <row r="1706" spans="1:9" x14ac:dyDescent="0.25">
      <c r="A1706">
        <v>70369</v>
      </c>
      <c r="B1706" t="s">
        <v>213</v>
      </c>
      <c r="C1706" t="s">
        <v>238</v>
      </c>
      <c r="D1706">
        <v>4</v>
      </c>
      <c r="E1706">
        <v>-334646</v>
      </c>
      <c r="F1706" t="s">
        <v>279</v>
      </c>
      <c r="G1706" t="s">
        <v>35</v>
      </c>
      <c r="H1706">
        <v>3972</v>
      </c>
      <c r="I1706" t="s">
        <v>310</v>
      </c>
    </row>
    <row r="1707" spans="1:9" x14ac:dyDescent="0.25">
      <c r="A1707">
        <v>70369</v>
      </c>
      <c r="B1707" t="s">
        <v>213</v>
      </c>
      <c r="C1707" t="s">
        <v>238</v>
      </c>
      <c r="D1707">
        <v>4</v>
      </c>
      <c r="E1707">
        <v>-334646</v>
      </c>
      <c r="F1707" t="s">
        <v>279</v>
      </c>
      <c r="G1707" t="s">
        <v>35</v>
      </c>
      <c r="H1707">
        <v>14834</v>
      </c>
      <c r="I1707" t="s">
        <v>311</v>
      </c>
    </row>
    <row r="1708" spans="1:9" x14ac:dyDescent="0.25">
      <c r="A1708">
        <v>70369</v>
      </c>
      <c r="B1708" t="s">
        <v>213</v>
      </c>
      <c r="C1708" t="s">
        <v>238</v>
      </c>
      <c r="D1708">
        <v>4</v>
      </c>
      <c r="E1708">
        <v>-334646</v>
      </c>
      <c r="F1708" t="s">
        <v>279</v>
      </c>
      <c r="G1708" t="s">
        <v>35</v>
      </c>
      <c r="H1708">
        <v>56</v>
      </c>
      <c r="I1708" t="s">
        <v>312</v>
      </c>
    </row>
    <row r="1709" spans="1:9" x14ac:dyDescent="0.25">
      <c r="A1709">
        <v>70369</v>
      </c>
      <c r="B1709" t="s">
        <v>213</v>
      </c>
      <c r="C1709" t="s">
        <v>238</v>
      </c>
      <c r="D1709">
        <v>4</v>
      </c>
      <c r="E1709">
        <v>-334646</v>
      </c>
      <c r="F1709" t="s">
        <v>279</v>
      </c>
      <c r="G1709" t="s">
        <v>35</v>
      </c>
      <c r="H1709">
        <v>570</v>
      </c>
      <c r="I1709" t="s">
        <v>313</v>
      </c>
    </row>
    <row r="1710" spans="1:9" x14ac:dyDescent="0.25">
      <c r="A1710">
        <v>70369</v>
      </c>
      <c r="B1710" t="s">
        <v>213</v>
      </c>
      <c r="C1710" t="s">
        <v>238</v>
      </c>
      <c r="D1710">
        <v>4</v>
      </c>
      <c r="E1710">
        <v>-334646</v>
      </c>
      <c r="F1710" t="s">
        <v>279</v>
      </c>
      <c r="G1710" t="s">
        <v>37</v>
      </c>
      <c r="H1710">
        <v>0</v>
      </c>
      <c r="I1710" t="s">
        <v>381</v>
      </c>
    </row>
    <row r="1711" spans="1:9" x14ac:dyDescent="0.25">
      <c r="A1711">
        <v>70369</v>
      </c>
      <c r="B1711" t="s">
        <v>213</v>
      </c>
      <c r="C1711" t="s">
        <v>238</v>
      </c>
      <c r="D1711">
        <v>4</v>
      </c>
      <c r="E1711">
        <v>-334646</v>
      </c>
      <c r="F1711" t="s">
        <v>279</v>
      </c>
      <c r="G1711" t="s">
        <v>37</v>
      </c>
      <c r="H1711">
        <v>20511</v>
      </c>
      <c r="I1711" t="s">
        <v>314</v>
      </c>
    </row>
    <row r="1712" spans="1:9" x14ac:dyDescent="0.25">
      <c r="A1712">
        <v>70369</v>
      </c>
      <c r="B1712" t="s">
        <v>213</v>
      </c>
      <c r="C1712" t="s">
        <v>238</v>
      </c>
      <c r="D1712">
        <v>4</v>
      </c>
      <c r="E1712">
        <v>-334646</v>
      </c>
      <c r="F1712" t="s">
        <v>279</v>
      </c>
      <c r="G1712" t="s">
        <v>35</v>
      </c>
      <c r="H1712">
        <v>2573</v>
      </c>
      <c r="I1712" t="s">
        <v>315</v>
      </c>
    </row>
    <row r="1713" spans="1:9" x14ac:dyDescent="0.25">
      <c r="A1713">
        <v>70369</v>
      </c>
      <c r="B1713" t="s">
        <v>213</v>
      </c>
      <c r="C1713" t="s">
        <v>238</v>
      </c>
      <c r="D1713">
        <v>4</v>
      </c>
      <c r="E1713">
        <v>-334646</v>
      </c>
      <c r="F1713" t="s">
        <v>279</v>
      </c>
      <c r="G1713" t="s">
        <v>37</v>
      </c>
      <c r="H1713">
        <v>0</v>
      </c>
      <c r="I1713" t="s">
        <v>323</v>
      </c>
    </row>
    <row r="1714" spans="1:9" x14ac:dyDescent="0.25">
      <c r="A1714">
        <v>70369</v>
      </c>
      <c r="B1714" t="s">
        <v>213</v>
      </c>
      <c r="C1714" t="s">
        <v>238</v>
      </c>
      <c r="D1714">
        <v>4</v>
      </c>
      <c r="E1714">
        <v>-334646</v>
      </c>
      <c r="F1714" t="s">
        <v>279</v>
      </c>
      <c r="G1714" t="s">
        <v>37</v>
      </c>
      <c r="H1714">
        <v>10</v>
      </c>
      <c r="I1714" t="s">
        <v>322</v>
      </c>
    </row>
    <row r="1715" spans="1:9" x14ac:dyDescent="0.25">
      <c r="A1715">
        <v>70369</v>
      </c>
      <c r="B1715" t="s">
        <v>213</v>
      </c>
      <c r="C1715" t="s">
        <v>238</v>
      </c>
      <c r="D1715">
        <v>4</v>
      </c>
      <c r="E1715">
        <v>-334646</v>
      </c>
      <c r="F1715" t="s">
        <v>279</v>
      </c>
      <c r="G1715" t="s">
        <v>37</v>
      </c>
      <c r="H1715">
        <v>0</v>
      </c>
      <c r="I1715" t="s">
        <v>382</v>
      </c>
    </row>
    <row r="1716" spans="1:9" x14ac:dyDescent="0.25">
      <c r="A1716">
        <v>70369</v>
      </c>
      <c r="B1716" t="s">
        <v>213</v>
      </c>
      <c r="C1716" t="s">
        <v>238</v>
      </c>
      <c r="D1716">
        <v>4</v>
      </c>
      <c r="E1716">
        <v>-334646</v>
      </c>
      <c r="F1716" t="s">
        <v>279</v>
      </c>
      <c r="G1716" t="s">
        <v>37</v>
      </c>
      <c r="H1716">
        <v>16207</v>
      </c>
      <c r="I1716" t="s">
        <v>316</v>
      </c>
    </row>
    <row r="1717" spans="1:9" x14ac:dyDescent="0.25">
      <c r="A1717">
        <v>70369</v>
      </c>
      <c r="B1717" t="s">
        <v>213</v>
      </c>
      <c r="C1717" t="s">
        <v>238</v>
      </c>
      <c r="D1717">
        <v>4</v>
      </c>
      <c r="E1717">
        <v>-334646</v>
      </c>
      <c r="F1717" t="s">
        <v>279</v>
      </c>
      <c r="G1717" t="s">
        <v>36</v>
      </c>
      <c r="H1717">
        <v>27927</v>
      </c>
      <c r="I1717" t="s">
        <v>317</v>
      </c>
    </row>
    <row r="1718" spans="1:9" x14ac:dyDescent="0.25">
      <c r="A1718">
        <v>70369</v>
      </c>
      <c r="B1718" t="s">
        <v>213</v>
      </c>
      <c r="C1718" t="s">
        <v>238</v>
      </c>
      <c r="D1718">
        <v>4</v>
      </c>
      <c r="E1718">
        <v>-334646</v>
      </c>
      <c r="F1718" t="s">
        <v>274</v>
      </c>
      <c r="G1718" t="s">
        <v>275</v>
      </c>
      <c r="H1718">
        <v>0</v>
      </c>
      <c r="I1718" t="s">
        <v>276</v>
      </c>
    </row>
    <row r="1719" spans="1:9" x14ac:dyDescent="0.25">
      <c r="A1719">
        <v>70369</v>
      </c>
      <c r="B1719" t="s">
        <v>213</v>
      </c>
      <c r="C1719" t="s">
        <v>238</v>
      </c>
      <c r="D1719">
        <v>4</v>
      </c>
      <c r="E1719">
        <v>-334646</v>
      </c>
      <c r="F1719" t="s">
        <v>279</v>
      </c>
      <c r="G1719" t="s">
        <v>29</v>
      </c>
      <c r="H1719">
        <v>0</v>
      </c>
      <c r="I1719" t="s">
        <v>324</v>
      </c>
    </row>
    <row r="1720" spans="1:9" x14ac:dyDescent="0.25">
      <c r="A1720">
        <v>70369</v>
      </c>
      <c r="B1720" t="s">
        <v>213</v>
      </c>
      <c r="C1720" t="s">
        <v>238</v>
      </c>
      <c r="D1720">
        <v>4</v>
      </c>
      <c r="E1720">
        <v>-334646</v>
      </c>
      <c r="F1720" t="s">
        <v>274</v>
      </c>
      <c r="G1720" t="s">
        <v>277</v>
      </c>
      <c r="H1720">
        <v>318</v>
      </c>
      <c r="I1720" t="s">
        <v>278</v>
      </c>
    </row>
    <row r="1721" spans="1:9" x14ac:dyDescent="0.25">
      <c r="A1721">
        <v>70369</v>
      </c>
      <c r="B1721" t="s">
        <v>213</v>
      </c>
      <c r="C1721" t="s">
        <v>238</v>
      </c>
      <c r="D1721">
        <v>4</v>
      </c>
      <c r="E1721">
        <v>-334646</v>
      </c>
      <c r="F1721" t="s">
        <v>274</v>
      </c>
      <c r="G1721" t="s">
        <v>300</v>
      </c>
      <c r="H1721">
        <v>0</v>
      </c>
      <c r="I1721" t="s">
        <v>383</v>
      </c>
    </row>
    <row r="1722" spans="1:9" x14ac:dyDescent="0.25">
      <c r="A1722">
        <v>70369</v>
      </c>
      <c r="B1722" t="s">
        <v>213</v>
      </c>
      <c r="C1722" t="s">
        <v>238</v>
      </c>
      <c r="D1722">
        <v>4</v>
      </c>
      <c r="E1722">
        <v>-334646</v>
      </c>
      <c r="F1722" t="s">
        <v>279</v>
      </c>
      <c r="G1722" t="s">
        <v>33</v>
      </c>
      <c r="H1722">
        <v>19142</v>
      </c>
      <c r="I1722" t="s">
        <v>280</v>
      </c>
    </row>
    <row r="1723" spans="1:9" x14ac:dyDescent="0.25">
      <c r="A1723">
        <v>70369</v>
      </c>
      <c r="B1723" t="s">
        <v>213</v>
      </c>
      <c r="C1723" t="s">
        <v>238</v>
      </c>
      <c r="D1723">
        <v>4</v>
      </c>
      <c r="E1723">
        <v>-334646</v>
      </c>
      <c r="F1723" t="s">
        <v>279</v>
      </c>
      <c r="G1723" t="s">
        <v>29</v>
      </c>
      <c r="H1723">
        <v>3371</v>
      </c>
      <c r="I1723" t="s">
        <v>281</v>
      </c>
    </row>
    <row r="1724" spans="1:9" x14ac:dyDescent="0.25">
      <c r="A1724">
        <v>70369</v>
      </c>
      <c r="B1724" t="s">
        <v>213</v>
      </c>
      <c r="C1724" t="s">
        <v>238</v>
      </c>
      <c r="D1724">
        <v>4</v>
      </c>
      <c r="E1724">
        <v>-334646</v>
      </c>
      <c r="F1724" t="s">
        <v>279</v>
      </c>
      <c r="G1724" t="s">
        <v>29</v>
      </c>
      <c r="H1724">
        <v>52230</v>
      </c>
      <c r="I1724" t="s">
        <v>282</v>
      </c>
    </row>
    <row r="1725" spans="1:9" x14ac:dyDescent="0.25">
      <c r="A1725">
        <v>70369</v>
      </c>
      <c r="B1725" t="s">
        <v>213</v>
      </c>
      <c r="C1725" t="s">
        <v>238</v>
      </c>
      <c r="D1725">
        <v>4</v>
      </c>
      <c r="E1725">
        <v>-334646</v>
      </c>
      <c r="F1725" t="s">
        <v>279</v>
      </c>
      <c r="G1725" t="s">
        <v>35</v>
      </c>
      <c r="H1725">
        <v>76679</v>
      </c>
      <c r="I1725" t="s">
        <v>283</v>
      </c>
    </row>
    <row r="1726" spans="1:9" x14ac:dyDescent="0.25">
      <c r="A1726">
        <v>70369</v>
      </c>
      <c r="B1726" t="s">
        <v>213</v>
      </c>
      <c r="C1726" t="s">
        <v>238</v>
      </c>
      <c r="D1726">
        <v>4</v>
      </c>
      <c r="E1726">
        <v>-334646</v>
      </c>
      <c r="F1726" t="s">
        <v>279</v>
      </c>
      <c r="G1726" t="s">
        <v>29</v>
      </c>
      <c r="H1726">
        <v>5496</v>
      </c>
      <c r="I1726" t="s">
        <v>284</v>
      </c>
    </row>
    <row r="1727" spans="1:9" x14ac:dyDescent="0.25">
      <c r="A1727">
        <v>70369</v>
      </c>
      <c r="B1727" t="s">
        <v>213</v>
      </c>
      <c r="C1727" t="s">
        <v>238</v>
      </c>
      <c r="D1727">
        <v>4</v>
      </c>
      <c r="E1727">
        <v>-334646</v>
      </c>
      <c r="F1727" t="s">
        <v>279</v>
      </c>
      <c r="G1727" t="s">
        <v>29</v>
      </c>
      <c r="H1727">
        <v>31860</v>
      </c>
      <c r="I1727" t="s">
        <v>285</v>
      </c>
    </row>
    <row r="1728" spans="1:9" x14ac:dyDescent="0.25">
      <c r="A1728">
        <v>70369</v>
      </c>
      <c r="B1728" t="s">
        <v>213</v>
      </c>
      <c r="C1728" t="s">
        <v>238</v>
      </c>
      <c r="D1728">
        <v>4</v>
      </c>
      <c r="E1728">
        <v>-334646</v>
      </c>
      <c r="F1728" t="s">
        <v>279</v>
      </c>
      <c r="G1728" t="s">
        <v>29</v>
      </c>
      <c r="H1728">
        <v>2122</v>
      </c>
      <c r="I1728" t="s">
        <v>286</v>
      </c>
    </row>
    <row r="1729" spans="1:9" x14ac:dyDescent="0.25">
      <c r="A1729">
        <v>70369</v>
      </c>
      <c r="B1729" t="s">
        <v>213</v>
      </c>
      <c r="C1729" t="s">
        <v>238</v>
      </c>
      <c r="D1729">
        <v>4</v>
      </c>
      <c r="E1729">
        <v>-334646</v>
      </c>
      <c r="F1729" t="s">
        <v>279</v>
      </c>
      <c r="G1729" t="s">
        <v>29</v>
      </c>
      <c r="H1729">
        <v>0</v>
      </c>
      <c r="I1729" t="s">
        <v>327</v>
      </c>
    </row>
    <row r="1730" spans="1:9" x14ac:dyDescent="0.25">
      <c r="A1730">
        <v>70369</v>
      </c>
      <c r="B1730" t="s">
        <v>213</v>
      </c>
      <c r="C1730" t="s">
        <v>238</v>
      </c>
      <c r="D1730">
        <v>4</v>
      </c>
      <c r="E1730">
        <v>-334646</v>
      </c>
      <c r="F1730" t="s">
        <v>279</v>
      </c>
      <c r="G1730" t="s">
        <v>34</v>
      </c>
      <c r="H1730">
        <v>1050</v>
      </c>
      <c r="I1730" t="s">
        <v>287</v>
      </c>
    </row>
    <row r="1731" spans="1:9" x14ac:dyDescent="0.25">
      <c r="A1731">
        <v>70369</v>
      </c>
      <c r="B1731" t="s">
        <v>213</v>
      </c>
      <c r="C1731" t="s">
        <v>238</v>
      </c>
      <c r="D1731">
        <v>4</v>
      </c>
      <c r="E1731">
        <v>-334646</v>
      </c>
      <c r="F1731" t="s">
        <v>279</v>
      </c>
      <c r="G1731" t="s">
        <v>29</v>
      </c>
      <c r="H1731">
        <v>36299</v>
      </c>
      <c r="I1731" t="s">
        <v>288</v>
      </c>
    </row>
    <row r="1732" spans="1:9" x14ac:dyDescent="0.25">
      <c r="A1732">
        <v>70369</v>
      </c>
      <c r="B1732" t="s">
        <v>213</v>
      </c>
      <c r="C1732" t="s">
        <v>238</v>
      </c>
      <c r="D1732">
        <v>4</v>
      </c>
      <c r="E1732">
        <v>-334646</v>
      </c>
      <c r="F1732" t="s">
        <v>279</v>
      </c>
      <c r="G1732" t="s">
        <v>34</v>
      </c>
      <c r="H1732">
        <v>13950</v>
      </c>
      <c r="I1732" t="s">
        <v>289</v>
      </c>
    </row>
    <row r="1733" spans="1:9" x14ac:dyDescent="0.25">
      <c r="A1733">
        <v>70369</v>
      </c>
      <c r="B1733" t="s">
        <v>213</v>
      </c>
      <c r="C1733" t="s">
        <v>238</v>
      </c>
      <c r="D1733">
        <v>4</v>
      </c>
      <c r="E1733">
        <v>-334646</v>
      </c>
      <c r="F1733" t="s">
        <v>279</v>
      </c>
      <c r="G1733" t="s">
        <v>29</v>
      </c>
      <c r="H1733">
        <v>6735</v>
      </c>
      <c r="I1733" t="s">
        <v>290</v>
      </c>
    </row>
    <row r="1734" spans="1:9" x14ac:dyDescent="0.25">
      <c r="A1734">
        <v>70369</v>
      </c>
      <c r="B1734" t="s">
        <v>213</v>
      </c>
      <c r="C1734" t="s">
        <v>238</v>
      </c>
      <c r="D1734">
        <v>4</v>
      </c>
      <c r="E1734">
        <v>-334646</v>
      </c>
      <c r="F1734" t="s">
        <v>279</v>
      </c>
      <c r="G1734" t="s">
        <v>32</v>
      </c>
      <c r="H1734">
        <v>65772</v>
      </c>
      <c r="I1734" t="s">
        <v>291</v>
      </c>
    </row>
    <row r="1735" spans="1:9" x14ac:dyDescent="0.25">
      <c r="A1735">
        <v>70369</v>
      </c>
      <c r="B1735" t="s">
        <v>213</v>
      </c>
      <c r="C1735" t="s">
        <v>238</v>
      </c>
      <c r="D1735">
        <v>4</v>
      </c>
      <c r="E1735">
        <v>-334646</v>
      </c>
      <c r="F1735" t="s">
        <v>279</v>
      </c>
      <c r="G1735" t="s">
        <v>29</v>
      </c>
      <c r="H1735">
        <v>12555</v>
      </c>
      <c r="I1735" t="s">
        <v>292</v>
      </c>
    </row>
    <row r="1736" spans="1:9" x14ac:dyDescent="0.25">
      <c r="A1736">
        <v>70369</v>
      </c>
      <c r="B1736" t="s">
        <v>213</v>
      </c>
      <c r="C1736" t="s">
        <v>238</v>
      </c>
      <c r="D1736">
        <v>4</v>
      </c>
      <c r="E1736">
        <v>-334646</v>
      </c>
      <c r="F1736" t="s">
        <v>279</v>
      </c>
      <c r="G1736" t="s">
        <v>29</v>
      </c>
      <c r="H1736">
        <v>0</v>
      </c>
      <c r="I1736" t="s">
        <v>384</v>
      </c>
    </row>
    <row r="1737" spans="1:9" x14ac:dyDescent="0.25">
      <c r="A1737">
        <v>70369</v>
      </c>
      <c r="B1737" t="s">
        <v>213</v>
      </c>
      <c r="C1737" t="s">
        <v>238</v>
      </c>
      <c r="D1737">
        <v>4</v>
      </c>
      <c r="E1737">
        <v>-334646</v>
      </c>
      <c r="F1737" t="s">
        <v>279</v>
      </c>
      <c r="G1737" t="s">
        <v>35</v>
      </c>
      <c r="H1737">
        <v>4419</v>
      </c>
      <c r="I1737" t="s">
        <v>293</v>
      </c>
    </row>
    <row r="1738" spans="1:9" x14ac:dyDescent="0.25">
      <c r="A1738">
        <v>70369</v>
      </c>
      <c r="B1738" t="s">
        <v>213</v>
      </c>
      <c r="C1738" t="s">
        <v>238</v>
      </c>
      <c r="D1738">
        <v>4</v>
      </c>
      <c r="E1738">
        <v>-334646</v>
      </c>
      <c r="F1738" t="s">
        <v>279</v>
      </c>
      <c r="G1738" t="s">
        <v>35</v>
      </c>
      <c r="H1738">
        <v>717</v>
      </c>
      <c r="I1738" t="s">
        <v>294</v>
      </c>
    </row>
    <row r="1739" spans="1:9" x14ac:dyDescent="0.25">
      <c r="A1739">
        <v>70369</v>
      </c>
      <c r="B1739" t="s">
        <v>213</v>
      </c>
      <c r="C1739" t="s">
        <v>238</v>
      </c>
      <c r="D1739">
        <v>4</v>
      </c>
      <c r="E1739">
        <v>-334646</v>
      </c>
      <c r="F1739" t="s">
        <v>279</v>
      </c>
      <c r="G1739" t="s">
        <v>35</v>
      </c>
      <c r="H1739">
        <v>2976</v>
      </c>
      <c r="I1739" t="s">
        <v>295</v>
      </c>
    </row>
    <row r="1740" spans="1:9" x14ac:dyDescent="0.25">
      <c r="A1740">
        <v>70369</v>
      </c>
      <c r="B1740" t="s">
        <v>213</v>
      </c>
      <c r="C1740" t="s">
        <v>238</v>
      </c>
      <c r="D1740">
        <v>4</v>
      </c>
      <c r="E1740">
        <v>-334646</v>
      </c>
      <c r="F1740" t="s">
        <v>279</v>
      </c>
      <c r="G1740" t="s">
        <v>35</v>
      </c>
      <c r="H1740">
        <v>1748</v>
      </c>
      <c r="I1740" t="s">
        <v>296</v>
      </c>
    </row>
    <row r="1741" spans="1:9" x14ac:dyDescent="0.25">
      <c r="A1741">
        <v>70369</v>
      </c>
      <c r="B1741" t="s">
        <v>213</v>
      </c>
      <c r="C1741" t="s">
        <v>238</v>
      </c>
      <c r="D1741">
        <v>4</v>
      </c>
      <c r="E1741">
        <v>-334646</v>
      </c>
      <c r="F1741" t="s">
        <v>279</v>
      </c>
      <c r="G1741" t="s">
        <v>35</v>
      </c>
      <c r="H1741">
        <v>330</v>
      </c>
      <c r="I1741" t="s">
        <v>325</v>
      </c>
    </row>
    <row r="1742" spans="1:9" x14ac:dyDescent="0.25">
      <c r="A1742">
        <v>70369</v>
      </c>
      <c r="B1742" t="s">
        <v>213</v>
      </c>
      <c r="C1742" t="s">
        <v>238</v>
      </c>
      <c r="D1742">
        <v>4</v>
      </c>
      <c r="E1742">
        <v>-334646</v>
      </c>
      <c r="F1742" t="s">
        <v>279</v>
      </c>
      <c r="G1742" t="s">
        <v>29</v>
      </c>
      <c r="H1742">
        <v>4980</v>
      </c>
      <c r="I1742" t="s">
        <v>297</v>
      </c>
    </row>
    <row r="1743" spans="1:9" x14ac:dyDescent="0.25">
      <c r="A1743">
        <v>70369</v>
      </c>
      <c r="B1743" t="s">
        <v>213</v>
      </c>
      <c r="C1743" t="s">
        <v>238</v>
      </c>
      <c r="D1743">
        <v>4</v>
      </c>
      <c r="E1743">
        <v>-334646</v>
      </c>
      <c r="F1743" t="s">
        <v>279</v>
      </c>
      <c r="G1743" t="s">
        <v>36</v>
      </c>
      <c r="H1743">
        <v>28134</v>
      </c>
      <c r="I1743" t="s">
        <v>298</v>
      </c>
    </row>
    <row r="1744" spans="1:9" x14ac:dyDescent="0.25">
      <c r="A1744">
        <v>70369</v>
      </c>
      <c r="B1744" t="s">
        <v>213</v>
      </c>
      <c r="C1744" t="s">
        <v>238</v>
      </c>
      <c r="D1744">
        <v>4</v>
      </c>
      <c r="E1744">
        <v>-334646</v>
      </c>
      <c r="F1744" t="s">
        <v>274</v>
      </c>
      <c r="G1744" t="s">
        <v>275</v>
      </c>
      <c r="H1744">
        <v>76451</v>
      </c>
      <c r="I1744" t="s">
        <v>299</v>
      </c>
    </row>
    <row r="1745" spans="1:9" x14ac:dyDescent="0.25">
      <c r="A1745">
        <v>70369</v>
      </c>
      <c r="B1745" t="s">
        <v>213</v>
      </c>
      <c r="C1745" t="s">
        <v>238</v>
      </c>
      <c r="D1745">
        <v>4</v>
      </c>
      <c r="E1745">
        <v>-334646</v>
      </c>
      <c r="F1745" t="s">
        <v>274</v>
      </c>
      <c r="G1745" t="s">
        <v>275</v>
      </c>
      <c r="H1745">
        <v>0</v>
      </c>
      <c r="I1745" t="s">
        <v>385</v>
      </c>
    </row>
    <row r="1746" spans="1:9" x14ac:dyDescent="0.25">
      <c r="A1746">
        <v>70369</v>
      </c>
      <c r="B1746" t="s">
        <v>213</v>
      </c>
      <c r="C1746" t="s">
        <v>238</v>
      </c>
      <c r="D1746">
        <v>4</v>
      </c>
      <c r="E1746">
        <v>-334646</v>
      </c>
      <c r="F1746" t="s">
        <v>279</v>
      </c>
      <c r="G1746" t="s">
        <v>31</v>
      </c>
      <c r="H1746">
        <v>0</v>
      </c>
      <c r="I1746" t="s">
        <v>364</v>
      </c>
    </row>
    <row r="1747" spans="1:9" x14ac:dyDescent="0.25">
      <c r="A1747">
        <v>70369</v>
      </c>
      <c r="B1747" t="s">
        <v>213</v>
      </c>
      <c r="C1747" t="s">
        <v>238</v>
      </c>
      <c r="D1747">
        <v>4</v>
      </c>
      <c r="E1747">
        <v>-334646</v>
      </c>
      <c r="F1747" t="s">
        <v>279</v>
      </c>
      <c r="G1747" t="s">
        <v>31</v>
      </c>
      <c r="H1747">
        <v>0</v>
      </c>
      <c r="I1747" t="s">
        <v>365</v>
      </c>
    </row>
    <row r="1748" spans="1:9" x14ac:dyDescent="0.25">
      <c r="A1748">
        <v>70369</v>
      </c>
      <c r="B1748" t="s">
        <v>213</v>
      </c>
      <c r="C1748" t="s">
        <v>238</v>
      </c>
      <c r="D1748">
        <v>4</v>
      </c>
      <c r="E1748">
        <v>-334646</v>
      </c>
      <c r="F1748" t="s">
        <v>279</v>
      </c>
      <c r="G1748" t="s">
        <v>31</v>
      </c>
      <c r="H1748">
        <v>0</v>
      </c>
      <c r="I1748" t="s">
        <v>366</v>
      </c>
    </row>
    <row r="1749" spans="1:9" x14ac:dyDescent="0.25">
      <c r="A1749">
        <v>70369</v>
      </c>
      <c r="B1749" t="s">
        <v>213</v>
      </c>
      <c r="C1749" t="s">
        <v>238</v>
      </c>
      <c r="D1749">
        <v>4</v>
      </c>
      <c r="E1749">
        <v>-334646</v>
      </c>
      <c r="F1749" t="s">
        <v>279</v>
      </c>
      <c r="G1749" t="s">
        <v>31</v>
      </c>
      <c r="H1749">
        <v>0</v>
      </c>
      <c r="I1749" t="s">
        <v>367</v>
      </c>
    </row>
    <row r="1750" spans="1:9" x14ac:dyDescent="0.25">
      <c r="A1750">
        <v>70369</v>
      </c>
      <c r="B1750" t="s">
        <v>213</v>
      </c>
      <c r="C1750" t="s">
        <v>238</v>
      </c>
      <c r="D1750">
        <v>4</v>
      </c>
      <c r="E1750">
        <v>-334646</v>
      </c>
      <c r="F1750" t="s">
        <v>279</v>
      </c>
      <c r="G1750" t="s">
        <v>31</v>
      </c>
      <c r="H1750">
        <v>0</v>
      </c>
      <c r="I1750" t="s">
        <v>368</v>
      </c>
    </row>
    <row r="1751" spans="1:9" x14ac:dyDescent="0.25">
      <c r="A1751">
        <v>70369</v>
      </c>
      <c r="B1751" t="s">
        <v>213</v>
      </c>
      <c r="C1751" t="s">
        <v>238</v>
      </c>
      <c r="D1751">
        <v>4</v>
      </c>
      <c r="E1751">
        <v>-334646</v>
      </c>
      <c r="F1751" t="s">
        <v>279</v>
      </c>
      <c r="G1751" t="s">
        <v>31</v>
      </c>
      <c r="H1751">
        <v>0</v>
      </c>
      <c r="I1751" t="s">
        <v>369</v>
      </c>
    </row>
    <row r="1752" spans="1:9" x14ac:dyDescent="0.25">
      <c r="A1752">
        <v>70369</v>
      </c>
      <c r="B1752" t="s">
        <v>213</v>
      </c>
      <c r="C1752" t="s">
        <v>238</v>
      </c>
      <c r="D1752">
        <v>4</v>
      </c>
      <c r="E1752">
        <v>-334646</v>
      </c>
      <c r="F1752" t="s">
        <v>279</v>
      </c>
      <c r="G1752" t="s">
        <v>31</v>
      </c>
      <c r="H1752">
        <v>0</v>
      </c>
      <c r="I1752" t="s">
        <v>370</v>
      </c>
    </row>
    <row r="1753" spans="1:9" x14ac:dyDescent="0.25">
      <c r="A1753">
        <v>70369</v>
      </c>
      <c r="B1753" t="s">
        <v>213</v>
      </c>
      <c r="C1753" t="s">
        <v>238</v>
      </c>
      <c r="D1753">
        <v>4</v>
      </c>
      <c r="E1753">
        <v>-334646</v>
      </c>
      <c r="F1753" t="s">
        <v>279</v>
      </c>
      <c r="G1753" t="s">
        <v>31</v>
      </c>
      <c r="H1753">
        <v>0</v>
      </c>
      <c r="I1753" t="s">
        <v>371</v>
      </c>
    </row>
    <row r="1754" spans="1:9" x14ac:dyDescent="0.25">
      <c r="A1754">
        <v>70370</v>
      </c>
      <c r="B1754" t="s">
        <v>215</v>
      </c>
      <c r="C1754" t="s">
        <v>238</v>
      </c>
      <c r="D1754">
        <v>4</v>
      </c>
      <c r="E1754">
        <v>-211225</v>
      </c>
      <c r="F1754" t="s">
        <v>279</v>
      </c>
      <c r="G1754" t="s">
        <v>31</v>
      </c>
      <c r="H1754">
        <v>0</v>
      </c>
      <c r="I1754" t="s">
        <v>364</v>
      </c>
    </row>
    <row r="1755" spans="1:9" x14ac:dyDescent="0.25">
      <c r="A1755">
        <v>70370</v>
      </c>
      <c r="B1755" t="s">
        <v>215</v>
      </c>
      <c r="C1755" t="s">
        <v>238</v>
      </c>
      <c r="D1755">
        <v>4</v>
      </c>
      <c r="E1755">
        <v>-211225</v>
      </c>
      <c r="F1755" t="s">
        <v>279</v>
      </c>
      <c r="G1755" t="s">
        <v>31</v>
      </c>
      <c r="H1755">
        <v>0</v>
      </c>
      <c r="I1755" t="s">
        <v>365</v>
      </c>
    </row>
    <row r="1756" spans="1:9" x14ac:dyDescent="0.25">
      <c r="A1756">
        <v>70370</v>
      </c>
      <c r="B1756" t="s">
        <v>215</v>
      </c>
      <c r="C1756" t="s">
        <v>238</v>
      </c>
      <c r="D1756">
        <v>4</v>
      </c>
      <c r="E1756">
        <v>-211225</v>
      </c>
      <c r="F1756" t="s">
        <v>279</v>
      </c>
      <c r="G1756" t="s">
        <v>31</v>
      </c>
      <c r="H1756">
        <v>0</v>
      </c>
      <c r="I1756" t="s">
        <v>366</v>
      </c>
    </row>
    <row r="1757" spans="1:9" x14ac:dyDescent="0.25">
      <c r="A1757">
        <v>70370</v>
      </c>
      <c r="B1757" t="s">
        <v>215</v>
      </c>
      <c r="C1757" t="s">
        <v>238</v>
      </c>
      <c r="D1757">
        <v>4</v>
      </c>
      <c r="E1757">
        <v>-211225</v>
      </c>
      <c r="F1757" t="s">
        <v>279</v>
      </c>
      <c r="G1757" t="s">
        <v>31</v>
      </c>
      <c r="H1757">
        <v>0</v>
      </c>
      <c r="I1757" t="s">
        <v>367</v>
      </c>
    </row>
    <row r="1758" spans="1:9" x14ac:dyDescent="0.25">
      <c r="A1758">
        <v>70370</v>
      </c>
      <c r="B1758" t="s">
        <v>215</v>
      </c>
      <c r="C1758" t="s">
        <v>238</v>
      </c>
      <c r="D1758">
        <v>4</v>
      </c>
      <c r="E1758">
        <v>-211225</v>
      </c>
      <c r="F1758" t="s">
        <v>279</v>
      </c>
      <c r="G1758" t="s">
        <v>31</v>
      </c>
      <c r="H1758">
        <v>0</v>
      </c>
      <c r="I1758" t="s">
        <v>368</v>
      </c>
    </row>
    <row r="1759" spans="1:9" x14ac:dyDescent="0.25">
      <c r="A1759">
        <v>70370</v>
      </c>
      <c r="B1759" t="s">
        <v>215</v>
      </c>
      <c r="C1759" t="s">
        <v>238</v>
      </c>
      <c r="D1759">
        <v>4</v>
      </c>
      <c r="E1759">
        <v>-211225</v>
      </c>
      <c r="F1759" t="s">
        <v>279</v>
      </c>
      <c r="G1759" t="s">
        <v>31</v>
      </c>
      <c r="H1759">
        <v>0</v>
      </c>
      <c r="I1759" t="s">
        <v>369</v>
      </c>
    </row>
    <row r="1760" spans="1:9" x14ac:dyDescent="0.25">
      <c r="A1760">
        <v>70370</v>
      </c>
      <c r="B1760" t="s">
        <v>215</v>
      </c>
      <c r="C1760" t="s">
        <v>238</v>
      </c>
      <c r="D1760">
        <v>4</v>
      </c>
      <c r="E1760">
        <v>-211225</v>
      </c>
      <c r="F1760" t="s">
        <v>279</v>
      </c>
      <c r="G1760" t="s">
        <v>31</v>
      </c>
      <c r="H1760">
        <v>0</v>
      </c>
      <c r="I1760" t="s">
        <v>370</v>
      </c>
    </row>
    <row r="1761" spans="1:9" x14ac:dyDescent="0.25">
      <c r="A1761">
        <v>70370</v>
      </c>
      <c r="B1761" t="s">
        <v>215</v>
      </c>
      <c r="C1761" t="s">
        <v>238</v>
      </c>
      <c r="D1761">
        <v>4</v>
      </c>
      <c r="E1761">
        <v>-211225</v>
      </c>
      <c r="F1761" t="s">
        <v>279</v>
      </c>
      <c r="G1761" t="s">
        <v>31</v>
      </c>
      <c r="H1761">
        <v>0</v>
      </c>
      <c r="I1761" t="s">
        <v>371</v>
      </c>
    </row>
    <row r="1762" spans="1:9" x14ac:dyDescent="0.25">
      <c r="A1762">
        <v>70370</v>
      </c>
      <c r="B1762" t="s">
        <v>215</v>
      </c>
      <c r="C1762" t="s">
        <v>238</v>
      </c>
      <c r="D1762">
        <v>4</v>
      </c>
      <c r="E1762">
        <v>-211225</v>
      </c>
      <c r="F1762" t="s">
        <v>279</v>
      </c>
      <c r="G1762" t="s">
        <v>31</v>
      </c>
      <c r="H1762">
        <v>0</v>
      </c>
      <c r="I1762" t="s">
        <v>328</v>
      </c>
    </row>
    <row r="1763" spans="1:9" x14ac:dyDescent="0.25">
      <c r="A1763">
        <v>70370</v>
      </c>
      <c r="B1763" t="s">
        <v>215</v>
      </c>
      <c r="C1763" t="s">
        <v>238</v>
      </c>
      <c r="D1763">
        <v>4</v>
      </c>
      <c r="E1763">
        <v>-211225</v>
      </c>
      <c r="F1763" t="s">
        <v>279</v>
      </c>
      <c r="G1763" t="s">
        <v>33</v>
      </c>
      <c r="H1763">
        <v>0</v>
      </c>
      <c r="I1763" t="s">
        <v>372</v>
      </c>
    </row>
    <row r="1764" spans="1:9" x14ac:dyDescent="0.25">
      <c r="A1764">
        <v>70370</v>
      </c>
      <c r="B1764" t="s">
        <v>215</v>
      </c>
      <c r="C1764" t="s">
        <v>238</v>
      </c>
      <c r="D1764">
        <v>4</v>
      </c>
      <c r="E1764">
        <v>-211225</v>
      </c>
      <c r="F1764" t="s">
        <v>279</v>
      </c>
      <c r="G1764" t="s">
        <v>33</v>
      </c>
      <c r="H1764">
        <v>0</v>
      </c>
      <c r="I1764" t="s">
        <v>329</v>
      </c>
    </row>
    <row r="1765" spans="1:9" x14ac:dyDescent="0.25">
      <c r="A1765">
        <v>70370</v>
      </c>
      <c r="B1765" t="s">
        <v>215</v>
      </c>
      <c r="C1765" t="s">
        <v>238</v>
      </c>
      <c r="D1765">
        <v>4</v>
      </c>
      <c r="E1765">
        <v>-211225</v>
      </c>
      <c r="F1765" t="s">
        <v>279</v>
      </c>
      <c r="G1765" t="s">
        <v>33</v>
      </c>
      <c r="H1765">
        <v>63691</v>
      </c>
      <c r="I1765" t="s">
        <v>319</v>
      </c>
    </row>
    <row r="1766" spans="1:9" x14ac:dyDescent="0.25">
      <c r="A1766">
        <v>70370</v>
      </c>
      <c r="B1766" t="s">
        <v>215</v>
      </c>
      <c r="C1766" t="s">
        <v>238</v>
      </c>
      <c r="D1766">
        <v>4</v>
      </c>
      <c r="E1766">
        <v>-211225</v>
      </c>
      <c r="F1766" t="s">
        <v>279</v>
      </c>
      <c r="G1766" t="s">
        <v>33</v>
      </c>
      <c r="H1766">
        <v>0</v>
      </c>
      <c r="I1766" t="s">
        <v>373</v>
      </c>
    </row>
    <row r="1767" spans="1:9" x14ac:dyDescent="0.25">
      <c r="A1767">
        <v>70370</v>
      </c>
      <c r="B1767" t="s">
        <v>215</v>
      </c>
      <c r="C1767" t="s">
        <v>238</v>
      </c>
      <c r="D1767">
        <v>4</v>
      </c>
      <c r="E1767">
        <v>-211225</v>
      </c>
      <c r="F1767" t="s">
        <v>279</v>
      </c>
      <c r="G1767" t="s">
        <v>33</v>
      </c>
      <c r="H1767">
        <v>0</v>
      </c>
      <c r="I1767" t="s">
        <v>374</v>
      </c>
    </row>
    <row r="1768" spans="1:9" x14ac:dyDescent="0.25">
      <c r="A1768">
        <v>70370</v>
      </c>
      <c r="B1768" t="s">
        <v>215</v>
      </c>
      <c r="C1768" t="s">
        <v>238</v>
      </c>
      <c r="D1768">
        <v>4</v>
      </c>
      <c r="E1768">
        <v>-211225</v>
      </c>
      <c r="F1768" t="s">
        <v>279</v>
      </c>
      <c r="G1768" t="s">
        <v>33</v>
      </c>
      <c r="H1768">
        <v>0</v>
      </c>
      <c r="I1768" t="s">
        <v>326</v>
      </c>
    </row>
    <row r="1769" spans="1:9" x14ac:dyDescent="0.25">
      <c r="A1769">
        <v>70370</v>
      </c>
      <c r="B1769" t="s">
        <v>215</v>
      </c>
      <c r="C1769" t="s">
        <v>238</v>
      </c>
      <c r="D1769">
        <v>4</v>
      </c>
      <c r="E1769">
        <v>-211225</v>
      </c>
      <c r="F1769" t="s">
        <v>279</v>
      </c>
      <c r="G1769" t="s">
        <v>33</v>
      </c>
      <c r="H1769">
        <v>0</v>
      </c>
      <c r="I1769" t="s">
        <v>375</v>
      </c>
    </row>
    <row r="1770" spans="1:9" x14ac:dyDescent="0.25">
      <c r="A1770">
        <v>70370</v>
      </c>
      <c r="B1770" t="s">
        <v>215</v>
      </c>
      <c r="C1770" t="s">
        <v>238</v>
      </c>
      <c r="D1770">
        <v>4</v>
      </c>
      <c r="E1770">
        <v>-211225</v>
      </c>
      <c r="F1770" t="s">
        <v>279</v>
      </c>
      <c r="G1770" t="s">
        <v>33</v>
      </c>
      <c r="H1770">
        <v>0</v>
      </c>
      <c r="I1770" t="s">
        <v>376</v>
      </c>
    </row>
    <row r="1771" spans="1:9" x14ac:dyDescent="0.25">
      <c r="A1771">
        <v>70370</v>
      </c>
      <c r="B1771" t="s">
        <v>215</v>
      </c>
      <c r="C1771" t="s">
        <v>238</v>
      </c>
      <c r="D1771">
        <v>4</v>
      </c>
      <c r="E1771">
        <v>-211225</v>
      </c>
      <c r="F1771" t="s">
        <v>279</v>
      </c>
      <c r="G1771" t="s">
        <v>33</v>
      </c>
      <c r="H1771">
        <v>37028</v>
      </c>
      <c r="I1771" t="s">
        <v>280</v>
      </c>
    </row>
    <row r="1772" spans="1:9" x14ac:dyDescent="0.25">
      <c r="A1772">
        <v>70370</v>
      </c>
      <c r="B1772" t="s">
        <v>215</v>
      </c>
      <c r="C1772" t="s">
        <v>238</v>
      </c>
      <c r="D1772">
        <v>4</v>
      </c>
      <c r="E1772">
        <v>-211225</v>
      </c>
      <c r="F1772" t="s">
        <v>279</v>
      </c>
      <c r="G1772" t="s">
        <v>29</v>
      </c>
      <c r="H1772">
        <v>63</v>
      </c>
      <c r="I1772" t="s">
        <v>281</v>
      </c>
    </row>
    <row r="1773" spans="1:9" x14ac:dyDescent="0.25">
      <c r="A1773">
        <v>70370</v>
      </c>
      <c r="B1773" t="s">
        <v>215</v>
      </c>
      <c r="C1773" t="s">
        <v>238</v>
      </c>
      <c r="D1773">
        <v>4</v>
      </c>
      <c r="E1773">
        <v>-211225</v>
      </c>
      <c r="F1773" t="s">
        <v>279</v>
      </c>
      <c r="G1773" t="s">
        <v>29</v>
      </c>
      <c r="H1773">
        <v>80142</v>
      </c>
      <c r="I1773" t="s">
        <v>282</v>
      </c>
    </row>
    <row r="1774" spans="1:9" x14ac:dyDescent="0.25">
      <c r="A1774">
        <v>70370</v>
      </c>
      <c r="B1774" t="s">
        <v>215</v>
      </c>
      <c r="C1774" t="s">
        <v>238</v>
      </c>
      <c r="D1774">
        <v>4</v>
      </c>
      <c r="E1774">
        <v>-211225</v>
      </c>
      <c r="F1774" t="s">
        <v>279</v>
      </c>
      <c r="G1774" t="s">
        <v>35</v>
      </c>
      <c r="H1774">
        <v>45206</v>
      </c>
      <c r="I1774" t="s">
        <v>283</v>
      </c>
    </row>
    <row r="1775" spans="1:9" x14ac:dyDescent="0.25">
      <c r="A1775">
        <v>70370</v>
      </c>
      <c r="B1775" t="s">
        <v>215</v>
      </c>
      <c r="C1775" t="s">
        <v>238</v>
      </c>
      <c r="D1775">
        <v>4</v>
      </c>
      <c r="E1775">
        <v>-211225</v>
      </c>
      <c r="F1775" t="s">
        <v>279</v>
      </c>
      <c r="G1775" t="s">
        <v>29</v>
      </c>
      <c r="H1775">
        <v>5167</v>
      </c>
      <c r="I1775" t="s">
        <v>284</v>
      </c>
    </row>
    <row r="1776" spans="1:9" x14ac:dyDescent="0.25">
      <c r="A1776">
        <v>70370</v>
      </c>
      <c r="B1776" t="s">
        <v>215</v>
      </c>
      <c r="C1776" t="s">
        <v>238</v>
      </c>
      <c r="D1776">
        <v>4</v>
      </c>
      <c r="E1776">
        <v>-211225</v>
      </c>
      <c r="F1776" t="s">
        <v>279</v>
      </c>
      <c r="G1776" t="s">
        <v>29</v>
      </c>
      <c r="H1776">
        <v>26798</v>
      </c>
      <c r="I1776" t="s">
        <v>285</v>
      </c>
    </row>
    <row r="1777" spans="1:9" x14ac:dyDescent="0.25">
      <c r="A1777">
        <v>70370</v>
      </c>
      <c r="B1777" t="s">
        <v>215</v>
      </c>
      <c r="C1777" t="s">
        <v>238</v>
      </c>
      <c r="D1777">
        <v>4</v>
      </c>
      <c r="E1777">
        <v>-211225</v>
      </c>
      <c r="F1777" t="s">
        <v>279</v>
      </c>
      <c r="G1777" t="s">
        <v>29</v>
      </c>
      <c r="H1777">
        <v>6646</v>
      </c>
      <c r="I1777" t="s">
        <v>286</v>
      </c>
    </row>
    <row r="1778" spans="1:9" x14ac:dyDescent="0.25">
      <c r="A1778">
        <v>70370</v>
      </c>
      <c r="B1778" t="s">
        <v>215</v>
      </c>
      <c r="C1778" t="s">
        <v>238</v>
      </c>
      <c r="D1778">
        <v>4</v>
      </c>
      <c r="E1778">
        <v>-211225</v>
      </c>
      <c r="F1778" t="s">
        <v>279</v>
      </c>
      <c r="G1778" t="s">
        <v>29</v>
      </c>
      <c r="H1778">
        <v>0</v>
      </c>
      <c r="I1778" t="s">
        <v>327</v>
      </c>
    </row>
    <row r="1779" spans="1:9" x14ac:dyDescent="0.25">
      <c r="A1779">
        <v>70370</v>
      </c>
      <c r="B1779" t="s">
        <v>215</v>
      </c>
      <c r="C1779" t="s">
        <v>238</v>
      </c>
      <c r="D1779">
        <v>4</v>
      </c>
      <c r="E1779">
        <v>-211225</v>
      </c>
      <c r="F1779" t="s">
        <v>279</v>
      </c>
      <c r="G1779" t="s">
        <v>34</v>
      </c>
      <c r="H1779">
        <v>8877</v>
      </c>
      <c r="I1779" t="s">
        <v>287</v>
      </c>
    </row>
    <row r="1780" spans="1:9" x14ac:dyDescent="0.25">
      <c r="A1780">
        <v>70370</v>
      </c>
      <c r="B1780" t="s">
        <v>215</v>
      </c>
      <c r="C1780" t="s">
        <v>238</v>
      </c>
      <c r="D1780">
        <v>4</v>
      </c>
      <c r="E1780">
        <v>-211225</v>
      </c>
      <c r="F1780" t="s">
        <v>279</v>
      </c>
      <c r="G1780" t="s">
        <v>29</v>
      </c>
      <c r="H1780">
        <v>33021</v>
      </c>
      <c r="I1780" t="s">
        <v>288</v>
      </c>
    </row>
    <row r="1781" spans="1:9" x14ac:dyDescent="0.25">
      <c r="A1781">
        <v>70370</v>
      </c>
      <c r="B1781" t="s">
        <v>215</v>
      </c>
      <c r="C1781" t="s">
        <v>238</v>
      </c>
      <c r="D1781">
        <v>4</v>
      </c>
      <c r="E1781">
        <v>-211225</v>
      </c>
      <c r="F1781" t="s">
        <v>279</v>
      </c>
      <c r="G1781" t="s">
        <v>34</v>
      </c>
      <c r="H1781">
        <v>9825</v>
      </c>
      <c r="I1781" t="s">
        <v>289</v>
      </c>
    </row>
    <row r="1782" spans="1:9" x14ac:dyDescent="0.25">
      <c r="A1782">
        <v>70370</v>
      </c>
      <c r="B1782" t="s">
        <v>215</v>
      </c>
      <c r="C1782" t="s">
        <v>238</v>
      </c>
      <c r="D1782">
        <v>4</v>
      </c>
      <c r="E1782">
        <v>-211225</v>
      </c>
      <c r="F1782" t="s">
        <v>279</v>
      </c>
      <c r="G1782" t="s">
        <v>29</v>
      </c>
      <c r="H1782">
        <v>3582</v>
      </c>
      <c r="I1782" t="s">
        <v>290</v>
      </c>
    </row>
    <row r="1783" spans="1:9" x14ac:dyDescent="0.25">
      <c r="A1783">
        <v>70370</v>
      </c>
      <c r="B1783" t="s">
        <v>215</v>
      </c>
      <c r="C1783" t="s">
        <v>238</v>
      </c>
      <c r="D1783">
        <v>4</v>
      </c>
      <c r="E1783">
        <v>-211225</v>
      </c>
      <c r="F1783" t="s">
        <v>279</v>
      </c>
      <c r="G1783" t="s">
        <v>32</v>
      </c>
      <c r="H1783">
        <v>43177</v>
      </c>
      <c r="I1783" t="s">
        <v>291</v>
      </c>
    </row>
    <row r="1784" spans="1:9" x14ac:dyDescent="0.25">
      <c r="A1784">
        <v>70370</v>
      </c>
      <c r="B1784" t="s">
        <v>215</v>
      </c>
      <c r="C1784" t="s">
        <v>238</v>
      </c>
      <c r="D1784">
        <v>4</v>
      </c>
      <c r="E1784">
        <v>-211225</v>
      </c>
      <c r="F1784" t="s">
        <v>279</v>
      </c>
      <c r="G1784" t="s">
        <v>29</v>
      </c>
      <c r="H1784">
        <v>9853</v>
      </c>
      <c r="I1784" t="s">
        <v>292</v>
      </c>
    </row>
    <row r="1785" spans="1:9" x14ac:dyDescent="0.25">
      <c r="A1785">
        <v>70370</v>
      </c>
      <c r="B1785" t="s">
        <v>215</v>
      </c>
      <c r="C1785" t="s">
        <v>238</v>
      </c>
      <c r="D1785">
        <v>4</v>
      </c>
      <c r="E1785">
        <v>-211225</v>
      </c>
      <c r="F1785" t="s">
        <v>279</v>
      </c>
      <c r="G1785" t="s">
        <v>29</v>
      </c>
      <c r="H1785">
        <v>0</v>
      </c>
      <c r="I1785" t="s">
        <v>384</v>
      </c>
    </row>
    <row r="1786" spans="1:9" x14ac:dyDescent="0.25">
      <c r="A1786">
        <v>70370</v>
      </c>
      <c r="B1786" t="s">
        <v>215</v>
      </c>
      <c r="C1786" t="s">
        <v>238</v>
      </c>
      <c r="D1786">
        <v>4</v>
      </c>
      <c r="E1786">
        <v>-211225</v>
      </c>
      <c r="F1786" t="s">
        <v>279</v>
      </c>
      <c r="G1786" t="s">
        <v>35</v>
      </c>
      <c r="H1786">
        <v>3732</v>
      </c>
      <c r="I1786" t="s">
        <v>293</v>
      </c>
    </row>
    <row r="1787" spans="1:9" x14ac:dyDescent="0.25">
      <c r="A1787">
        <v>70370</v>
      </c>
      <c r="B1787" t="s">
        <v>215</v>
      </c>
      <c r="C1787" t="s">
        <v>238</v>
      </c>
      <c r="D1787">
        <v>4</v>
      </c>
      <c r="E1787">
        <v>-211225</v>
      </c>
      <c r="F1787" t="s">
        <v>279</v>
      </c>
      <c r="G1787" t="s">
        <v>35</v>
      </c>
      <c r="H1787">
        <v>949</v>
      </c>
      <c r="I1787" t="s">
        <v>294</v>
      </c>
    </row>
    <row r="1788" spans="1:9" x14ac:dyDescent="0.25">
      <c r="A1788">
        <v>70370</v>
      </c>
      <c r="B1788" t="s">
        <v>215</v>
      </c>
      <c r="C1788" t="s">
        <v>238</v>
      </c>
      <c r="D1788">
        <v>4</v>
      </c>
      <c r="E1788">
        <v>-211225</v>
      </c>
      <c r="F1788" t="s">
        <v>279</v>
      </c>
      <c r="G1788" t="s">
        <v>35</v>
      </c>
      <c r="H1788">
        <v>2638</v>
      </c>
      <c r="I1788" t="s">
        <v>295</v>
      </c>
    </row>
    <row r="1789" spans="1:9" x14ac:dyDescent="0.25">
      <c r="A1789">
        <v>70370</v>
      </c>
      <c r="B1789" t="s">
        <v>215</v>
      </c>
      <c r="C1789" t="s">
        <v>238</v>
      </c>
      <c r="D1789">
        <v>4</v>
      </c>
      <c r="E1789">
        <v>-211225</v>
      </c>
      <c r="F1789" t="s">
        <v>279</v>
      </c>
      <c r="G1789" t="s">
        <v>35</v>
      </c>
      <c r="H1789">
        <v>5216</v>
      </c>
      <c r="I1789" t="s">
        <v>296</v>
      </c>
    </row>
    <row r="1790" spans="1:9" x14ac:dyDescent="0.25">
      <c r="A1790">
        <v>70370</v>
      </c>
      <c r="B1790" t="s">
        <v>215</v>
      </c>
      <c r="C1790" t="s">
        <v>238</v>
      </c>
      <c r="D1790">
        <v>4</v>
      </c>
      <c r="E1790">
        <v>-211225</v>
      </c>
      <c r="F1790" t="s">
        <v>279</v>
      </c>
      <c r="G1790" t="s">
        <v>35</v>
      </c>
      <c r="H1790">
        <v>23449</v>
      </c>
      <c r="I1790" t="s">
        <v>325</v>
      </c>
    </row>
    <row r="1791" spans="1:9" x14ac:dyDescent="0.25">
      <c r="A1791">
        <v>70370</v>
      </c>
      <c r="B1791" t="s">
        <v>215</v>
      </c>
      <c r="C1791" t="s">
        <v>238</v>
      </c>
      <c r="D1791">
        <v>4</v>
      </c>
      <c r="E1791">
        <v>-211225</v>
      </c>
      <c r="F1791" t="s">
        <v>279</v>
      </c>
      <c r="G1791" t="s">
        <v>29</v>
      </c>
      <c r="H1791">
        <v>12828</v>
      </c>
      <c r="I1791" t="s">
        <v>297</v>
      </c>
    </row>
    <row r="1792" spans="1:9" x14ac:dyDescent="0.25">
      <c r="A1792">
        <v>70370</v>
      </c>
      <c r="B1792" t="s">
        <v>215</v>
      </c>
      <c r="C1792" t="s">
        <v>238</v>
      </c>
      <c r="D1792">
        <v>4</v>
      </c>
      <c r="E1792">
        <v>-211225</v>
      </c>
      <c r="F1792" t="s">
        <v>279</v>
      </c>
      <c r="G1792" t="s">
        <v>36</v>
      </c>
      <c r="H1792">
        <v>24611</v>
      </c>
      <c r="I1792" t="s">
        <v>298</v>
      </c>
    </row>
    <row r="1793" spans="1:9" x14ac:dyDescent="0.25">
      <c r="A1793">
        <v>70370</v>
      </c>
      <c r="B1793" t="s">
        <v>215</v>
      </c>
      <c r="C1793" t="s">
        <v>238</v>
      </c>
      <c r="D1793">
        <v>4</v>
      </c>
      <c r="E1793">
        <v>-211225</v>
      </c>
      <c r="F1793" t="s">
        <v>274</v>
      </c>
      <c r="G1793" t="s">
        <v>275</v>
      </c>
      <c r="H1793">
        <v>468652</v>
      </c>
      <c r="I1793" t="s">
        <v>299</v>
      </c>
    </row>
    <row r="1794" spans="1:9" x14ac:dyDescent="0.25">
      <c r="A1794">
        <v>70370</v>
      </c>
      <c r="B1794" t="s">
        <v>215</v>
      </c>
      <c r="C1794" t="s">
        <v>238</v>
      </c>
      <c r="D1794">
        <v>4</v>
      </c>
      <c r="E1794">
        <v>-211225</v>
      </c>
      <c r="F1794" t="s">
        <v>274</v>
      </c>
      <c r="G1794" t="s">
        <v>275</v>
      </c>
      <c r="H1794">
        <v>0</v>
      </c>
      <c r="I1794" t="s">
        <v>385</v>
      </c>
    </row>
    <row r="1795" spans="1:9" x14ac:dyDescent="0.25">
      <c r="A1795">
        <v>70370</v>
      </c>
      <c r="B1795" t="s">
        <v>215</v>
      </c>
      <c r="C1795" t="s">
        <v>238</v>
      </c>
      <c r="D1795">
        <v>4</v>
      </c>
      <c r="E1795">
        <v>-211225</v>
      </c>
      <c r="F1795" t="s">
        <v>279</v>
      </c>
      <c r="G1795" t="s">
        <v>33</v>
      </c>
      <c r="H1795">
        <v>0</v>
      </c>
      <c r="I1795" t="s">
        <v>377</v>
      </c>
    </row>
    <row r="1796" spans="1:9" x14ac:dyDescent="0.25">
      <c r="A1796">
        <v>70370</v>
      </c>
      <c r="B1796" t="s">
        <v>215</v>
      </c>
      <c r="C1796" t="s">
        <v>238</v>
      </c>
      <c r="D1796">
        <v>4</v>
      </c>
      <c r="E1796">
        <v>-211225</v>
      </c>
      <c r="F1796" t="s">
        <v>274</v>
      </c>
      <c r="G1796" t="s">
        <v>275</v>
      </c>
      <c r="H1796">
        <v>438362</v>
      </c>
      <c r="I1796" t="s">
        <v>318</v>
      </c>
    </row>
    <row r="1797" spans="1:9" x14ac:dyDescent="0.25">
      <c r="A1797">
        <v>70370</v>
      </c>
      <c r="B1797" t="s">
        <v>215</v>
      </c>
      <c r="C1797" t="s">
        <v>238</v>
      </c>
      <c r="D1797">
        <v>4</v>
      </c>
      <c r="E1797">
        <v>-211225</v>
      </c>
      <c r="F1797" t="s">
        <v>274</v>
      </c>
      <c r="G1797" t="s">
        <v>300</v>
      </c>
      <c r="H1797">
        <v>20553</v>
      </c>
      <c r="I1797" t="s">
        <v>301</v>
      </c>
    </row>
    <row r="1798" spans="1:9" x14ac:dyDescent="0.25">
      <c r="A1798">
        <v>70370</v>
      </c>
      <c r="B1798" t="s">
        <v>215</v>
      </c>
      <c r="C1798" t="s">
        <v>238</v>
      </c>
      <c r="D1798">
        <v>4</v>
      </c>
      <c r="E1798">
        <v>-211225</v>
      </c>
      <c r="F1798" t="s">
        <v>274</v>
      </c>
      <c r="G1798" t="s">
        <v>275</v>
      </c>
      <c r="H1798">
        <v>-18013</v>
      </c>
      <c r="I1798" t="s">
        <v>302</v>
      </c>
    </row>
    <row r="1799" spans="1:9" x14ac:dyDescent="0.25">
      <c r="A1799">
        <v>70370</v>
      </c>
      <c r="B1799" t="s">
        <v>215</v>
      </c>
      <c r="C1799" t="s">
        <v>238</v>
      </c>
      <c r="D1799">
        <v>4</v>
      </c>
      <c r="E1799">
        <v>-211225</v>
      </c>
      <c r="F1799" t="s">
        <v>279</v>
      </c>
      <c r="G1799" t="s">
        <v>30</v>
      </c>
      <c r="H1799">
        <v>294617</v>
      </c>
      <c r="I1799" t="s">
        <v>303</v>
      </c>
    </row>
    <row r="1800" spans="1:9" x14ac:dyDescent="0.25">
      <c r="A1800">
        <v>70370</v>
      </c>
      <c r="B1800" t="s">
        <v>215</v>
      </c>
      <c r="C1800" t="s">
        <v>238</v>
      </c>
      <c r="D1800">
        <v>4</v>
      </c>
      <c r="E1800">
        <v>-211225</v>
      </c>
      <c r="F1800" t="s">
        <v>279</v>
      </c>
      <c r="G1800" t="s">
        <v>35</v>
      </c>
      <c r="H1800">
        <v>10655</v>
      </c>
      <c r="I1800" t="s">
        <v>304</v>
      </c>
    </row>
    <row r="1801" spans="1:9" x14ac:dyDescent="0.25">
      <c r="A1801">
        <v>70370</v>
      </c>
      <c r="B1801" t="s">
        <v>215</v>
      </c>
      <c r="C1801" t="s">
        <v>238</v>
      </c>
      <c r="D1801">
        <v>4</v>
      </c>
      <c r="E1801">
        <v>-211225</v>
      </c>
      <c r="F1801" t="s">
        <v>279</v>
      </c>
      <c r="G1801" t="s">
        <v>31</v>
      </c>
      <c r="H1801">
        <v>163192</v>
      </c>
      <c r="I1801" t="s">
        <v>305</v>
      </c>
    </row>
    <row r="1802" spans="1:9" x14ac:dyDescent="0.25">
      <c r="A1802">
        <v>70370</v>
      </c>
      <c r="B1802" t="s">
        <v>215</v>
      </c>
      <c r="C1802" t="s">
        <v>238</v>
      </c>
      <c r="D1802">
        <v>4</v>
      </c>
      <c r="E1802">
        <v>-211225</v>
      </c>
      <c r="F1802" t="s">
        <v>279</v>
      </c>
      <c r="G1802" t="s">
        <v>33</v>
      </c>
      <c r="H1802">
        <v>3559</v>
      </c>
      <c r="I1802" t="s">
        <v>320</v>
      </c>
    </row>
    <row r="1803" spans="1:9" x14ac:dyDescent="0.25">
      <c r="A1803">
        <v>70370</v>
      </c>
      <c r="B1803" t="s">
        <v>215</v>
      </c>
      <c r="C1803" t="s">
        <v>238</v>
      </c>
      <c r="D1803">
        <v>4</v>
      </c>
      <c r="E1803">
        <v>-211225</v>
      </c>
      <c r="F1803" t="s">
        <v>279</v>
      </c>
      <c r="G1803" t="s">
        <v>33</v>
      </c>
      <c r="H1803">
        <v>0</v>
      </c>
      <c r="I1803" t="s">
        <v>306</v>
      </c>
    </row>
    <row r="1804" spans="1:9" x14ac:dyDescent="0.25">
      <c r="A1804">
        <v>70370</v>
      </c>
      <c r="B1804" t="s">
        <v>215</v>
      </c>
      <c r="C1804" t="s">
        <v>238</v>
      </c>
      <c r="D1804">
        <v>4</v>
      </c>
      <c r="E1804">
        <v>-211225</v>
      </c>
      <c r="F1804" t="s">
        <v>279</v>
      </c>
      <c r="G1804" t="s">
        <v>33</v>
      </c>
      <c r="H1804">
        <v>0</v>
      </c>
      <c r="I1804" t="s">
        <v>378</v>
      </c>
    </row>
    <row r="1805" spans="1:9" x14ac:dyDescent="0.25">
      <c r="A1805">
        <v>70370</v>
      </c>
      <c r="B1805" t="s">
        <v>215</v>
      </c>
      <c r="C1805" t="s">
        <v>238</v>
      </c>
      <c r="D1805">
        <v>4</v>
      </c>
      <c r="E1805">
        <v>-211225</v>
      </c>
      <c r="F1805" t="s">
        <v>279</v>
      </c>
      <c r="G1805" t="s">
        <v>31</v>
      </c>
      <c r="H1805">
        <v>3396</v>
      </c>
      <c r="I1805" t="s">
        <v>307</v>
      </c>
    </row>
    <row r="1806" spans="1:9" x14ac:dyDescent="0.25">
      <c r="A1806">
        <v>70370</v>
      </c>
      <c r="B1806" t="s">
        <v>215</v>
      </c>
      <c r="C1806" t="s">
        <v>238</v>
      </c>
      <c r="D1806">
        <v>4</v>
      </c>
      <c r="E1806">
        <v>-211225</v>
      </c>
      <c r="F1806" t="s">
        <v>279</v>
      </c>
      <c r="G1806" t="s">
        <v>31</v>
      </c>
      <c r="H1806">
        <v>0</v>
      </c>
      <c r="I1806" t="s">
        <v>379</v>
      </c>
    </row>
    <row r="1807" spans="1:9" x14ac:dyDescent="0.25">
      <c r="A1807">
        <v>70370</v>
      </c>
      <c r="B1807" t="s">
        <v>215</v>
      </c>
      <c r="C1807" t="s">
        <v>238</v>
      </c>
      <c r="D1807">
        <v>4</v>
      </c>
      <c r="E1807">
        <v>-211225</v>
      </c>
      <c r="F1807" t="s">
        <v>279</v>
      </c>
      <c r="G1807" t="s">
        <v>30</v>
      </c>
      <c r="H1807">
        <v>16665</v>
      </c>
      <c r="I1807" t="s">
        <v>308</v>
      </c>
    </row>
    <row r="1808" spans="1:9" x14ac:dyDescent="0.25">
      <c r="A1808">
        <v>70370</v>
      </c>
      <c r="B1808" t="s">
        <v>215</v>
      </c>
      <c r="C1808" t="s">
        <v>238</v>
      </c>
      <c r="D1808">
        <v>4</v>
      </c>
      <c r="E1808">
        <v>-211225</v>
      </c>
      <c r="F1808" t="s">
        <v>279</v>
      </c>
      <c r="G1808" t="s">
        <v>35</v>
      </c>
      <c r="H1808">
        <v>10639</v>
      </c>
      <c r="I1808" t="s">
        <v>321</v>
      </c>
    </row>
    <row r="1809" spans="1:9" x14ac:dyDescent="0.25">
      <c r="A1809">
        <v>70370</v>
      </c>
      <c r="B1809" t="s">
        <v>215</v>
      </c>
      <c r="C1809" t="s">
        <v>238</v>
      </c>
      <c r="D1809">
        <v>4</v>
      </c>
      <c r="E1809">
        <v>-211225</v>
      </c>
      <c r="F1809" t="s">
        <v>279</v>
      </c>
      <c r="G1809" t="s">
        <v>33</v>
      </c>
      <c r="H1809">
        <v>0</v>
      </c>
      <c r="I1809" t="s">
        <v>380</v>
      </c>
    </row>
    <row r="1810" spans="1:9" x14ac:dyDescent="0.25">
      <c r="A1810">
        <v>70370</v>
      </c>
      <c r="B1810" t="s">
        <v>215</v>
      </c>
      <c r="C1810" t="s">
        <v>238</v>
      </c>
      <c r="D1810">
        <v>4</v>
      </c>
      <c r="E1810">
        <v>-211225</v>
      </c>
      <c r="F1810" t="s">
        <v>279</v>
      </c>
      <c r="G1810" t="s">
        <v>35</v>
      </c>
      <c r="H1810">
        <v>237</v>
      </c>
      <c r="I1810" t="s">
        <v>309</v>
      </c>
    </row>
    <row r="1811" spans="1:9" x14ac:dyDescent="0.25">
      <c r="A1811">
        <v>70370</v>
      </c>
      <c r="B1811" t="s">
        <v>215</v>
      </c>
      <c r="C1811" t="s">
        <v>238</v>
      </c>
      <c r="D1811">
        <v>4</v>
      </c>
      <c r="E1811">
        <v>-211225</v>
      </c>
      <c r="F1811" t="s">
        <v>279</v>
      </c>
      <c r="G1811" t="s">
        <v>35</v>
      </c>
      <c r="H1811">
        <v>24400</v>
      </c>
      <c r="I1811" t="s">
        <v>310</v>
      </c>
    </row>
    <row r="1812" spans="1:9" x14ac:dyDescent="0.25">
      <c r="A1812">
        <v>70370</v>
      </c>
      <c r="B1812" t="s">
        <v>215</v>
      </c>
      <c r="C1812" t="s">
        <v>238</v>
      </c>
      <c r="D1812">
        <v>4</v>
      </c>
      <c r="E1812">
        <v>-211225</v>
      </c>
      <c r="F1812" t="s">
        <v>279</v>
      </c>
      <c r="G1812" t="s">
        <v>35</v>
      </c>
      <c r="H1812">
        <v>4357</v>
      </c>
      <c r="I1812" t="s">
        <v>311</v>
      </c>
    </row>
    <row r="1813" spans="1:9" x14ac:dyDescent="0.25">
      <c r="A1813">
        <v>70370</v>
      </c>
      <c r="B1813" t="s">
        <v>215</v>
      </c>
      <c r="C1813" t="s">
        <v>238</v>
      </c>
      <c r="D1813">
        <v>4</v>
      </c>
      <c r="E1813">
        <v>-211225</v>
      </c>
      <c r="F1813" t="s">
        <v>279</v>
      </c>
      <c r="G1813" t="s">
        <v>35</v>
      </c>
      <c r="H1813">
        <v>354</v>
      </c>
      <c r="I1813" t="s">
        <v>312</v>
      </c>
    </row>
    <row r="1814" spans="1:9" x14ac:dyDescent="0.25">
      <c r="A1814">
        <v>70370</v>
      </c>
      <c r="B1814" t="s">
        <v>215</v>
      </c>
      <c r="C1814" t="s">
        <v>238</v>
      </c>
      <c r="D1814">
        <v>4</v>
      </c>
      <c r="E1814">
        <v>-211225</v>
      </c>
      <c r="F1814" t="s">
        <v>279</v>
      </c>
      <c r="G1814" t="s">
        <v>35</v>
      </c>
      <c r="H1814">
        <v>275</v>
      </c>
      <c r="I1814" t="s">
        <v>313</v>
      </c>
    </row>
    <row r="1815" spans="1:9" x14ac:dyDescent="0.25">
      <c r="A1815">
        <v>70370</v>
      </c>
      <c r="B1815" t="s">
        <v>215</v>
      </c>
      <c r="C1815" t="s">
        <v>238</v>
      </c>
      <c r="D1815">
        <v>4</v>
      </c>
      <c r="E1815">
        <v>-211225</v>
      </c>
      <c r="F1815" t="s">
        <v>279</v>
      </c>
      <c r="G1815" t="s">
        <v>37</v>
      </c>
      <c r="H1815">
        <v>0</v>
      </c>
      <c r="I1815" t="s">
        <v>381</v>
      </c>
    </row>
    <row r="1816" spans="1:9" x14ac:dyDescent="0.25">
      <c r="A1816">
        <v>70370</v>
      </c>
      <c r="B1816" t="s">
        <v>215</v>
      </c>
      <c r="C1816" t="s">
        <v>238</v>
      </c>
      <c r="D1816">
        <v>4</v>
      </c>
      <c r="E1816">
        <v>-211225</v>
      </c>
      <c r="F1816" t="s">
        <v>279</v>
      </c>
      <c r="G1816" t="s">
        <v>37</v>
      </c>
      <c r="H1816">
        <v>19328</v>
      </c>
      <c r="I1816" t="s">
        <v>314</v>
      </c>
    </row>
    <row r="1817" spans="1:9" x14ac:dyDescent="0.25">
      <c r="A1817">
        <v>70370</v>
      </c>
      <c r="B1817" t="s">
        <v>215</v>
      </c>
      <c r="C1817" t="s">
        <v>238</v>
      </c>
      <c r="D1817">
        <v>4</v>
      </c>
      <c r="E1817">
        <v>-211225</v>
      </c>
      <c r="F1817" t="s">
        <v>279</v>
      </c>
      <c r="G1817" t="s">
        <v>35</v>
      </c>
      <c r="H1817">
        <v>5763</v>
      </c>
      <c r="I1817" t="s">
        <v>315</v>
      </c>
    </row>
    <row r="1818" spans="1:9" x14ac:dyDescent="0.25">
      <c r="A1818">
        <v>70370</v>
      </c>
      <c r="B1818" t="s">
        <v>215</v>
      </c>
      <c r="C1818" t="s">
        <v>238</v>
      </c>
      <c r="D1818">
        <v>4</v>
      </c>
      <c r="E1818">
        <v>-211225</v>
      </c>
      <c r="F1818" t="s">
        <v>279</v>
      </c>
      <c r="G1818" t="s">
        <v>37</v>
      </c>
      <c r="H1818">
        <v>0</v>
      </c>
      <c r="I1818" t="s">
        <v>323</v>
      </c>
    </row>
    <row r="1819" spans="1:9" x14ac:dyDescent="0.25">
      <c r="A1819">
        <v>70370</v>
      </c>
      <c r="B1819" t="s">
        <v>215</v>
      </c>
      <c r="C1819" t="s">
        <v>238</v>
      </c>
      <c r="D1819">
        <v>4</v>
      </c>
      <c r="E1819">
        <v>-211225</v>
      </c>
      <c r="F1819" t="s">
        <v>279</v>
      </c>
      <c r="G1819" t="s">
        <v>37</v>
      </c>
      <c r="H1819">
        <v>0</v>
      </c>
      <c r="I1819" t="s">
        <v>322</v>
      </c>
    </row>
    <row r="1820" spans="1:9" x14ac:dyDescent="0.25">
      <c r="A1820">
        <v>70370</v>
      </c>
      <c r="B1820" t="s">
        <v>215</v>
      </c>
      <c r="C1820" t="s">
        <v>238</v>
      </c>
      <c r="D1820">
        <v>4</v>
      </c>
      <c r="E1820">
        <v>-211225</v>
      </c>
      <c r="F1820" t="s">
        <v>279</v>
      </c>
      <c r="G1820" t="s">
        <v>37</v>
      </c>
      <c r="H1820">
        <v>0</v>
      </c>
      <c r="I1820" t="s">
        <v>382</v>
      </c>
    </row>
    <row r="1821" spans="1:9" x14ac:dyDescent="0.25">
      <c r="A1821">
        <v>70370</v>
      </c>
      <c r="B1821" t="s">
        <v>215</v>
      </c>
      <c r="C1821" t="s">
        <v>238</v>
      </c>
      <c r="D1821">
        <v>4</v>
      </c>
      <c r="E1821">
        <v>-211225</v>
      </c>
      <c r="F1821" t="s">
        <v>279</v>
      </c>
      <c r="G1821" t="s">
        <v>37</v>
      </c>
      <c r="H1821">
        <v>43901</v>
      </c>
      <c r="I1821" t="s">
        <v>316</v>
      </c>
    </row>
    <row r="1822" spans="1:9" x14ac:dyDescent="0.25">
      <c r="A1822">
        <v>70370</v>
      </c>
      <c r="B1822" t="s">
        <v>215</v>
      </c>
      <c r="C1822" t="s">
        <v>238</v>
      </c>
      <c r="D1822">
        <v>4</v>
      </c>
      <c r="E1822">
        <v>-211225</v>
      </c>
      <c r="F1822" t="s">
        <v>279</v>
      </c>
      <c r="G1822" t="s">
        <v>36</v>
      </c>
      <c r="H1822">
        <v>73012</v>
      </c>
      <c r="I1822" t="s">
        <v>317</v>
      </c>
    </row>
    <row r="1823" spans="1:9" x14ac:dyDescent="0.25">
      <c r="A1823">
        <v>70370</v>
      </c>
      <c r="B1823" t="s">
        <v>215</v>
      </c>
      <c r="C1823" t="s">
        <v>238</v>
      </c>
      <c r="D1823">
        <v>4</v>
      </c>
      <c r="E1823">
        <v>-211225</v>
      </c>
      <c r="F1823" t="s">
        <v>274</v>
      </c>
      <c r="G1823" t="s">
        <v>275</v>
      </c>
      <c r="H1823">
        <v>0</v>
      </c>
      <c r="I1823" t="s">
        <v>276</v>
      </c>
    </row>
    <row r="1824" spans="1:9" x14ac:dyDescent="0.25">
      <c r="A1824">
        <v>70370</v>
      </c>
      <c r="B1824" t="s">
        <v>215</v>
      </c>
      <c r="C1824" t="s">
        <v>238</v>
      </c>
      <c r="D1824">
        <v>4</v>
      </c>
      <c r="E1824">
        <v>-211225</v>
      </c>
      <c r="F1824" t="s">
        <v>279</v>
      </c>
      <c r="G1824" t="s">
        <v>29</v>
      </c>
      <c r="H1824">
        <v>0</v>
      </c>
      <c r="I1824" t="s">
        <v>324</v>
      </c>
    </row>
    <row r="1825" spans="1:9" x14ac:dyDescent="0.25">
      <c r="A1825">
        <v>70370</v>
      </c>
      <c r="B1825" t="s">
        <v>215</v>
      </c>
      <c r="C1825" t="s">
        <v>238</v>
      </c>
      <c r="D1825">
        <v>4</v>
      </c>
      <c r="E1825">
        <v>-211225</v>
      </c>
      <c r="F1825" t="s">
        <v>274</v>
      </c>
      <c r="G1825" t="s">
        <v>277</v>
      </c>
      <c r="H1825">
        <v>70</v>
      </c>
      <c r="I1825" t="s">
        <v>278</v>
      </c>
    </row>
    <row r="1826" spans="1:9" x14ac:dyDescent="0.25">
      <c r="A1826">
        <v>70370</v>
      </c>
      <c r="B1826" t="s">
        <v>215</v>
      </c>
      <c r="C1826" t="s">
        <v>238</v>
      </c>
      <c r="D1826">
        <v>4</v>
      </c>
      <c r="E1826">
        <v>-211225</v>
      </c>
      <c r="F1826" t="s">
        <v>274</v>
      </c>
      <c r="G1826" t="s">
        <v>300</v>
      </c>
      <c r="H1826">
        <v>0</v>
      </c>
      <c r="I1826" t="s">
        <v>383</v>
      </c>
    </row>
    <row r="1827" spans="1:9" x14ac:dyDescent="0.25">
      <c r="A1827">
        <v>70371</v>
      </c>
      <c r="B1827" t="s">
        <v>217</v>
      </c>
      <c r="C1827" t="s">
        <v>238</v>
      </c>
      <c r="D1827">
        <v>4</v>
      </c>
      <c r="E1827">
        <v>-176776</v>
      </c>
      <c r="F1827" t="s">
        <v>279</v>
      </c>
      <c r="G1827" t="s">
        <v>31</v>
      </c>
      <c r="H1827">
        <v>0</v>
      </c>
      <c r="I1827" t="s">
        <v>364</v>
      </c>
    </row>
    <row r="1828" spans="1:9" x14ac:dyDescent="0.25">
      <c r="A1828">
        <v>70371</v>
      </c>
      <c r="B1828" t="s">
        <v>217</v>
      </c>
      <c r="C1828" t="s">
        <v>238</v>
      </c>
      <c r="D1828">
        <v>4</v>
      </c>
      <c r="E1828">
        <v>-176776</v>
      </c>
      <c r="F1828" t="s">
        <v>279</v>
      </c>
      <c r="G1828" t="s">
        <v>31</v>
      </c>
      <c r="H1828">
        <v>0</v>
      </c>
      <c r="I1828" t="s">
        <v>365</v>
      </c>
    </row>
    <row r="1829" spans="1:9" x14ac:dyDescent="0.25">
      <c r="A1829">
        <v>70371</v>
      </c>
      <c r="B1829" t="s">
        <v>217</v>
      </c>
      <c r="C1829" t="s">
        <v>238</v>
      </c>
      <c r="D1829">
        <v>4</v>
      </c>
      <c r="E1829">
        <v>-176776</v>
      </c>
      <c r="F1829" t="s">
        <v>279</v>
      </c>
      <c r="G1829" t="s">
        <v>31</v>
      </c>
      <c r="H1829">
        <v>0</v>
      </c>
      <c r="I1829" t="s">
        <v>366</v>
      </c>
    </row>
    <row r="1830" spans="1:9" x14ac:dyDescent="0.25">
      <c r="A1830">
        <v>70371</v>
      </c>
      <c r="B1830" t="s">
        <v>217</v>
      </c>
      <c r="C1830" t="s">
        <v>238</v>
      </c>
      <c r="D1830">
        <v>4</v>
      </c>
      <c r="E1830">
        <v>-176776</v>
      </c>
      <c r="F1830" t="s">
        <v>279</v>
      </c>
      <c r="G1830" t="s">
        <v>35</v>
      </c>
      <c r="H1830">
        <v>1006</v>
      </c>
      <c r="I1830" t="s">
        <v>296</v>
      </c>
    </row>
    <row r="1831" spans="1:9" x14ac:dyDescent="0.25">
      <c r="A1831">
        <v>70371</v>
      </c>
      <c r="B1831" t="s">
        <v>217</v>
      </c>
      <c r="C1831" t="s">
        <v>238</v>
      </c>
      <c r="D1831">
        <v>4</v>
      </c>
      <c r="E1831">
        <v>-176776</v>
      </c>
      <c r="F1831" t="s">
        <v>279</v>
      </c>
      <c r="G1831" t="s">
        <v>35</v>
      </c>
      <c r="H1831">
        <v>0</v>
      </c>
      <c r="I1831" t="s">
        <v>325</v>
      </c>
    </row>
    <row r="1832" spans="1:9" x14ac:dyDescent="0.25">
      <c r="A1832">
        <v>70371</v>
      </c>
      <c r="B1832" t="s">
        <v>217</v>
      </c>
      <c r="C1832" t="s">
        <v>238</v>
      </c>
      <c r="D1832">
        <v>4</v>
      </c>
      <c r="E1832">
        <v>-176776</v>
      </c>
      <c r="F1832" t="s">
        <v>279</v>
      </c>
      <c r="G1832" t="s">
        <v>29</v>
      </c>
      <c r="H1832">
        <v>1620</v>
      </c>
      <c r="I1832" t="s">
        <v>297</v>
      </c>
    </row>
    <row r="1833" spans="1:9" x14ac:dyDescent="0.25">
      <c r="A1833">
        <v>70371</v>
      </c>
      <c r="B1833" t="s">
        <v>217</v>
      </c>
      <c r="C1833" t="s">
        <v>238</v>
      </c>
      <c r="D1833">
        <v>4</v>
      </c>
      <c r="E1833">
        <v>-176776</v>
      </c>
      <c r="F1833" t="s">
        <v>279</v>
      </c>
      <c r="G1833" t="s">
        <v>36</v>
      </c>
      <c r="H1833">
        <v>21343</v>
      </c>
      <c r="I1833" t="s">
        <v>298</v>
      </c>
    </row>
    <row r="1834" spans="1:9" x14ac:dyDescent="0.25">
      <c r="A1834">
        <v>70371</v>
      </c>
      <c r="B1834" t="s">
        <v>217</v>
      </c>
      <c r="C1834" t="s">
        <v>238</v>
      </c>
      <c r="D1834">
        <v>4</v>
      </c>
      <c r="E1834">
        <v>-176776</v>
      </c>
      <c r="F1834" t="s">
        <v>274</v>
      </c>
      <c r="G1834" t="s">
        <v>275</v>
      </c>
      <c r="H1834">
        <v>119568</v>
      </c>
      <c r="I1834" t="s">
        <v>299</v>
      </c>
    </row>
    <row r="1835" spans="1:9" x14ac:dyDescent="0.25">
      <c r="A1835">
        <v>70371</v>
      </c>
      <c r="B1835" t="s">
        <v>217</v>
      </c>
      <c r="C1835" t="s">
        <v>238</v>
      </c>
      <c r="D1835">
        <v>4</v>
      </c>
      <c r="E1835">
        <v>-176776</v>
      </c>
      <c r="F1835" t="s">
        <v>274</v>
      </c>
      <c r="G1835" t="s">
        <v>275</v>
      </c>
      <c r="H1835">
        <v>0</v>
      </c>
      <c r="I1835" t="s">
        <v>385</v>
      </c>
    </row>
    <row r="1836" spans="1:9" x14ac:dyDescent="0.25">
      <c r="A1836">
        <v>70371</v>
      </c>
      <c r="B1836" t="s">
        <v>217</v>
      </c>
      <c r="C1836" t="s">
        <v>238</v>
      </c>
      <c r="D1836">
        <v>4</v>
      </c>
      <c r="E1836">
        <v>-176776</v>
      </c>
      <c r="F1836" t="s">
        <v>279</v>
      </c>
      <c r="G1836" t="s">
        <v>35</v>
      </c>
      <c r="H1836">
        <v>570</v>
      </c>
      <c r="I1836" t="s">
        <v>313</v>
      </c>
    </row>
    <row r="1837" spans="1:9" x14ac:dyDescent="0.25">
      <c r="A1837">
        <v>70371</v>
      </c>
      <c r="B1837" t="s">
        <v>217</v>
      </c>
      <c r="C1837" t="s">
        <v>238</v>
      </c>
      <c r="D1837">
        <v>4</v>
      </c>
      <c r="E1837">
        <v>-176776</v>
      </c>
      <c r="F1837" t="s">
        <v>279</v>
      </c>
      <c r="G1837" t="s">
        <v>37</v>
      </c>
      <c r="H1837">
        <v>0</v>
      </c>
      <c r="I1837" t="s">
        <v>381</v>
      </c>
    </row>
    <row r="1838" spans="1:9" x14ac:dyDescent="0.25">
      <c r="A1838">
        <v>70371</v>
      </c>
      <c r="B1838" t="s">
        <v>217</v>
      </c>
      <c r="C1838" t="s">
        <v>238</v>
      </c>
      <c r="D1838">
        <v>4</v>
      </c>
      <c r="E1838">
        <v>-176776</v>
      </c>
      <c r="F1838" t="s">
        <v>279</v>
      </c>
      <c r="G1838" t="s">
        <v>37</v>
      </c>
      <c r="H1838">
        <v>26686</v>
      </c>
      <c r="I1838" t="s">
        <v>314</v>
      </c>
    </row>
    <row r="1839" spans="1:9" x14ac:dyDescent="0.25">
      <c r="A1839">
        <v>70371</v>
      </c>
      <c r="B1839" t="s">
        <v>217</v>
      </c>
      <c r="C1839" t="s">
        <v>238</v>
      </c>
      <c r="D1839">
        <v>4</v>
      </c>
      <c r="E1839">
        <v>-176776</v>
      </c>
      <c r="F1839" t="s">
        <v>279</v>
      </c>
      <c r="G1839" t="s">
        <v>35</v>
      </c>
      <c r="H1839">
        <v>2660</v>
      </c>
      <c r="I1839" t="s">
        <v>315</v>
      </c>
    </row>
    <row r="1840" spans="1:9" x14ac:dyDescent="0.25">
      <c r="A1840">
        <v>70371</v>
      </c>
      <c r="B1840" t="s">
        <v>217</v>
      </c>
      <c r="C1840" t="s">
        <v>238</v>
      </c>
      <c r="D1840">
        <v>4</v>
      </c>
      <c r="E1840">
        <v>-176776</v>
      </c>
      <c r="F1840" t="s">
        <v>279</v>
      </c>
      <c r="G1840" t="s">
        <v>37</v>
      </c>
      <c r="H1840">
        <v>0</v>
      </c>
      <c r="I1840" t="s">
        <v>323</v>
      </c>
    </row>
    <row r="1841" spans="1:9" x14ac:dyDescent="0.25">
      <c r="A1841">
        <v>70371</v>
      </c>
      <c r="B1841" t="s">
        <v>217</v>
      </c>
      <c r="C1841" t="s">
        <v>238</v>
      </c>
      <c r="D1841">
        <v>4</v>
      </c>
      <c r="E1841">
        <v>-176776</v>
      </c>
      <c r="F1841" t="s">
        <v>279</v>
      </c>
      <c r="G1841" t="s">
        <v>37</v>
      </c>
      <c r="H1841">
        <v>0</v>
      </c>
      <c r="I1841" t="s">
        <v>322</v>
      </c>
    </row>
    <row r="1842" spans="1:9" x14ac:dyDescent="0.25">
      <c r="A1842">
        <v>70371</v>
      </c>
      <c r="B1842" t="s">
        <v>217</v>
      </c>
      <c r="C1842" t="s">
        <v>238</v>
      </c>
      <c r="D1842">
        <v>4</v>
      </c>
      <c r="E1842">
        <v>-176776</v>
      </c>
      <c r="F1842" t="s">
        <v>279</v>
      </c>
      <c r="G1842" t="s">
        <v>37</v>
      </c>
      <c r="H1842">
        <v>0</v>
      </c>
      <c r="I1842" t="s">
        <v>382</v>
      </c>
    </row>
    <row r="1843" spans="1:9" x14ac:dyDescent="0.25">
      <c r="A1843">
        <v>70371</v>
      </c>
      <c r="B1843" t="s">
        <v>217</v>
      </c>
      <c r="C1843" t="s">
        <v>238</v>
      </c>
      <c r="D1843">
        <v>4</v>
      </c>
      <c r="E1843">
        <v>-176776</v>
      </c>
      <c r="F1843" t="s">
        <v>279</v>
      </c>
      <c r="G1843" t="s">
        <v>37</v>
      </c>
      <c r="H1843">
        <v>2635</v>
      </c>
      <c r="I1843" t="s">
        <v>316</v>
      </c>
    </row>
    <row r="1844" spans="1:9" x14ac:dyDescent="0.25">
      <c r="A1844">
        <v>70371</v>
      </c>
      <c r="B1844" t="s">
        <v>217</v>
      </c>
      <c r="C1844" t="s">
        <v>238</v>
      </c>
      <c r="D1844">
        <v>4</v>
      </c>
      <c r="E1844">
        <v>-176776</v>
      </c>
      <c r="F1844" t="s">
        <v>279</v>
      </c>
      <c r="G1844" t="s">
        <v>36</v>
      </c>
      <c r="H1844">
        <v>44506</v>
      </c>
      <c r="I1844" t="s">
        <v>317</v>
      </c>
    </row>
    <row r="1845" spans="1:9" x14ac:dyDescent="0.25">
      <c r="A1845">
        <v>70371</v>
      </c>
      <c r="B1845" t="s">
        <v>217</v>
      </c>
      <c r="C1845" t="s">
        <v>238</v>
      </c>
      <c r="D1845">
        <v>4</v>
      </c>
      <c r="E1845">
        <v>-176776</v>
      </c>
      <c r="F1845" t="s">
        <v>274</v>
      </c>
      <c r="G1845" t="s">
        <v>275</v>
      </c>
      <c r="H1845">
        <v>-880</v>
      </c>
      <c r="I1845" t="s">
        <v>276</v>
      </c>
    </row>
    <row r="1846" spans="1:9" x14ac:dyDescent="0.25">
      <c r="A1846">
        <v>70371</v>
      </c>
      <c r="B1846" t="s">
        <v>217</v>
      </c>
      <c r="C1846" t="s">
        <v>238</v>
      </c>
      <c r="D1846">
        <v>4</v>
      </c>
      <c r="E1846">
        <v>-176776</v>
      </c>
      <c r="F1846" t="s">
        <v>279</v>
      </c>
      <c r="G1846" t="s">
        <v>29</v>
      </c>
      <c r="H1846">
        <v>0</v>
      </c>
      <c r="I1846" t="s">
        <v>324</v>
      </c>
    </row>
    <row r="1847" spans="1:9" x14ac:dyDescent="0.25">
      <c r="A1847">
        <v>70371</v>
      </c>
      <c r="B1847" t="s">
        <v>217</v>
      </c>
      <c r="C1847" t="s">
        <v>238</v>
      </c>
      <c r="D1847">
        <v>4</v>
      </c>
      <c r="E1847">
        <v>-176776</v>
      </c>
      <c r="F1847" t="s">
        <v>274</v>
      </c>
      <c r="G1847" t="s">
        <v>277</v>
      </c>
      <c r="H1847">
        <v>2436</v>
      </c>
      <c r="I1847" t="s">
        <v>278</v>
      </c>
    </row>
    <row r="1848" spans="1:9" x14ac:dyDescent="0.25">
      <c r="A1848">
        <v>70371</v>
      </c>
      <c r="B1848" t="s">
        <v>217</v>
      </c>
      <c r="C1848" t="s">
        <v>238</v>
      </c>
      <c r="D1848">
        <v>4</v>
      </c>
      <c r="E1848">
        <v>-176776</v>
      </c>
      <c r="F1848" t="s">
        <v>274</v>
      </c>
      <c r="G1848" t="s">
        <v>300</v>
      </c>
      <c r="H1848">
        <v>0</v>
      </c>
      <c r="I1848" t="s">
        <v>383</v>
      </c>
    </row>
    <row r="1849" spans="1:9" x14ac:dyDescent="0.25">
      <c r="A1849">
        <v>70371</v>
      </c>
      <c r="B1849" t="s">
        <v>217</v>
      </c>
      <c r="C1849" t="s">
        <v>238</v>
      </c>
      <c r="D1849">
        <v>4</v>
      </c>
      <c r="E1849">
        <v>-176776</v>
      </c>
      <c r="F1849" t="s">
        <v>279</v>
      </c>
      <c r="G1849" t="s">
        <v>33</v>
      </c>
      <c r="H1849">
        <v>33106</v>
      </c>
      <c r="I1849" t="s">
        <v>280</v>
      </c>
    </row>
    <row r="1850" spans="1:9" x14ac:dyDescent="0.25">
      <c r="A1850">
        <v>70371</v>
      </c>
      <c r="B1850" t="s">
        <v>217</v>
      </c>
      <c r="C1850" t="s">
        <v>238</v>
      </c>
      <c r="D1850">
        <v>4</v>
      </c>
      <c r="E1850">
        <v>-176776</v>
      </c>
      <c r="F1850" t="s">
        <v>279</v>
      </c>
      <c r="G1850" t="s">
        <v>29</v>
      </c>
      <c r="H1850">
        <v>5176</v>
      </c>
      <c r="I1850" t="s">
        <v>281</v>
      </c>
    </row>
    <row r="1851" spans="1:9" x14ac:dyDescent="0.25">
      <c r="A1851">
        <v>70371</v>
      </c>
      <c r="B1851" t="s">
        <v>217</v>
      </c>
      <c r="C1851" t="s">
        <v>238</v>
      </c>
      <c r="D1851">
        <v>4</v>
      </c>
      <c r="E1851">
        <v>-176776</v>
      </c>
      <c r="F1851" t="s">
        <v>279</v>
      </c>
      <c r="G1851" t="s">
        <v>29</v>
      </c>
      <c r="H1851">
        <v>44981</v>
      </c>
      <c r="I1851" t="s">
        <v>282</v>
      </c>
    </row>
    <row r="1852" spans="1:9" x14ac:dyDescent="0.25">
      <c r="A1852">
        <v>70371</v>
      </c>
      <c r="B1852" t="s">
        <v>217</v>
      </c>
      <c r="C1852" t="s">
        <v>238</v>
      </c>
      <c r="D1852">
        <v>4</v>
      </c>
      <c r="E1852">
        <v>-176776</v>
      </c>
      <c r="F1852" t="s">
        <v>279</v>
      </c>
      <c r="G1852" t="s">
        <v>35</v>
      </c>
      <c r="H1852">
        <v>61049</v>
      </c>
      <c r="I1852" t="s">
        <v>283</v>
      </c>
    </row>
    <row r="1853" spans="1:9" x14ac:dyDescent="0.25">
      <c r="A1853">
        <v>70371</v>
      </c>
      <c r="B1853" t="s">
        <v>217</v>
      </c>
      <c r="C1853" t="s">
        <v>238</v>
      </c>
      <c r="D1853">
        <v>4</v>
      </c>
      <c r="E1853">
        <v>-176776</v>
      </c>
      <c r="F1853" t="s">
        <v>279</v>
      </c>
      <c r="G1853" t="s">
        <v>29</v>
      </c>
      <c r="H1853">
        <v>5272</v>
      </c>
      <c r="I1853" t="s">
        <v>284</v>
      </c>
    </row>
    <row r="1854" spans="1:9" x14ac:dyDescent="0.25">
      <c r="A1854">
        <v>70371</v>
      </c>
      <c r="B1854" t="s">
        <v>217</v>
      </c>
      <c r="C1854" t="s">
        <v>238</v>
      </c>
      <c r="D1854">
        <v>4</v>
      </c>
      <c r="E1854">
        <v>-176776</v>
      </c>
      <c r="F1854" t="s">
        <v>279</v>
      </c>
      <c r="G1854" t="s">
        <v>29</v>
      </c>
      <c r="H1854">
        <v>26413</v>
      </c>
      <c r="I1854" t="s">
        <v>285</v>
      </c>
    </row>
    <row r="1855" spans="1:9" x14ac:dyDescent="0.25">
      <c r="A1855">
        <v>70371</v>
      </c>
      <c r="B1855" t="s">
        <v>217</v>
      </c>
      <c r="C1855" t="s">
        <v>238</v>
      </c>
      <c r="D1855">
        <v>4</v>
      </c>
      <c r="E1855">
        <v>-176776</v>
      </c>
      <c r="F1855" t="s">
        <v>279</v>
      </c>
      <c r="G1855" t="s">
        <v>29</v>
      </c>
      <c r="H1855">
        <v>1514</v>
      </c>
      <c r="I1855" t="s">
        <v>286</v>
      </c>
    </row>
    <row r="1856" spans="1:9" x14ac:dyDescent="0.25">
      <c r="A1856">
        <v>70371</v>
      </c>
      <c r="B1856" t="s">
        <v>217</v>
      </c>
      <c r="C1856" t="s">
        <v>238</v>
      </c>
      <c r="D1856">
        <v>4</v>
      </c>
      <c r="E1856">
        <v>-176776</v>
      </c>
      <c r="F1856" t="s">
        <v>279</v>
      </c>
      <c r="G1856" t="s">
        <v>29</v>
      </c>
      <c r="H1856">
        <v>0</v>
      </c>
      <c r="I1856" t="s">
        <v>327</v>
      </c>
    </row>
    <row r="1857" spans="1:9" x14ac:dyDescent="0.25">
      <c r="A1857">
        <v>70371</v>
      </c>
      <c r="B1857" t="s">
        <v>217</v>
      </c>
      <c r="C1857" t="s">
        <v>238</v>
      </c>
      <c r="D1857">
        <v>4</v>
      </c>
      <c r="E1857">
        <v>-176776</v>
      </c>
      <c r="F1857" t="s">
        <v>279</v>
      </c>
      <c r="G1857" t="s">
        <v>34</v>
      </c>
      <c r="H1857">
        <v>2582</v>
      </c>
      <c r="I1857" t="s">
        <v>287</v>
      </c>
    </row>
    <row r="1858" spans="1:9" x14ac:dyDescent="0.25">
      <c r="A1858">
        <v>70371</v>
      </c>
      <c r="B1858" t="s">
        <v>217</v>
      </c>
      <c r="C1858" t="s">
        <v>238</v>
      </c>
      <c r="D1858">
        <v>4</v>
      </c>
      <c r="E1858">
        <v>-176776</v>
      </c>
      <c r="F1858" t="s">
        <v>279</v>
      </c>
      <c r="G1858" t="s">
        <v>29</v>
      </c>
      <c r="H1858">
        <v>42900</v>
      </c>
      <c r="I1858" t="s">
        <v>288</v>
      </c>
    </row>
    <row r="1859" spans="1:9" x14ac:dyDescent="0.25">
      <c r="A1859">
        <v>70371</v>
      </c>
      <c r="B1859" t="s">
        <v>217</v>
      </c>
      <c r="C1859" t="s">
        <v>238</v>
      </c>
      <c r="D1859">
        <v>4</v>
      </c>
      <c r="E1859">
        <v>-176776</v>
      </c>
      <c r="F1859" t="s">
        <v>279</v>
      </c>
      <c r="G1859" t="s">
        <v>34</v>
      </c>
      <c r="H1859">
        <v>10700</v>
      </c>
      <c r="I1859" t="s">
        <v>289</v>
      </c>
    </row>
    <row r="1860" spans="1:9" x14ac:dyDescent="0.25">
      <c r="A1860">
        <v>70371</v>
      </c>
      <c r="B1860" t="s">
        <v>217</v>
      </c>
      <c r="C1860" t="s">
        <v>238</v>
      </c>
      <c r="D1860">
        <v>4</v>
      </c>
      <c r="E1860">
        <v>-176776</v>
      </c>
      <c r="F1860" t="s">
        <v>279</v>
      </c>
      <c r="G1860" t="s">
        <v>29</v>
      </c>
      <c r="H1860">
        <v>3954</v>
      </c>
      <c r="I1860" t="s">
        <v>290</v>
      </c>
    </row>
    <row r="1861" spans="1:9" x14ac:dyDescent="0.25">
      <c r="A1861">
        <v>70371</v>
      </c>
      <c r="B1861" t="s">
        <v>217</v>
      </c>
      <c r="C1861" t="s">
        <v>238</v>
      </c>
      <c r="D1861">
        <v>4</v>
      </c>
      <c r="E1861">
        <v>-176776</v>
      </c>
      <c r="F1861" t="s">
        <v>279</v>
      </c>
      <c r="G1861" t="s">
        <v>32</v>
      </c>
      <c r="H1861">
        <v>61769</v>
      </c>
      <c r="I1861" t="s">
        <v>291</v>
      </c>
    </row>
    <row r="1862" spans="1:9" x14ac:dyDescent="0.25">
      <c r="A1862">
        <v>70371</v>
      </c>
      <c r="B1862" t="s">
        <v>217</v>
      </c>
      <c r="C1862" t="s">
        <v>238</v>
      </c>
      <c r="D1862">
        <v>4</v>
      </c>
      <c r="E1862">
        <v>-176776</v>
      </c>
      <c r="F1862" t="s">
        <v>279</v>
      </c>
      <c r="G1862" t="s">
        <v>29</v>
      </c>
      <c r="H1862">
        <v>11329</v>
      </c>
      <c r="I1862" t="s">
        <v>292</v>
      </c>
    </row>
    <row r="1863" spans="1:9" x14ac:dyDescent="0.25">
      <c r="A1863">
        <v>70371</v>
      </c>
      <c r="B1863" t="s">
        <v>217</v>
      </c>
      <c r="C1863" t="s">
        <v>238</v>
      </c>
      <c r="D1863">
        <v>4</v>
      </c>
      <c r="E1863">
        <v>-176776</v>
      </c>
      <c r="F1863" t="s">
        <v>279</v>
      </c>
      <c r="G1863" t="s">
        <v>29</v>
      </c>
      <c r="H1863">
        <v>0</v>
      </c>
      <c r="I1863" t="s">
        <v>384</v>
      </c>
    </row>
    <row r="1864" spans="1:9" x14ac:dyDescent="0.25">
      <c r="A1864">
        <v>70371</v>
      </c>
      <c r="B1864" t="s">
        <v>217</v>
      </c>
      <c r="C1864" t="s">
        <v>238</v>
      </c>
      <c r="D1864">
        <v>4</v>
      </c>
      <c r="E1864">
        <v>-176776</v>
      </c>
      <c r="F1864" t="s">
        <v>279</v>
      </c>
      <c r="G1864" t="s">
        <v>35</v>
      </c>
      <c r="H1864">
        <v>4762</v>
      </c>
      <c r="I1864" t="s">
        <v>293</v>
      </c>
    </row>
    <row r="1865" spans="1:9" x14ac:dyDescent="0.25">
      <c r="A1865">
        <v>70371</v>
      </c>
      <c r="B1865" t="s">
        <v>217</v>
      </c>
      <c r="C1865" t="s">
        <v>238</v>
      </c>
      <c r="D1865">
        <v>4</v>
      </c>
      <c r="E1865">
        <v>-176776</v>
      </c>
      <c r="F1865" t="s">
        <v>279</v>
      </c>
      <c r="G1865" t="s">
        <v>35</v>
      </c>
      <c r="H1865">
        <v>464</v>
      </c>
      <c r="I1865" t="s">
        <v>294</v>
      </c>
    </row>
    <row r="1866" spans="1:9" x14ac:dyDescent="0.25">
      <c r="A1866">
        <v>70371</v>
      </c>
      <c r="B1866" t="s">
        <v>217</v>
      </c>
      <c r="C1866" t="s">
        <v>238</v>
      </c>
      <c r="D1866">
        <v>4</v>
      </c>
      <c r="E1866">
        <v>-176776</v>
      </c>
      <c r="F1866" t="s">
        <v>279</v>
      </c>
      <c r="G1866" t="s">
        <v>35</v>
      </c>
      <c r="H1866">
        <v>4842</v>
      </c>
      <c r="I1866" t="s">
        <v>295</v>
      </c>
    </row>
    <row r="1867" spans="1:9" x14ac:dyDescent="0.25">
      <c r="A1867">
        <v>70371</v>
      </c>
      <c r="B1867" t="s">
        <v>217</v>
      </c>
      <c r="C1867" t="s">
        <v>238</v>
      </c>
      <c r="D1867">
        <v>4</v>
      </c>
      <c r="E1867">
        <v>-176776</v>
      </c>
      <c r="F1867" t="s">
        <v>279</v>
      </c>
      <c r="G1867" t="s">
        <v>31</v>
      </c>
      <c r="H1867">
        <v>0</v>
      </c>
      <c r="I1867" t="s">
        <v>367</v>
      </c>
    </row>
    <row r="1868" spans="1:9" x14ac:dyDescent="0.25">
      <c r="A1868">
        <v>70371</v>
      </c>
      <c r="B1868" t="s">
        <v>217</v>
      </c>
      <c r="C1868" t="s">
        <v>238</v>
      </c>
      <c r="D1868">
        <v>4</v>
      </c>
      <c r="E1868">
        <v>-176776</v>
      </c>
      <c r="F1868" t="s">
        <v>279</v>
      </c>
      <c r="G1868" t="s">
        <v>31</v>
      </c>
      <c r="H1868">
        <v>0</v>
      </c>
      <c r="I1868" t="s">
        <v>368</v>
      </c>
    </row>
    <row r="1869" spans="1:9" x14ac:dyDescent="0.25">
      <c r="A1869">
        <v>70371</v>
      </c>
      <c r="B1869" t="s">
        <v>217</v>
      </c>
      <c r="C1869" t="s">
        <v>238</v>
      </c>
      <c r="D1869">
        <v>4</v>
      </c>
      <c r="E1869">
        <v>-176776</v>
      </c>
      <c r="F1869" t="s">
        <v>279</v>
      </c>
      <c r="G1869" t="s">
        <v>31</v>
      </c>
      <c r="H1869">
        <v>0</v>
      </c>
      <c r="I1869" t="s">
        <v>369</v>
      </c>
    </row>
    <row r="1870" spans="1:9" x14ac:dyDescent="0.25">
      <c r="A1870">
        <v>70371</v>
      </c>
      <c r="B1870" t="s">
        <v>217</v>
      </c>
      <c r="C1870" t="s">
        <v>238</v>
      </c>
      <c r="D1870">
        <v>4</v>
      </c>
      <c r="E1870">
        <v>-176776</v>
      </c>
      <c r="F1870" t="s">
        <v>279</v>
      </c>
      <c r="G1870" t="s">
        <v>31</v>
      </c>
      <c r="H1870">
        <v>0</v>
      </c>
      <c r="I1870" t="s">
        <v>370</v>
      </c>
    </row>
    <row r="1871" spans="1:9" x14ac:dyDescent="0.25">
      <c r="A1871">
        <v>70371</v>
      </c>
      <c r="B1871" t="s">
        <v>217</v>
      </c>
      <c r="C1871" t="s">
        <v>238</v>
      </c>
      <c r="D1871">
        <v>4</v>
      </c>
      <c r="E1871">
        <v>-176776</v>
      </c>
      <c r="F1871" t="s">
        <v>279</v>
      </c>
      <c r="G1871" t="s">
        <v>31</v>
      </c>
      <c r="H1871">
        <v>0</v>
      </c>
      <c r="I1871" t="s">
        <v>371</v>
      </c>
    </row>
    <row r="1872" spans="1:9" x14ac:dyDescent="0.25">
      <c r="A1872">
        <v>70371</v>
      </c>
      <c r="B1872" t="s">
        <v>217</v>
      </c>
      <c r="C1872" t="s">
        <v>238</v>
      </c>
      <c r="D1872">
        <v>4</v>
      </c>
      <c r="E1872">
        <v>-176776</v>
      </c>
      <c r="F1872" t="s">
        <v>279</v>
      </c>
      <c r="G1872" t="s">
        <v>31</v>
      </c>
      <c r="H1872">
        <v>0</v>
      </c>
      <c r="I1872" t="s">
        <v>328</v>
      </c>
    </row>
    <row r="1873" spans="1:9" x14ac:dyDescent="0.25">
      <c r="A1873">
        <v>70371</v>
      </c>
      <c r="B1873" t="s">
        <v>217</v>
      </c>
      <c r="C1873" t="s">
        <v>238</v>
      </c>
      <c r="D1873">
        <v>4</v>
      </c>
      <c r="E1873">
        <v>-176776</v>
      </c>
      <c r="F1873" t="s">
        <v>279</v>
      </c>
      <c r="G1873" t="s">
        <v>33</v>
      </c>
      <c r="H1873">
        <v>0</v>
      </c>
      <c r="I1873" t="s">
        <v>372</v>
      </c>
    </row>
    <row r="1874" spans="1:9" x14ac:dyDescent="0.25">
      <c r="A1874">
        <v>70371</v>
      </c>
      <c r="B1874" t="s">
        <v>217</v>
      </c>
      <c r="C1874" t="s">
        <v>238</v>
      </c>
      <c r="D1874">
        <v>4</v>
      </c>
      <c r="E1874">
        <v>-176776</v>
      </c>
      <c r="F1874" t="s">
        <v>279</v>
      </c>
      <c r="G1874" t="s">
        <v>33</v>
      </c>
      <c r="H1874">
        <v>0</v>
      </c>
      <c r="I1874" t="s">
        <v>329</v>
      </c>
    </row>
    <row r="1875" spans="1:9" x14ac:dyDescent="0.25">
      <c r="A1875">
        <v>70371</v>
      </c>
      <c r="B1875" t="s">
        <v>217</v>
      </c>
      <c r="C1875" t="s">
        <v>238</v>
      </c>
      <c r="D1875">
        <v>4</v>
      </c>
      <c r="E1875">
        <v>-176776</v>
      </c>
      <c r="F1875" t="s">
        <v>279</v>
      </c>
      <c r="G1875" t="s">
        <v>33</v>
      </c>
      <c r="H1875">
        <v>5180</v>
      </c>
      <c r="I1875" t="s">
        <v>319</v>
      </c>
    </row>
    <row r="1876" spans="1:9" x14ac:dyDescent="0.25">
      <c r="A1876">
        <v>70371</v>
      </c>
      <c r="B1876" t="s">
        <v>217</v>
      </c>
      <c r="C1876" t="s">
        <v>238</v>
      </c>
      <c r="D1876">
        <v>4</v>
      </c>
      <c r="E1876">
        <v>-176776</v>
      </c>
      <c r="F1876" t="s">
        <v>279</v>
      </c>
      <c r="G1876" t="s">
        <v>33</v>
      </c>
      <c r="H1876">
        <v>0</v>
      </c>
      <c r="I1876" t="s">
        <v>373</v>
      </c>
    </row>
    <row r="1877" spans="1:9" x14ac:dyDescent="0.25">
      <c r="A1877">
        <v>70371</v>
      </c>
      <c r="B1877" t="s">
        <v>217</v>
      </c>
      <c r="C1877" t="s">
        <v>238</v>
      </c>
      <c r="D1877">
        <v>4</v>
      </c>
      <c r="E1877">
        <v>-176776</v>
      </c>
      <c r="F1877" t="s">
        <v>279</v>
      </c>
      <c r="G1877" t="s">
        <v>33</v>
      </c>
      <c r="H1877">
        <v>0</v>
      </c>
      <c r="I1877" t="s">
        <v>374</v>
      </c>
    </row>
    <row r="1878" spans="1:9" x14ac:dyDescent="0.25">
      <c r="A1878">
        <v>70371</v>
      </c>
      <c r="B1878" t="s">
        <v>217</v>
      </c>
      <c r="C1878" t="s">
        <v>238</v>
      </c>
      <c r="D1878">
        <v>4</v>
      </c>
      <c r="E1878">
        <v>-176776</v>
      </c>
      <c r="F1878" t="s">
        <v>279</v>
      </c>
      <c r="G1878" t="s">
        <v>33</v>
      </c>
      <c r="H1878">
        <v>49839</v>
      </c>
      <c r="I1878" t="s">
        <v>326</v>
      </c>
    </row>
    <row r="1879" spans="1:9" x14ac:dyDescent="0.25">
      <c r="A1879">
        <v>70371</v>
      </c>
      <c r="B1879" t="s">
        <v>217</v>
      </c>
      <c r="C1879" t="s">
        <v>238</v>
      </c>
      <c r="D1879">
        <v>4</v>
      </c>
      <c r="E1879">
        <v>-176776</v>
      </c>
      <c r="F1879" t="s">
        <v>279</v>
      </c>
      <c r="G1879" t="s">
        <v>33</v>
      </c>
      <c r="H1879">
        <v>0</v>
      </c>
      <c r="I1879" t="s">
        <v>375</v>
      </c>
    </row>
    <row r="1880" spans="1:9" x14ac:dyDescent="0.25">
      <c r="A1880">
        <v>70371</v>
      </c>
      <c r="B1880" t="s">
        <v>217</v>
      </c>
      <c r="C1880" t="s">
        <v>238</v>
      </c>
      <c r="D1880">
        <v>4</v>
      </c>
      <c r="E1880">
        <v>-176776</v>
      </c>
      <c r="F1880" t="s">
        <v>279</v>
      </c>
      <c r="G1880" t="s">
        <v>33</v>
      </c>
      <c r="H1880">
        <v>0</v>
      </c>
      <c r="I1880" t="s">
        <v>376</v>
      </c>
    </row>
    <row r="1881" spans="1:9" x14ac:dyDescent="0.25">
      <c r="A1881">
        <v>70371</v>
      </c>
      <c r="B1881" t="s">
        <v>217</v>
      </c>
      <c r="C1881" t="s">
        <v>238</v>
      </c>
      <c r="D1881">
        <v>4</v>
      </c>
      <c r="E1881">
        <v>-176776</v>
      </c>
      <c r="F1881" t="s">
        <v>279</v>
      </c>
      <c r="G1881" t="s">
        <v>33</v>
      </c>
      <c r="H1881">
        <v>0</v>
      </c>
      <c r="I1881" t="s">
        <v>377</v>
      </c>
    </row>
    <row r="1882" spans="1:9" x14ac:dyDescent="0.25">
      <c r="A1882">
        <v>70371</v>
      </c>
      <c r="B1882" t="s">
        <v>217</v>
      </c>
      <c r="C1882" t="s">
        <v>238</v>
      </c>
      <c r="D1882">
        <v>4</v>
      </c>
      <c r="E1882">
        <v>-176776</v>
      </c>
      <c r="F1882" t="s">
        <v>274</v>
      </c>
      <c r="G1882" t="s">
        <v>275</v>
      </c>
      <c r="H1882">
        <v>850545</v>
      </c>
      <c r="I1882" t="s">
        <v>318</v>
      </c>
    </row>
    <row r="1883" spans="1:9" x14ac:dyDescent="0.25">
      <c r="A1883">
        <v>70371</v>
      </c>
      <c r="B1883" t="s">
        <v>217</v>
      </c>
      <c r="C1883" t="s">
        <v>238</v>
      </c>
      <c r="D1883">
        <v>4</v>
      </c>
      <c r="E1883">
        <v>-176776</v>
      </c>
      <c r="F1883" t="s">
        <v>274</v>
      </c>
      <c r="G1883" t="s">
        <v>300</v>
      </c>
      <c r="H1883">
        <v>16004</v>
      </c>
      <c r="I1883" t="s">
        <v>301</v>
      </c>
    </row>
    <row r="1884" spans="1:9" x14ac:dyDescent="0.25">
      <c r="A1884">
        <v>70371</v>
      </c>
      <c r="B1884" t="s">
        <v>217</v>
      </c>
      <c r="C1884" t="s">
        <v>238</v>
      </c>
      <c r="D1884">
        <v>4</v>
      </c>
      <c r="E1884">
        <v>-176776</v>
      </c>
      <c r="F1884" t="s">
        <v>274</v>
      </c>
      <c r="G1884" t="s">
        <v>275</v>
      </c>
      <c r="H1884">
        <v>-61883</v>
      </c>
      <c r="I1884" t="s">
        <v>302</v>
      </c>
    </row>
    <row r="1885" spans="1:9" x14ac:dyDescent="0.25">
      <c r="A1885">
        <v>70371</v>
      </c>
      <c r="B1885" t="s">
        <v>217</v>
      </c>
      <c r="C1885" t="s">
        <v>238</v>
      </c>
      <c r="D1885">
        <v>4</v>
      </c>
      <c r="E1885">
        <v>-176776</v>
      </c>
      <c r="F1885" t="s">
        <v>279</v>
      </c>
      <c r="G1885" t="s">
        <v>30</v>
      </c>
      <c r="H1885">
        <v>298845</v>
      </c>
      <c r="I1885" t="s">
        <v>303</v>
      </c>
    </row>
    <row r="1886" spans="1:9" x14ac:dyDescent="0.25">
      <c r="A1886">
        <v>70371</v>
      </c>
      <c r="B1886" t="s">
        <v>217</v>
      </c>
      <c r="C1886" t="s">
        <v>238</v>
      </c>
      <c r="D1886">
        <v>4</v>
      </c>
      <c r="E1886">
        <v>-176776</v>
      </c>
      <c r="F1886" t="s">
        <v>279</v>
      </c>
      <c r="G1886" t="s">
        <v>35</v>
      </c>
      <c r="H1886">
        <v>4454</v>
      </c>
      <c r="I1886" t="s">
        <v>304</v>
      </c>
    </row>
    <row r="1887" spans="1:9" x14ac:dyDescent="0.25">
      <c r="A1887">
        <v>70371</v>
      </c>
      <c r="B1887" t="s">
        <v>217</v>
      </c>
      <c r="C1887" t="s">
        <v>238</v>
      </c>
      <c r="D1887">
        <v>4</v>
      </c>
      <c r="E1887">
        <v>-176776</v>
      </c>
      <c r="F1887" t="s">
        <v>279</v>
      </c>
      <c r="G1887" t="s">
        <v>31</v>
      </c>
      <c r="H1887">
        <v>268899</v>
      </c>
      <c r="I1887" t="s">
        <v>305</v>
      </c>
    </row>
    <row r="1888" spans="1:9" x14ac:dyDescent="0.25">
      <c r="A1888">
        <v>70371</v>
      </c>
      <c r="B1888" t="s">
        <v>217</v>
      </c>
      <c r="C1888" t="s">
        <v>238</v>
      </c>
      <c r="D1888">
        <v>4</v>
      </c>
      <c r="E1888">
        <v>-176776</v>
      </c>
      <c r="F1888" t="s">
        <v>279</v>
      </c>
      <c r="G1888" t="s">
        <v>33</v>
      </c>
      <c r="H1888">
        <v>0</v>
      </c>
      <c r="I1888" t="s">
        <v>320</v>
      </c>
    </row>
    <row r="1889" spans="1:9" x14ac:dyDescent="0.25">
      <c r="A1889">
        <v>70371</v>
      </c>
      <c r="B1889" t="s">
        <v>217</v>
      </c>
      <c r="C1889" t="s">
        <v>238</v>
      </c>
      <c r="D1889">
        <v>4</v>
      </c>
      <c r="E1889">
        <v>-176776</v>
      </c>
      <c r="F1889" t="s">
        <v>279</v>
      </c>
      <c r="G1889" t="s">
        <v>33</v>
      </c>
      <c r="H1889">
        <v>0</v>
      </c>
      <c r="I1889" t="s">
        <v>306</v>
      </c>
    </row>
    <row r="1890" spans="1:9" x14ac:dyDescent="0.25">
      <c r="A1890">
        <v>70371</v>
      </c>
      <c r="B1890" t="s">
        <v>217</v>
      </c>
      <c r="C1890" t="s">
        <v>238</v>
      </c>
      <c r="D1890">
        <v>4</v>
      </c>
      <c r="E1890">
        <v>-176776</v>
      </c>
      <c r="F1890" t="s">
        <v>279</v>
      </c>
      <c r="G1890" t="s">
        <v>33</v>
      </c>
      <c r="H1890">
        <v>0</v>
      </c>
      <c r="I1890" t="s">
        <v>378</v>
      </c>
    </row>
    <row r="1891" spans="1:9" x14ac:dyDescent="0.25">
      <c r="A1891">
        <v>70371</v>
      </c>
      <c r="B1891" t="s">
        <v>217</v>
      </c>
      <c r="C1891" t="s">
        <v>238</v>
      </c>
      <c r="D1891">
        <v>4</v>
      </c>
      <c r="E1891">
        <v>-176776</v>
      </c>
      <c r="F1891" t="s">
        <v>279</v>
      </c>
      <c r="G1891" t="s">
        <v>31</v>
      </c>
      <c r="H1891">
        <v>28029</v>
      </c>
      <c r="I1891" t="s">
        <v>307</v>
      </c>
    </row>
    <row r="1892" spans="1:9" x14ac:dyDescent="0.25">
      <c r="A1892">
        <v>70371</v>
      </c>
      <c r="B1892" t="s">
        <v>217</v>
      </c>
      <c r="C1892" t="s">
        <v>238</v>
      </c>
      <c r="D1892">
        <v>4</v>
      </c>
      <c r="E1892">
        <v>-176776</v>
      </c>
      <c r="F1892" t="s">
        <v>279</v>
      </c>
      <c r="G1892" t="s">
        <v>31</v>
      </c>
      <c r="H1892">
        <v>0</v>
      </c>
      <c r="I1892" t="s">
        <v>379</v>
      </c>
    </row>
    <row r="1893" spans="1:9" x14ac:dyDescent="0.25">
      <c r="A1893">
        <v>70371</v>
      </c>
      <c r="B1893" t="s">
        <v>217</v>
      </c>
      <c r="C1893" t="s">
        <v>238</v>
      </c>
      <c r="D1893">
        <v>4</v>
      </c>
      <c r="E1893">
        <v>-176776</v>
      </c>
      <c r="F1893" t="s">
        <v>279</v>
      </c>
      <c r="G1893" t="s">
        <v>30</v>
      </c>
      <c r="H1893">
        <v>7977</v>
      </c>
      <c r="I1893" t="s">
        <v>308</v>
      </c>
    </row>
    <row r="1894" spans="1:9" x14ac:dyDescent="0.25">
      <c r="A1894">
        <v>70371</v>
      </c>
      <c r="B1894" t="s">
        <v>217</v>
      </c>
      <c r="C1894" t="s">
        <v>238</v>
      </c>
      <c r="D1894">
        <v>4</v>
      </c>
      <c r="E1894">
        <v>-176776</v>
      </c>
      <c r="F1894" t="s">
        <v>279</v>
      </c>
      <c r="G1894" t="s">
        <v>35</v>
      </c>
      <c r="H1894">
        <v>500</v>
      </c>
      <c r="I1894" t="s">
        <v>321</v>
      </c>
    </row>
    <row r="1895" spans="1:9" x14ac:dyDescent="0.25">
      <c r="A1895">
        <v>70371</v>
      </c>
      <c r="B1895" t="s">
        <v>217</v>
      </c>
      <c r="C1895" t="s">
        <v>238</v>
      </c>
      <c r="D1895">
        <v>4</v>
      </c>
      <c r="E1895">
        <v>-176776</v>
      </c>
      <c r="F1895" t="s">
        <v>279</v>
      </c>
      <c r="G1895" t="s">
        <v>33</v>
      </c>
      <c r="H1895">
        <v>0</v>
      </c>
      <c r="I1895" t="s">
        <v>380</v>
      </c>
    </row>
    <row r="1896" spans="1:9" x14ac:dyDescent="0.25">
      <c r="A1896">
        <v>70371</v>
      </c>
      <c r="B1896" t="s">
        <v>217</v>
      </c>
      <c r="C1896" t="s">
        <v>238</v>
      </c>
      <c r="D1896">
        <v>4</v>
      </c>
      <c r="E1896">
        <v>-176776</v>
      </c>
      <c r="F1896" t="s">
        <v>279</v>
      </c>
      <c r="G1896" t="s">
        <v>35</v>
      </c>
      <c r="H1896">
        <v>584</v>
      </c>
      <c r="I1896" t="s">
        <v>309</v>
      </c>
    </row>
    <row r="1897" spans="1:9" x14ac:dyDescent="0.25">
      <c r="A1897">
        <v>70371</v>
      </c>
      <c r="B1897" t="s">
        <v>217</v>
      </c>
      <c r="C1897" t="s">
        <v>238</v>
      </c>
      <c r="D1897">
        <v>4</v>
      </c>
      <c r="E1897">
        <v>-176776</v>
      </c>
      <c r="F1897" t="s">
        <v>279</v>
      </c>
      <c r="G1897" t="s">
        <v>35</v>
      </c>
      <c r="H1897">
        <v>5688</v>
      </c>
      <c r="I1897" t="s">
        <v>310</v>
      </c>
    </row>
    <row r="1898" spans="1:9" x14ac:dyDescent="0.25">
      <c r="A1898">
        <v>70371</v>
      </c>
      <c r="B1898" t="s">
        <v>217</v>
      </c>
      <c r="C1898" t="s">
        <v>238</v>
      </c>
      <c r="D1898">
        <v>4</v>
      </c>
      <c r="E1898">
        <v>-176776</v>
      </c>
      <c r="F1898" t="s">
        <v>279</v>
      </c>
      <c r="G1898" t="s">
        <v>35</v>
      </c>
      <c r="H1898">
        <v>10648</v>
      </c>
      <c r="I1898" t="s">
        <v>311</v>
      </c>
    </row>
    <row r="1899" spans="1:9" x14ac:dyDescent="0.25">
      <c r="A1899">
        <v>70371</v>
      </c>
      <c r="B1899" t="s">
        <v>217</v>
      </c>
      <c r="C1899" t="s">
        <v>238</v>
      </c>
      <c r="D1899">
        <v>4</v>
      </c>
      <c r="E1899">
        <v>-176776</v>
      </c>
      <c r="F1899" t="s">
        <v>279</v>
      </c>
      <c r="G1899" t="s">
        <v>35</v>
      </c>
      <c r="H1899">
        <v>84</v>
      </c>
      <c r="I1899" t="s">
        <v>312</v>
      </c>
    </row>
    <row r="1900" spans="1:9" x14ac:dyDescent="0.25">
      <c r="A1900">
        <v>70372</v>
      </c>
      <c r="B1900" t="s">
        <v>219</v>
      </c>
      <c r="C1900" t="s">
        <v>238</v>
      </c>
      <c r="D1900">
        <v>4</v>
      </c>
      <c r="E1900">
        <v>-210852</v>
      </c>
      <c r="F1900" t="s">
        <v>279</v>
      </c>
      <c r="G1900" t="s">
        <v>37</v>
      </c>
      <c r="H1900">
        <v>42200</v>
      </c>
      <c r="I1900" t="s">
        <v>316</v>
      </c>
    </row>
    <row r="1901" spans="1:9" x14ac:dyDescent="0.25">
      <c r="A1901">
        <v>70372</v>
      </c>
      <c r="B1901" t="s">
        <v>219</v>
      </c>
      <c r="C1901" t="s">
        <v>238</v>
      </c>
      <c r="D1901">
        <v>4</v>
      </c>
      <c r="E1901">
        <v>-210852</v>
      </c>
      <c r="F1901" t="s">
        <v>279</v>
      </c>
      <c r="G1901" t="s">
        <v>36</v>
      </c>
      <c r="H1901">
        <v>31689</v>
      </c>
      <c r="I1901" t="s">
        <v>317</v>
      </c>
    </row>
    <row r="1902" spans="1:9" x14ac:dyDescent="0.25">
      <c r="A1902">
        <v>70372</v>
      </c>
      <c r="B1902" t="s">
        <v>219</v>
      </c>
      <c r="C1902" t="s">
        <v>238</v>
      </c>
      <c r="D1902">
        <v>4</v>
      </c>
      <c r="E1902">
        <v>-210852</v>
      </c>
      <c r="F1902" t="s">
        <v>274</v>
      </c>
      <c r="G1902" t="s">
        <v>275</v>
      </c>
      <c r="H1902">
        <v>0</v>
      </c>
      <c r="I1902" t="s">
        <v>276</v>
      </c>
    </row>
    <row r="1903" spans="1:9" x14ac:dyDescent="0.25">
      <c r="A1903">
        <v>70372</v>
      </c>
      <c r="B1903" t="s">
        <v>219</v>
      </c>
      <c r="C1903" t="s">
        <v>238</v>
      </c>
      <c r="D1903">
        <v>4</v>
      </c>
      <c r="E1903">
        <v>-210852</v>
      </c>
      <c r="F1903" t="s">
        <v>279</v>
      </c>
      <c r="G1903" t="s">
        <v>29</v>
      </c>
      <c r="H1903">
        <v>0</v>
      </c>
      <c r="I1903" t="s">
        <v>324</v>
      </c>
    </row>
    <row r="1904" spans="1:9" x14ac:dyDescent="0.25">
      <c r="A1904">
        <v>70372</v>
      </c>
      <c r="B1904" t="s">
        <v>219</v>
      </c>
      <c r="C1904" t="s">
        <v>238</v>
      </c>
      <c r="D1904">
        <v>4</v>
      </c>
      <c r="E1904">
        <v>-210852</v>
      </c>
      <c r="F1904" t="s">
        <v>274</v>
      </c>
      <c r="G1904" t="s">
        <v>277</v>
      </c>
      <c r="H1904">
        <v>13</v>
      </c>
      <c r="I1904" t="s">
        <v>278</v>
      </c>
    </row>
    <row r="1905" spans="1:9" x14ac:dyDescent="0.25">
      <c r="A1905">
        <v>70372</v>
      </c>
      <c r="B1905" t="s">
        <v>219</v>
      </c>
      <c r="C1905" t="s">
        <v>238</v>
      </c>
      <c r="D1905">
        <v>4</v>
      </c>
      <c r="E1905">
        <v>-210852</v>
      </c>
      <c r="F1905" t="s">
        <v>274</v>
      </c>
      <c r="G1905" t="s">
        <v>300</v>
      </c>
      <c r="H1905">
        <v>0</v>
      </c>
      <c r="I1905" t="s">
        <v>383</v>
      </c>
    </row>
    <row r="1906" spans="1:9" x14ac:dyDescent="0.25">
      <c r="A1906">
        <v>70372</v>
      </c>
      <c r="B1906" t="s">
        <v>219</v>
      </c>
      <c r="C1906" t="s">
        <v>238</v>
      </c>
      <c r="D1906">
        <v>4</v>
      </c>
      <c r="E1906">
        <v>-210852</v>
      </c>
      <c r="F1906" t="s">
        <v>279</v>
      </c>
      <c r="G1906" t="s">
        <v>33</v>
      </c>
      <c r="H1906">
        <v>26193</v>
      </c>
      <c r="I1906" t="s">
        <v>280</v>
      </c>
    </row>
    <row r="1907" spans="1:9" x14ac:dyDescent="0.25">
      <c r="A1907">
        <v>70372</v>
      </c>
      <c r="B1907" t="s">
        <v>219</v>
      </c>
      <c r="C1907" t="s">
        <v>238</v>
      </c>
      <c r="D1907">
        <v>4</v>
      </c>
      <c r="E1907">
        <v>-210852</v>
      </c>
      <c r="F1907" t="s">
        <v>279</v>
      </c>
      <c r="G1907" t="s">
        <v>29</v>
      </c>
      <c r="H1907">
        <v>3266</v>
      </c>
      <c r="I1907" t="s">
        <v>281</v>
      </c>
    </row>
    <row r="1908" spans="1:9" x14ac:dyDescent="0.25">
      <c r="A1908">
        <v>70372</v>
      </c>
      <c r="B1908" t="s">
        <v>219</v>
      </c>
      <c r="C1908" t="s">
        <v>238</v>
      </c>
      <c r="D1908">
        <v>4</v>
      </c>
      <c r="E1908">
        <v>-210852</v>
      </c>
      <c r="F1908" t="s">
        <v>279</v>
      </c>
      <c r="G1908" t="s">
        <v>29</v>
      </c>
      <c r="H1908">
        <v>49312</v>
      </c>
      <c r="I1908" t="s">
        <v>282</v>
      </c>
    </row>
    <row r="1909" spans="1:9" x14ac:dyDescent="0.25">
      <c r="A1909">
        <v>70372</v>
      </c>
      <c r="B1909" t="s">
        <v>219</v>
      </c>
      <c r="C1909" t="s">
        <v>238</v>
      </c>
      <c r="D1909">
        <v>4</v>
      </c>
      <c r="E1909">
        <v>-210852</v>
      </c>
      <c r="F1909" t="s">
        <v>279</v>
      </c>
      <c r="G1909" t="s">
        <v>35</v>
      </c>
      <c r="H1909">
        <v>37392</v>
      </c>
      <c r="I1909" t="s">
        <v>283</v>
      </c>
    </row>
    <row r="1910" spans="1:9" x14ac:dyDescent="0.25">
      <c r="A1910">
        <v>70372</v>
      </c>
      <c r="B1910" t="s">
        <v>219</v>
      </c>
      <c r="C1910" t="s">
        <v>238</v>
      </c>
      <c r="D1910">
        <v>4</v>
      </c>
      <c r="E1910">
        <v>-210852</v>
      </c>
      <c r="F1910" t="s">
        <v>279</v>
      </c>
      <c r="G1910" t="s">
        <v>29</v>
      </c>
      <c r="H1910">
        <v>4337</v>
      </c>
      <c r="I1910" t="s">
        <v>284</v>
      </c>
    </row>
    <row r="1911" spans="1:9" x14ac:dyDescent="0.25">
      <c r="A1911">
        <v>70372</v>
      </c>
      <c r="B1911" t="s">
        <v>219</v>
      </c>
      <c r="C1911" t="s">
        <v>238</v>
      </c>
      <c r="D1911">
        <v>4</v>
      </c>
      <c r="E1911">
        <v>-210852</v>
      </c>
      <c r="F1911" t="s">
        <v>279</v>
      </c>
      <c r="G1911" t="s">
        <v>29</v>
      </c>
      <c r="H1911">
        <v>17747</v>
      </c>
      <c r="I1911" t="s">
        <v>285</v>
      </c>
    </row>
    <row r="1912" spans="1:9" x14ac:dyDescent="0.25">
      <c r="A1912">
        <v>70372</v>
      </c>
      <c r="B1912" t="s">
        <v>219</v>
      </c>
      <c r="C1912" t="s">
        <v>238</v>
      </c>
      <c r="D1912">
        <v>4</v>
      </c>
      <c r="E1912">
        <v>-210852</v>
      </c>
      <c r="F1912" t="s">
        <v>279</v>
      </c>
      <c r="G1912" t="s">
        <v>29</v>
      </c>
      <c r="H1912">
        <v>722</v>
      </c>
      <c r="I1912" t="s">
        <v>286</v>
      </c>
    </row>
    <row r="1913" spans="1:9" x14ac:dyDescent="0.25">
      <c r="A1913">
        <v>70372</v>
      </c>
      <c r="B1913" t="s">
        <v>219</v>
      </c>
      <c r="C1913" t="s">
        <v>238</v>
      </c>
      <c r="D1913">
        <v>4</v>
      </c>
      <c r="E1913">
        <v>-210852</v>
      </c>
      <c r="F1913" t="s">
        <v>279</v>
      </c>
      <c r="G1913" t="s">
        <v>29</v>
      </c>
      <c r="H1913">
        <v>0</v>
      </c>
      <c r="I1913" t="s">
        <v>327</v>
      </c>
    </row>
    <row r="1914" spans="1:9" x14ac:dyDescent="0.25">
      <c r="A1914">
        <v>70372</v>
      </c>
      <c r="B1914" t="s">
        <v>219</v>
      </c>
      <c r="C1914" t="s">
        <v>238</v>
      </c>
      <c r="D1914">
        <v>4</v>
      </c>
      <c r="E1914">
        <v>-210852</v>
      </c>
      <c r="F1914" t="s">
        <v>279</v>
      </c>
      <c r="G1914" t="s">
        <v>34</v>
      </c>
      <c r="H1914">
        <v>1096</v>
      </c>
      <c r="I1914" t="s">
        <v>287</v>
      </c>
    </row>
    <row r="1915" spans="1:9" x14ac:dyDescent="0.25">
      <c r="A1915">
        <v>70372</v>
      </c>
      <c r="B1915" t="s">
        <v>219</v>
      </c>
      <c r="C1915" t="s">
        <v>238</v>
      </c>
      <c r="D1915">
        <v>4</v>
      </c>
      <c r="E1915">
        <v>-210852</v>
      </c>
      <c r="F1915" t="s">
        <v>279</v>
      </c>
      <c r="G1915" t="s">
        <v>29</v>
      </c>
      <c r="H1915">
        <v>38628</v>
      </c>
      <c r="I1915" t="s">
        <v>288</v>
      </c>
    </row>
    <row r="1916" spans="1:9" x14ac:dyDescent="0.25">
      <c r="A1916">
        <v>70372</v>
      </c>
      <c r="B1916" t="s">
        <v>219</v>
      </c>
      <c r="C1916" t="s">
        <v>238</v>
      </c>
      <c r="D1916">
        <v>4</v>
      </c>
      <c r="E1916">
        <v>-210852</v>
      </c>
      <c r="F1916" t="s">
        <v>279</v>
      </c>
      <c r="G1916" t="s">
        <v>34</v>
      </c>
      <c r="H1916">
        <v>10700</v>
      </c>
      <c r="I1916" t="s">
        <v>289</v>
      </c>
    </row>
    <row r="1917" spans="1:9" x14ac:dyDescent="0.25">
      <c r="A1917">
        <v>70372</v>
      </c>
      <c r="B1917" t="s">
        <v>219</v>
      </c>
      <c r="C1917" t="s">
        <v>238</v>
      </c>
      <c r="D1917">
        <v>4</v>
      </c>
      <c r="E1917">
        <v>-210852</v>
      </c>
      <c r="F1917" t="s">
        <v>279</v>
      </c>
      <c r="G1917" t="s">
        <v>29</v>
      </c>
      <c r="H1917">
        <v>4146</v>
      </c>
      <c r="I1917" t="s">
        <v>290</v>
      </c>
    </row>
    <row r="1918" spans="1:9" x14ac:dyDescent="0.25">
      <c r="A1918">
        <v>70372</v>
      </c>
      <c r="B1918" t="s">
        <v>219</v>
      </c>
      <c r="C1918" t="s">
        <v>238</v>
      </c>
      <c r="D1918">
        <v>4</v>
      </c>
      <c r="E1918">
        <v>-210852</v>
      </c>
      <c r="F1918" t="s">
        <v>279</v>
      </c>
      <c r="G1918" t="s">
        <v>32</v>
      </c>
      <c r="H1918">
        <v>27628</v>
      </c>
      <c r="I1918" t="s">
        <v>291</v>
      </c>
    </row>
    <row r="1919" spans="1:9" x14ac:dyDescent="0.25">
      <c r="A1919">
        <v>70372</v>
      </c>
      <c r="B1919" t="s">
        <v>219</v>
      </c>
      <c r="C1919" t="s">
        <v>238</v>
      </c>
      <c r="D1919">
        <v>4</v>
      </c>
      <c r="E1919">
        <v>-210852</v>
      </c>
      <c r="F1919" t="s">
        <v>279</v>
      </c>
      <c r="G1919" t="s">
        <v>29</v>
      </c>
      <c r="H1919">
        <v>9324</v>
      </c>
      <c r="I1919" t="s">
        <v>292</v>
      </c>
    </row>
    <row r="1920" spans="1:9" x14ac:dyDescent="0.25">
      <c r="A1920">
        <v>70372</v>
      </c>
      <c r="B1920" t="s">
        <v>219</v>
      </c>
      <c r="C1920" t="s">
        <v>238</v>
      </c>
      <c r="D1920">
        <v>4</v>
      </c>
      <c r="E1920">
        <v>-210852</v>
      </c>
      <c r="F1920" t="s">
        <v>279</v>
      </c>
      <c r="G1920" t="s">
        <v>29</v>
      </c>
      <c r="H1920">
        <v>0</v>
      </c>
      <c r="I1920" t="s">
        <v>384</v>
      </c>
    </row>
    <row r="1921" spans="1:9" x14ac:dyDescent="0.25">
      <c r="A1921">
        <v>70372</v>
      </c>
      <c r="B1921" t="s">
        <v>219</v>
      </c>
      <c r="C1921" t="s">
        <v>238</v>
      </c>
      <c r="D1921">
        <v>4</v>
      </c>
      <c r="E1921">
        <v>-210852</v>
      </c>
      <c r="F1921" t="s">
        <v>279</v>
      </c>
      <c r="G1921" t="s">
        <v>35</v>
      </c>
      <c r="H1921">
        <v>3474</v>
      </c>
      <c r="I1921" t="s">
        <v>293</v>
      </c>
    </row>
    <row r="1922" spans="1:9" x14ac:dyDescent="0.25">
      <c r="A1922">
        <v>70372</v>
      </c>
      <c r="B1922" t="s">
        <v>219</v>
      </c>
      <c r="C1922" t="s">
        <v>238</v>
      </c>
      <c r="D1922">
        <v>4</v>
      </c>
      <c r="E1922">
        <v>-210852</v>
      </c>
      <c r="F1922" t="s">
        <v>279</v>
      </c>
      <c r="G1922" t="s">
        <v>35</v>
      </c>
      <c r="H1922">
        <v>1592</v>
      </c>
      <c r="I1922" t="s">
        <v>294</v>
      </c>
    </row>
    <row r="1923" spans="1:9" x14ac:dyDescent="0.25">
      <c r="A1923">
        <v>70372</v>
      </c>
      <c r="B1923" t="s">
        <v>219</v>
      </c>
      <c r="C1923" t="s">
        <v>238</v>
      </c>
      <c r="D1923">
        <v>4</v>
      </c>
      <c r="E1923">
        <v>-210852</v>
      </c>
      <c r="F1923" t="s">
        <v>279</v>
      </c>
      <c r="G1923" t="s">
        <v>35</v>
      </c>
      <c r="H1923">
        <v>2911</v>
      </c>
      <c r="I1923" t="s">
        <v>295</v>
      </c>
    </row>
    <row r="1924" spans="1:9" x14ac:dyDescent="0.25">
      <c r="A1924">
        <v>70372</v>
      </c>
      <c r="B1924" t="s">
        <v>219</v>
      </c>
      <c r="C1924" t="s">
        <v>238</v>
      </c>
      <c r="D1924">
        <v>4</v>
      </c>
      <c r="E1924">
        <v>-210852</v>
      </c>
      <c r="F1924" t="s">
        <v>279</v>
      </c>
      <c r="G1924" t="s">
        <v>35</v>
      </c>
      <c r="H1924">
        <v>3864</v>
      </c>
      <c r="I1924" t="s">
        <v>296</v>
      </c>
    </row>
    <row r="1925" spans="1:9" x14ac:dyDescent="0.25">
      <c r="A1925">
        <v>70372</v>
      </c>
      <c r="B1925" t="s">
        <v>219</v>
      </c>
      <c r="C1925" t="s">
        <v>238</v>
      </c>
      <c r="D1925">
        <v>4</v>
      </c>
      <c r="E1925">
        <v>-210852</v>
      </c>
      <c r="F1925" t="s">
        <v>279</v>
      </c>
      <c r="G1925" t="s">
        <v>35</v>
      </c>
      <c r="H1925">
        <v>23061</v>
      </c>
      <c r="I1925" t="s">
        <v>325</v>
      </c>
    </row>
    <row r="1926" spans="1:9" x14ac:dyDescent="0.25">
      <c r="A1926">
        <v>70372</v>
      </c>
      <c r="B1926" t="s">
        <v>219</v>
      </c>
      <c r="C1926" t="s">
        <v>238</v>
      </c>
      <c r="D1926">
        <v>4</v>
      </c>
      <c r="E1926">
        <v>-210852</v>
      </c>
      <c r="F1926" t="s">
        <v>279</v>
      </c>
      <c r="G1926" t="s">
        <v>29</v>
      </c>
      <c r="H1926">
        <v>12480</v>
      </c>
      <c r="I1926" t="s">
        <v>297</v>
      </c>
    </row>
    <row r="1927" spans="1:9" x14ac:dyDescent="0.25">
      <c r="A1927">
        <v>70372</v>
      </c>
      <c r="B1927" t="s">
        <v>219</v>
      </c>
      <c r="C1927" t="s">
        <v>238</v>
      </c>
      <c r="D1927">
        <v>4</v>
      </c>
      <c r="E1927">
        <v>-210852</v>
      </c>
      <c r="F1927" t="s">
        <v>279</v>
      </c>
      <c r="G1927" t="s">
        <v>36</v>
      </c>
      <c r="H1927">
        <v>21254</v>
      </c>
      <c r="I1927" t="s">
        <v>298</v>
      </c>
    </row>
    <row r="1928" spans="1:9" x14ac:dyDescent="0.25">
      <c r="A1928">
        <v>70372</v>
      </c>
      <c r="B1928" t="s">
        <v>219</v>
      </c>
      <c r="C1928" t="s">
        <v>238</v>
      </c>
      <c r="D1928">
        <v>4</v>
      </c>
      <c r="E1928">
        <v>-210852</v>
      </c>
      <c r="F1928" t="s">
        <v>274</v>
      </c>
      <c r="G1928" t="s">
        <v>275</v>
      </c>
      <c r="H1928">
        <v>117840</v>
      </c>
      <c r="I1928" t="s">
        <v>299</v>
      </c>
    </row>
    <row r="1929" spans="1:9" x14ac:dyDescent="0.25">
      <c r="A1929">
        <v>70372</v>
      </c>
      <c r="B1929" t="s">
        <v>219</v>
      </c>
      <c r="C1929" t="s">
        <v>238</v>
      </c>
      <c r="D1929">
        <v>4</v>
      </c>
      <c r="E1929">
        <v>-210852</v>
      </c>
      <c r="F1929" t="s">
        <v>274</v>
      </c>
      <c r="G1929" t="s">
        <v>275</v>
      </c>
      <c r="H1929">
        <v>0</v>
      </c>
      <c r="I1929" t="s">
        <v>385</v>
      </c>
    </row>
    <row r="1930" spans="1:9" x14ac:dyDescent="0.25">
      <c r="A1930">
        <v>70372</v>
      </c>
      <c r="B1930" t="s">
        <v>219</v>
      </c>
      <c r="C1930" t="s">
        <v>238</v>
      </c>
      <c r="D1930">
        <v>4</v>
      </c>
      <c r="E1930">
        <v>-210852</v>
      </c>
      <c r="F1930" t="s">
        <v>279</v>
      </c>
      <c r="G1930" t="s">
        <v>31</v>
      </c>
      <c r="H1930">
        <v>0</v>
      </c>
      <c r="I1930" t="s">
        <v>364</v>
      </c>
    </row>
    <row r="1931" spans="1:9" x14ac:dyDescent="0.25">
      <c r="A1931">
        <v>70372</v>
      </c>
      <c r="B1931" t="s">
        <v>219</v>
      </c>
      <c r="C1931" t="s">
        <v>238</v>
      </c>
      <c r="D1931">
        <v>4</v>
      </c>
      <c r="E1931">
        <v>-210852</v>
      </c>
      <c r="F1931" t="s">
        <v>279</v>
      </c>
      <c r="G1931" t="s">
        <v>31</v>
      </c>
      <c r="H1931">
        <v>0</v>
      </c>
      <c r="I1931" t="s">
        <v>365</v>
      </c>
    </row>
    <row r="1932" spans="1:9" x14ac:dyDescent="0.25">
      <c r="A1932">
        <v>70372</v>
      </c>
      <c r="B1932" t="s">
        <v>219</v>
      </c>
      <c r="C1932" t="s">
        <v>238</v>
      </c>
      <c r="D1932">
        <v>4</v>
      </c>
      <c r="E1932">
        <v>-210852</v>
      </c>
      <c r="F1932" t="s">
        <v>279</v>
      </c>
      <c r="G1932" t="s">
        <v>31</v>
      </c>
      <c r="H1932">
        <v>0</v>
      </c>
      <c r="I1932" t="s">
        <v>366</v>
      </c>
    </row>
    <row r="1933" spans="1:9" x14ac:dyDescent="0.25">
      <c r="A1933">
        <v>70372</v>
      </c>
      <c r="B1933" t="s">
        <v>219</v>
      </c>
      <c r="C1933" t="s">
        <v>238</v>
      </c>
      <c r="D1933">
        <v>4</v>
      </c>
      <c r="E1933">
        <v>-210852</v>
      </c>
      <c r="F1933" t="s">
        <v>279</v>
      </c>
      <c r="G1933" t="s">
        <v>31</v>
      </c>
      <c r="H1933">
        <v>0</v>
      </c>
      <c r="I1933" t="s">
        <v>367</v>
      </c>
    </row>
    <row r="1934" spans="1:9" x14ac:dyDescent="0.25">
      <c r="A1934">
        <v>70372</v>
      </c>
      <c r="B1934" t="s">
        <v>219</v>
      </c>
      <c r="C1934" t="s">
        <v>238</v>
      </c>
      <c r="D1934">
        <v>4</v>
      </c>
      <c r="E1934">
        <v>-210852</v>
      </c>
      <c r="F1934" t="s">
        <v>279</v>
      </c>
      <c r="G1934" t="s">
        <v>31</v>
      </c>
      <c r="H1934">
        <v>0</v>
      </c>
      <c r="I1934" t="s">
        <v>368</v>
      </c>
    </row>
    <row r="1935" spans="1:9" x14ac:dyDescent="0.25">
      <c r="A1935">
        <v>70372</v>
      </c>
      <c r="B1935" t="s">
        <v>219</v>
      </c>
      <c r="C1935" t="s">
        <v>238</v>
      </c>
      <c r="D1935">
        <v>4</v>
      </c>
      <c r="E1935">
        <v>-210852</v>
      </c>
      <c r="F1935" t="s">
        <v>279</v>
      </c>
      <c r="G1935" t="s">
        <v>31</v>
      </c>
      <c r="H1935">
        <v>0</v>
      </c>
      <c r="I1935" t="s">
        <v>369</v>
      </c>
    </row>
    <row r="1936" spans="1:9" x14ac:dyDescent="0.25">
      <c r="A1936">
        <v>70372</v>
      </c>
      <c r="B1936" t="s">
        <v>219</v>
      </c>
      <c r="C1936" t="s">
        <v>238</v>
      </c>
      <c r="D1936">
        <v>4</v>
      </c>
      <c r="E1936">
        <v>-210852</v>
      </c>
      <c r="F1936" t="s">
        <v>279</v>
      </c>
      <c r="G1936" t="s">
        <v>31</v>
      </c>
      <c r="H1936">
        <v>0</v>
      </c>
      <c r="I1936" t="s">
        <v>370</v>
      </c>
    </row>
    <row r="1937" spans="1:9" x14ac:dyDescent="0.25">
      <c r="A1937">
        <v>70372</v>
      </c>
      <c r="B1937" t="s">
        <v>219</v>
      </c>
      <c r="C1937" t="s">
        <v>238</v>
      </c>
      <c r="D1937">
        <v>4</v>
      </c>
      <c r="E1937">
        <v>-210852</v>
      </c>
      <c r="F1937" t="s">
        <v>279</v>
      </c>
      <c r="G1937" t="s">
        <v>31</v>
      </c>
      <c r="H1937">
        <v>0</v>
      </c>
      <c r="I1937" t="s">
        <v>371</v>
      </c>
    </row>
    <row r="1938" spans="1:9" x14ac:dyDescent="0.25">
      <c r="A1938">
        <v>70372</v>
      </c>
      <c r="B1938" t="s">
        <v>219</v>
      </c>
      <c r="C1938" t="s">
        <v>238</v>
      </c>
      <c r="D1938">
        <v>4</v>
      </c>
      <c r="E1938">
        <v>-210852</v>
      </c>
      <c r="F1938" t="s">
        <v>279</v>
      </c>
      <c r="G1938" t="s">
        <v>31</v>
      </c>
      <c r="H1938">
        <v>0</v>
      </c>
      <c r="I1938" t="s">
        <v>328</v>
      </c>
    </row>
    <row r="1939" spans="1:9" x14ac:dyDescent="0.25">
      <c r="A1939">
        <v>70372</v>
      </c>
      <c r="B1939" t="s">
        <v>219</v>
      </c>
      <c r="C1939" t="s">
        <v>238</v>
      </c>
      <c r="D1939">
        <v>4</v>
      </c>
      <c r="E1939">
        <v>-210852</v>
      </c>
      <c r="F1939" t="s">
        <v>279</v>
      </c>
      <c r="G1939" t="s">
        <v>33</v>
      </c>
      <c r="H1939">
        <v>0</v>
      </c>
      <c r="I1939" t="s">
        <v>372</v>
      </c>
    </row>
    <row r="1940" spans="1:9" x14ac:dyDescent="0.25">
      <c r="A1940">
        <v>70372</v>
      </c>
      <c r="B1940" t="s">
        <v>219</v>
      </c>
      <c r="C1940" t="s">
        <v>238</v>
      </c>
      <c r="D1940">
        <v>4</v>
      </c>
      <c r="E1940">
        <v>-210852</v>
      </c>
      <c r="F1940" t="s">
        <v>279</v>
      </c>
      <c r="G1940" t="s">
        <v>33</v>
      </c>
      <c r="H1940">
        <v>0</v>
      </c>
      <c r="I1940" t="s">
        <v>329</v>
      </c>
    </row>
    <row r="1941" spans="1:9" x14ac:dyDescent="0.25">
      <c r="A1941">
        <v>70372</v>
      </c>
      <c r="B1941" t="s">
        <v>219</v>
      </c>
      <c r="C1941" t="s">
        <v>238</v>
      </c>
      <c r="D1941">
        <v>4</v>
      </c>
      <c r="E1941">
        <v>-210852</v>
      </c>
      <c r="F1941" t="s">
        <v>279</v>
      </c>
      <c r="G1941" t="s">
        <v>33</v>
      </c>
      <c r="H1941">
        <v>42351</v>
      </c>
      <c r="I1941" t="s">
        <v>319</v>
      </c>
    </row>
    <row r="1942" spans="1:9" x14ac:dyDescent="0.25">
      <c r="A1942">
        <v>70372</v>
      </c>
      <c r="B1942" t="s">
        <v>219</v>
      </c>
      <c r="C1942" t="s">
        <v>238</v>
      </c>
      <c r="D1942">
        <v>4</v>
      </c>
      <c r="E1942">
        <v>-210852</v>
      </c>
      <c r="F1942" t="s">
        <v>279</v>
      </c>
      <c r="G1942" t="s">
        <v>33</v>
      </c>
      <c r="H1942">
        <v>0</v>
      </c>
      <c r="I1942" t="s">
        <v>373</v>
      </c>
    </row>
    <row r="1943" spans="1:9" x14ac:dyDescent="0.25">
      <c r="A1943">
        <v>70372</v>
      </c>
      <c r="B1943" t="s">
        <v>219</v>
      </c>
      <c r="C1943" t="s">
        <v>238</v>
      </c>
      <c r="D1943">
        <v>4</v>
      </c>
      <c r="E1943">
        <v>-210852</v>
      </c>
      <c r="F1943" t="s">
        <v>279</v>
      </c>
      <c r="G1943" t="s">
        <v>33</v>
      </c>
      <c r="H1943">
        <v>0</v>
      </c>
      <c r="I1943" t="s">
        <v>374</v>
      </c>
    </row>
    <row r="1944" spans="1:9" x14ac:dyDescent="0.25">
      <c r="A1944">
        <v>70372</v>
      </c>
      <c r="B1944" t="s">
        <v>219</v>
      </c>
      <c r="C1944" t="s">
        <v>238</v>
      </c>
      <c r="D1944">
        <v>4</v>
      </c>
      <c r="E1944">
        <v>-210852</v>
      </c>
      <c r="F1944" t="s">
        <v>279</v>
      </c>
      <c r="G1944" t="s">
        <v>33</v>
      </c>
      <c r="H1944">
        <v>0</v>
      </c>
      <c r="I1944" t="s">
        <v>326</v>
      </c>
    </row>
    <row r="1945" spans="1:9" x14ac:dyDescent="0.25">
      <c r="A1945">
        <v>70372</v>
      </c>
      <c r="B1945" t="s">
        <v>219</v>
      </c>
      <c r="C1945" t="s">
        <v>238</v>
      </c>
      <c r="D1945">
        <v>4</v>
      </c>
      <c r="E1945">
        <v>-210852</v>
      </c>
      <c r="F1945" t="s">
        <v>279</v>
      </c>
      <c r="G1945" t="s">
        <v>33</v>
      </c>
      <c r="H1945">
        <v>0</v>
      </c>
      <c r="I1945" t="s">
        <v>375</v>
      </c>
    </row>
    <row r="1946" spans="1:9" x14ac:dyDescent="0.25">
      <c r="A1946">
        <v>70372</v>
      </c>
      <c r="B1946" t="s">
        <v>219</v>
      </c>
      <c r="C1946" t="s">
        <v>238</v>
      </c>
      <c r="D1946">
        <v>4</v>
      </c>
      <c r="E1946">
        <v>-210852</v>
      </c>
      <c r="F1946" t="s">
        <v>279</v>
      </c>
      <c r="G1946" t="s">
        <v>33</v>
      </c>
      <c r="H1946">
        <v>0</v>
      </c>
      <c r="I1946" t="s">
        <v>376</v>
      </c>
    </row>
    <row r="1947" spans="1:9" x14ac:dyDescent="0.25">
      <c r="A1947">
        <v>70372</v>
      </c>
      <c r="B1947" t="s">
        <v>219</v>
      </c>
      <c r="C1947" t="s">
        <v>238</v>
      </c>
      <c r="D1947">
        <v>4</v>
      </c>
      <c r="E1947">
        <v>-210852</v>
      </c>
      <c r="F1947" t="s">
        <v>279</v>
      </c>
      <c r="G1947" t="s">
        <v>33</v>
      </c>
      <c r="H1947">
        <v>0</v>
      </c>
      <c r="I1947" t="s">
        <v>377</v>
      </c>
    </row>
    <row r="1948" spans="1:9" x14ac:dyDescent="0.25">
      <c r="A1948">
        <v>70372</v>
      </c>
      <c r="B1948" t="s">
        <v>219</v>
      </c>
      <c r="C1948" t="s">
        <v>238</v>
      </c>
      <c r="D1948">
        <v>4</v>
      </c>
      <c r="E1948">
        <v>-210852</v>
      </c>
      <c r="F1948" t="s">
        <v>274</v>
      </c>
      <c r="G1948" t="s">
        <v>275</v>
      </c>
      <c r="H1948">
        <v>479084</v>
      </c>
      <c r="I1948" t="s">
        <v>318</v>
      </c>
    </row>
    <row r="1949" spans="1:9" x14ac:dyDescent="0.25">
      <c r="A1949">
        <v>70372</v>
      </c>
      <c r="B1949" t="s">
        <v>219</v>
      </c>
      <c r="C1949" t="s">
        <v>238</v>
      </c>
      <c r="D1949">
        <v>4</v>
      </c>
      <c r="E1949">
        <v>-210852</v>
      </c>
      <c r="F1949" t="s">
        <v>274</v>
      </c>
      <c r="G1949" t="s">
        <v>300</v>
      </c>
      <c r="H1949">
        <v>16451</v>
      </c>
      <c r="I1949" t="s">
        <v>301</v>
      </c>
    </row>
    <row r="1950" spans="1:9" x14ac:dyDescent="0.25">
      <c r="A1950">
        <v>70372</v>
      </c>
      <c r="B1950" t="s">
        <v>219</v>
      </c>
      <c r="C1950" t="s">
        <v>238</v>
      </c>
      <c r="D1950">
        <v>4</v>
      </c>
      <c r="E1950">
        <v>-210852</v>
      </c>
      <c r="F1950" t="s">
        <v>274</v>
      </c>
      <c r="G1950" t="s">
        <v>275</v>
      </c>
      <c r="H1950">
        <v>-8926</v>
      </c>
      <c r="I1950" t="s">
        <v>302</v>
      </c>
    </row>
    <row r="1951" spans="1:9" x14ac:dyDescent="0.25">
      <c r="A1951">
        <v>70372</v>
      </c>
      <c r="B1951" t="s">
        <v>219</v>
      </c>
      <c r="C1951" t="s">
        <v>238</v>
      </c>
      <c r="D1951">
        <v>4</v>
      </c>
      <c r="E1951">
        <v>-210852</v>
      </c>
      <c r="F1951" t="s">
        <v>279</v>
      </c>
      <c r="G1951" t="s">
        <v>30</v>
      </c>
      <c r="H1951">
        <v>240078</v>
      </c>
      <c r="I1951" t="s">
        <v>303</v>
      </c>
    </row>
    <row r="1952" spans="1:9" x14ac:dyDescent="0.25">
      <c r="A1952">
        <v>70372</v>
      </c>
      <c r="B1952" t="s">
        <v>219</v>
      </c>
      <c r="C1952" t="s">
        <v>238</v>
      </c>
      <c r="D1952">
        <v>4</v>
      </c>
      <c r="E1952">
        <v>-210852</v>
      </c>
      <c r="F1952" t="s">
        <v>279</v>
      </c>
      <c r="G1952" t="s">
        <v>35</v>
      </c>
      <c r="H1952">
        <v>5258</v>
      </c>
      <c r="I1952" t="s">
        <v>304</v>
      </c>
    </row>
    <row r="1953" spans="1:9" x14ac:dyDescent="0.25">
      <c r="A1953">
        <v>70372</v>
      </c>
      <c r="B1953" t="s">
        <v>219</v>
      </c>
      <c r="C1953" t="s">
        <v>238</v>
      </c>
      <c r="D1953">
        <v>4</v>
      </c>
      <c r="E1953">
        <v>-210852</v>
      </c>
      <c r="F1953" t="s">
        <v>279</v>
      </c>
      <c r="G1953" t="s">
        <v>31</v>
      </c>
      <c r="H1953">
        <v>71459</v>
      </c>
      <c r="I1953" t="s">
        <v>305</v>
      </c>
    </row>
    <row r="1954" spans="1:9" x14ac:dyDescent="0.25">
      <c r="A1954">
        <v>70372</v>
      </c>
      <c r="B1954" t="s">
        <v>219</v>
      </c>
      <c r="C1954" t="s">
        <v>238</v>
      </c>
      <c r="D1954">
        <v>4</v>
      </c>
      <c r="E1954">
        <v>-210852</v>
      </c>
      <c r="F1954" t="s">
        <v>279</v>
      </c>
      <c r="G1954" t="s">
        <v>33</v>
      </c>
      <c r="H1954">
        <v>3041</v>
      </c>
      <c r="I1954" t="s">
        <v>320</v>
      </c>
    </row>
    <row r="1955" spans="1:9" x14ac:dyDescent="0.25">
      <c r="A1955">
        <v>70372</v>
      </c>
      <c r="B1955" t="s">
        <v>219</v>
      </c>
      <c r="C1955" t="s">
        <v>238</v>
      </c>
      <c r="D1955">
        <v>4</v>
      </c>
      <c r="E1955">
        <v>-210852</v>
      </c>
      <c r="F1955" t="s">
        <v>279</v>
      </c>
      <c r="G1955" t="s">
        <v>33</v>
      </c>
      <c r="H1955">
        <v>0</v>
      </c>
      <c r="I1955" t="s">
        <v>306</v>
      </c>
    </row>
    <row r="1956" spans="1:9" x14ac:dyDescent="0.25">
      <c r="A1956">
        <v>70372</v>
      </c>
      <c r="B1956" t="s">
        <v>219</v>
      </c>
      <c r="C1956" t="s">
        <v>238</v>
      </c>
      <c r="D1956">
        <v>4</v>
      </c>
      <c r="E1956">
        <v>-210852</v>
      </c>
      <c r="F1956" t="s">
        <v>279</v>
      </c>
      <c r="G1956" t="s">
        <v>33</v>
      </c>
      <c r="H1956">
        <v>0</v>
      </c>
      <c r="I1956" t="s">
        <v>378</v>
      </c>
    </row>
    <row r="1957" spans="1:9" x14ac:dyDescent="0.25">
      <c r="A1957">
        <v>70372</v>
      </c>
      <c r="B1957" t="s">
        <v>219</v>
      </c>
      <c r="C1957" t="s">
        <v>238</v>
      </c>
      <c r="D1957">
        <v>4</v>
      </c>
      <c r="E1957">
        <v>-210852</v>
      </c>
      <c r="F1957" t="s">
        <v>279</v>
      </c>
      <c r="G1957" t="s">
        <v>31</v>
      </c>
      <c r="H1957">
        <v>3244</v>
      </c>
      <c r="I1957" t="s">
        <v>307</v>
      </c>
    </row>
    <row r="1958" spans="1:9" x14ac:dyDescent="0.25">
      <c r="A1958">
        <v>70372</v>
      </c>
      <c r="B1958" t="s">
        <v>219</v>
      </c>
      <c r="C1958" t="s">
        <v>238</v>
      </c>
      <c r="D1958">
        <v>4</v>
      </c>
      <c r="E1958">
        <v>-210852</v>
      </c>
      <c r="F1958" t="s">
        <v>279</v>
      </c>
      <c r="G1958" t="s">
        <v>31</v>
      </c>
      <c r="H1958">
        <v>0</v>
      </c>
      <c r="I1958" t="s">
        <v>379</v>
      </c>
    </row>
    <row r="1959" spans="1:9" x14ac:dyDescent="0.25">
      <c r="A1959">
        <v>70372</v>
      </c>
      <c r="B1959" t="s">
        <v>219</v>
      </c>
      <c r="C1959" t="s">
        <v>238</v>
      </c>
      <c r="D1959">
        <v>4</v>
      </c>
      <c r="E1959">
        <v>-210852</v>
      </c>
      <c r="F1959" t="s">
        <v>279</v>
      </c>
      <c r="G1959" t="s">
        <v>30</v>
      </c>
      <c r="H1959">
        <v>11611</v>
      </c>
      <c r="I1959" t="s">
        <v>308</v>
      </c>
    </row>
    <row r="1960" spans="1:9" x14ac:dyDescent="0.25">
      <c r="A1960">
        <v>70372</v>
      </c>
      <c r="B1960" t="s">
        <v>219</v>
      </c>
      <c r="C1960" t="s">
        <v>238</v>
      </c>
      <c r="D1960">
        <v>4</v>
      </c>
      <c r="E1960">
        <v>-210852</v>
      </c>
      <c r="F1960" t="s">
        <v>279</v>
      </c>
      <c r="G1960" t="s">
        <v>35</v>
      </c>
      <c r="H1960">
        <v>8820</v>
      </c>
      <c r="I1960" t="s">
        <v>321</v>
      </c>
    </row>
    <row r="1961" spans="1:9" x14ac:dyDescent="0.25">
      <c r="A1961">
        <v>70372</v>
      </c>
      <c r="B1961" t="s">
        <v>219</v>
      </c>
      <c r="C1961" t="s">
        <v>238</v>
      </c>
      <c r="D1961">
        <v>4</v>
      </c>
      <c r="E1961">
        <v>-210852</v>
      </c>
      <c r="F1961" t="s">
        <v>279</v>
      </c>
      <c r="G1961" t="s">
        <v>33</v>
      </c>
      <c r="H1961">
        <v>0</v>
      </c>
      <c r="I1961" t="s">
        <v>380</v>
      </c>
    </row>
    <row r="1962" spans="1:9" x14ac:dyDescent="0.25">
      <c r="A1962">
        <v>70372</v>
      </c>
      <c r="B1962" t="s">
        <v>219</v>
      </c>
      <c r="C1962" t="s">
        <v>238</v>
      </c>
      <c r="D1962">
        <v>4</v>
      </c>
      <c r="E1962">
        <v>-210852</v>
      </c>
      <c r="F1962" t="s">
        <v>279</v>
      </c>
      <c r="G1962" t="s">
        <v>35</v>
      </c>
      <c r="H1962">
        <v>0</v>
      </c>
      <c r="I1962" t="s">
        <v>309</v>
      </c>
    </row>
    <row r="1963" spans="1:9" x14ac:dyDescent="0.25">
      <c r="A1963">
        <v>70372</v>
      </c>
      <c r="B1963" t="s">
        <v>219</v>
      </c>
      <c r="C1963" t="s">
        <v>238</v>
      </c>
      <c r="D1963">
        <v>4</v>
      </c>
      <c r="E1963">
        <v>-210852</v>
      </c>
      <c r="F1963" t="s">
        <v>279</v>
      </c>
      <c r="G1963" t="s">
        <v>35</v>
      </c>
      <c r="H1963">
        <v>23759</v>
      </c>
      <c r="I1963" t="s">
        <v>310</v>
      </c>
    </row>
    <row r="1964" spans="1:9" x14ac:dyDescent="0.25">
      <c r="A1964">
        <v>70372</v>
      </c>
      <c r="B1964" t="s">
        <v>219</v>
      </c>
      <c r="C1964" t="s">
        <v>238</v>
      </c>
      <c r="D1964">
        <v>4</v>
      </c>
      <c r="E1964">
        <v>-210852</v>
      </c>
      <c r="F1964" t="s">
        <v>279</v>
      </c>
      <c r="G1964" t="s">
        <v>35</v>
      </c>
      <c r="H1964">
        <v>4279</v>
      </c>
      <c r="I1964" t="s">
        <v>311</v>
      </c>
    </row>
    <row r="1965" spans="1:9" x14ac:dyDescent="0.25">
      <c r="A1965">
        <v>70372</v>
      </c>
      <c r="B1965" t="s">
        <v>219</v>
      </c>
      <c r="C1965" t="s">
        <v>238</v>
      </c>
      <c r="D1965">
        <v>4</v>
      </c>
      <c r="E1965">
        <v>-210852</v>
      </c>
      <c r="F1965" t="s">
        <v>279</v>
      </c>
      <c r="G1965" t="s">
        <v>35</v>
      </c>
      <c r="H1965">
        <v>288</v>
      </c>
      <c r="I1965" t="s">
        <v>312</v>
      </c>
    </row>
    <row r="1966" spans="1:9" x14ac:dyDescent="0.25">
      <c r="A1966">
        <v>70372</v>
      </c>
      <c r="B1966" t="s">
        <v>219</v>
      </c>
      <c r="C1966" t="s">
        <v>238</v>
      </c>
      <c r="D1966">
        <v>4</v>
      </c>
      <c r="E1966">
        <v>-210852</v>
      </c>
      <c r="F1966" t="s">
        <v>279</v>
      </c>
      <c r="G1966" t="s">
        <v>35</v>
      </c>
      <c r="H1966">
        <v>275</v>
      </c>
      <c r="I1966" t="s">
        <v>313</v>
      </c>
    </row>
    <row r="1967" spans="1:9" x14ac:dyDescent="0.25">
      <c r="A1967">
        <v>70372</v>
      </c>
      <c r="B1967" t="s">
        <v>219</v>
      </c>
      <c r="C1967" t="s">
        <v>238</v>
      </c>
      <c r="D1967">
        <v>4</v>
      </c>
      <c r="E1967">
        <v>-210852</v>
      </c>
      <c r="F1967" t="s">
        <v>279</v>
      </c>
      <c r="G1967" t="s">
        <v>37</v>
      </c>
      <c r="H1967">
        <v>0</v>
      </c>
      <c r="I1967" t="s">
        <v>381</v>
      </c>
    </row>
    <row r="1968" spans="1:9" x14ac:dyDescent="0.25">
      <c r="A1968">
        <v>70372</v>
      </c>
      <c r="B1968" t="s">
        <v>219</v>
      </c>
      <c r="C1968" t="s">
        <v>238</v>
      </c>
      <c r="D1968">
        <v>4</v>
      </c>
      <c r="E1968">
        <v>-210852</v>
      </c>
      <c r="F1968" t="s">
        <v>279</v>
      </c>
      <c r="G1968" t="s">
        <v>37</v>
      </c>
      <c r="H1968">
        <v>22554</v>
      </c>
      <c r="I1968" t="s">
        <v>314</v>
      </c>
    </row>
    <row r="1969" spans="1:9" x14ac:dyDescent="0.25">
      <c r="A1969">
        <v>70372</v>
      </c>
      <c r="B1969" t="s">
        <v>219</v>
      </c>
      <c r="C1969" t="s">
        <v>238</v>
      </c>
      <c r="D1969">
        <v>4</v>
      </c>
      <c r="E1969">
        <v>-210852</v>
      </c>
      <c r="F1969" t="s">
        <v>279</v>
      </c>
      <c r="G1969" t="s">
        <v>35</v>
      </c>
      <c r="H1969">
        <v>5277</v>
      </c>
      <c r="I1969" t="s">
        <v>315</v>
      </c>
    </row>
    <row r="1970" spans="1:9" x14ac:dyDescent="0.25">
      <c r="A1970">
        <v>70372</v>
      </c>
      <c r="B1970" t="s">
        <v>219</v>
      </c>
      <c r="C1970" t="s">
        <v>238</v>
      </c>
      <c r="D1970">
        <v>4</v>
      </c>
      <c r="E1970">
        <v>-210852</v>
      </c>
      <c r="F1970" t="s">
        <v>279</v>
      </c>
      <c r="G1970" t="s">
        <v>37</v>
      </c>
      <c r="H1970">
        <v>0</v>
      </c>
      <c r="I1970" t="s">
        <v>323</v>
      </c>
    </row>
    <row r="1971" spans="1:9" x14ac:dyDescent="0.25">
      <c r="A1971">
        <v>70372</v>
      </c>
      <c r="B1971" t="s">
        <v>219</v>
      </c>
      <c r="C1971" t="s">
        <v>238</v>
      </c>
      <c r="D1971">
        <v>4</v>
      </c>
      <c r="E1971">
        <v>-210852</v>
      </c>
      <c r="F1971" t="s">
        <v>279</v>
      </c>
      <c r="G1971" t="s">
        <v>37</v>
      </c>
      <c r="H1971">
        <v>4</v>
      </c>
      <c r="I1971" t="s">
        <v>322</v>
      </c>
    </row>
    <row r="1972" spans="1:9" x14ac:dyDescent="0.25">
      <c r="A1972">
        <v>70372</v>
      </c>
      <c r="B1972" t="s">
        <v>219</v>
      </c>
      <c r="C1972" t="s">
        <v>238</v>
      </c>
      <c r="D1972">
        <v>4</v>
      </c>
      <c r="E1972">
        <v>-210852</v>
      </c>
      <c r="F1972" t="s">
        <v>279</v>
      </c>
      <c r="G1972" t="s">
        <v>37</v>
      </c>
      <c r="H1972">
        <v>0</v>
      </c>
      <c r="I1972" t="s">
        <v>382</v>
      </c>
    </row>
    <row r="1973" spans="1:9" x14ac:dyDescent="0.25">
      <c r="A1973">
        <v>70373</v>
      </c>
      <c r="B1973" t="s">
        <v>221</v>
      </c>
      <c r="C1973" t="s">
        <v>238</v>
      </c>
      <c r="D1973">
        <v>4</v>
      </c>
      <c r="E1973">
        <v>-120142</v>
      </c>
      <c r="F1973" t="s">
        <v>279</v>
      </c>
      <c r="G1973" t="s">
        <v>31</v>
      </c>
      <c r="H1973">
        <v>0</v>
      </c>
      <c r="I1973" t="s">
        <v>364</v>
      </c>
    </row>
    <row r="1974" spans="1:9" x14ac:dyDescent="0.25">
      <c r="A1974">
        <v>70373</v>
      </c>
      <c r="B1974" t="s">
        <v>221</v>
      </c>
      <c r="C1974" t="s">
        <v>238</v>
      </c>
      <c r="D1974">
        <v>4</v>
      </c>
      <c r="E1974">
        <v>-120142</v>
      </c>
      <c r="F1974" t="s">
        <v>279</v>
      </c>
      <c r="G1974" t="s">
        <v>31</v>
      </c>
      <c r="H1974">
        <v>0</v>
      </c>
      <c r="I1974" t="s">
        <v>365</v>
      </c>
    </row>
    <row r="1975" spans="1:9" x14ac:dyDescent="0.25">
      <c r="A1975">
        <v>70373</v>
      </c>
      <c r="B1975" t="s">
        <v>221</v>
      </c>
      <c r="C1975" t="s">
        <v>238</v>
      </c>
      <c r="D1975">
        <v>4</v>
      </c>
      <c r="E1975">
        <v>-120142</v>
      </c>
      <c r="F1975" t="s">
        <v>279</v>
      </c>
      <c r="G1975" t="s">
        <v>31</v>
      </c>
      <c r="H1975">
        <v>0</v>
      </c>
      <c r="I1975" t="s">
        <v>366</v>
      </c>
    </row>
    <row r="1976" spans="1:9" x14ac:dyDescent="0.25">
      <c r="A1976">
        <v>70373</v>
      </c>
      <c r="B1976" t="s">
        <v>221</v>
      </c>
      <c r="C1976" t="s">
        <v>238</v>
      </c>
      <c r="D1976">
        <v>4</v>
      </c>
      <c r="E1976">
        <v>-120142</v>
      </c>
      <c r="F1976" t="s">
        <v>279</v>
      </c>
      <c r="G1976" t="s">
        <v>31</v>
      </c>
      <c r="H1976">
        <v>0</v>
      </c>
      <c r="I1976" t="s">
        <v>367</v>
      </c>
    </row>
    <row r="1977" spans="1:9" x14ac:dyDescent="0.25">
      <c r="A1977">
        <v>70373</v>
      </c>
      <c r="B1977" t="s">
        <v>221</v>
      </c>
      <c r="C1977" t="s">
        <v>238</v>
      </c>
      <c r="D1977">
        <v>4</v>
      </c>
      <c r="E1977">
        <v>-120142</v>
      </c>
      <c r="F1977" t="s">
        <v>279</v>
      </c>
      <c r="G1977" t="s">
        <v>31</v>
      </c>
      <c r="H1977">
        <v>30611</v>
      </c>
      <c r="I1977" t="s">
        <v>368</v>
      </c>
    </row>
    <row r="1978" spans="1:9" x14ac:dyDescent="0.25">
      <c r="A1978">
        <v>70373</v>
      </c>
      <c r="B1978" t="s">
        <v>221</v>
      </c>
      <c r="C1978" t="s">
        <v>238</v>
      </c>
      <c r="D1978">
        <v>4</v>
      </c>
      <c r="E1978">
        <v>-120142</v>
      </c>
      <c r="F1978" t="s">
        <v>279</v>
      </c>
      <c r="G1978" t="s">
        <v>31</v>
      </c>
      <c r="H1978">
        <v>0</v>
      </c>
      <c r="I1978" t="s">
        <v>369</v>
      </c>
    </row>
    <row r="1979" spans="1:9" x14ac:dyDescent="0.25">
      <c r="A1979">
        <v>70373</v>
      </c>
      <c r="B1979" t="s">
        <v>221</v>
      </c>
      <c r="C1979" t="s">
        <v>238</v>
      </c>
      <c r="D1979">
        <v>4</v>
      </c>
      <c r="E1979">
        <v>-120142</v>
      </c>
      <c r="F1979" t="s">
        <v>279</v>
      </c>
      <c r="G1979" t="s">
        <v>31</v>
      </c>
      <c r="H1979">
        <v>0</v>
      </c>
      <c r="I1979" t="s">
        <v>370</v>
      </c>
    </row>
    <row r="1980" spans="1:9" x14ac:dyDescent="0.25">
      <c r="A1980">
        <v>70373</v>
      </c>
      <c r="B1980" t="s">
        <v>221</v>
      </c>
      <c r="C1980" t="s">
        <v>238</v>
      </c>
      <c r="D1980">
        <v>4</v>
      </c>
      <c r="E1980">
        <v>-120142</v>
      </c>
      <c r="F1980" t="s">
        <v>279</v>
      </c>
      <c r="G1980" t="s">
        <v>31</v>
      </c>
      <c r="H1980">
        <v>0</v>
      </c>
      <c r="I1980" t="s">
        <v>371</v>
      </c>
    </row>
    <row r="1981" spans="1:9" x14ac:dyDescent="0.25">
      <c r="A1981">
        <v>70373</v>
      </c>
      <c r="B1981" t="s">
        <v>221</v>
      </c>
      <c r="C1981" t="s">
        <v>238</v>
      </c>
      <c r="D1981">
        <v>4</v>
      </c>
      <c r="E1981">
        <v>-120142</v>
      </c>
      <c r="F1981" t="s">
        <v>279</v>
      </c>
      <c r="G1981" t="s">
        <v>31</v>
      </c>
      <c r="H1981">
        <v>0</v>
      </c>
      <c r="I1981" t="s">
        <v>328</v>
      </c>
    </row>
    <row r="1982" spans="1:9" x14ac:dyDescent="0.25">
      <c r="A1982">
        <v>70373</v>
      </c>
      <c r="B1982" t="s">
        <v>221</v>
      </c>
      <c r="C1982" t="s">
        <v>238</v>
      </c>
      <c r="D1982">
        <v>4</v>
      </c>
      <c r="E1982">
        <v>-120142</v>
      </c>
      <c r="F1982" t="s">
        <v>279</v>
      </c>
      <c r="G1982" t="s">
        <v>33</v>
      </c>
      <c r="H1982">
        <v>0</v>
      </c>
      <c r="I1982" t="s">
        <v>372</v>
      </c>
    </row>
    <row r="1983" spans="1:9" x14ac:dyDescent="0.25">
      <c r="A1983">
        <v>70373</v>
      </c>
      <c r="B1983" t="s">
        <v>221</v>
      </c>
      <c r="C1983" t="s">
        <v>238</v>
      </c>
      <c r="D1983">
        <v>4</v>
      </c>
      <c r="E1983">
        <v>-120142</v>
      </c>
      <c r="F1983" t="s">
        <v>279</v>
      </c>
      <c r="G1983" t="s">
        <v>33</v>
      </c>
      <c r="H1983">
        <v>0</v>
      </c>
      <c r="I1983" t="s">
        <v>329</v>
      </c>
    </row>
    <row r="1984" spans="1:9" x14ac:dyDescent="0.25">
      <c r="A1984">
        <v>70373</v>
      </c>
      <c r="B1984" t="s">
        <v>221</v>
      </c>
      <c r="C1984" t="s">
        <v>238</v>
      </c>
      <c r="D1984">
        <v>4</v>
      </c>
      <c r="E1984">
        <v>-120142</v>
      </c>
      <c r="F1984" t="s">
        <v>279</v>
      </c>
      <c r="G1984" t="s">
        <v>33</v>
      </c>
      <c r="H1984">
        <v>0</v>
      </c>
      <c r="I1984" t="s">
        <v>319</v>
      </c>
    </row>
    <row r="1985" spans="1:9" x14ac:dyDescent="0.25">
      <c r="A1985">
        <v>70373</v>
      </c>
      <c r="B1985" t="s">
        <v>221</v>
      </c>
      <c r="C1985" t="s">
        <v>238</v>
      </c>
      <c r="D1985">
        <v>4</v>
      </c>
      <c r="E1985">
        <v>-120142</v>
      </c>
      <c r="F1985" t="s">
        <v>279</v>
      </c>
      <c r="G1985" t="s">
        <v>33</v>
      </c>
      <c r="H1985">
        <v>0</v>
      </c>
      <c r="I1985" t="s">
        <v>373</v>
      </c>
    </row>
    <row r="1986" spans="1:9" x14ac:dyDescent="0.25">
      <c r="A1986">
        <v>70373</v>
      </c>
      <c r="B1986" t="s">
        <v>221</v>
      </c>
      <c r="C1986" t="s">
        <v>238</v>
      </c>
      <c r="D1986">
        <v>4</v>
      </c>
      <c r="E1986">
        <v>-120142</v>
      </c>
      <c r="F1986" t="s">
        <v>279</v>
      </c>
      <c r="G1986" t="s">
        <v>33</v>
      </c>
      <c r="H1986">
        <v>0</v>
      </c>
      <c r="I1986" t="s">
        <v>374</v>
      </c>
    </row>
    <row r="1987" spans="1:9" x14ac:dyDescent="0.25">
      <c r="A1987">
        <v>70373</v>
      </c>
      <c r="B1987" t="s">
        <v>221</v>
      </c>
      <c r="C1987" t="s">
        <v>238</v>
      </c>
      <c r="D1987">
        <v>4</v>
      </c>
      <c r="E1987">
        <v>-120142</v>
      </c>
      <c r="F1987" t="s">
        <v>279</v>
      </c>
      <c r="G1987" t="s">
        <v>33</v>
      </c>
      <c r="H1987">
        <v>0</v>
      </c>
      <c r="I1987" t="s">
        <v>326</v>
      </c>
    </row>
    <row r="1988" spans="1:9" x14ac:dyDescent="0.25">
      <c r="A1988">
        <v>70373</v>
      </c>
      <c r="B1988" t="s">
        <v>221</v>
      </c>
      <c r="C1988" t="s">
        <v>238</v>
      </c>
      <c r="D1988">
        <v>4</v>
      </c>
      <c r="E1988">
        <v>-120142</v>
      </c>
      <c r="F1988" t="s">
        <v>279</v>
      </c>
      <c r="G1988" t="s">
        <v>33</v>
      </c>
      <c r="H1988">
        <v>0</v>
      </c>
      <c r="I1988" t="s">
        <v>375</v>
      </c>
    </row>
    <row r="1989" spans="1:9" x14ac:dyDescent="0.25">
      <c r="A1989">
        <v>70373</v>
      </c>
      <c r="B1989" t="s">
        <v>221</v>
      </c>
      <c r="C1989" t="s">
        <v>238</v>
      </c>
      <c r="D1989">
        <v>4</v>
      </c>
      <c r="E1989">
        <v>-120142</v>
      </c>
      <c r="F1989" t="s">
        <v>279</v>
      </c>
      <c r="G1989" t="s">
        <v>33</v>
      </c>
      <c r="H1989">
        <v>0</v>
      </c>
      <c r="I1989" t="s">
        <v>376</v>
      </c>
    </row>
    <row r="1990" spans="1:9" x14ac:dyDescent="0.25">
      <c r="A1990">
        <v>70373</v>
      </c>
      <c r="B1990" t="s">
        <v>221</v>
      </c>
      <c r="C1990" t="s">
        <v>238</v>
      </c>
      <c r="D1990">
        <v>4</v>
      </c>
      <c r="E1990">
        <v>-120142</v>
      </c>
      <c r="F1990" t="s">
        <v>279</v>
      </c>
      <c r="G1990" t="s">
        <v>33</v>
      </c>
      <c r="H1990">
        <v>0</v>
      </c>
      <c r="I1990" t="s">
        <v>377</v>
      </c>
    </row>
    <row r="1991" spans="1:9" x14ac:dyDescent="0.25">
      <c r="A1991">
        <v>70373</v>
      </c>
      <c r="B1991" t="s">
        <v>221</v>
      </c>
      <c r="C1991" t="s">
        <v>238</v>
      </c>
      <c r="D1991">
        <v>4</v>
      </c>
      <c r="E1991">
        <v>-120142</v>
      </c>
      <c r="F1991" t="s">
        <v>274</v>
      </c>
      <c r="G1991" t="s">
        <v>275</v>
      </c>
      <c r="H1991">
        <v>980860</v>
      </c>
      <c r="I1991" t="s">
        <v>318</v>
      </c>
    </row>
    <row r="1992" spans="1:9" x14ac:dyDescent="0.25">
      <c r="A1992">
        <v>70373</v>
      </c>
      <c r="B1992" t="s">
        <v>221</v>
      </c>
      <c r="C1992" t="s">
        <v>238</v>
      </c>
      <c r="D1992">
        <v>4</v>
      </c>
      <c r="E1992">
        <v>-120142</v>
      </c>
      <c r="F1992" t="s">
        <v>274</v>
      </c>
      <c r="G1992" t="s">
        <v>300</v>
      </c>
      <c r="H1992">
        <v>23491</v>
      </c>
      <c r="I1992" t="s">
        <v>301</v>
      </c>
    </row>
    <row r="1993" spans="1:9" x14ac:dyDescent="0.25">
      <c r="A1993">
        <v>70373</v>
      </c>
      <c r="B1993" t="s">
        <v>221</v>
      </c>
      <c r="C1993" t="s">
        <v>238</v>
      </c>
      <c r="D1993">
        <v>4</v>
      </c>
      <c r="E1993">
        <v>-120142</v>
      </c>
      <c r="F1993" t="s">
        <v>274</v>
      </c>
      <c r="G1993" t="s">
        <v>275</v>
      </c>
      <c r="H1993">
        <v>-88067</v>
      </c>
      <c r="I1993" t="s">
        <v>302</v>
      </c>
    </row>
    <row r="1994" spans="1:9" x14ac:dyDescent="0.25">
      <c r="A1994">
        <v>70373</v>
      </c>
      <c r="B1994" t="s">
        <v>221</v>
      </c>
      <c r="C1994" t="s">
        <v>238</v>
      </c>
      <c r="D1994">
        <v>4</v>
      </c>
      <c r="E1994">
        <v>-120142</v>
      </c>
      <c r="F1994" t="s">
        <v>279</v>
      </c>
      <c r="G1994" t="s">
        <v>30</v>
      </c>
      <c r="H1994">
        <v>114837</v>
      </c>
      <c r="I1994" t="s">
        <v>303</v>
      </c>
    </row>
    <row r="1995" spans="1:9" x14ac:dyDescent="0.25">
      <c r="A1995">
        <v>70373</v>
      </c>
      <c r="B1995" t="s">
        <v>221</v>
      </c>
      <c r="C1995" t="s">
        <v>238</v>
      </c>
      <c r="D1995">
        <v>4</v>
      </c>
      <c r="E1995">
        <v>-120142</v>
      </c>
      <c r="F1995" t="s">
        <v>279</v>
      </c>
      <c r="G1995" t="s">
        <v>35</v>
      </c>
      <c r="H1995">
        <v>56133</v>
      </c>
      <c r="I1995" t="s">
        <v>304</v>
      </c>
    </row>
    <row r="1996" spans="1:9" x14ac:dyDescent="0.25">
      <c r="A1996">
        <v>70373</v>
      </c>
      <c r="B1996" t="s">
        <v>221</v>
      </c>
      <c r="C1996" t="s">
        <v>238</v>
      </c>
      <c r="D1996">
        <v>4</v>
      </c>
      <c r="E1996">
        <v>-120142</v>
      </c>
      <c r="F1996" t="s">
        <v>279</v>
      </c>
      <c r="G1996" t="s">
        <v>31</v>
      </c>
      <c r="H1996">
        <v>123431</v>
      </c>
      <c r="I1996" t="s">
        <v>305</v>
      </c>
    </row>
    <row r="1997" spans="1:9" x14ac:dyDescent="0.25">
      <c r="A1997">
        <v>70373</v>
      </c>
      <c r="B1997" t="s">
        <v>221</v>
      </c>
      <c r="C1997" t="s">
        <v>238</v>
      </c>
      <c r="D1997">
        <v>4</v>
      </c>
      <c r="E1997">
        <v>-120142</v>
      </c>
      <c r="F1997" t="s">
        <v>279</v>
      </c>
      <c r="G1997" t="s">
        <v>33</v>
      </c>
      <c r="H1997">
        <v>0</v>
      </c>
      <c r="I1997" t="s">
        <v>320</v>
      </c>
    </row>
    <row r="1998" spans="1:9" x14ac:dyDescent="0.25">
      <c r="A1998">
        <v>70373</v>
      </c>
      <c r="B1998" t="s">
        <v>221</v>
      </c>
      <c r="C1998" t="s">
        <v>238</v>
      </c>
      <c r="D1998">
        <v>4</v>
      </c>
      <c r="E1998">
        <v>-120142</v>
      </c>
      <c r="F1998" t="s">
        <v>279</v>
      </c>
      <c r="G1998" t="s">
        <v>33</v>
      </c>
      <c r="H1998">
        <v>0</v>
      </c>
      <c r="I1998" t="s">
        <v>306</v>
      </c>
    </row>
    <row r="1999" spans="1:9" x14ac:dyDescent="0.25">
      <c r="A1999">
        <v>70373</v>
      </c>
      <c r="B1999" t="s">
        <v>221</v>
      </c>
      <c r="C1999" t="s">
        <v>238</v>
      </c>
      <c r="D1999">
        <v>4</v>
      </c>
      <c r="E1999">
        <v>-120142</v>
      </c>
      <c r="F1999" t="s">
        <v>279</v>
      </c>
      <c r="G1999" t="s">
        <v>33</v>
      </c>
      <c r="H1999">
        <v>0</v>
      </c>
      <c r="I1999" t="s">
        <v>378</v>
      </c>
    </row>
    <row r="2000" spans="1:9" x14ac:dyDescent="0.25">
      <c r="A2000">
        <v>70373</v>
      </c>
      <c r="B2000" t="s">
        <v>221</v>
      </c>
      <c r="C2000" t="s">
        <v>238</v>
      </c>
      <c r="D2000">
        <v>4</v>
      </c>
      <c r="E2000">
        <v>-120142</v>
      </c>
      <c r="F2000" t="s">
        <v>279</v>
      </c>
      <c r="G2000" t="s">
        <v>31</v>
      </c>
      <c r="H2000">
        <v>141738</v>
      </c>
      <c r="I2000" t="s">
        <v>307</v>
      </c>
    </row>
    <row r="2001" spans="1:9" x14ac:dyDescent="0.25">
      <c r="A2001">
        <v>70373</v>
      </c>
      <c r="B2001" t="s">
        <v>221</v>
      </c>
      <c r="C2001" t="s">
        <v>238</v>
      </c>
      <c r="D2001">
        <v>4</v>
      </c>
      <c r="E2001">
        <v>-120142</v>
      </c>
      <c r="F2001" t="s">
        <v>279</v>
      </c>
      <c r="G2001" t="s">
        <v>31</v>
      </c>
      <c r="H2001">
        <v>0</v>
      </c>
      <c r="I2001" t="s">
        <v>379</v>
      </c>
    </row>
    <row r="2002" spans="1:9" x14ac:dyDescent="0.25">
      <c r="A2002">
        <v>70373</v>
      </c>
      <c r="B2002" t="s">
        <v>221</v>
      </c>
      <c r="C2002" t="s">
        <v>238</v>
      </c>
      <c r="D2002">
        <v>4</v>
      </c>
      <c r="E2002">
        <v>-120142</v>
      </c>
      <c r="F2002" t="s">
        <v>279</v>
      </c>
      <c r="G2002" t="s">
        <v>30</v>
      </c>
      <c r="H2002">
        <v>23881</v>
      </c>
      <c r="I2002" t="s">
        <v>308</v>
      </c>
    </row>
    <row r="2003" spans="1:9" x14ac:dyDescent="0.25">
      <c r="A2003">
        <v>70373</v>
      </c>
      <c r="B2003" t="s">
        <v>221</v>
      </c>
      <c r="C2003" t="s">
        <v>238</v>
      </c>
      <c r="D2003">
        <v>4</v>
      </c>
      <c r="E2003">
        <v>-120142</v>
      </c>
      <c r="F2003" t="s">
        <v>279</v>
      </c>
      <c r="G2003" t="s">
        <v>35</v>
      </c>
      <c r="H2003">
        <v>8821</v>
      </c>
      <c r="I2003" t="s">
        <v>321</v>
      </c>
    </row>
    <row r="2004" spans="1:9" x14ac:dyDescent="0.25">
      <c r="A2004">
        <v>70373</v>
      </c>
      <c r="B2004" t="s">
        <v>221</v>
      </c>
      <c r="C2004" t="s">
        <v>238</v>
      </c>
      <c r="D2004">
        <v>4</v>
      </c>
      <c r="E2004">
        <v>-120142</v>
      </c>
      <c r="F2004" t="s">
        <v>279</v>
      </c>
      <c r="G2004" t="s">
        <v>33</v>
      </c>
      <c r="H2004">
        <v>0</v>
      </c>
      <c r="I2004" t="s">
        <v>380</v>
      </c>
    </row>
    <row r="2005" spans="1:9" x14ac:dyDescent="0.25">
      <c r="A2005">
        <v>70373</v>
      </c>
      <c r="B2005" t="s">
        <v>221</v>
      </c>
      <c r="C2005" t="s">
        <v>238</v>
      </c>
      <c r="D2005">
        <v>4</v>
      </c>
      <c r="E2005">
        <v>-120142</v>
      </c>
      <c r="F2005" t="s">
        <v>279</v>
      </c>
      <c r="G2005" t="s">
        <v>35</v>
      </c>
      <c r="H2005">
        <v>1578</v>
      </c>
      <c r="I2005" t="s">
        <v>309</v>
      </c>
    </row>
    <row r="2006" spans="1:9" x14ac:dyDescent="0.25">
      <c r="A2006">
        <v>70373</v>
      </c>
      <c r="B2006" t="s">
        <v>221</v>
      </c>
      <c r="C2006" t="s">
        <v>238</v>
      </c>
      <c r="D2006">
        <v>4</v>
      </c>
      <c r="E2006">
        <v>-120142</v>
      </c>
      <c r="F2006" t="s">
        <v>279</v>
      </c>
      <c r="G2006" t="s">
        <v>35</v>
      </c>
      <c r="H2006">
        <v>1827</v>
      </c>
      <c r="I2006" t="s">
        <v>310</v>
      </c>
    </row>
    <row r="2007" spans="1:9" x14ac:dyDescent="0.25">
      <c r="A2007">
        <v>70373</v>
      </c>
      <c r="B2007" t="s">
        <v>221</v>
      </c>
      <c r="C2007" t="s">
        <v>238</v>
      </c>
      <c r="D2007">
        <v>4</v>
      </c>
      <c r="E2007">
        <v>-120142</v>
      </c>
      <c r="F2007" t="s">
        <v>279</v>
      </c>
      <c r="G2007" t="s">
        <v>35</v>
      </c>
      <c r="H2007">
        <v>15112</v>
      </c>
      <c r="I2007" t="s">
        <v>311</v>
      </c>
    </row>
    <row r="2008" spans="1:9" x14ac:dyDescent="0.25">
      <c r="A2008">
        <v>70373</v>
      </c>
      <c r="B2008" t="s">
        <v>221</v>
      </c>
      <c r="C2008" t="s">
        <v>238</v>
      </c>
      <c r="D2008">
        <v>4</v>
      </c>
      <c r="E2008">
        <v>-120142</v>
      </c>
      <c r="F2008" t="s">
        <v>279</v>
      </c>
      <c r="G2008" t="s">
        <v>35</v>
      </c>
      <c r="H2008">
        <v>0</v>
      </c>
      <c r="I2008" t="s">
        <v>312</v>
      </c>
    </row>
    <row r="2009" spans="1:9" x14ac:dyDescent="0.25">
      <c r="A2009">
        <v>70373</v>
      </c>
      <c r="B2009" t="s">
        <v>221</v>
      </c>
      <c r="C2009" t="s">
        <v>238</v>
      </c>
      <c r="D2009">
        <v>4</v>
      </c>
      <c r="E2009">
        <v>-120142</v>
      </c>
      <c r="F2009" t="s">
        <v>279</v>
      </c>
      <c r="G2009" t="s">
        <v>35</v>
      </c>
      <c r="H2009">
        <v>2238</v>
      </c>
      <c r="I2009" t="s">
        <v>313</v>
      </c>
    </row>
    <row r="2010" spans="1:9" x14ac:dyDescent="0.25">
      <c r="A2010">
        <v>70373</v>
      </c>
      <c r="B2010" t="s">
        <v>221</v>
      </c>
      <c r="C2010" t="s">
        <v>238</v>
      </c>
      <c r="D2010">
        <v>4</v>
      </c>
      <c r="E2010">
        <v>-120142</v>
      </c>
      <c r="F2010" t="s">
        <v>279</v>
      </c>
      <c r="G2010" t="s">
        <v>37</v>
      </c>
      <c r="H2010">
        <v>0</v>
      </c>
      <c r="I2010" t="s">
        <v>381</v>
      </c>
    </row>
    <row r="2011" spans="1:9" x14ac:dyDescent="0.25">
      <c r="A2011">
        <v>70373</v>
      </c>
      <c r="B2011" t="s">
        <v>221</v>
      </c>
      <c r="C2011" t="s">
        <v>238</v>
      </c>
      <c r="D2011">
        <v>4</v>
      </c>
      <c r="E2011">
        <v>-120142</v>
      </c>
      <c r="F2011" t="s">
        <v>279</v>
      </c>
      <c r="G2011" t="s">
        <v>37</v>
      </c>
      <c r="H2011">
        <v>49487</v>
      </c>
      <c r="I2011" t="s">
        <v>314</v>
      </c>
    </row>
    <row r="2012" spans="1:9" x14ac:dyDescent="0.25">
      <c r="A2012">
        <v>70373</v>
      </c>
      <c r="B2012" t="s">
        <v>221</v>
      </c>
      <c r="C2012" t="s">
        <v>238</v>
      </c>
      <c r="D2012">
        <v>4</v>
      </c>
      <c r="E2012">
        <v>-120142</v>
      </c>
      <c r="F2012" t="s">
        <v>279</v>
      </c>
      <c r="G2012" t="s">
        <v>35</v>
      </c>
      <c r="H2012">
        <v>6097</v>
      </c>
      <c r="I2012" t="s">
        <v>315</v>
      </c>
    </row>
    <row r="2013" spans="1:9" x14ac:dyDescent="0.25">
      <c r="A2013">
        <v>70373</v>
      </c>
      <c r="B2013" t="s">
        <v>221</v>
      </c>
      <c r="C2013" t="s">
        <v>238</v>
      </c>
      <c r="D2013">
        <v>4</v>
      </c>
      <c r="E2013">
        <v>-120142</v>
      </c>
      <c r="F2013" t="s">
        <v>279</v>
      </c>
      <c r="G2013" t="s">
        <v>37</v>
      </c>
      <c r="H2013">
        <v>0</v>
      </c>
      <c r="I2013" t="s">
        <v>323</v>
      </c>
    </row>
    <row r="2014" spans="1:9" x14ac:dyDescent="0.25">
      <c r="A2014">
        <v>70373</v>
      </c>
      <c r="B2014" t="s">
        <v>221</v>
      </c>
      <c r="C2014" t="s">
        <v>238</v>
      </c>
      <c r="D2014">
        <v>4</v>
      </c>
      <c r="E2014">
        <v>-120142</v>
      </c>
      <c r="F2014" t="s">
        <v>279</v>
      </c>
      <c r="G2014" t="s">
        <v>37</v>
      </c>
      <c r="H2014">
        <v>0</v>
      </c>
      <c r="I2014" t="s">
        <v>322</v>
      </c>
    </row>
    <row r="2015" spans="1:9" x14ac:dyDescent="0.25">
      <c r="A2015">
        <v>70373</v>
      </c>
      <c r="B2015" t="s">
        <v>221</v>
      </c>
      <c r="C2015" t="s">
        <v>238</v>
      </c>
      <c r="D2015">
        <v>4</v>
      </c>
      <c r="E2015">
        <v>-120142</v>
      </c>
      <c r="F2015" t="s">
        <v>279</v>
      </c>
      <c r="G2015" t="s">
        <v>37</v>
      </c>
      <c r="H2015">
        <v>0</v>
      </c>
      <c r="I2015" t="s">
        <v>382</v>
      </c>
    </row>
    <row r="2016" spans="1:9" x14ac:dyDescent="0.25">
      <c r="A2016">
        <v>70373</v>
      </c>
      <c r="B2016" t="s">
        <v>221</v>
      </c>
      <c r="C2016" t="s">
        <v>238</v>
      </c>
      <c r="D2016">
        <v>4</v>
      </c>
      <c r="E2016">
        <v>-120142</v>
      </c>
      <c r="F2016" t="s">
        <v>279</v>
      </c>
      <c r="G2016" t="s">
        <v>37</v>
      </c>
      <c r="H2016">
        <v>4198</v>
      </c>
      <c r="I2016" t="s">
        <v>316</v>
      </c>
    </row>
    <row r="2017" spans="1:9" x14ac:dyDescent="0.25">
      <c r="A2017">
        <v>70373</v>
      </c>
      <c r="B2017" t="s">
        <v>221</v>
      </c>
      <c r="C2017" t="s">
        <v>238</v>
      </c>
      <c r="D2017">
        <v>4</v>
      </c>
      <c r="E2017">
        <v>-120142</v>
      </c>
      <c r="F2017" t="s">
        <v>279</v>
      </c>
      <c r="G2017" t="s">
        <v>36</v>
      </c>
      <c r="H2017">
        <v>69455</v>
      </c>
      <c r="I2017" t="s">
        <v>317</v>
      </c>
    </row>
    <row r="2018" spans="1:9" x14ac:dyDescent="0.25">
      <c r="A2018">
        <v>70373</v>
      </c>
      <c r="B2018" t="s">
        <v>221</v>
      </c>
      <c r="C2018" t="s">
        <v>238</v>
      </c>
      <c r="D2018">
        <v>4</v>
      </c>
      <c r="E2018">
        <v>-120142</v>
      </c>
      <c r="F2018" t="s">
        <v>274</v>
      </c>
      <c r="G2018" t="s">
        <v>275</v>
      </c>
      <c r="H2018">
        <v>-47825</v>
      </c>
      <c r="I2018" t="s">
        <v>276</v>
      </c>
    </row>
    <row r="2019" spans="1:9" x14ac:dyDescent="0.25">
      <c r="A2019">
        <v>70373</v>
      </c>
      <c r="B2019" t="s">
        <v>221</v>
      </c>
      <c r="C2019" t="s">
        <v>238</v>
      </c>
      <c r="D2019">
        <v>4</v>
      </c>
      <c r="E2019">
        <v>-120142</v>
      </c>
      <c r="F2019" t="s">
        <v>279</v>
      </c>
      <c r="G2019" t="s">
        <v>29</v>
      </c>
      <c r="H2019">
        <v>0</v>
      </c>
      <c r="I2019" t="s">
        <v>324</v>
      </c>
    </row>
    <row r="2020" spans="1:9" x14ac:dyDescent="0.25">
      <c r="A2020">
        <v>70373</v>
      </c>
      <c r="B2020" t="s">
        <v>221</v>
      </c>
      <c r="C2020" t="s">
        <v>238</v>
      </c>
      <c r="D2020">
        <v>4</v>
      </c>
      <c r="E2020">
        <v>-120142</v>
      </c>
      <c r="F2020" t="s">
        <v>274</v>
      </c>
      <c r="G2020" t="s">
        <v>277</v>
      </c>
      <c r="H2020">
        <v>250</v>
      </c>
      <c r="I2020" t="s">
        <v>278</v>
      </c>
    </row>
    <row r="2021" spans="1:9" x14ac:dyDescent="0.25">
      <c r="A2021">
        <v>70373</v>
      </c>
      <c r="B2021" t="s">
        <v>221</v>
      </c>
      <c r="C2021" t="s">
        <v>238</v>
      </c>
      <c r="D2021">
        <v>4</v>
      </c>
      <c r="E2021">
        <v>-120142</v>
      </c>
      <c r="F2021" t="s">
        <v>274</v>
      </c>
      <c r="G2021" t="s">
        <v>300</v>
      </c>
      <c r="H2021">
        <v>0</v>
      </c>
      <c r="I2021" t="s">
        <v>383</v>
      </c>
    </row>
    <row r="2022" spans="1:9" x14ac:dyDescent="0.25">
      <c r="A2022">
        <v>70373</v>
      </c>
      <c r="B2022" t="s">
        <v>221</v>
      </c>
      <c r="C2022" t="s">
        <v>238</v>
      </c>
      <c r="D2022">
        <v>4</v>
      </c>
      <c r="E2022">
        <v>-120142</v>
      </c>
      <c r="F2022" t="s">
        <v>279</v>
      </c>
      <c r="G2022" t="s">
        <v>33</v>
      </c>
      <c r="H2022">
        <v>0</v>
      </c>
      <c r="I2022" t="s">
        <v>280</v>
      </c>
    </row>
    <row r="2023" spans="1:9" x14ac:dyDescent="0.25">
      <c r="A2023">
        <v>70373</v>
      </c>
      <c r="B2023" t="s">
        <v>221</v>
      </c>
      <c r="C2023" t="s">
        <v>238</v>
      </c>
      <c r="D2023">
        <v>4</v>
      </c>
      <c r="E2023">
        <v>-120142</v>
      </c>
      <c r="F2023" t="s">
        <v>279</v>
      </c>
      <c r="G2023" t="s">
        <v>29</v>
      </c>
      <c r="H2023">
        <v>3731</v>
      </c>
      <c r="I2023" t="s">
        <v>281</v>
      </c>
    </row>
    <row r="2024" spans="1:9" x14ac:dyDescent="0.25">
      <c r="A2024">
        <v>70373</v>
      </c>
      <c r="B2024" t="s">
        <v>221</v>
      </c>
      <c r="C2024" t="s">
        <v>238</v>
      </c>
      <c r="D2024">
        <v>4</v>
      </c>
      <c r="E2024">
        <v>-120142</v>
      </c>
      <c r="F2024" t="s">
        <v>279</v>
      </c>
      <c r="G2024" t="s">
        <v>29</v>
      </c>
      <c r="H2024">
        <v>73954</v>
      </c>
      <c r="I2024" t="s">
        <v>282</v>
      </c>
    </row>
    <row r="2025" spans="1:9" x14ac:dyDescent="0.25">
      <c r="A2025">
        <v>70373</v>
      </c>
      <c r="B2025" t="s">
        <v>221</v>
      </c>
      <c r="C2025" t="s">
        <v>238</v>
      </c>
      <c r="D2025">
        <v>4</v>
      </c>
      <c r="E2025">
        <v>-120142</v>
      </c>
      <c r="F2025" t="s">
        <v>279</v>
      </c>
      <c r="G2025" t="s">
        <v>35</v>
      </c>
      <c r="H2025">
        <v>51482</v>
      </c>
      <c r="I2025" t="s">
        <v>283</v>
      </c>
    </row>
    <row r="2026" spans="1:9" x14ac:dyDescent="0.25">
      <c r="A2026">
        <v>70373</v>
      </c>
      <c r="B2026" t="s">
        <v>221</v>
      </c>
      <c r="C2026" t="s">
        <v>238</v>
      </c>
      <c r="D2026">
        <v>4</v>
      </c>
      <c r="E2026">
        <v>-120142</v>
      </c>
      <c r="F2026" t="s">
        <v>279</v>
      </c>
      <c r="G2026" t="s">
        <v>29</v>
      </c>
      <c r="H2026">
        <v>0</v>
      </c>
      <c r="I2026" t="s">
        <v>284</v>
      </c>
    </row>
    <row r="2027" spans="1:9" x14ac:dyDescent="0.25">
      <c r="A2027">
        <v>70373</v>
      </c>
      <c r="B2027" t="s">
        <v>221</v>
      </c>
      <c r="C2027" t="s">
        <v>238</v>
      </c>
      <c r="D2027">
        <v>4</v>
      </c>
      <c r="E2027">
        <v>-120142</v>
      </c>
      <c r="F2027" t="s">
        <v>279</v>
      </c>
      <c r="G2027" t="s">
        <v>29</v>
      </c>
      <c r="H2027">
        <v>20440</v>
      </c>
      <c r="I2027" t="s">
        <v>285</v>
      </c>
    </row>
    <row r="2028" spans="1:9" x14ac:dyDescent="0.25">
      <c r="A2028">
        <v>70373</v>
      </c>
      <c r="B2028" t="s">
        <v>221</v>
      </c>
      <c r="C2028" t="s">
        <v>238</v>
      </c>
      <c r="D2028">
        <v>4</v>
      </c>
      <c r="E2028">
        <v>-120142</v>
      </c>
      <c r="F2028" t="s">
        <v>279</v>
      </c>
      <c r="G2028" t="s">
        <v>29</v>
      </c>
      <c r="H2028">
        <v>3312</v>
      </c>
      <c r="I2028" t="s">
        <v>286</v>
      </c>
    </row>
    <row r="2029" spans="1:9" x14ac:dyDescent="0.25">
      <c r="A2029">
        <v>70373</v>
      </c>
      <c r="B2029" t="s">
        <v>221</v>
      </c>
      <c r="C2029" t="s">
        <v>238</v>
      </c>
      <c r="D2029">
        <v>4</v>
      </c>
      <c r="E2029">
        <v>-120142</v>
      </c>
      <c r="F2029" t="s">
        <v>279</v>
      </c>
      <c r="G2029" t="s">
        <v>29</v>
      </c>
      <c r="H2029">
        <v>0</v>
      </c>
      <c r="I2029" t="s">
        <v>327</v>
      </c>
    </row>
    <row r="2030" spans="1:9" x14ac:dyDescent="0.25">
      <c r="A2030">
        <v>70373</v>
      </c>
      <c r="B2030" t="s">
        <v>221</v>
      </c>
      <c r="C2030" t="s">
        <v>238</v>
      </c>
      <c r="D2030">
        <v>4</v>
      </c>
      <c r="E2030">
        <v>-120142</v>
      </c>
      <c r="F2030" t="s">
        <v>279</v>
      </c>
      <c r="G2030" t="s">
        <v>34</v>
      </c>
      <c r="H2030">
        <v>8850</v>
      </c>
      <c r="I2030" t="s">
        <v>287</v>
      </c>
    </row>
    <row r="2031" spans="1:9" x14ac:dyDescent="0.25">
      <c r="A2031">
        <v>70373</v>
      </c>
      <c r="B2031" t="s">
        <v>221</v>
      </c>
      <c r="C2031" t="s">
        <v>238</v>
      </c>
      <c r="D2031">
        <v>4</v>
      </c>
      <c r="E2031">
        <v>-120142</v>
      </c>
      <c r="F2031" t="s">
        <v>279</v>
      </c>
      <c r="G2031" t="s">
        <v>29</v>
      </c>
      <c r="H2031">
        <v>43715</v>
      </c>
      <c r="I2031" t="s">
        <v>288</v>
      </c>
    </row>
    <row r="2032" spans="1:9" x14ac:dyDescent="0.25">
      <c r="A2032">
        <v>70373</v>
      </c>
      <c r="B2032" t="s">
        <v>221</v>
      </c>
      <c r="C2032" t="s">
        <v>238</v>
      </c>
      <c r="D2032">
        <v>4</v>
      </c>
      <c r="E2032">
        <v>-120142</v>
      </c>
      <c r="F2032" t="s">
        <v>279</v>
      </c>
      <c r="G2032" t="s">
        <v>34</v>
      </c>
      <c r="H2032">
        <v>10700</v>
      </c>
      <c r="I2032" t="s">
        <v>289</v>
      </c>
    </row>
    <row r="2033" spans="1:9" x14ac:dyDescent="0.25">
      <c r="A2033">
        <v>70373</v>
      </c>
      <c r="B2033" t="s">
        <v>221</v>
      </c>
      <c r="C2033" t="s">
        <v>238</v>
      </c>
      <c r="D2033">
        <v>4</v>
      </c>
      <c r="E2033">
        <v>-120142</v>
      </c>
      <c r="F2033" t="s">
        <v>279</v>
      </c>
      <c r="G2033" t="s">
        <v>29</v>
      </c>
      <c r="H2033">
        <v>7661</v>
      </c>
      <c r="I2033" t="s">
        <v>290</v>
      </c>
    </row>
    <row r="2034" spans="1:9" x14ac:dyDescent="0.25">
      <c r="A2034">
        <v>70373</v>
      </c>
      <c r="B2034" t="s">
        <v>221</v>
      </c>
      <c r="C2034" t="s">
        <v>238</v>
      </c>
      <c r="D2034">
        <v>4</v>
      </c>
      <c r="E2034">
        <v>-120142</v>
      </c>
      <c r="F2034" t="s">
        <v>279</v>
      </c>
      <c r="G2034" t="s">
        <v>32</v>
      </c>
      <c r="H2034">
        <v>60896</v>
      </c>
      <c r="I2034" t="s">
        <v>291</v>
      </c>
    </row>
    <row r="2035" spans="1:9" x14ac:dyDescent="0.25">
      <c r="A2035">
        <v>70373</v>
      </c>
      <c r="B2035" t="s">
        <v>221</v>
      </c>
      <c r="C2035" t="s">
        <v>238</v>
      </c>
      <c r="D2035">
        <v>4</v>
      </c>
      <c r="E2035">
        <v>-120142</v>
      </c>
      <c r="F2035" t="s">
        <v>279</v>
      </c>
      <c r="G2035" t="s">
        <v>29</v>
      </c>
      <c r="H2035">
        <v>12555</v>
      </c>
      <c r="I2035" t="s">
        <v>292</v>
      </c>
    </row>
    <row r="2036" spans="1:9" x14ac:dyDescent="0.25">
      <c r="A2036">
        <v>70373</v>
      </c>
      <c r="B2036" t="s">
        <v>221</v>
      </c>
      <c r="C2036" t="s">
        <v>238</v>
      </c>
      <c r="D2036">
        <v>4</v>
      </c>
      <c r="E2036">
        <v>-120142</v>
      </c>
      <c r="F2036" t="s">
        <v>279</v>
      </c>
      <c r="G2036" t="s">
        <v>29</v>
      </c>
      <c r="H2036">
        <v>0</v>
      </c>
      <c r="I2036" t="s">
        <v>384</v>
      </c>
    </row>
    <row r="2037" spans="1:9" x14ac:dyDescent="0.25">
      <c r="A2037">
        <v>70373</v>
      </c>
      <c r="B2037" t="s">
        <v>221</v>
      </c>
      <c r="C2037" t="s">
        <v>238</v>
      </c>
      <c r="D2037">
        <v>4</v>
      </c>
      <c r="E2037">
        <v>-120142</v>
      </c>
      <c r="F2037" t="s">
        <v>279</v>
      </c>
      <c r="G2037" t="s">
        <v>35</v>
      </c>
      <c r="H2037">
        <v>5945</v>
      </c>
      <c r="I2037" t="s">
        <v>293</v>
      </c>
    </row>
    <row r="2038" spans="1:9" x14ac:dyDescent="0.25">
      <c r="A2038">
        <v>70373</v>
      </c>
      <c r="B2038" t="s">
        <v>221</v>
      </c>
      <c r="C2038" t="s">
        <v>238</v>
      </c>
      <c r="D2038">
        <v>4</v>
      </c>
      <c r="E2038">
        <v>-120142</v>
      </c>
      <c r="F2038" t="s">
        <v>279</v>
      </c>
      <c r="G2038" t="s">
        <v>35</v>
      </c>
      <c r="H2038">
        <v>14480</v>
      </c>
      <c r="I2038" t="s">
        <v>294</v>
      </c>
    </row>
    <row r="2039" spans="1:9" x14ac:dyDescent="0.25">
      <c r="A2039">
        <v>70373</v>
      </c>
      <c r="B2039" t="s">
        <v>221</v>
      </c>
      <c r="C2039" t="s">
        <v>238</v>
      </c>
      <c r="D2039">
        <v>4</v>
      </c>
      <c r="E2039">
        <v>-120142</v>
      </c>
      <c r="F2039" t="s">
        <v>279</v>
      </c>
      <c r="G2039" t="s">
        <v>35</v>
      </c>
      <c r="H2039">
        <v>2162</v>
      </c>
      <c r="I2039" t="s">
        <v>295</v>
      </c>
    </row>
    <row r="2040" spans="1:9" x14ac:dyDescent="0.25">
      <c r="A2040">
        <v>70373</v>
      </c>
      <c r="B2040" t="s">
        <v>221</v>
      </c>
      <c r="C2040" t="s">
        <v>238</v>
      </c>
      <c r="D2040">
        <v>4</v>
      </c>
      <c r="E2040">
        <v>-120142</v>
      </c>
      <c r="F2040" t="s">
        <v>279</v>
      </c>
      <c r="G2040" t="s">
        <v>35</v>
      </c>
      <c r="H2040">
        <v>7291</v>
      </c>
      <c r="I2040" t="s">
        <v>296</v>
      </c>
    </row>
    <row r="2041" spans="1:9" x14ac:dyDescent="0.25">
      <c r="A2041">
        <v>70373</v>
      </c>
      <c r="B2041" t="s">
        <v>221</v>
      </c>
      <c r="C2041" t="s">
        <v>238</v>
      </c>
      <c r="D2041">
        <v>4</v>
      </c>
      <c r="E2041">
        <v>-120142</v>
      </c>
      <c r="F2041" t="s">
        <v>279</v>
      </c>
      <c r="G2041" t="s">
        <v>35</v>
      </c>
      <c r="H2041">
        <v>0</v>
      </c>
      <c r="I2041" t="s">
        <v>325</v>
      </c>
    </row>
    <row r="2042" spans="1:9" x14ac:dyDescent="0.25">
      <c r="A2042">
        <v>70373</v>
      </c>
      <c r="B2042" t="s">
        <v>221</v>
      </c>
      <c r="C2042" t="s">
        <v>238</v>
      </c>
      <c r="D2042">
        <v>4</v>
      </c>
      <c r="E2042">
        <v>-120142</v>
      </c>
      <c r="F2042" t="s">
        <v>279</v>
      </c>
      <c r="G2042" t="s">
        <v>29</v>
      </c>
      <c r="H2042">
        <v>13329</v>
      </c>
      <c r="I2042" t="s">
        <v>297</v>
      </c>
    </row>
    <row r="2043" spans="1:9" x14ac:dyDescent="0.25">
      <c r="A2043">
        <v>70373</v>
      </c>
      <c r="B2043" t="s">
        <v>221</v>
      </c>
      <c r="C2043" t="s">
        <v>238</v>
      </c>
      <c r="D2043">
        <v>4</v>
      </c>
      <c r="E2043">
        <v>-120142</v>
      </c>
      <c r="F2043" t="s">
        <v>279</v>
      </c>
      <c r="G2043" t="s">
        <v>36</v>
      </c>
      <c r="H2043">
        <v>39811</v>
      </c>
      <c r="I2043" t="s">
        <v>298</v>
      </c>
    </row>
    <row r="2044" spans="1:9" x14ac:dyDescent="0.25">
      <c r="A2044">
        <v>70373</v>
      </c>
      <c r="B2044" t="s">
        <v>221</v>
      </c>
      <c r="C2044" t="s">
        <v>238</v>
      </c>
      <c r="D2044">
        <v>4</v>
      </c>
      <c r="E2044">
        <v>-120142</v>
      </c>
      <c r="F2044" t="s">
        <v>274</v>
      </c>
      <c r="G2044" t="s">
        <v>275</v>
      </c>
      <c r="H2044">
        <v>40907</v>
      </c>
      <c r="I2044" t="s">
        <v>299</v>
      </c>
    </row>
    <row r="2045" spans="1:9" x14ac:dyDescent="0.25">
      <c r="A2045">
        <v>70373</v>
      </c>
      <c r="B2045" t="s">
        <v>221</v>
      </c>
      <c r="C2045" t="s">
        <v>238</v>
      </c>
      <c r="D2045">
        <v>4</v>
      </c>
      <c r="E2045">
        <v>-120142</v>
      </c>
      <c r="F2045" t="s">
        <v>274</v>
      </c>
      <c r="G2045" t="s">
        <v>275</v>
      </c>
      <c r="H2045">
        <v>0</v>
      </c>
      <c r="I2045" t="s">
        <v>385</v>
      </c>
    </row>
    <row r="2046" spans="1:9" x14ac:dyDescent="0.25">
      <c r="A2046">
        <v>70374</v>
      </c>
      <c r="B2046" t="s">
        <v>223</v>
      </c>
      <c r="C2046" t="s">
        <v>238</v>
      </c>
      <c r="D2046">
        <v>4</v>
      </c>
      <c r="E2046">
        <v>-31026</v>
      </c>
      <c r="F2046" t="s">
        <v>279</v>
      </c>
      <c r="G2046" t="s">
        <v>29</v>
      </c>
      <c r="H2046">
        <v>32233</v>
      </c>
      <c r="I2046" t="s">
        <v>285</v>
      </c>
    </row>
    <row r="2047" spans="1:9" x14ac:dyDescent="0.25">
      <c r="A2047">
        <v>70374</v>
      </c>
      <c r="B2047" t="s">
        <v>223</v>
      </c>
      <c r="C2047" t="s">
        <v>238</v>
      </c>
      <c r="D2047">
        <v>4</v>
      </c>
      <c r="E2047">
        <v>-31026</v>
      </c>
      <c r="F2047" t="s">
        <v>279</v>
      </c>
      <c r="G2047" t="s">
        <v>29</v>
      </c>
      <c r="H2047">
        <v>3035</v>
      </c>
      <c r="I2047" t="s">
        <v>286</v>
      </c>
    </row>
    <row r="2048" spans="1:9" x14ac:dyDescent="0.25">
      <c r="A2048">
        <v>70374</v>
      </c>
      <c r="B2048" t="s">
        <v>223</v>
      </c>
      <c r="C2048" t="s">
        <v>238</v>
      </c>
      <c r="D2048">
        <v>4</v>
      </c>
      <c r="E2048">
        <v>-31026</v>
      </c>
      <c r="F2048" t="s">
        <v>279</v>
      </c>
      <c r="G2048" t="s">
        <v>29</v>
      </c>
      <c r="H2048">
        <v>0</v>
      </c>
      <c r="I2048" t="s">
        <v>327</v>
      </c>
    </row>
    <row r="2049" spans="1:9" x14ac:dyDescent="0.25">
      <c r="A2049">
        <v>70374</v>
      </c>
      <c r="B2049" t="s">
        <v>223</v>
      </c>
      <c r="C2049" t="s">
        <v>238</v>
      </c>
      <c r="D2049">
        <v>4</v>
      </c>
      <c r="E2049">
        <v>-31026</v>
      </c>
      <c r="F2049" t="s">
        <v>279</v>
      </c>
      <c r="G2049" t="s">
        <v>34</v>
      </c>
      <c r="H2049">
        <v>9474</v>
      </c>
      <c r="I2049" t="s">
        <v>287</v>
      </c>
    </row>
    <row r="2050" spans="1:9" x14ac:dyDescent="0.25">
      <c r="A2050">
        <v>70374</v>
      </c>
      <c r="B2050" t="s">
        <v>223</v>
      </c>
      <c r="C2050" t="s">
        <v>238</v>
      </c>
      <c r="D2050">
        <v>4</v>
      </c>
      <c r="E2050">
        <v>-31026</v>
      </c>
      <c r="F2050" t="s">
        <v>279</v>
      </c>
      <c r="G2050" t="s">
        <v>29</v>
      </c>
      <c r="H2050">
        <v>44469</v>
      </c>
      <c r="I2050" t="s">
        <v>288</v>
      </c>
    </row>
    <row r="2051" spans="1:9" x14ac:dyDescent="0.25">
      <c r="A2051">
        <v>70374</v>
      </c>
      <c r="B2051" t="s">
        <v>223</v>
      </c>
      <c r="C2051" t="s">
        <v>238</v>
      </c>
      <c r="D2051">
        <v>4</v>
      </c>
      <c r="E2051">
        <v>-31026</v>
      </c>
      <c r="F2051" t="s">
        <v>279</v>
      </c>
      <c r="G2051" t="s">
        <v>34</v>
      </c>
      <c r="H2051">
        <v>10700</v>
      </c>
      <c r="I2051" t="s">
        <v>289</v>
      </c>
    </row>
    <row r="2052" spans="1:9" x14ac:dyDescent="0.25">
      <c r="A2052">
        <v>70374</v>
      </c>
      <c r="B2052" t="s">
        <v>223</v>
      </c>
      <c r="C2052" t="s">
        <v>238</v>
      </c>
      <c r="D2052">
        <v>4</v>
      </c>
      <c r="E2052">
        <v>-31026</v>
      </c>
      <c r="F2052" t="s">
        <v>279</v>
      </c>
      <c r="G2052" t="s">
        <v>29</v>
      </c>
      <c r="H2052">
        <v>5676</v>
      </c>
      <c r="I2052" t="s">
        <v>290</v>
      </c>
    </row>
    <row r="2053" spans="1:9" x14ac:dyDescent="0.25">
      <c r="A2053">
        <v>70374</v>
      </c>
      <c r="B2053" t="s">
        <v>223</v>
      </c>
      <c r="C2053" t="s">
        <v>238</v>
      </c>
      <c r="D2053">
        <v>4</v>
      </c>
      <c r="E2053">
        <v>-31026</v>
      </c>
      <c r="F2053" t="s">
        <v>279</v>
      </c>
      <c r="G2053" t="s">
        <v>32</v>
      </c>
      <c r="H2053">
        <v>61941</v>
      </c>
      <c r="I2053" t="s">
        <v>291</v>
      </c>
    </row>
    <row r="2054" spans="1:9" x14ac:dyDescent="0.25">
      <c r="A2054">
        <v>70374</v>
      </c>
      <c r="B2054" t="s">
        <v>223</v>
      </c>
      <c r="C2054" t="s">
        <v>238</v>
      </c>
      <c r="D2054">
        <v>4</v>
      </c>
      <c r="E2054">
        <v>-31026</v>
      </c>
      <c r="F2054" t="s">
        <v>279</v>
      </c>
      <c r="G2054" t="s">
        <v>29</v>
      </c>
      <c r="H2054">
        <v>12529</v>
      </c>
      <c r="I2054" t="s">
        <v>292</v>
      </c>
    </row>
    <row r="2055" spans="1:9" x14ac:dyDescent="0.25">
      <c r="A2055">
        <v>70374</v>
      </c>
      <c r="B2055" t="s">
        <v>223</v>
      </c>
      <c r="C2055" t="s">
        <v>238</v>
      </c>
      <c r="D2055">
        <v>4</v>
      </c>
      <c r="E2055">
        <v>-31026</v>
      </c>
      <c r="F2055" t="s">
        <v>279</v>
      </c>
      <c r="G2055" t="s">
        <v>29</v>
      </c>
      <c r="H2055">
        <v>0</v>
      </c>
      <c r="I2055" t="s">
        <v>384</v>
      </c>
    </row>
    <row r="2056" spans="1:9" x14ac:dyDescent="0.25">
      <c r="A2056">
        <v>70374</v>
      </c>
      <c r="B2056" t="s">
        <v>223</v>
      </c>
      <c r="C2056" t="s">
        <v>238</v>
      </c>
      <c r="D2056">
        <v>4</v>
      </c>
      <c r="E2056">
        <v>-31026</v>
      </c>
      <c r="F2056" t="s">
        <v>279</v>
      </c>
      <c r="G2056" t="s">
        <v>35</v>
      </c>
      <c r="H2056">
        <v>3272</v>
      </c>
      <c r="I2056" t="s">
        <v>293</v>
      </c>
    </row>
    <row r="2057" spans="1:9" x14ac:dyDescent="0.25">
      <c r="A2057">
        <v>70374</v>
      </c>
      <c r="B2057" t="s">
        <v>223</v>
      </c>
      <c r="C2057" t="s">
        <v>238</v>
      </c>
      <c r="D2057">
        <v>4</v>
      </c>
      <c r="E2057">
        <v>-31026</v>
      </c>
      <c r="F2057" t="s">
        <v>279</v>
      </c>
      <c r="G2057" t="s">
        <v>35</v>
      </c>
      <c r="H2057">
        <v>566</v>
      </c>
      <c r="I2057" t="s">
        <v>294</v>
      </c>
    </row>
    <row r="2058" spans="1:9" x14ac:dyDescent="0.25">
      <c r="A2058">
        <v>70374</v>
      </c>
      <c r="B2058" t="s">
        <v>223</v>
      </c>
      <c r="C2058" t="s">
        <v>238</v>
      </c>
      <c r="D2058">
        <v>4</v>
      </c>
      <c r="E2058">
        <v>-31026</v>
      </c>
      <c r="F2058" t="s">
        <v>279</v>
      </c>
      <c r="G2058" t="s">
        <v>35</v>
      </c>
      <c r="H2058">
        <v>5385</v>
      </c>
      <c r="I2058" t="s">
        <v>295</v>
      </c>
    </row>
    <row r="2059" spans="1:9" x14ac:dyDescent="0.25">
      <c r="A2059">
        <v>70374</v>
      </c>
      <c r="B2059" t="s">
        <v>223</v>
      </c>
      <c r="C2059" t="s">
        <v>238</v>
      </c>
      <c r="D2059">
        <v>4</v>
      </c>
      <c r="E2059">
        <v>-31026</v>
      </c>
      <c r="F2059" t="s">
        <v>279</v>
      </c>
      <c r="G2059" t="s">
        <v>35</v>
      </c>
      <c r="H2059">
        <v>1418</v>
      </c>
      <c r="I2059" t="s">
        <v>296</v>
      </c>
    </row>
    <row r="2060" spans="1:9" x14ac:dyDescent="0.25">
      <c r="A2060">
        <v>70374</v>
      </c>
      <c r="B2060" t="s">
        <v>223</v>
      </c>
      <c r="C2060" t="s">
        <v>238</v>
      </c>
      <c r="D2060">
        <v>4</v>
      </c>
      <c r="E2060">
        <v>-31026</v>
      </c>
      <c r="F2060" t="s">
        <v>279</v>
      </c>
      <c r="G2060" t="s">
        <v>35</v>
      </c>
      <c r="H2060">
        <v>1050</v>
      </c>
      <c r="I2060" t="s">
        <v>325</v>
      </c>
    </row>
    <row r="2061" spans="1:9" x14ac:dyDescent="0.25">
      <c r="A2061">
        <v>70374</v>
      </c>
      <c r="B2061" t="s">
        <v>223</v>
      </c>
      <c r="C2061" t="s">
        <v>238</v>
      </c>
      <c r="D2061">
        <v>4</v>
      </c>
      <c r="E2061">
        <v>-31026</v>
      </c>
      <c r="F2061" t="s">
        <v>279</v>
      </c>
      <c r="G2061" t="s">
        <v>29</v>
      </c>
      <c r="H2061">
        <v>2314</v>
      </c>
      <c r="I2061" t="s">
        <v>297</v>
      </c>
    </row>
    <row r="2062" spans="1:9" x14ac:dyDescent="0.25">
      <c r="A2062">
        <v>70374</v>
      </c>
      <c r="B2062" t="s">
        <v>223</v>
      </c>
      <c r="C2062" t="s">
        <v>238</v>
      </c>
      <c r="D2062">
        <v>4</v>
      </c>
      <c r="E2062">
        <v>-31026</v>
      </c>
      <c r="F2062" t="s">
        <v>279</v>
      </c>
      <c r="G2062" t="s">
        <v>36</v>
      </c>
      <c r="H2062">
        <v>26275</v>
      </c>
      <c r="I2062" t="s">
        <v>298</v>
      </c>
    </row>
    <row r="2063" spans="1:9" x14ac:dyDescent="0.25">
      <c r="A2063">
        <v>70374</v>
      </c>
      <c r="B2063" t="s">
        <v>223</v>
      </c>
      <c r="C2063" t="s">
        <v>238</v>
      </c>
      <c r="D2063">
        <v>4</v>
      </c>
      <c r="E2063">
        <v>-31026</v>
      </c>
      <c r="F2063" t="s">
        <v>274</v>
      </c>
      <c r="G2063" t="s">
        <v>275</v>
      </c>
      <c r="H2063">
        <v>245040</v>
      </c>
      <c r="I2063" t="s">
        <v>299</v>
      </c>
    </row>
    <row r="2064" spans="1:9" x14ac:dyDescent="0.25">
      <c r="A2064">
        <v>70374</v>
      </c>
      <c r="B2064" t="s">
        <v>223</v>
      </c>
      <c r="C2064" t="s">
        <v>238</v>
      </c>
      <c r="D2064">
        <v>4</v>
      </c>
      <c r="E2064">
        <v>-31026</v>
      </c>
      <c r="F2064" t="s">
        <v>274</v>
      </c>
      <c r="G2064" t="s">
        <v>275</v>
      </c>
      <c r="H2064">
        <v>0</v>
      </c>
      <c r="I2064" t="s">
        <v>385</v>
      </c>
    </row>
    <row r="2065" spans="1:9" x14ac:dyDescent="0.25">
      <c r="A2065">
        <v>70374</v>
      </c>
      <c r="B2065" t="s">
        <v>223</v>
      </c>
      <c r="C2065" t="s">
        <v>238</v>
      </c>
      <c r="D2065">
        <v>4</v>
      </c>
      <c r="E2065">
        <v>-31026</v>
      </c>
      <c r="F2065" t="s">
        <v>279</v>
      </c>
      <c r="G2065" t="s">
        <v>31</v>
      </c>
      <c r="H2065">
        <v>0</v>
      </c>
      <c r="I2065" t="s">
        <v>364</v>
      </c>
    </row>
    <row r="2066" spans="1:9" x14ac:dyDescent="0.25">
      <c r="A2066">
        <v>70374</v>
      </c>
      <c r="B2066" t="s">
        <v>223</v>
      </c>
      <c r="C2066" t="s">
        <v>238</v>
      </c>
      <c r="D2066">
        <v>4</v>
      </c>
      <c r="E2066">
        <v>-31026</v>
      </c>
      <c r="F2066" t="s">
        <v>279</v>
      </c>
      <c r="G2066" t="s">
        <v>31</v>
      </c>
      <c r="H2066">
        <v>0</v>
      </c>
      <c r="I2066" t="s">
        <v>365</v>
      </c>
    </row>
    <row r="2067" spans="1:9" x14ac:dyDescent="0.25">
      <c r="A2067">
        <v>70374</v>
      </c>
      <c r="B2067" t="s">
        <v>223</v>
      </c>
      <c r="C2067" t="s">
        <v>238</v>
      </c>
      <c r="D2067">
        <v>4</v>
      </c>
      <c r="E2067">
        <v>-31026</v>
      </c>
      <c r="F2067" t="s">
        <v>279</v>
      </c>
      <c r="G2067" t="s">
        <v>31</v>
      </c>
      <c r="H2067">
        <v>0</v>
      </c>
      <c r="I2067" t="s">
        <v>366</v>
      </c>
    </row>
    <row r="2068" spans="1:9" x14ac:dyDescent="0.25">
      <c r="A2068">
        <v>70374</v>
      </c>
      <c r="B2068" t="s">
        <v>223</v>
      </c>
      <c r="C2068" t="s">
        <v>238</v>
      </c>
      <c r="D2068">
        <v>4</v>
      </c>
      <c r="E2068">
        <v>-31026</v>
      </c>
      <c r="F2068" t="s">
        <v>279</v>
      </c>
      <c r="G2068" t="s">
        <v>31</v>
      </c>
      <c r="H2068">
        <v>0</v>
      </c>
      <c r="I2068" t="s">
        <v>367</v>
      </c>
    </row>
    <row r="2069" spans="1:9" x14ac:dyDescent="0.25">
      <c r="A2069">
        <v>70374</v>
      </c>
      <c r="B2069" t="s">
        <v>223</v>
      </c>
      <c r="C2069" t="s">
        <v>238</v>
      </c>
      <c r="D2069">
        <v>4</v>
      </c>
      <c r="E2069">
        <v>-31026</v>
      </c>
      <c r="F2069" t="s">
        <v>279</v>
      </c>
      <c r="G2069" t="s">
        <v>31</v>
      </c>
      <c r="H2069">
        <v>0</v>
      </c>
      <c r="I2069" t="s">
        <v>368</v>
      </c>
    </row>
    <row r="2070" spans="1:9" x14ac:dyDescent="0.25">
      <c r="A2070">
        <v>70374</v>
      </c>
      <c r="B2070" t="s">
        <v>223</v>
      </c>
      <c r="C2070" t="s">
        <v>238</v>
      </c>
      <c r="D2070">
        <v>4</v>
      </c>
      <c r="E2070">
        <v>-31026</v>
      </c>
      <c r="F2070" t="s">
        <v>279</v>
      </c>
      <c r="G2070" t="s">
        <v>31</v>
      </c>
      <c r="H2070">
        <v>0</v>
      </c>
      <c r="I2070" t="s">
        <v>369</v>
      </c>
    </row>
    <row r="2071" spans="1:9" x14ac:dyDescent="0.25">
      <c r="A2071">
        <v>70374</v>
      </c>
      <c r="B2071" t="s">
        <v>223</v>
      </c>
      <c r="C2071" t="s">
        <v>238</v>
      </c>
      <c r="D2071">
        <v>4</v>
      </c>
      <c r="E2071">
        <v>-31026</v>
      </c>
      <c r="F2071" t="s">
        <v>279</v>
      </c>
      <c r="G2071" t="s">
        <v>31</v>
      </c>
      <c r="H2071">
        <v>0</v>
      </c>
      <c r="I2071" t="s">
        <v>370</v>
      </c>
    </row>
    <row r="2072" spans="1:9" x14ac:dyDescent="0.25">
      <c r="A2072">
        <v>70374</v>
      </c>
      <c r="B2072" t="s">
        <v>223</v>
      </c>
      <c r="C2072" t="s">
        <v>238</v>
      </c>
      <c r="D2072">
        <v>4</v>
      </c>
      <c r="E2072">
        <v>-31026</v>
      </c>
      <c r="F2072" t="s">
        <v>279</v>
      </c>
      <c r="G2072" t="s">
        <v>31</v>
      </c>
      <c r="H2072">
        <v>0</v>
      </c>
      <c r="I2072" t="s">
        <v>371</v>
      </c>
    </row>
    <row r="2073" spans="1:9" x14ac:dyDescent="0.25">
      <c r="A2073">
        <v>70374</v>
      </c>
      <c r="B2073" t="s">
        <v>223</v>
      </c>
      <c r="C2073" t="s">
        <v>238</v>
      </c>
      <c r="D2073">
        <v>4</v>
      </c>
      <c r="E2073">
        <v>-31026</v>
      </c>
      <c r="F2073" t="s">
        <v>279</v>
      </c>
      <c r="G2073" t="s">
        <v>31</v>
      </c>
      <c r="H2073">
        <v>0</v>
      </c>
      <c r="I2073" t="s">
        <v>328</v>
      </c>
    </row>
    <row r="2074" spans="1:9" x14ac:dyDescent="0.25">
      <c r="A2074">
        <v>70374</v>
      </c>
      <c r="B2074" t="s">
        <v>223</v>
      </c>
      <c r="C2074" t="s">
        <v>238</v>
      </c>
      <c r="D2074">
        <v>4</v>
      </c>
      <c r="E2074">
        <v>-31026</v>
      </c>
      <c r="F2074" t="s">
        <v>279</v>
      </c>
      <c r="G2074" t="s">
        <v>33</v>
      </c>
      <c r="H2074">
        <v>0</v>
      </c>
      <c r="I2074" t="s">
        <v>372</v>
      </c>
    </row>
    <row r="2075" spans="1:9" x14ac:dyDescent="0.25">
      <c r="A2075">
        <v>70374</v>
      </c>
      <c r="B2075" t="s">
        <v>223</v>
      </c>
      <c r="C2075" t="s">
        <v>238</v>
      </c>
      <c r="D2075">
        <v>4</v>
      </c>
      <c r="E2075">
        <v>-31026</v>
      </c>
      <c r="F2075" t="s">
        <v>279</v>
      </c>
      <c r="G2075" t="s">
        <v>33</v>
      </c>
      <c r="H2075">
        <v>0</v>
      </c>
      <c r="I2075" t="s">
        <v>329</v>
      </c>
    </row>
    <row r="2076" spans="1:9" x14ac:dyDescent="0.25">
      <c r="A2076">
        <v>70374</v>
      </c>
      <c r="B2076" t="s">
        <v>223</v>
      </c>
      <c r="C2076" t="s">
        <v>238</v>
      </c>
      <c r="D2076">
        <v>4</v>
      </c>
      <c r="E2076">
        <v>-31026</v>
      </c>
      <c r="F2076" t="s">
        <v>279</v>
      </c>
      <c r="G2076" t="s">
        <v>33</v>
      </c>
      <c r="H2076">
        <v>0</v>
      </c>
      <c r="I2076" t="s">
        <v>319</v>
      </c>
    </row>
    <row r="2077" spans="1:9" x14ac:dyDescent="0.25">
      <c r="A2077">
        <v>70374</v>
      </c>
      <c r="B2077" t="s">
        <v>223</v>
      </c>
      <c r="C2077" t="s">
        <v>238</v>
      </c>
      <c r="D2077">
        <v>4</v>
      </c>
      <c r="E2077">
        <v>-31026</v>
      </c>
      <c r="F2077" t="s">
        <v>279</v>
      </c>
      <c r="G2077" t="s">
        <v>33</v>
      </c>
      <c r="H2077">
        <v>0</v>
      </c>
      <c r="I2077" t="s">
        <v>373</v>
      </c>
    </row>
    <row r="2078" spans="1:9" x14ac:dyDescent="0.25">
      <c r="A2078">
        <v>70374</v>
      </c>
      <c r="B2078" t="s">
        <v>223</v>
      </c>
      <c r="C2078" t="s">
        <v>238</v>
      </c>
      <c r="D2078">
        <v>4</v>
      </c>
      <c r="E2078">
        <v>-31026</v>
      </c>
      <c r="F2078" t="s">
        <v>279</v>
      </c>
      <c r="G2078" t="s">
        <v>33</v>
      </c>
      <c r="H2078">
        <v>0</v>
      </c>
      <c r="I2078" t="s">
        <v>374</v>
      </c>
    </row>
    <row r="2079" spans="1:9" x14ac:dyDescent="0.25">
      <c r="A2079">
        <v>70374</v>
      </c>
      <c r="B2079" t="s">
        <v>223</v>
      </c>
      <c r="C2079" t="s">
        <v>238</v>
      </c>
      <c r="D2079">
        <v>4</v>
      </c>
      <c r="E2079">
        <v>-31026</v>
      </c>
      <c r="F2079" t="s">
        <v>279</v>
      </c>
      <c r="G2079" t="s">
        <v>33</v>
      </c>
      <c r="H2079">
        <v>0</v>
      </c>
      <c r="I2079" t="s">
        <v>326</v>
      </c>
    </row>
    <row r="2080" spans="1:9" x14ac:dyDescent="0.25">
      <c r="A2080">
        <v>70374</v>
      </c>
      <c r="B2080" t="s">
        <v>223</v>
      </c>
      <c r="C2080" t="s">
        <v>238</v>
      </c>
      <c r="D2080">
        <v>4</v>
      </c>
      <c r="E2080">
        <v>-31026</v>
      </c>
      <c r="F2080" t="s">
        <v>279</v>
      </c>
      <c r="G2080" t="s">
        <v>33</v>
      </c>
      <c r="H2080">
        <v>0</v>
      </c>
      <c r="I2080" t="s">
        <v>375</v>
      </c>
    </row>
    <row r="2081" spans="1:9" x14ac:dyDescent="0.25">
      <c r="A2081">
        <v>70374</v>
      </c>
      <c r="B2081" t="s">
        <v>223</v>
      </c>
      <c r="C2081" t="s">
        <v>238</v>
      </c>
      <c r="D2081">
        <v>4</v>
      </c>
      <c r="E2081">
        <v>-31026</v>
      </c>
      <c r="F2081" t="s">
        <v>279</v>
      </c>
      <c r="G2081" t="s">
        <v>33</v>
      </c>
      <c r="H2081">
        <v>0</v>
      </c>
      <c r="I2081" t="s">
        <v>376</v>
      </c>
    </row>
    <row r="2082" spans="1:9" x14ac:dyDescent="0.25">
      <c r="A2082">
        <v>70374</v>
      </c>
      <c r="B2082" t="s">
        <v>223</v>
      </c>
      <c r="C2082" t="s">
        <v>238</v>
      </c>
      <c r="D2082">
        <v>4</v>
      </c>
      <c r="E2082">
        <v>-31026</v>
      </c>
      <c r="F2082" t="s">
        <v>279</v>
      </c>
      <c r="G2082" t="s">
        <v>33</v>
      </c>
      <c r="H2082">
        <v>0</v>
      </c>
      <c r="I2082" t="s">
        <v>377</v>
      </c>
    </row>
    <row r="2083" spans="1:9" x14ac:dyDescent="0.25">
      <c r="A2083">
        <v>70374</v>
      </c>
      <c r="B2083" t="s">
        <v>223</v>
      </c>
      <c r="C2083" t="s">
        <v>238</v>
      </c>
      <c r="D2083">
        <v>4</v>
      </c>
      <c r="E2083">
        <v>-31026</v>
      </c>
      <c r="F2083" t="s">
        <v>274</v>
      </c>
      <c r="G2083" t="s">
        <v>275</v>
      </c>
      <c r="H2083">
        <v>850599</v>
      </c>
      <c r="I2083" t="s">
        <v>318</v>
      </c>
    </row>
    <row r="2084" spans="1:9" x14ac:dyDescent="0.25">
      <c r="A2084">
        <v>70374</v>
      </c>
      <c r="B2084" t="s">
        <v>223</v>
      </c>
      <c r="C2084" t="s">
        <v>238</v>
      </c>
      <c r="D2084">
        <v>4</v>
      </c>
      <c r="E2084">
        <v>-31026</v>
      </c>
      <c r="F2084" t="s">
        <v>274</v>
      </c>
      <c r="G2084" t="s">
        <v>300</v>
      </c>
      <c r="H2084">
        <v>20543</v>
      </c>
      <c r="I2084" t="s">
        <v>301</v>
      </c>
    </row>
    <row r="2085" spans="1:9" x14ac:dyDescent="0.25">
      <c r="A2085">
        <v>70374</v>
      </c>
      <c r="B2085" t="s">
        <v>223</v>
      </c>
      <c r="C2085" t="s">
        <v>238</v>
      </c>
      <c r="D2085">
        <v>4</v>
      </c>
      <c r="E2085">
        <v>-31026</v>
      </c>
      <c r="F2085" t="s">
        <v>274</v>
      </c>
      <c r="G2085" t="s">
        <v>275</v>
      </c>
      <c r="H2085">
        <v>-63852</v>
      </c>
      <c r="I2085" t="s">
        <v>302</v>
      </c>
    </row>
    <row r="2086" spans="1:9" x14ac:dyDescent="0.25">
      <c r="A2086">
        <v>70374</v>
      </c>
      <c r="B2086" t="s">
        <v>223</v>
      </c>
      <c r="C2086" t="s">
        <v>238</v>
      </c>
      <c r="D2086">
        <v>4</v>
      </c>
      <c r="E2086">
        <v>-31026</v>
      </c>
      <c r="F2086" t="s">
        <v>279</v>
      </c>
      <c r="G2086" t="s">
        <v>30</v>
      </c>
      <c r="H2086">
        <v>78580</v>
      </c>
      <c r="I2086" t="s">
        <v>303</v>
      </c>
    </row>
    <row r="2087" spans="1:9" x14ac:dyDescent="0.25">
      <c r="A2087">
        <v>70374</v>
      </c>
      <c r="B2087" t="s">
        <v>223</v>
      </c>
      <c r="C2087" t="s">
        <v>238</v>
      </c>
      <c r="D2087">
        <v>4</v>
      </c>
      <c r="E2087">
        <v>-31026</v>
      </c>
      <c r="F2087" t="s">
        <v>279</v>
      </c>
      <c r="G2087" t="s">
        <v>35</v>
      </c>
      <c r="H2087">
        <v>7616</v>
      </c>
      <c r="I2087" t="s">
        <v>304</v>
      </c>
    </row>
    <row r="2088" spans="1:9" x14ac:dyDescent="0.25">
      <c r="A2088">
        <v>70374</v>
      </c>
      <c r="B2088" t="s">
        <v>223</v>
      </c>
      <c r="C2088" t="s">
        <v>238</v>
      </c>
      <c r="D2088">
        <v>4</v>
      </c>
      <c r="E2088">
        <v>-31026</v>
      </c>
      <c r="F2088" t="s">
        <v>279</v>
      </c>
      <c r="G2088" t="s">
        <v>31</v>
      </c>
      <c r="H2088">
        <v>216953</v>
      </c>
      <c r="I2088" t="s">
        <v>305</v>
      </c>
    </row>
    <row r="2089" spans="1:9" x14ac:dyDescent="0.25">
      <c r="A2089">
        <v>70374</v>
      </c>
      <c r="B2089" t="s">
        <v>223</v>
      </c>
      <c r="C2089" t="s">
        <v>238</v>
      </c>
      <c r="D2089">
        <v>4</v>
      </c>
      <c r="E2089">
        <v>-31026</v>
      </c>
      <c r="F2089" t="s">
        <v>279</v>
      </c>
      <c r="G2089" t="s">
        <v>33</v>
      </c>
      <c r="H2089">
        <v>0</v>
      </c>
      <c r="I2089" t="s">
        <v>320</v>
      </c>
    </row>
    <row r="2090" spans="1:9" x14ac:dyDescent="0.25">
      <c r="A2090">
        <v>70374</v>
      </c>
      <c r="B2090" t="s">
        <v>223</v>
      </c>
      <c r="C2090" t="s">
        <v>238</v>
      </c>
      <c r="D2090">
        <v>4</v>
      </c>
      <c r="E2090">
        <v>-31026</v>
      </c>
      <c r="F2090" t="s">
        <v>279</v>
      </c>
      <c r="G2090" t="s">
        <v>33</v>
      </c>
      <c r="H2090">
        <v>0</v>
      </c>
      <c r="I2090" t="s">
        <v>306</v>
      </c>
    </row>
    <row r="2091" spans="1:9" x14ac:dyDescent="0.25">
      <c r="A2091">
        <v>70374</v>
      </c>
      <c r="B2091" t="s">
        <v>223</v>
      </c>
      <c r="C2091" t="s">
        <v>238</v>
      </c>
      <c r="D2091">
        <v>4</v>
      </c>
      <c r="E2091">
        <v>-31026</v>
      </c>
      <c r="F2091" t="s">
        <v>279</v>
      </c>
      <c r="G2091" t="s">
        <v>33</v>
      </c>
      <c r="H2091">
        <v>0</v>
      </c>
      <c r="I2091" t="s">
        <v>378</v>
      </c>
    </row>
    <row r="2092" spans="1:9" x14ac:dyDescent="0.25">
      <c r="A2092">
        <v>70374</v>
      </c>
      <c r="B2092" t="s">
        <v>223</v>
      </c>
      <c r="C2092" t="s">
        <v>238</v>
      </c>
      <c r="D2092">
        <v>4</v>
      </c>
      <c r="E2092">
        <v>-31026</v>
      </c>
      <c r="F2092" t="s">
        <v>279</v>
      </c>
      <c r="G2092" t="s">
        <v>31</v>
      </c>
      <c r="H2092">
        <v>262902</v>
      </c>
      <c r="I2092" t="s">
        <v>307</v>
      </c>
    </row>
    <row r="2093" spans="1:9" x14ac:dyDescent="0.25">
      <c r="A2093">
        <v>70374</v>
      </c>
      <c r="B2093" t="s">
        <v>223</v>
      </c>
      <c r="C2093" t="s">
        <v>238</v>
      </c>
      <c r="D2093">
        <v>4</v>
      </c>
      <c r="E2093">
        <v>-31026</v>
      </c>
      <c r="F2093" t="s">
        <v>279</v>
      </c>
      <c r="G2093" t="s">
        <v>31</v>
      </c>
      <c r="H2093">
        <v>0</v>
      </c>
      <c r="I2093" t="s">
        <v>379</v>
      </c>
    </row>
    <row r="2094" spans="1:9" x14ac:dyDescent="0.25">
      <c r="A2094">
        <v>70374</v>
      </c>
      <c r="B2094" t="s">
        <v>223</v>
      </c>
      <c r="C2094" t="s">
        <v>238</v>
      </c>
      <c r="D2094">
        <v>4</v>
      </c>
      <c r="E2094">
        <v>-31026</v>
      </c>
      <c r="F2094" t="s">
        <v>279</v>
      </c>
      <c r="G2094" t="s">
        <v>30</v>
      </c>
      <c r="H2094">
        <v>29248</v>
      </c>
      <c r="I2094" t="s">
        <v>308</v>
      </c>
    </row>
    <row r="2095" spans="1:9" x14ac:dyDescent="0.25">
      <c r="A2095">
        <v>70374</v>
      </c>
      <c r="B2095" t="s">
        <v>223</v>
      </c>
      <c r="C2095" t="s">
        <v>238</v>
      </c>
      <c r="D2095">
        <v>4</v>
      </c>
      <c r="E2095">
        <v>-31026</v>
      </c>
      <c r="F2095" t="s">
        <v>279</v>
      </c>
      <c r="G2095" t="s">
        <v>35</v>
      </c>
      <c r="H2095">
        <v>0</v>
      </c>
      <c r="I2095" t="s">
        <v>321</v>
      </c>
    </row>
    <row r="2096" spans="1:9" x14ac:dyDescent="0.25">
      <c r="A2096">
        <v>70374</v>
      </c>
      <c r="B2096" t="s">
        <v>223</v>
      </c>
      <c r="C2096" t="s">
        <v>238</v>
      </c>
      <c r="D2096">
        <v>4</v>
      </c>
      <c r="E2096">
        <v>-31026</v>
      </c>
      <c r="F2096" t="s">
        <v>279</v>
      </c>
      <c r="G2096" t="s">
        <v>33</v>
      </c>
      <c r="H2096">
        <v>0</v>
      </c>
      <c r="I2096" t="s">
        <v>380</v>
      </c>
    </row>
    <row r="2097" spans="1:9" x14ac:dyDescent="0.25">
      <c r="A2097">
        <v>70374</v>
      </c>
      <c r="B2097" t="s">
        <v>223</v>
      </c>
      <c r="C2097" t="s">
        <v>238</v>
      </c>
      <c r="D2097">
        <v>4</v>
      </c>
      <c r="E2097">
        <v>-31026</v>
      </c>
      <c r="F2097" t="s">
        <v>279</v>
      </c>
      <c r="G2097" t="s">
        <v>35</v>
      </c>
      <c r="H2097">
        <v>75</v>
      </c>
      <c r="I2097" t="s">
        <v>309</v>
      </c>
    </row>
    <row r="2098" spans="1:9" x14ac:dyDescent="0.25">
      <c r="A2098">
        <v>70374</v>
      </c>
      <c r="B2098" t="s">
        <v>223</v>
      </c>
      <c r="C2098" t="s">
        <v>238</v>
      </c>
      <c r="D2098">
        <v>4</v>
      </c>
      <c r="E2098">
        <v>-31026</v>
      </c>
      <c r="F2098" t="s">
        <v>279</v>
      </c>
      <c r="G2098" t="s">
        <v>35</v>
      </c>
      <c r="H2098">
        <v>6149</v>
      </c>
      <c r="I2098" t="s">
        <v>310</v>
      </c>
    </row>
    <row r="2099" spans="1:9" x14ac:dyDescent="0.25">
      <c r="A2099">
        <v>70374</v>
      </c>
      <c r="B2099" t="s">
        <v>223</v>
      </c>
      <c r="C2099" t="s">
        <v>238</v>
      </c>
      <c r="D2099">
        <v>4</v>
      </c>
      <c r="E2099">
        <v>-31026</v>
      </c>
      <c r="F2099" t="s">
        <v>279</v>
      </c>
      <c r="G2099" t="s">
        <v>35</v>
      </c>
      <c r="H2099">
        <v>10971</v>
      </c>
      <c r="I2099" t="s">
        <v>311</v>
      </c>
    </row>
    <row r="2100" spans="1:9" x14ac:dyDescent="0.25">
      <c r="A2100">
        <v>70374</v>
      </c>
      <c r="B2100" t="s">
        <v>223</v>
      </c>
      <c r="C2100" t="s">
        <v>238</v>
      </c>
      <c r="D2100">
        <v>4</v>
      </c>
      <c r="E2100">
        <v>-31026</v>
      </c>
      <c r="F2100" t="s">
        <v>279</v>
      </c>
      <c r="G2100" t="s">
        <v>35</v>
      </c>
      <c r="H2100">
        <v>45</v>
      </c>
      <c r="I2100" t="s">
        <v>312</v>
      </c>
    </row>
    <row r="2101" spans="1:9" x14ac:dyDescent="0.25">
      <c r="A2101">
        <v>70374</v>
      </c>
      <c r="B2101" t="s">
        <v>223</v>
      </c>
      <c r="C2101" t="s">
        <v>238</v>
      </c>
      <c r="D2101">
        <v>4</v>
      </c>
      <c r="E2101">
        <v>-31026</v>
      </c>
      <c r="F2101" t="s">
        <v>279</v>
      </c>
      <c r="G2101" t="s">
        <v>35</v>
      </c>
      <c r="H2101">
        <v>570</v>
      </c>
      <c r="I2101" t="s">
        <v>313</v>
      </c>
    </row>
    <row r="2102" spans="1:9" x14ac:dyDescent="0.25">
      <c r="A2102">
        <v>70374</v>
      </c>
      <c r="B2102" t="s">
        <v>223</v>
      </c>
      <c r="C2102" t="s">
        <v>238</v>
      </c>
      <c r="D2102">
        <v>4</v>
      </c>
      <c r="E2102">
        <v>-31026</v>
      </c>
      <c r="F2102" t="s">
        <v>279</v>
      </c>
      <c r="G2102" t="s">
        <v>37</v>
      </c>
      <c r="H2102">
        <v>0</v>
      </c>
      <c r="I2102" t="s">
        <v>381</v>
      </c>
    </row>
    <row r="2103" spans="1:9" x14ac:dyDescent="0.25">
      <c r="A2103">
        <v>70374</v>
      </c>
      <c r="B2103" t="s">
        <v>223</v>
      </c>
      <c r="C2103" t="s">
        <v>238</v>
      </c>
      <c r="D2103">
        <v>4</v>
      </c>
      <c r="E2103">
        <v>-31026</v>
      </c>
      <c r="F2103" t="s">
        <v>279</v>
      </c>
      <c r="G2103" t="s">
        <v>37</v>
      </c>
      <c r="H2103">
        <v>23280</v>
      </c>
      <c r="I2103" t="s">
        <v>314</v>
      </c>
    </row>
    <row r="2104" spans="1:9" x14ac:dyDescent="0.25">
      <c r="A2104">
        <v>70374</v>
      </c>
      <c r="B2104" t="s">
        <v>223</v>
      </c>
      <c r="C2104" t="s">
        <v>238</v>
      </c>
      <c r="D2104">
        <v>4</v>
      </c>
      <c r="E2104">
        <v>-31026</v>
      </c>
      <c r="F2104" t="s">
        <v>279</v>
      </c>
      <c r="G2104" t="s">
        <v>35</v>
      </c>
      <c r="H2104">
        <v>3592</v>
      </c>
      <c r="I2104" t="s">
        <v>315</v>
      </c>
    </row>
    <row r="2105" spans="1:9" x14ac:dyDescent="0.25">
      <c r="A2105">
        <v>70374</v>
      </c>
      <c r="B2105" t="s">
        <v>223</v>
      </c>
      <c r="C2105" t="s">
        <v>238</v>
      </c>
      <c r="D2105">
        <v>4</v>
      </c>
      <c r="E2105">
        <v>-31026</v>
      </c>
      <c r="F2105" t="s">
        <v>279</v>
      </c>
      <c r="G2105" t="s">
        <v>37</v>
      </c>
      <c r="H2105">
        <v>0</v>
      </c>
      <c r="I2105" t="s">
        <v>323</v>
      </c>
    </row>
    <row r="2106" spans="1:9" x14ac:dyDescent="0.25">
      <c r="A2106">
        <v>70374</v>
      </c>
      <c r="B2106" t="s">
        <v>223</v>
      </c>
      <c r="C2106" t="s">
        <v>238</v>
      </c>
      <c r="D2106">
        <v>4</v>
      </c>
      <c r="E2106">
        <v>-31026</v>
      </c>
      <c r="F2106" t="s">
        <v>279</v>
      </c>
      <c r="G2106" t="s">
        <v>37</v>
      </c>
      <c r="H2106">
        <v>10</v>
      </c>
      <c r="I2106" t="s">
        <v>322</v>
      </c>
    </row>
    <row r="2107" spans="1:9" x14ac:dyDescent="0.25">
      <c r="A2107">
        <v>70374</v>
      </c>
      <c r="B2107" t="s">
        <v>223</v>
      </c>
      <c r="C2107" t="s">
        <v>238</v>
      </c>
      <c r="D2107">
        <v>4</v>
      </c>
      <c r="E2107">
        <v>-31026</v>
      </c>
      <c r="F2107" t="s">
        <v>279</v>
      </c>
      <c r="G2107" t="s">
        <v>37</v>
      </c>
      <c r="H2107">
        <v>0</v>
      </c>
      <c r="I2107" t="s">
        <v>382</v>
      </c>
    </row>
    <row r="2108" spans="1:9" x14ac:dyDescent="0.25">
      <c r="A2108">
        <v>70374</v>
      </c>
      <c r="B2108" t="s">
        <v>223</v>
      </c>
      <c r="C2108" t="s">
        <v>238</v>
      </c>
      <c r="D2108">
        <v>4</v>
      </c>
      <c r="E2108">
        <v>-31026</v>
      </c>
      <c r="F2108" t="s">
        <v>279</v>
      </c>
      <c r="G2108" t="s">
        <v>37</v>
      </c>
      <c r="H2108">
        <v>1930</v>
      </c>
      <c r="I2108" t="s">
        <v>316</v>
      </c>
    </row>
    <row r="2109" spans="1:9" x14ac:dyDescent="0.25">
      <c r="A2109">
        <v>70374</v>
      </c>
      <c r="B2109" t="s">
        <v>223</v>
      </c>
      <c r="C2109" t="s">
        <v>238</v>
      </c>
      <c r="D2109">
        <v>4</v>
      </c>
      <c r="E2109">
        <v>-31026</v>
      </c>
      <c r="F2109" t="s">
        <v>279</v>
      </c>
      <c r="G2109" t="s">
        <v>36</v>
      </c>
      <c r="H2109">
        <v>51867</v>
      </c>
      <c r="I2109" t="s">
        <v>317</v>
      </c>
    </row>
    <row r="2110" spans="1:9" x14ac:dyDescent="0.25">
      <c r="A2110">
        <v>70374</v>
      </c>
      <c r="B2110" t="s">
        <v>223</v>
      </c>
      <c r="C2110" t="s">
        <v>238</v>
      </c>
      <c r="D2110">
        <v>4</v>
      </c>
      <c r="E2110">
        <v>-31026</v>
      </c>
      <c r="F2110" t="s">
        <v>274</v>
      </c>
      <c r="G2110" t="s">
        <v>275</v>
      </c>
      <c r="H2110">
        <v>0</v>
      </c>
      <c r="I2110" t="s">
        <v>276</v>
      </c>
    </row>
    <row r="2111" spans="1:9" x14ac:dyDescent="0.25">
      <c r="A2111">
        <v>70374</v>
      </c>
      <c r="B2111" t="s">
        <v>223</v>
      </c>
      <c r="C2111" t="s">
        <v>238</v>
      </c>
      <c r="D2111">
        <v>4</v>
      </c>
      <c r="E2111">
        <v>-31026</v>
      </c>
      <c r="F2111" t="s">
        <v>279</v>
      </c>
      <c r="G2111" t="s">
        <v>29</v>
      </c>
      <c r="H2111">
        <v>0</v>
      </c>
      <c r="I2111" t="s">
        <v>324</v>
      </c>
    </row>
    <row r="2112" spans="1:9" x14ac:dyDescent="0.25">
      <c r="A2112">
        <v>70374</v>
      </c>
      <c r="B2112" t="s">
        <v>223</v>
      </c>
      <c r="C2112" t="s">
        <v>238</v>
      </c>
      <c r="D2112">
        <v>4</v>
      </c>
      <c r="E2112">
        <v>-31026</v>
      </c>
      <c r="F2112" t="s">
        <v>274</v>
      </c>
      <c r="G2112" t="s">
        <v>277</v>
      </c>
      <c r="H2112">
        <v>97</v>
      </c>
      <c r="I2112" t="s">
        <v>278</v>
      </c>
    </row>
    <row r="2113" spans="1:9" x14ac:dyDescent="0.25">
      <c r="A2113">
        <v>70374</v>
      </c>
      <c r="B2113" t="s">
        <v>223</v>
      </c>
      <c r="C2113" t="s">
        <v>238</v>
      </c>
      <c r="D2113">
        <v>4</v>
      </c>
      <c r="E2113">
        <v>-31026</v>
      </c>
      <c r="F2113" t="s">
        <v>274</v>
      </c>
      <c r="G2113" t="s">
        <v>300</v>
      </c>
      <c r="H2113">
        <v>0</v>
      </c>
      <c r="I2113" t="s">
        <v>383</v>
      </c>
    </row>
    <row r="2114" spans="1:9" x14ac:dyDescent="0.25">
      <c r="A2114">
        <v>70374</v>
      </c>
      <c r="B2114" t="s">
        <v>223</v>
      </c>
      <c r="C2114" t="s">
        <v>238</v>
      </c>
      <c r="D2114">
        <v>4</v>
      </c>
      <c r="E2114">
        <v>-31026</v>
      </c>
      <c r="F2114" t="s">
        <v>279</v>
      </c>
      <c r="G2114" t="s">
        <v>33</v>
      </c>
      <c r="H2114">
        <v>43637</v>
      </c>
      <c r="I2114" t="s">
        <v>280</v>
      </c>
    </row>
    <row r="2115" spans="1:9" x14ac:dyDescent="0.25">
      <c r="A2115">
        <v>70374</v>
      </c>
      <c r="B2115" t="s">
        <v>223</v>
      </c>
      <c r="C2115" t="s">
        <v>238</v>
      </c>
      <c r="D2115">
        <v>4</v>
      </c>
      <c r="E2115">
        <v>-31026</v>
      </c>
      <c r="F2115" t="s">
        <v>279</v>
      </c>
      <c r="G2115" t="s">
        <v>29</v>
      </c>
      <c r="H2115">
        <v>4375</v>
      </c>
      <c r="I2115" t="s">
        <v>281</v>
      </c>
    </row>
    <row r="2116" spans="1:9" x14ac:dyDescent="0.25">
      <c r="A2116">
        <v>70374</v>
      </c>
      <c r="B2116" t="s">
        <v>223</v>
      </c>
      <c r="C2116" t="s">
        <v>238</v>
      </c>
      <c r="D2116">
        <v>4</v>
      </c>
      <c r="E2116">
        <v>-31026</v>
      </c>
      <c r="F2116" t="s">
        <v>279</v>
      </c>
      <c r="G2116" t="s">
        <v>29</v>
      </c>
      <c r="H2116">
        <v>49637</v>
      </c>
      <c r="I2116" t="s">
        <v>282</v>
      </c>
    </row>
    <row r="2117" spans="1:9" x14ac:dyDescent="0.25">
      <c r="A2117">
        <v>70374</v>
      </c>
      <c r="B2117" t="s">
        <v>223</v>
      </c>
      <c r="C2117" t="s">
        <v>238</v>
      </c>
      <c r="D2117">
        <v>4</v>
      </c>
      <c r="E2117">
        <v>-31026</v>
      </c>
      <c r="F2117" t="s">
        <v>279</v>
      </c>
      <c r="G2117" t="s">
        <v>35</v>
      </c>
      <c r="H2117">
        <v>66317</v>
      </c>
      <c r="I2117" t="s">
        <v>283</v>
      </c>
    </row>
    <row r="2118" spans="1:9" x14ac:dyDescent="0.25">
      <c r="A2118">
        <v>70374</v>
      </c>
      <c r="B2118" t="s">
        <v>223</v>
      </c>
      <c r="C2118" t="s">
        <v>238</v>
      </c>
      <c r="D2118">
        <v>4</v>
      </c>
      <c r="E2118">
        <v>-31026</v>
      </c>
      <c r="F2118" t="s">
        <v>279</v>
      </c>
      <c r="G2118" t="s">
        <v>29</v>
      </c>
      <c r="H2118">
        <v>5362</v>
      </c>
      <c r="I2118" t="s">
        <v>284</v>
      </c>
    </row>
    <row r="2119" spans="1:9" x14ac:dyDescent="0.25">
      <c r="A2119">
        <v>70375</v>
      </c>
      <c r="B2119" t="s">
        <v>226</v>
      </c>
      <c r="C2119" t="s">
        <v>238</v>
      </c>
      <c r="D2119">
        <v>4</v>
      </c>
      <c r="E2119">
        <v>196576</v>
      </c>
      <c r="F2119" t="s">
        <v>279</v>
      </c>
      <c r="G2119" t="s">
        <v>31</v>
      </c>
      <c r="H2119">
        <v>0</v>
      </c>
      <c r="I2119" t="s">
        <v>364</v>
      </c>
    </row>
    <row r="2120" spans="1:9" x14ac:dyDescent="0.25">
      <c r="A2120">
        <v>70375</v>
      </c>
      <c r="B2120" t="s">
        <v>226</v>
      </c>
      <c r="C2120" t="s">
        <v>238</v>
      </c>
      <c r="D2120">
        <v>4</v>
      </c>
      <c r="E2120">
        <v>196576</v>
      </c>
      <c r="F2120" t="s">
        <v>279</v>
      </c>
      <c r="G2120" t="s">
        <v>31</v>
      </c>
      <c r="H2120">
        <v>0</v>
      </c>
      <c r="I2120" t="s">
        <v>365</v>
      </c>
    </row>
    <row r="2121" spans="1:9" x14ac:dyDescent="0.25">
      <c r="A2121">
        <v>70375</v>
      </c>
      <c r="B2121" t="s">
        <v>226</v>
      </c>
      <c r="C2121" t="s">
        <v>238</v>
      </c>
      <c r="D2121">
        <v>4</v>
      </c>
      <c r="E2121">
        <v>196576</v>
      </c>
      <c r="F2121" t="s">
        <v>279</v>
      </c>
      <c r="G2121" t="s">
        <v>31</v>
      </c>
      <c r="H2121">
        <v>0</v>
      </c>
      <c r="I2121" t="s">
        <v>366</v>
      </c>
    </row>
    <row r="2122" spans="1:9" x14ac:dyDescent="0.25">
      <c r="A2122">
        <v>70375</v>
      </c>
      <c r="B2122" t="s">
        <v>226</v>
      </c>
      <c r="C2122" t="s">
        <v>238</v>
      </c>
      <c r="D2122">
        <v>4</v>
      </c>
      <c r="E2122">
        <v>196576</v>
      </c>
      <c r="F2122" t="s">
        <v>279</v>
      </c>
      <c r="G2122" t="s">
        <v>31</v>
      </c>
      <c r="H2122">
        <v>0</v>
      </c>
      <c r="I2122" t="s">
        <v>367</v>
      </c>
    </row>
    <row r="2123" spans="1:9" x14ac:dyDescent="0.25">
      <c r="A2123">
        <v>70375</v>
      </c>
      <c r="B2123" t="s">
        <v>226</v>
      </c>
      <c r="C2123" t="s">
        <v>238</v>
      </c>
      <c r="D2123">
        <v>4</v>
      </c>
      <c r="E2123">
        <v>196576</v>
      </c>
      <c r="F2123" t="s">
        <v>279</v>
      </c>
      <c r="G2123" t="s">
        <v>31</v>
      </c>
      <c r="H2123">
        <v>0</v>
      </c>
      <c r="I2123" t="s">
        <v>368</v>
      </c>
    </row>
    <row r="2124" spans="1:9" x14ac:dyDescent="0.25">
      <c r="A2124">
        <v>70375</v>
      </c>
      <c r="B2124" t="s">
        <v>226</v>
      </c>
      <c r="C2124" t="s">
        <v>238</v>
      </c>
      <c r="D2124">
        <v>4</v>
      </c>
      <c r="E2124">
        <v>196576</v>
      </c>
      <c r="F2124" t="s">
        <v>279</v>
      </c>
      <c r="G2124" t="s">
        <v>31</v>
      </c>
      <c r="H2124">
        <v>0</v>
      </c>
      <c r="I2124" t="s">
        <v>369</v>
      </c>
    </row>
    <row r="2125" spans="1:9" x14ac:dyDescent="0.25">
      <c r="A2125">
        <v>70375</v>
      </c>
      <c r="B2125" t="s">
        <v>226</v>
      </c>
      <c r="C2125" t="s">
        <v>238</v>
      </c>
      <c r="D2125">
        <v>4</v>
      </c>
      <c r="E2125">
        <v>196576</v>
      </c>
      <c r="F2125" t="s">
        <v>279</v>
      </c>
      <c r="G2125" t="s">
        <v>31</v>
      </c>
      <c r="H2125">
        <v>0</v>
      </c>
      <c r="I2125" t="s">
        <v>370</v>
      </c>
    </row>
    <row r="2126" spans="1:9" x14ac:dyDescent="0.25">
      <c r="A2126">
        <v>70375</v>
      </c>
      <c r="B2126" t="s">
        <v>226</v>
      </c>
      <c r="C2126" t="s">
        <v>238</v>
      </c>
      <c r="D2126">
        <v>4</v>
      </c>
      <c r="E2126">
        <v>196576</v>
      </c>
      <c r="F2126" t="s">
        <v>279</v>
      </c>
      <c r="G2126" t="s">
        <v>31</v>
      </c>
      <c r="H2126">
        <v>0</v>
      </c>
      <c r="I2126" t="s">
        <v>371</v>
      </c>
    </row>
    <row r="2127" spans="1:9" x14ac:dyDescent="0.25">
      <c r="A2127">
        <v>70375</v>
      </c>
      <c r="B2127" t="s">
        <v>226</v>
      </c>
      <c r="C2127" t="s">
        <v>238</v>
      </c>
      <c r="D2127">
        <v>4</v>
      </c>
      <c r="E2127">
        <v>196576</v>
      </c>
      <c r="F2127" t="s">
        <v>279</v>
      </c>
      <c r="G2127" t="s">
        <v>31</v>
      </c>
      <c r="H2127">
        <v>0</v>
      </c>
      <c r="I2127" t="s">
        <v>328</v>
      </c>
    </row>
    <row r="2128" spans="1:9" x14ac:dyDescent="0.25">
      <c r="A2128">
        <v>70375</v>
      </c>
      <c r="B2128" t="s">
        <v>226</v>
      </c>
      <c r="C2128" t="s">
        <v>238</v>
      </c>
      <c r="D2128">
        <v>4</v>
      </c>
      <c r="E2128">
        <v>196576</v>
      </c>
      <c r="F2128" t="s">
        <v>279</v>
      </c>
      <c r="G2128" t="s">
        <v>33</v>
      </c>
      <c r="H2128">
        <v>0</v>
      </c>
      <c r="I2128" t="s">
        <v>372</v>
      </c>
    </row>
    <row r="2129" spans="1:9" x14ac:dyDescent="0.25">
      <c r="A2129">
        <v>70375</v>
      </c>
      <c r="B2129" t="s">
        <v>226</v>
      </c>
      <c r="C2129" t="s">
        <v>238</v>
      </c>
      <c r="D2129">
        <v>4</v>
      </c>
      <c r="E2129">
        <v>196576</v>
      </c>
      <c r="F2129" t="s">
        <v>279</v>
      </c>
      <c r="G2129" t="s">
        <v>33</v>
      </c>
      <c r="H2129">
        <v>0</v>
      </c>
      <c r="I2129" t="s">
        <v>329</v>
      </c>
    </row>
    <row r="2130" spans="1:9" x14ac:dyDescent="0.25">
      <c r="A2130">
        <v>70375</v>
      </c>
      <c r="B2130" t="s">
        <v>226</v>
      </c>
      <c r="C2130" t="s">
        <v>238</v>
      </c>
      <c r="D2130">
        <v>4</v>
      </c>
      <c r="E2130">
        <v>196576</v>
      </c>
      <c r="F2130" t="s">
        <v>279</v>
      </c>
      <c r="G2130" t="s">
        <v>33</v>
      </c>
      <c r="H2130">
        <v>0</v>
      </c>
      <c r="I2130" t="s">
        <v>319</v>
      </c>
    </row>
    <row r="2131" spans="1:9" x14ac:dyDescent="0.25">
      <c r="A2131">
        <v>70375</v>
      </c>
      <c r="B2131" t="s">
        <v>226</v>
      </c>
      <c r="C2131" t="s">
        <v>238</v>
      </c>
      <c r="D2131">
        <v>4</v>
      </c>
      <c r="E2131">
        <v>196576</v>
      </c>
      <c r="F2131" t="s">
        <v>279</v>
      </c>
      <c r="G2131" t="s">
        <v>33</v>
      </c>
      <c r="H2131">
        <v>0</v>
      </c>
      <c r="I2131" t="s">
        <v>373</v>
      </c>
    </row>
    <row r="2132" spans="1:9" x14ac:dyDescent="0.25">
      <c r="A2132">
        <v>70375</v>
      </c>
      <c r="B2132" t="s">
        <v>226</v>
      </c>
      <c r="C2132" t="s">
        <v>238</v>
      </c>
      <c r="D2132">
        <v>4</v>
      </c>
      <c r="E2132">
        <v>196576</v>
      </c>
      <c r="F2132" t="s">
        <v>279</v>
      </c>
      <c r="G2132" t="s">
        <v>33</v>
      </c>
      <c r="H2132">
        <v>0</v>
      </c>
      <c r="I2132" t="s">
        <v>374</v>
      </c>
    </row>
    <row r="2133" spans="1:9" x14ac:dyDescent="0.25">
      <c r="A2133">
        <v>70375</v>
      </c>
      <c r="B2133" t="s">
        <v>226</v>
      </c>
      <c r="C2133" t="s">
        <v>238</v>
      </c>
      <c r="D2133">
        <v>4</v>
      </c>
      <c r="E2133">
        <v>196576</v>
      </c>
      <c r="F2133" t="s">
        <v>279</v>
      </c>
      <c r="G2133" t="s">
        <v>33</v>
      </c>
      <c r="H2133">
        <v>0</v>
      </c>
      <c r="I2133" t="s">
        <v>326</v>
      </c>
    </row>
    <row r="2134" spans="1:9" x14ac:dyDescent="0.25">
      <c r="A2134">
        <v>70375</v>
      </c>
      <c r="B2134" t="s">
        <v>226</v>
      </c>
      <c r="C2134" t="s">
        <v>238</v>
      </c>
      <c r="D2134">
        <v>4</v>
      </c>
      <c r="E2134">
        <v>196576</v>
      </c>
      <c r="F2134" t="s">
        <v>279</v>
      </c>
      <c r="G2134" t="s">
        <v>33</v>
      </c>
      <c r="H2134">
        <v>0</v>
      </c>
      <c r="I2134" t="s">
        <v>375</v>
      </c>
    </row>
    <row r="2135" spans="1:9" x14ac:dyDescent="0.25">
      <c r="A2135">
        <v>70375</v>
      </c>
      <c r="B2135" t="s">
        <v>226</v>
      </c>
      <c r="C2135" t="s">
        <v>238</v>
      </c>
      <c r="D2135">
        <v>4</v>
      </c>
      <c r="E2135">
        <v>196576</v>
      </c>
      <c r="F2135" t="s">
        <v>274</v>
      </c>
      <c r="G2135" t="s">
        <v>300</v>
      </c>
      <c r="H2135">
        <v>0</v>
      </c>
      <c r="I2135" t="s">
        <v>383</v>
      </c>
    </row>
    <row r="2136" spans="1:9" x14ac:dyDescent="0.25">
      <c r="A2136">
        <v>70375</v>
      </c>
      <c r="B2136" t="s">
        <v>226</v>
      </c>
      <c r="C2136" t="s">
        <v>238</v>
      </c>
      <c r="D2136">
        <v>4</v>
      </c>
      <c r="E2136">
        <v>196576</v>
      </c>
      <c r="F2136" t="s">
        <v>279</v>
      </c>
      <c r="G2136" t="s">
        <v>33</v>
      </c>
      <c r="H2136">
        <v>41279</v>
      </c>
      <c r="I2136" t="s">
        <v>280</v>
      </c>
    </row>
    <row r="2137" spans="1:9" x14ac:dyDescent="0.25">
      <c r="A2137">
        <v>70375</v>
      </c>
      <c r="B2137" t="s">
        <v>226</v>
      </c>
      <c r="C2137" t="s">
        <v>238</v>
      </c>
      <c r="D2137">
        <v>4</v>
      </c>
      <c r="E2137">
        <v>196576</v>
      </c>
      <c r="F2137" t="s">
        <v>279</v>
      </c>
      <c r="G2137" t="s">
        <v>29</v>
      </c>
      <c r="H2137">
        <v>4990</v>
      </c>
      <c r="I2137" t="s">
        <v>281</v>
      </c>
    </row>
    <row r="2138" spans="1:9" x14ac:dyDescent="0.25">
      <c r="A2138">
        <v>70375</v>
      </c>
      <c r="B2138" t="s">
        <v>226</v>
      </c>
      <c r="C2138" t="s">
        <v>238</v>
      </c>
      <c r="D2138">
        <v>4</v>
      </c>
      <c r="E2138">
        <v>196576</v>
      </c>
      <c r="F2138" t="s">
        <v>279</v>
      </c>
      <c r="G2138" t="s">
        <v>29</v>
      </c>
      <c r="H2138">
        <v>52366</v>
      </c>
      <c r="I2138" t="s">
        <v>282</v>
      </c>
    </row>
    <row r="2139" spans="1:9" x14ac:dyDescent="0.25">
      <c r="A2139">
        <v>70375</v>
      </c>
      <c r="B2139" t="s">
        <v>226</v>
      </c>
      <c r="C2139" t="s">
        <v>238</v>
      </c>
      <c r="D2139">
        <v>4</v>
      </c>
      <c r="E2139">
        <v>196576</v>
      </c>
      <c r="F2139" t="s">
        <v>279</v>
      </c>
      <c r="G2139" t="s">
        <v>35</v>
      </c>
      <c r="H2139">
        <v>75731</v>
      </c>
      <c r="I2139" t="s">
        <v>283</v>
      </c>
    </row>
    <row r="2140" spans="1:9" x14ac:dyDescent="0.25">
      <c r="A2140">
        <v>70375</v>
      </c>
      <c r="B2140" t="s">
        <v>226</v>
      </c>
      <c r="C2140" t="s">
        <v>238</v>
      </c>
      <c r="D2140">
        <v>4</v>
      </c>
      <c r="E2140">
        <v>196576</v>
      </c>
      <c r="F2140" t="s">
        <v>279</v>
      </c>
      <c r="G2140" t="s">
        <v>29</v>
      </c>
      <c r="H2140">
        <v>5309</v>
      </c>
      <c r="I2140" t="s">
        <v>284</v>
      </c>
    </row>
    <row r="2141" spans="1:9" x14ac:dyDescent="0.25">
      <c r="A2141">
        <v>70375</v>
      </c>
      <c r="B2141" t="s">
        <v>226</v>
      </c>
      <c r="C2141" t="s">
        <v>238</v>
      </c>
      <c r="D2141">
        <v>4</v>
      </c>
      <c r="E2141">
        <v>196576</v>
      </c>
      <c r="F2141" t="s">
        <v>279</v>
      </c>
      <c r="G2141" t="s">
        <v>29</v>
      </c>
      <c r="H2141">
        <v>33584</v>
      </c>
      <c r="I2141" t="s">
        <v>285</v>
      </c>
    </row>
    <row r="2142" spans="1:9" x14ac:dyDescent="0.25">
      <c r="A2142">
        <v>70375</v>
      </c>
      <c r="B2142" t="s">
        <v>226</v>
      </c>
      <c r="C2142" t="s">
        <v>238</v>
      </c>
      <c r="D2142">
        <v>4</v>
      </c>
      <c r="E2142">
        <v>196576</v>
      </c>
      <c r="F2142" t="s">
        <v>279</v>
      </c>
      <c r="G2142" t="s">
        <v>29</v>
      </c>
      <c r="H2142">
        <v>4195</v>
      </c>
      <c r="I2142" t="s">
        <v>286</v>
      </c>
    </row>
    <row r="2143" spans="1:9" x14ac:dyDescent="0.25">
      <c r="A2143">
        <v>70375</v>
      </c>
      <c r="B2143" t="s">
        <v>226</v>
      </c>
      <c r="C2143" t="s">
        <v>238</v>
      </c>
      <c r="D2143">
        <v>4</v>
      </c>
      <c r="E2143">
        <v>196576</v>
      </c>
      <c r="F2143" t="s">
        <v>279</v>
      </c>
      <c r="G2143" t="s">
        <v>29</v>
      </c>
      <c r="H2143">
        <v>0</v>
      </c>
      <c r="I2143" t="s">
        <v>327</v>
      </c>
    </row>
    <row r="2144" spans="1:9" x14ac:dyDescent="0.25">
      <c r="A2144">
        <v>70375</v>
      </c>
      <c r="B2144" t="s">
        <v>226</v>
      </c>
      <c r="C2144" t="s">
        <v>238</v>
      </c>
      <c r="D2144">
        <v>4</v>
      </c>
      <c r="E2144">
        <v>196576</v>
      </c>
      <c r="F2144" t="s">
        <v>279</v>
      </c>
      <c r="G2144" t="s">
        <v>34</v>
      </c>
      <c r="H2144">
        <v>9023</v>
      </c>
      <c r="I2144" t="s">
        <v>287</v>
      </c>
    </row>
    <row r="2145" spans="1:9" x14ac:dyDescent="0.25">
      <c r="A2145">
        <v>70375</v>
      </c>
      <c r="B2145" t="s">
        <v>226</v>
      </c>
      <c r="C2145" t="s">
        <v>238</v>
      </c>
      <c r="D2145">
        <v>4</v>
      </c>
      <c r="E2145">
        <v>196576</v>
      </c>
      <c r="F2145" t="s">
        <v>279</v>
      </c>
      <c r="G2145" t="s">
        <v>29</v>
      </c>
      <c r="H2145">
        <v>47292</v>
      </c>
      <c r="I2145" t="s">
        <v>288</v>
      </c>
    </row>
    <row r="2146" spans="1:9" x14ac:dyDescent="0.25">
      <c r="A2146">
        <v>70375</v>
      </c>
      <c r="B2146" t="s">
        <v>226</v>
      </c>
      <c r="C2146" t="s">
        <v>238</v>
      </c>
      <c r="D2146">
        <v>4</v>
      </c>
      <c r="E2146">
        <v>196576</v>
      </c>
      <c r="F2146" t="s">
        <v>279</v>
      </c>
      <c r="G2146" t="s">
        <v>34</v>
      </c>
      <c r="H2146">
        <v>10700</v>
      </c>
      <c r="I2146" t="s">
        <v>289</v>
      </c>
    </row>
    <row r="2147" spans="1:9" x14ac:dyDescent="0.25">
      <c r="A2147">
        <v>70375</v>
      </c>
      <c r="B2147" t="s">
        <v>226</v>
      </c>
      <c r="C2147" t="s">
        <v>238</v>
      </c>
      <c r="D2147">
        <v>4</v>
      </c>
      <c r="E2147">
        <v>196576</v>
      </c>
      <c r="F2147" t="s">
        <v>279</v>
      </c>
      <c r="G2147" t="s">
        <v>29</v>
      </c>
      <c r="H2147">
        <v>7209</v>
      </c>
      <c r="I2147" t="s">
        <v>290</v>
      </c>
    </row>
    <row r="2148" spans="1:9" x14ac:dyDescent="0.25">
      <c r="A2148">
        <v>70375</v>
      </c>
      <c r="B2148" t="s">
        <v>226</v>
      </c>
      <c r="C2148" t="s">
        <v>238</v>
      </c>
      <c r="D2148">
        <v>4</v>
      </c>
      <c r="E2148">
        <v>196576</v>
      </c>
      <c r="F2148" t="s">
        <v>279</v>
      </c>
      <c r="G2148" t="s">
        <v>32</v>
      </c>
      <c r="H2148">
        <v>60997</v>
      </c>
      <c r="I2148" t="s">
        <v>291</v>
      </c>
    </row>
    <row r="2149" spans="1:9" x14ac:dyDescent="0.25">
      <c r="A2149">
        <v>70375</v>
      </c>
      <c r="B2149" t="s">
        <v>226</v>
      </c>
      <c r="C2149" t="s">
        <v>238</v>
      </c>
      <c r="D2149">
        <v>4</v>
      </c>
      <c r="E2149">
        <v>196576</v>
      </c>
      <c r="F2149" t="s">
        <v>279</v>
      </c>
      <c r="G2149" t="s">
        <v>29</v>
      </c>
      <c r="H2149">
        <v>12641</v>
      </c>
      <c r="I2149" t="s">
        <v>292</v>
      </c>
    </row>
    <row r="2150" spans="1:9" x14ac:dyDescent="0.25">
      <c r="A2150">
        <v>70375</v>
      </c>
      <c r="B2150" t="s">
        <v>226</v>
      </c>
      <c r="C2150" t="s">
        <v>238</v>
      </c>
      <c r="D2150">
        <v>4</v>
      </c>
      <c r="E2150">
        <v>196576</v>
      </c>
      <c r="F2150" t="s">
        <v>279</v>
      </c>
      <c r="G2150" t="s">
        <v>29</v>
      </c>
      <c r="H2150">
        <v>0</v>
      </c>
      <c r="I2150" t="s">
        <v>384</v>
      </c>
    </row>
    <row r="2151" spans="1:9" x14ac:dyDescent="0.25">
      <c r="A2151">
        <v>70375</v>
      </c>
      <c r="B2151" t="s">
        <v>226</v>
      </c>
      <c r="C2151" t="s">
        <v>238</v>
      </c>
      <c r="D2151">
        <v>4</v>
      </c>
      <c r="E2151">
        <v>196576</v>
      </c>
      <c r="F2151" t="s">
        <v>279</v>
      </c>
      <c r="G2151" t="s">
        <v>35</v>
      </c>
      <c r="H2151">
        <v>5739</v>
      </c>
      <c r="I2151" t="s">
        <v>293</v>
      </c>
    </row>
    <row r="2152" spans="1:9" x14ac:dyDescent="0.25">
      <c r="A2152">
        <v>70375</v>
      </c>
      <c r="B2152" t="s">
        <v>226</v>
      </c>
      <c r="C2152" t="s">
        <v>238</v>
      </c>
      <c r="D2152">
        <v>4</v>
      </c>
      <c r="E2152">
        <v>196576</v>
      </c>
      <c r="F2152" t="s">
        <v>279</v>
      </c>
      <c r="G2152" t="s">
        <v>35</v>
      </c>
      <c r="H2152">
        <v>354</v>
      </c>
      <c r="I2152" t="s">
        <v>294</v>
      </c>
    </row>
    <row r="2153" spans="1:9" x14ac:dyDescent="0.25">
      <c r="A2153">
        <v>70375</v>
      </c>
      <c r="B2153" t="s">
        <v>226</v>
      </c>
      <c r="C2153" t="s">
        <v>238</v>
      </c>
      <c r="D2153">
        <v>4</v>
      </c>
      <c r="E2153">
        <v>196576</v>
      </c>
      <c r="F2153" t="s">
        <v>279</v>
      </c>
      <c r="G2153" t="s">
        <v>35</v>
      </c>
      <c r="H2153">
        <v>6978</v>
      </c>
      <c r="I2153" t="s">
        <v>295</v>
      </c>
    </row>
    <row r="2154" spans="1:9" x14ac:dyDescent="0.25">
      <c r="A2154">
        <v>70375</v>
      </c>
      <c r="B2154" t="s">
        <v>226</v>
      </c>
      <c r="C2154" t="s">
        <v>238</v>
      </c>
      <c r="D2154">
        <v>4</v>
      </c>
      <c r="E2154">
        <v>196576</v>
      </c>
      <c r="F2154" t="s">
        <v>279</v>
      </c>
      <c r="G2154" t="s">
        <v>35</v>
      </c>
      <c r="H2154">
        <v>1960</v>
      </c>
      <c r="I2154" t="s">
        <v>296</v>
      </c>
    </row>
    <row r="2155" spans="1:9" x14ac:dyDescent="0.25">
      <c r="A2155">
        <v>70375</v>
      </c>
      <c r="B2155" t="s">
        <v>226</v>
      </c>
      <c r="C2155" t="s">
        <v>238</v>
      </c>
      <c r="D2155">
        <v>4</v>
      </c>
      <c r="E2155">
        <v>196576</v>
      </c>
      <c r="F2155" t="s">
        <v>279</v>
      </c>
      <c r="G2155" t="s">
        <v>35</v>
      </c>
      <c r="H2155">
        <v>1659</v>
      </c>
      <c r="I2155" t="s">
        <v>325</v>
      </c>
    </row>
    <row r="2156" spans="1:9" x14ac:dyDescent="0.25">
      <c r="A2156">
        <v>70375</v>
      </c>
      <c r="B2156" t="s">
        <v>226</v>
      </c>
      <c r="C2156" t="s">
        <v>238</v>
      </c>
      <c r="D2156">
        <v>4</v>
      </c>
      <c r="E2156">
        <v>196576</v>
      </c>
      <c r="F2156" t="s">
        <v>279</v>
      </c>
      <c r="G2156" t="s">
        <v>29</v>
      </c>
      <c r="H2156">
        <v>4035</v>
      </c>
      <c r="I2156" t="s">
        <v>297</v>
      </c>
    </row>
    <row r="2157" spans="1:9" x14ac:dyDescent="0.25">
      <c r="A2157">
        <v>70375</v>
      </c>
      <c r="B2157" t="s">
        <v>226</v>
      </c>
      <c r="C2157" t="s">
        <v>238</v>
      </c>
      <c r="D2157">
        <v>4</v>
      </c>
      <c r="E2157">
        <v>196576</v>
      </c>
      <c r="F2157" t="s">
        <v>279</v>
      </c>
      <c r="G2157" t="s">
        <v>36</v>
      </c>
      <c r="H2157">
        <v>26197</v>
      </c>
      <c r="I2157" t="s">
        <v>298</v>
      </c>
    </row>
    <row r="2158" spans="1:9" x14ac:dyDescent="0.25">
      <c r="A2158">
        <v>70375</v>
      </c>
      <c r="B2158" t="s">
        <v>226</v>
      </c>
      <c r="C2158" t="s">
        <v>238</v>
      </c>
      <c r="D2158">
        <v>4</v>
      </c>
      <c r="E2158">
        <v>196576</v>
      </c>
      <c r="F2158" t="s">
        <v>274</v>
      </c>
      <c r="G2158" t="s">
        <v>275</v>
      </c>
      <c r="H2158">
        <v>255762</v>
      </c>
      <c r="I2158" t="s">
        <v>299</v>
      </c>
    </row>
    <row r="2159" spans="1:9" x14ac:dyDescent="0.25">
      <c r="A2159">
        <v>70375</v>
      </c>
      <c r="B2159" t="s">
        <v>226</v>
      </c>
      <c r="C2159" t="s">
        <v>238</v>
      </c>
      <c r="D2159">
        <v>4</v>
      </c>
      <c r="E2159">
        <v>196576</v>
      </c>
      <c r="F2159" t="s">
        <v>274</v>
      </c>
      <c r="G2159" t="s">
        <v>275</v>
      </c>
      <c r="H2159">
        <v>0</v>
      </c>
      <c r="I2159" t="s">
        <v>385</v>
      </c>
    </row>
    <row r="2160" spans="1:9" x14ac:dyDescent="0.25">
      <c r="A2160">
        <v>70375</v>
      </c>
      <c r="B2160" t="s">
        <v>226</v>
      </c>
      <c r="C2160" t="s">
        <v>238</v>
      </c>
      <c r="D2160">
        <v>4</v>
      </c>
      <c r="E2160">
        <v>196576</v>
      </c>
      <c r="F2160" t="s">
        <v>279</v>
      </c>
      <c r="G2160" t="s">
        <v>33</v>
      </c>
      <c r="H2160">
        <v>0</v>
      </c>
      <c r="I2160" t="s">
        <v>376</v>
      </c>
    </row>
    <row r="2161" spans="1:9" x14ac:dyDescent="0.25">
      <c r="A2161">
        <v>70375</v>
      </c>
      <c r="B2161" t="s">
        <v>226</v>
      </c>
      <c r="C2161" t="s">
        <v>238</v>
      </c>
      <c r="D2161">
        <v>4</v>
      </c>
      <c r="E2161">
        <v>196576</v>
      </c>
      <c r="F2161" t="s">
        <v>279</v>
      </c>
      <c r="G2161" t="s">
        <v>33</v>
      </c>
      <c r="H2161">
        <v>0</v>
      </c>
      <c r="I2161" t="s">
        <v>377</v>
      </c>
    </row>
    <row r="2162" spans="1:9" x14ac:dyDescent="0.25">
      <c r="A2162">
        <v>70375</v>
      </c>
      <c r="B2162" t="s">
        <v>226</v>
      </c>
      <c r="C2162" t="s">
        <v>238</v>
      </c>
      <c r="D2162">
        <v>4</v>
      </c>
      <c r="E2162">
        <v>196576</v>
      </c>
      <c r="F2162" t="s">
        <v>274</v>
      </c>
      <c r="G2162" t="s">
        <v>275</v>
      </c>
      <c r="H2162">
        <v>759753</v>
      </c>
      <c r="I2162" t="s">
        <v>318</v>
      </c>
    </row>
    <row r="2163" spans="1:9" x14ac:dyDescent="0.25">
      <c r="A2163">
        <v>70375</v>
      </c>
      <c r="B2163" t="s">
        <v>226</v>
      </c>
      <c r="C2163" t="s">
        <v>238</v>
      </c>
      <c r="D2163">
        <v>4</v>
      </c>
      <c r="E2163">
        <v>196576</v>
      </c>
      <c r="F2163" t="s">
        <v>274</v>
      </c>
      <c r="G2163" t="s">
        <v>300</v>
      </c>
      <c r="H2163">
        <v>17086</v>
      </c>
      <c r="I2163" t="s">
        <v>301</v>
      </c>
    </row>
    <row r="2164" spans="1:9" x14ac:dyDescent="0.25">
      <c r="A2164">
        <v>70375</v>
      </c>
      <c r="B2164" t="s">
        <v>226</v>
      </c>
      <c r="C2164" t="s">
        <v>238</v>
      </c>
      <c r="D2164">
        <v>4</v>
      </c>
      <c r="E2164">
        <v>196576</v>
      </c>
      <c r="F2164" t="s">
        <v>274</v>
      </c>
      <c r="G2164" t="s">
        <v>275</v>
      </c>
      <c r="H2164">
        <v>-20755</v>
      </c>
      <c r="I2164" t="s">
        <v>302</v>
      </c>
    </row>
    <row r="2165" spans="1:9" x14ac:dyDescent="0.25">
      <c r="A2165">
        <v>70375</v>
      </c>
      <c r="B2165" t="s">
        <v>226</v>
      </c>
      <c r="C2165" t="s">
        <v>238</v>
      </c>
      <c r="D2165">
        <v>4</v>
      </c>
      <c r="E2165">
        <v>196576</v>
      </c>
      <c r="F2165" t="s">
        <v>279</v>
      </c>
      <c r="G2165" t="s">
        <v>30</v>
      </c>
      <c r="H2165">
        <v>65744</v>
      </c>
      <c r="I2165" t="s">
        <v>303</v>
      </c>
    </row>
    <row r="2166" spans="1:9" x14ac:dyDescent="0.25">
      <c r="A2166">
        <v>70375</v>
      </c>
      <c r="B2166" t="s">
        <v>226</v>
      </c>
      <c r="C2166" t="s">
        <v>238</v>
      </c>
      <c r="D2166">
        <v>4</v>
      </c>
      <c r="E2166">
        <v>196576</v>
      </c>
      <c r="F2166" t="s">
        <v>279</v>
      </c>
      <c r="G2166" t="s">
        <v>35</v>
      </c>
      <c r="H2166">
        <v>10619</v>
      </c>
      <c r="I2166" t="s">
        <v>304</v>
      </c>
    </row>
    <row r="2167" spans="1:9" x14ac:dyDescent="0.25">
      <c r="A2167">
        <v>70375</v>
      </c>
      <c r="B2167" t="s">
        <v>226</v>
      </c>
      <c r="C2167" t="s">
        <v>238</v>
      </c>
      <c r="D2167">
        <v>4</v>
      </c>
      <c r="E2167">
        <v>196576</v>
      </c>
      <c r="F2167" t="s">
        <v>279</v>
      </c>
      <c r="G2167" t="s">
        <v>31</v>
      </c>
      <c r="H2167">
        <v>175655</v>
      </c>
      <c r="I2167" t="s">
        <v>305</v>
      </c>
    </row>
    <row r="2168" spans="1:9" x14ac:dyDescent="0.25">
      <c r="A2168">
        <v>70375</v>
      </c>
      <c r="B2168" t="s">
        <v>226</v>
      </c>
      <c r="C2168" t="s">
        <v>238</v>
      </c>
      <c r="D2168">
        <v>4</v>
      </c>
      <c r="E2168">
        <v>196576</v>
      </c>
      <c r="F2168" t="s">
        <v>279</v>
      </c>
      <c r="G2168" t="s">
        <v>33</v>
      </c>
      <c r="H2168">
        <v>0</v>
      </c>
      <c r="I2168" t="s">
        <v>320</v>
      </c>
    </row>
    <row r="2169" spans="1:9" x14ac:dyDescent="0.25">
      <c r="A2169">
        <v>70375</v>
      </c>
      <c r="B2169" t="s">
        <v>226</v>
      </c>
      <c r="C2169" t="s">
        <v>238</v>
      </c>
      <c r="D2169">
        <v>4</v>
      </c>
      <c r="E2169">
        <v>196576</v>
      </c>
      <c r="F2169" t="s">
        <v>279</v>
      </c>
      <c r="G2169" t="s">
        <v>33</v>
      </c>
      <c r="H2169">
        <v>0</v>
      </c>
      <c r="I2169" t="s">
        <v>306</v>
      </c>
    </row>
    <row r="2170" spans="1:9" x14ac:dyDescent="0.25">
      <c r="A2170">
        <v>70375</v>
      </c>
      <c r="B2170" t="s">
        <v>226</v>
      </c>
      <c r="C2170" t="s">
        <v>238</v>
      </c>
      <c r="D2170">
        <v>4</v>
      </c>
      <c r="E2170">
        <v>196576</v>
      </c>
      <c r="F2170" t="s">
        <v>279</v>
      </c>
      <c r="G2170" t="s">
        <v>33</v>
      </c>
      <c r="H2170">
        <v>0</v>
      </c>
      <c r="I2170" t="s">
        <v>378</v>
      </c>
    </row>
    <row r="2171" spans="1:9" x14ac:dyDescent="0.25">
      <c r="A2171">
        <v>70375</v>
      </c>
      <c r="B2171" t="s">
        <v>226</v>
      </c>
      <c r="C2171" t="s">
        <v>238</v>
      </c>
      <c r="D2171">
        <v>4</v>
      </c>
      <c r="E2171">
        <v>196576</v>
      </c>
      <c r="F2171" t="s">
        <v>279</v>
      </c>
      <c r="G2171" t="s">
        <v>31</v>
      </c>
      <c r="H2171">
        <v>3727</v>
      </c>
      <c r="I2171" t="s">
        <v>307</v>
      </c>
    </row>
    <row r="2172" spans="1:9" x14ac:dyDescent="0.25">
      <c r="A2172">
        <v>70375</v>
      </c>
      <c r="B2172" t="s">
        <v>226</v>
      </c>
      <c r="C2172" t="s">
        <v>238</v>
      </c>
      <c r="D2172">
        <v>4</v>
      </c>
      <c r="E2172">
        <v>196576</v>
      </c>
      <c r="F2172" t="s">
        <v>279</v>
      </c>
      <c r="G2172" t="s">
        <v>31</v>
      </c>
      <c r="H2172">
        <v>0</v>
      </c>
      <c r="I2172" t="s">
        <v>379</v>
      </c>
    </row>
    <row r="2173" spans="1:9" x14ac:dyDescent="0.25">
      <c r="A2173">
        <v>70375</v>
      </c>
      <c r="B2173" t="s">
        <v>226</v>
      </c>
      <c r="C2173" t="s">
        <v>238</v>
      </c>
      <c r="D2173">
        <v>4</v>
      </c>
      <c r="E2173">
        <v>196576</v>
      </c>
      <c r="F2173" t="s">
        <v>279</v>
      </c>
      <c r="G2173" t="s">
        <v>30</v>
      </c>
      <c r="H2173">
        <v>27132</v>
      </c>
      <c r="I2173" t="s">
        <v>308</v>
      </c>
    </row>
    <row r="2174" spans="1:9" x14ac:dyDescent="0.25">
      <c r="A2174">
        <v>70375</v>
      </c>
      <c r="B2174" t="s">
        <v>226</v>
      </c>
      <c r="C2174" t="s">
        <v>238</v>
      </c>
      <c r="D2174">
        <v>4</v>
      </c>
      <c r="E2174">
        <v>196576</v>
      </c>
      <c r="F2174" t="s">
        <v>279</v>
      </c>
      <c r="G2174" t="s">
        <v>35</v>
      </c>
      <c r="H2174">
        <v>1519</v>
      </c>
      <c r="I2174" t="s">
        <v>321</v>
      </c>
    </row>
    <row r="2175" spans="1:9" x14ac:dyDescent="0.25">
      <c r="A2175">
        <v>70375</v>
      </c>
      <c r="B2175" t="s">
        <v>226</v>
      </c>
      <c r="C2175" t="s">
        <v>238</v>
      </c>
      <c r="D2175">
        <v>4</v>
      </c>
      <c r="E2175">
        <v>196576</v>
      </c>
      <c r="F2175" t="s">
        <v>279</v>
      </c>
      <c r="G2175" t="s">
        <v>33</v>
      </c>
      <c r="H2175">
        <v>0</v>
      </c>
      <c r="I2175" t="s">
        <v>380</v>
      </c>
    </row>
    <row r="2176" spans="1:9" x14ac:dyDescent="0.25">
      <c r="A2176">
        <v>70375</v>
      </c>
      <c r="B2176" t="s">
        <v>226</v>
      </c>
      <c r="C2176" t="s">
        <v>238</v>
      </c>
      <c r="D2176">
        <v>4</v>
      </c>
      <c r="E2176">
        <v>196576</v>
      </c>
      <c r="F2176" t="s">
        <v>279</v>
      </c>
      <c r="G2176" t="s">
        <v>35</v>
      </c>
      <c r="H2176">
        <v>1153</v>
      </c>
      <c r="I2176" t="s">
        <v>309</v>
      </c>
    </row>
    <row r="2177" spans="1:9" x14ac:dyDescent="0.25">
      <c r="A2177">
        <v>70375</v>
      </c>
      <c r="B2177" t="s">
        <v>226</v>
      </c>
      <c r="C2177" t="s">
        <v>238</v>
      </c>
      <c r="D2177">
        <v>4</v>
      </c>
      <c r="E2177">
        <v>196576</v>
      </c>
      <c r="F2177" t="s">
        <v>279</v>
      </c>
      <c r="G2177" t="s">
        <v>35</v>
      </c>
      <c r="H2177">
        <v>2166</v>
      </c>
      <c r="I2177" t="s">
        <v>310</v>
      </c>
    </row>
    <row r="2178" spans="1:9" x14ac:dyDescent="0.25">
      <c r="A2178">
        <v>70375</v>
      </c>
      <c r="B2178" t="s">
        <v>226</v>
      </c>
      <c r="C2178" t="s">
        <v>238</v>
      </c>
      <c r="D2178">
        <v>4</v>
      </c>
      <c r="E2178">
        <v>196576</v>
      </c>
      <c r="F2178" t="s">
        <v>279</v>
      </c>
      <c r="G2178" t="s">
        <v>35</v>
      </c>
      <c r="H2178">
        <v>10068</v>
      </c>
      <c r="I2178" t="s">
        <v>311</v>
      </c>
    </row>
    <row r="2179" spans="1:9" x14ac:dyDescent="0.25">
      <c r="A2179">
        <v>70375</v>
      </c>
      <c r="B2179" t="s">
        <v>226</v>
      </c>
      <c r="C2179" t="s">
        <v>238</v>
      </c>
      <c r="D2179">
        <v>4</v>
      </c>
      <c r="E2179">
        <v>196576</v>
      </c>
      <c r="F2179" t="s">
        <v>279</v>
      </c>
      <c r="G2179" t="s">
        <v>35</v>
      </c>
      <c r="H2179">
        <v>49</v>
      </c>
      <c r="I2179" t="s">
        <v>312</v>
      </c>
    </row>
    <row r="2180" spans="1:9" x14ac:dyDescent="0.25">
      <c r="A2180">
        <v>70375</v>
      </c>
      <c r="B2180" t="s">
        <v>226</v>
      </c>
      <c r="C2180" t="s">
        <v>238</v>
      </c>
      <c r="D2180">
        <v>4</v>
      </c>
      <c r="E2180">
        <v>196576</v>
      </c>
      <c r="F2180" t="s">
        <v>279</v>
      </c>
      <c r="G2180" t="s">
        <v>35</v>
      </c>
      <c r="H2180">
        <v>1425</v>
      </c>
      <c r="I2180" t="s">
        <v>313</v>
      </c>
    </row>
    <row r="2181" spans="1:9" x14ac:dyDescent="0.25">
      <c r="A2181">
        <v>70375</v>
      </c>
      <c r="B2181" t="s">
        <v>226</v>
      </c>
      <c r="C2181" t="s">
        <v>238</v>
      </c>
      <c r="D2181">
        <v>4</v>
      </c>
      <c r="E2181">
        <v>196576</v>
      </c>
      <c r="F2181" t="s">
        <v>279</v>
      </c>
      <c r="G2181" t="s">
        <v>37</v>
      </c>
      <c r="H2181">
        <v>0</v>
      </c>
      <c r="I2181" t="s">
        <v>381</v>
      </c>
    </row>
    <row r="2182" spans="1:9" x14ac:dyDescent="0.25">
      <c r="A2182">
        <v>70375</v>
      </c>
      <c r="B2182" t="s">
        <v>226</v>
      </c>
      <c r="C2182" t="s">
        <v>238</v>
      </c>
      <c r="D2182">
        <v>4</v>
      </c>
      <c r="E2182">
        <v>196576</v>
      </c>
      <c r="F2182" t="s">
        <v>279</v>
      </c>
      <c r="G2182" t="s">
        <v>37</v>
      </c>
      <c r="H2182">
        <v>32943</v>
      </c>
      <c r="I2182" t="s">
        <v>314</v>
      </c>
    </row>
    <row r="2183" spans="1:9" x14ac:dyDescent="0.25">
      <c r="A2183">
        <v>70375</v>
      </c>
      <c r="B2183" t="s">
        <v>226</v>
      </c>
      <c r="C2183" t="s">
        <v>238</v>
      </c>
      <c r="D2183">
        <v>4</v>
      </c>
      <c r="E2183">
        <v>196576</v>
      </c>
      <c r="F2183" t="s">
        <v>279</v>
      </c>
      <c r="G2183" t="s">
        <v>35</v>
      </c>
      <c r="H2183">
        <v>4809</v>
      </c>
      <c r="I2183" t="s">
        <v>315</v>
      </c>
    </row>
    <row r="2184" spans="1:9" x14ac:dyDescent="0.25">
      <c r="A2184">
        <v>70375</v>
      </c>
      <c r="B2184" t="s">
        <v>226</v>
      </c>
      <c r="C2184" t="s">
        <v>238</v>
      </c>
      <c r="D2184">
        <v>4</v>
      </c>
      <c r="E2184">
        <v>196576</v>
      </c>
      <c r="F2184" t="s">
        <v>279</v>
      </c>
      <c r="G2184" t="s">
        <v>37</v>
      </c>
      <c r="H2184">
        <v>1478</v>
      </c>
      <c r="I2184" t="s">
        <v>323</v>
      </c>
    </row>
    <row r="2185" spans="1:9" x14ac:dyDescent="0.25">
      <c r="A2185">
        <v>70375</v>
      </c>
      <c r="B2185" t="s">
        <v>226</v>
      </c>
      <c r="C2185" t="s">
        <v>238</v>
      </c>
      <c r="D2185">
        <v>4</v>
      </c>
      <c r="E2185">
        <v>196576</v>
      </c>
      <c r="F2185" t="s">
        <v>279</v>
      </c>
      <c r="G2185" t="s">
        <v>37</v>
      </c>
      <c r="H2185">
        <v>0</v>
      </c>
      <c r="I2185" t="s">
        <v>322</v>
      </c>
    </row>
    <row r="2186" spans="1:9" x14ac:dyDescent="0.25">
      <c r="A2186">
        <v>70375</v>
      </c>
      <c r="B2186" t="s">
        <v>226</v>
      </c>
      <c r="C2186" t="s">
        <v>238</v>
      </c>
      <c r="D2186">
        <v>4</v>
      </c>
      <c r="E2186">
        <v>196576</v>
      </c>
      <c r="F2186" t="s">
        <v>279</v>
      </c>
      <c r="G2186" t="s">
        <v>37</v>
      </c>
      <c r="H2186">
        <v>0</v>
      </c>
      <c r="I2186" t="s">
        <v>382</v>
      </c>
    </row>
    <row r="2187" spans="1:9" x14ac:dyDescent="0.25">
      <c r="A2187">
        <v>70375</v>
      </c>
      <c r="B2187" t="s">
        <v>226</v>
      </c>
      <c r="C2187" t="s">
        <v>238</v>
      </c>
      <c r="D2187">
        <v>4</v>
      </c>
      <c r="E2187">
        <v>196576</v>
      </c>
      <c r="F2187" t="s">
        <v>279</v>
      </c>
      <c r="G2187" t="s">
        <v>37</v>
      </c>
      <c r="H2187">
        <v>7621</v>
      </c>
      <c r="I2187" t="s">
        <v>316</v>
      </c>
    </row>
    <row r="2188" spans="1:9" x14ac:dyDescent="0.25">
      <c r="A2188">
        <v>70375</v>
      </c>
      <c r="B2188" t="s">
        <v>226</v>
      </c>
      <c r="C2188" t="s">
        <v>238</v>
      </c>
      <c r="D2188">
        <v>4</v>
      </c>
      <c r="E2188">
        <v>196576</v>
      </c>
      <c r="F2188" t="s">
        <v>279</v>
      </c>
      <c r="G2188" t="s">
        <v>36</v>
      </c>
      <c r="H2188">
        <v>57377</v>
      </c>
      <c r="I2188" t="s">
        <v>317</v>
      </c>
    </row>
    <row r="2189" spans="1:9" x14ac:dyDescent="0.25">
      <c r="A2189">
        <v>70375</v>
      </c>
      <c r="B2189" t="s">
        <v>226</v>
      </c>
      <c r="C2189" t="s">
        <v>238</v>
      </c>
      <c r="D2189">
        <v>4</v>
      </c>
      <c r="E2189">
        <v>196576</v>
      </c>
      <c r="F2189" t="s">
        <v>274</v>
      </c>
      <c r="G2189" t="s">
        <v>275</v>
      </c>
      <c r="H2189">
        <v>0</v>
      </c>
      <c r="I2189" t="s">
        <v>276</v>
      </c>
    </row>
    <row r="2190" spans="1:9" x14ac:dyDescent="0.25">
      <c r="A2190">
        <v>70375</v>
      </c>
      <c r="B2190" t="s">
        <v>226</v>
      </c>
      <c r="C2190" t="s">
        <v>238</v>
      </c>
      <c r="D2190">
        <v>4</v>
      </c>
      <c r="E2190">
        <v>196576</v>
      </c>
      <c r="F2190" t="s">
        <v>279</v>
      </c>
      <c r="G2190" t="s">
        <v>29</v>
      </c>
      <c r="H2190">
        <v>0</v>
      </c>
      <c r="I2190" t="s">
        <v>324</v>
      </c>
    </row>
    <row r="2191" spans="1:9" x14ac:dyDescent="0.25">
      <c r="A2191">
        <v>70375</v>
      </c>
      <c r="B2191" t="s">
        <v>226</v>
      </c>
      <c r="C2191" t="s">
        <v>238</v>
      </c>
      <c r="D2191">
        <v>4</v>
      </c>
      <c r="E2191">
        <v>196576</v>
      </c>
      <c r="F2191" t="s">
        <v>274</v>
      </c>
      <c r="G2191" t="s">
        <v>277</v>
      </c>
      <c r="H2191">
        <v>453</v>
      </c>
      <c r="I2191" t="s">
        <v>278</v>
      </c>
    </row>
    <row r="2192" spans="1:9" x14ac:dyDescent="0.25">
      <c r="A2192">
        <v>70376</v>
      </c>
      <c r="B2192" t="s">
        <v>228</v>
      </c>
      <c r="C2192" t="s">
        <v>238</v>
      </c>
      <c r="D2192">
        <v>4</v>
      </c>
      <c r="E2192">
        <v>-55470</v>
      </c>
      <c r="F2192" t="s">
        <v>279</v>
      </c>
      <c r="G2192" t="s">
        <v>31</v>
      </c>
      <c r="H2192">
        <v>0</v>
      </c>
      <c r="I2192" t="s">
        <v>365</v>
      </c>
    </row>
    <row r="2193" spans="1:9" x14ac:dyDescent="0.25">
      <c r="A2193">
        <v>70376</v>
      </c>
      <c r="B2193" t="s">
        <v>228</v>
      </c>
      <c r="C2193" t="s">
        <v>238</v>
      </c>
      <c r="D2193">
        <v>4</v>
      </c>
      <c r="E2193">
        <v>-55470</v>
      </c>
      <c r="F2193" t="s">
        <v>279</v>
      </c>
      <c r="G2193" t="s">
        <v>31</v>
      </c>
      <c r="H2193">
        <v>0</v>
      </c>
      <c r="I2193" t="s">
        <v>366</v>
      </c>
    </row>
    <row r="2194" spans="1:9" x14ac:dyDescent="0.25">
      <c r="A2194">
        <v>70376</v>
      </c>
      <c r="B2194" t="s">
        <v>228</v>
      </c>
      <c r="C2194" t="s">
        <v>238</v>
      </c>
      <c r="D2194">
        <v>4</v>
      </c>
      <c r="E2194">
        <v>-55470</v>
      </c>
      <c r="F2194" t="s">
        <v>279</v>
      </c>
      <c r="G2194" t="s">
        <v>31</v>
      </c>
      <c r="H2194">
        <v>0</v>
      </c>
      <c r="I2194" t="s">
        <v>367</v>
      </c>
    </row>
    <row r="2195" spans="1:9" x14ac:dyDescent="0.25">
      <c r="A2195">
        <v>70376</v>
      </c>
      <c r="B2195" t="s">
        <v>228</v>
      </c>
      <c r="C2195" t="s">
        <v>238</v>
      </c>
      <c r="D2195">
        <v>4</v>
      </c>
      <c r="E2195">
        <v>-55470</v>
      </c>
      <c r="F2195" t="s">
        <v>279</v>
      </c>
      <c r="G2195" t="s">
        <v>31</v>
      </c>
      <c r="H2195">
        <v>0</v>
      </c>
      <c r="I2195" t="s">
        <v>368</v>
      </c>
    </row>
    <row r="2196" spans="1:9" x14ac:dyDescent="0.25">
      <c r="A2196">
        <v>70376</v>
      </c>
      <c r="B2196" t="s">
        <v>228</v>
      </c>
      <c r="C2196" t="s">
        <v>238</v>
      </c>
      <c r="D2196">
        <v>4</v>
      </c>
      <c r="E2196">
        <v>-55470</v>
      </c>
      <c r="F2196" t="s">
        <v>279</v>
      </c>
      <c r="G2196" t="s">
        <v>31</v>
      </c>
      <c r="H2196">
        <v>0</v>
      </c>
      <c r="I2196" t="s">
        <v>369</v>
      </c>
    </row>
    <row r="2197" spans="1:9" x14ac:dyDescent="0.25">
      <c r="A2197">
        <v>70376</v>
      </c>
      <c r="B2197" t="s">
        <v>228</v>
      </c>
      <c r="C2197" t="s">
        <v>238</v>
      </c>
      <c r="D2197">
        <v>4</v>
      </c>
      <c r="E2197">
        <v>-55470</v>
      </c>
      <c r="F2197" t="s">
        <v>279</v>
      </c>
      <c r="G2197" t="s">
        <v>31</v>
      </c>
      <c r="H2197">
        <v>0</v>
      </c>
      <c r="I2197" t="s">
        <v>370</v>
      </c>
    </row>
    <row r="2198" spans="1:9" x14ac:dyDescent="0.25">
      <c r="A2198">
        <v>70376</v>
      </c>
      <c r="B2198" t="s">
        <v>228</v>
      </c>
      <c r="C2198" t="s">
        <v>238</v>
      </c>
      <c r="D2198">
        <v>4</v>
      </c>
      <c r="E2198">
        <v>-55470</v>
      </c>
      <c r="F2198" t="s">
        <v>279</v>
      </c>
      <c r="G2198" t="s">
        <v>31</v>
      </c>
      <c r="H2198">
        <v>0</v>
      </c>
      <c r="I2198" t="s">
        <v>371</v>
      </c>
    </row>
    <row r="2199" spans="1:9" x14ac:dyDescent="0.25">
      <c r="A2199">
        <v>70376</v>
      </c>
      <c r="B2199" t="s">
        <v>228</v>
      </c>
      <c r="C2199" t="s">
        <v>238</v>
      </c>
      <c r="D2199">
        <v>4</v>
      </c>
      <c r="E2199">
        <v>-55470</v>
      </c>
      <c r="F2199" t="s">
        <v>279</v>
      </c>
      <c r="G2199" t="s">
        <v>31</v>
      </c>
      <c r="H2199">
        <v>0</v>
      </c>
      <c r="I2199" t="s">
        <v>328</v>
      </c>
    </row>
    <row r="2200" spans="1:9" x14ac:dyDescent="0.25">
      <c r="A2200">
        <v>70376</v>
      </c>
      <c r="B2200" t="s">
        <v>228</v>
      </c>
      <c r="C2200" t="s">
        <v>238</v>
      </c>
      <c r="D2200">
        <v>4</v>
      </c>
      <c r="E2200">
        <v>-55470</v>
      </c>
      <c r="F2200" t="s">
        <v>279</v>
      </c>
      <c r="G2200" t="s">
        <v>33</v>
      </c>
      <c r="H2200">
        <v>0</v>
      </c>
      <c r="I2200" t="s">
        <v>372</v>
      </c>
    </row>
    <row r="2201" spans="1:9" x14ac:dyDescent="0.25">
      <c r="A2201">
        <v>70376</v>
      </c>
      <c r="B2201" t="s">
        <v>228</v>
      </c>
      <c r="C2201" t="s">
        <v>238</v>
      </c>
      <c r="D2201">
        <v>4</v>
      </c>
      <c r="E2201">
        <v>-55470</v>
      </c>
      <c r="F2201" t="s">
        <v>279</v>
      </c>
      <c r="G2201" t="s">
        <v>33</v>
      </c>
      <c r="H2201">
        <v>0</v>
      </c>
      <c r="I2201" t="s">
        <v>329</v>
      </c>
    </row>
    <row r="2202" spans="1:9" x14ac:dyDescent="0.25">
      <c r="A2202">
        <v>70376</v>
      </c>
      <c r="B2202" t="s">
        <v>228</v>
      </c>
      <c r="C2202" t="s">
        <v>238</v>
      </c>
      <c r="D2202">
        <v>4</v>
      </c>
      <c r="E2202">
        <v>-55470</v>
      </c>
      <c r="F2202" t="s">
        <v>279</v>
      </c>
      <c r="G2202" t="s">
        <v>33</v>
      </c>
      <c r="H2202">
        <v>67196</v>
      </c>
      <c r="I2202" t="s">
        <v>319</v>
      </c>
    </row>
    <row r="2203" spans="1:9" x14ac:dyDescent="0.25">
      <c r="A2203">
        <v>70376</v>
      </c>
      <c r="B2203" t="s">
        <v>228</v>
      </c>
      <c r="C2203" t="s">
        <v>238</v>
      </c>
      <c r="D2203">
        <v>4</v>
      </c>
      <c r="E2203">
        <v>-55470</v>
      </c>
      <c r="F2203" t="s">
        <v>279</v>
      </c>
      <c r="G2203" t="s">
        <v>33</v>
      </c>
      <c r="H2203">
        <v>0</v>
      </c>
      <c r="I2203" t="s">
        <v>373</v>
      </c>
    </row>
    <row r="2204" spans="1:9" x14ac:dyDescent="0.25">
      <c r="A2204">
        <v>70376</v>
      </c>
      <c r="B2204" t="s">
        <v>228</v>
      </c>
      <c r="C2204" t="s">
        <v>238</v>
      </c>
      <c r="D2204">
        <v>4</v>
      </c>
      <c r="E2204">
        <v>-55470</v>
      </c>
      <c r="F2204" t="s">
        <v>279</v>
      </c>
      <c r="G2204" t="s">
        <v>33</v>
      </c>
      <c r="H2204">
        <v>0</v>
      </c>
      <c r="I2204" t="s">
        <v>374</v>
      </c>
    </row>
    <row r="2205" spans="1:9" x14ac:dyDescent="0.25">
      <c r="A2205">
        <v>70376</v>
      </c>
      <c r="B2205" t="s">
        <v>228</v>
      </c>
      <c r="C2205" t="s">
        <v>238</v>
      </c>
      <c r="D2205">
        <v>4</v>
      </c>
      <c r="E2205">
        <v>-55470</v>
      </c>
      <c r="F2205" t="s">
        <v>279</v>
      </c>
      <c r="G2205" t="s">
        <v>33</v>
      </c>
      <c r="H2205">
        <v>0</v>
      </c>
      <c r="I2205" t="s">
        <v>326</v>
      </c>
    </row>
    <row r="2206" spans="1:9" x14ac:dyDescent="0.25">
      <c r="A2206">
        <v>70376</v>
      </c>
      <c r="B2206" t="s">
        <v>228</v>
      </c>
      <c r="C2206" t="s">
        <v>238</v>
      </c>
      <c r="D2206">
        <v>4</v>
      </c>
      <c r="E2206">
        <v>-55470</v>
      </c>
      <c r="F2206" t="s">
        <v>279</v>
      </c>
      <c r="G2206" t="s">
        <v>33</v>
      </c>
      <c r="H2206">
        <v>0</v>
      </c>
      <c r="I2206" t="s">
        <v>375</v>
      </c>
    </row>
    <row r="2207" spans="1:9" x14ac:dyDescent="0.25">
      <c r="A2207">
        <v>70376</v>
      </c>
      <c r="B2207" t="s">
        <v>228</v>
      </c>
      <c r="C2207" t="s">
        <v>238</v>
      </c>
      <c r="D2207">
        <v>4</v>
      </c>
      <c r="E2207">
        <v>-55470</v>
      </c>
      <c r="F2207" t="s">
        <v>279</v>
      </c>
      <c r="G2207" t="s">
        <v>33</v>
      </c>
      <c r="H2207">
        <v>0</v>
      </c>
      <c r="I2207" t="s">
        <v>376</v>
      </c>
    </row>
    <row r="2208" spans="1:9" x14ac:dyDescent="0.25">
      <c r="A2208">
        <v>70376</v>
      </c>
      <c r="B2208" t="s">
        <v>228</v>
      </c>
      <c r="C2208" t="s">
        <v>238</v>
      </c>
      <c r="D2208">
        <v>4</v>
      </c>
      <c r="E2208">
        <v>-55470</v>
      </c>
      <c r="F2208" t="s">
        <v>279</v>
      </c>
      <c r="G2208" t="s">
        <v>33</v>
      </c>
      <c r="H2208">
        <v>0</v>
      </c>
      <c r="I2208" t="s">
        <v>377</v>
      </c>
    </row>
    <row r="2209" spans="1:9" x14ac:dyDescent="0.25">
      <c r="A2209">
        <v>70376</v>
      </c>
      <c r="B2209" t="s">
        <v>228</v>
      </c>
      <c r="C2209" t="s">
        <v>238</v>
      </c>
      <c r="D2209">
        <v>4</v>
      </c>
      <c r="E2209">
        <v>-55470</v>
      </c>
      <c r="F2209" t="s">
        <v>274</v>
      </c>
      <c r="G2209" t="s">
        <v>275</v>
      </c>
      <c r="H2209">
        <v>805519</v>
      </c>
      <c r="I2209" t="s">
        <v>318</v>
      </c>
    </row>
    <row r="2210" spans="1:9" x14ac:dyDescent="0.25">
      <c r="A2210">
        <v>70376</v>
      </c>
      <c r="B2210" t="s">
        <v>228</v>
      </c>
      <c r="C2210" t="s">
        <v>238</v>
      </c>
      <c r="D2210">
        <v>4</v>
      </c>
      <c r="E2210">
        <v>-55470</v>
      </c>
      <c r="F2210" t="s">
        <v>274</v>
      </c>
      <c r="G2210" t="s">
        <v>300</v>
      </c>
      <c r="H2210">
        <v>20006</v>
      </c>
      <c r="I2210" t="s">
        <v>301</v>
      </c>
    </row>
    <row r="2211" spans="1:9" x14ac:dyDescent="0.25">
      <c r="A2211">
        <v>70376</v>
      </c>
      <c r="B2211" t="s">
        <v>228</v>
      </c>
      <c r="C2211" t="s">
        <v>238</v>
      </c>
      <c r="D2211">
        <v>4</v>
      </c>
      <c r="E2211">
        <v>-55470</v>
      </c>
      <c r="F2211" t="s">
        <v>274</v>
      </c>
      <c r="G2211" t="s">
        <v>275</v>
      </c>
      <c r="H2211">
        <v>-21911</v>
      </c>
      <c r="I2211" t="s">
        <v>302</v>
      </c>
    </row>
    <row r="2212" spans="1:9" x14ac:dyDescent="0.25">
      <c r="A2212">
        <v>70376</v>
      </c>
      <c r="B2212" t="s">
        <v>228</v>
      </c>
      <c r="C2212" t="s">
        <v>238</v>
      </c>
      <c r="D2212">
        <v>4</v>
      </c>
      <c r="E2212">
        <v>-55470</v>
      </c>
      <c r="F2212" t="s">
        <v>279</v>
      </c>
      <c r="G2212" t="s">
        <v>30</v>
      </c>
      <c r="H2212">
        <v>290474</v>
      </c>
      <c r="I2212" t="s">
        <v>303</v>
      </c>
    </row>
    <row r="2213" spans="1:9" x14ac:dyDescent="0.25">
      <c r="A2213">
        <v>70376</v>
      </c>
      <c r="B2213" t="s">
        <v>228</v>
      </c>
      <c r="C2213" t="s">
        <v>238</v>
      </c>
      <c r="D2213">
        <v>4</v>
      </c>
      <c r="E2213">
        <v>-55470</v>
      </c>
      <c r="F2213" t="s">
        <v>279</v>
      </c>
      <c r="G2213" t="s">
        <v>35</v>
      </c>
      <c r="H2213">
        <v>6938</v>
      </c>
      <c r="I2213" t="s">
        <v>304</v>
      </c>
    </row>
    <row r="2214" spans="1:9" x14ac:dyDescent="0.25">
      <c r="A2214">
        <v>70376</v>
      </c>
      <c r="B2214" t="s">
        <v>228</v>
      </c>
      <c r="C2214" t="s">
        <v>238</v>
      </c>
      <c r="D2214">
        <v>4</v>
      </c>
      <c r="E2214">
        <v>-55470</v>
      </c>
      <c r="F2214" t="s">
        <v>279</v>
      </c>
      <c r="G2214" t="s">
        <v>31</v>
      </c>
      <c r="H2214">
        <v>204990</v>
      </c>
      <c r="I2214" t="s">
        <v>305</v>
      </c>
    </row>
    <row r="2215" spans="1:9" x14ac:dyDescent="0.25">
      <c r="A2215">
        <v>70376</v>
      </c>
      <c r="B2215" t="s">
        <v>228</v>
      </c>
      <c r="C2215" t="s">
        <v>238</v>
      </c>
      <c r="D2215">
        <v>4</v>
      </c>
      <c r="E2215">
        <v>-55470</v>
      </c>
      <c r="F2215" t="s">
        <v>279</v>
      </c>
      <c r="G2215" t="s">
        <v>33</v>
      </c>
      <c r="H2215">
        <v>4031</v>
      </c>
      <c r="I2215" t="s">
        <v>320</v>
      </c>
    </row>
    <row r="2216" spans="1:9" x14ac:dyDescent="0.25">
      <c r="A2216">
        <v>70376</v>
      </c>
      <c r="B2216" t="s">
        <v>228</v>
      </c>
      <c r="C2216" t="s">
        <v>238</v>
      </c>
      <c r="D2216">
        <v>4</v>
      </c>
      <c r="E2216">
        <v>-55470</v>
      </c>
      <c r="F2216" t="s">
        <v>279</v>
      </c>
      <c r="G2216" t="s">
        <v>33</v>
      </c>
      <c r="H2216">
        <v>0</v>
      </c>
      <c r="I2216" t="s">
        <v>306</v>
      </c>
    </row>
    <row r="2217" spans="1:9" x14ac:dyDescent="0.25">
      <c r="A2217">
        <v>70376</v>
      </c>
      <c r="B2217" t="s">
        <v>228</v>
      </c>
      <c r="C2217" t="s">
        <v>238</v>
      </c>
      <c r="D2217">
        <v>4</v>
      </c>
      <c r="E2217">
        <v>-55470</v>
      </c>
      <c r="F2217" t="s">
        <v>279</v>
      </c>
      <c r="G2217" t="s">
        <v>33</v>
      </c>
      <c r="H2217">
        <v>0</v>
      </c>
      <c r="I2217" t="s">
        <v>378</v>
      </c>
    </row>
    <row r="2218" spans="1:9" x14ac:dyDescent="0.25">
      <c r="A2218">
        <v>70376</v>
      </c>
      <c r="B2218" t="s">
        <v>228</v>
      </c>
      <c r="C2218" t="s">
        <v>238</v>
      </c>
      <c r="D2218">
        <v>4</v>
      </c>
      <c r="E2218">
        <v>-55470</v>
      </c>
      <c r="F2218" t="s">
        <v>279</v>
      </c>
      <c r="G2218" t="s">
        <v>31</v>
      </c>
      <c r="H2218">
        <v>4670</v>
      </c>
      <c r="I2218" t="s">
        <v>307</v>
      </c>
    </row>
    <row r="2219" spans="1:9" x14ac:dyDescent="0.25">
      <c r="A2219">
        <v>70376</v>
      </c>
      <c r="B2219" t="s">
        <v>228</v>
      </c>
      <c r="C2219" t="s">
        <v>238</v>
      </c>
      <c r="D2219">
        <v>4</v>
      </c>
      <c r="E2219">
        <v>-55470</v>
      </c>
      <c r="F2219" t="s">
        <v>279</v>
      </c>
      <c r="G2219" t="s">
        <v>31</v>
      </c>
      <c r="H2219">
        <v>0</v>
      </c>
      <c r="I2219" t="s">
        <v>379</v>
      </c>
    </row>
    <row r="2220" spans="1:9" x14ac:dyDescent="0.25">
      <c r="A2220">
        <v>70376</v>
      </c>
      <c r="B2220" t="s">
        <v>228</v>
      </c>
      <c r="C2220" t="s">
        <v>238</v>
      </c>
      <c r="D2220">
        <v>4</v>
      </c>
      <c r="E2220">
        <v>-55470</v>
      </c>
      <c r="F2220" t="s">
        <v>279</v>
      </c>
      <c r="G2220" t="s">
        <v>30</v>
      </c>
      <c r="H2220">
        <v>13294</v>
      </c>
      <c r="I2220" t="s">
        <v>308</v>
      </c>
    </row>
    <row r="2221" spans="1:9" x14ac:dyDescent="0.25">
      <c r="A2221">
        <v>70376</v>
      </c>
      <c r="B2221" t="s">
        <v>228</v>
      </c>
      <c r="C2221" t="s">
        <v>238</v>
      </c>
      <c r="D2221">
        <v>4</v>
      </c>
      <c r="E2221">
        <v>-55470</v>
      </c>
      <c r="F2221" t="s">
        <v>279</v>
      </c>
      <c r="G2221" t="s">
        <v>35</v>
      </c>
      <c r="H2221">
        <v>1000</v>
      </c>
      <c r="I2221" t="s">
        <v>321</v>
      </c>
    </row>
    <row r="2222" spans="1:9" x14ac:dyDescent="0.25">
      <c r="A2222">
        <v>70376</v>
      </c>
      <c r="B2222" t="s">
        <v>228</v>
      </c>
      <c r="C2222" t="s">
        <v>238</v>
      </c>
      <c r="D2222">
        <v>4</v>
      </c>
      <c r="E2222">
        <v>-55470</v>
      </c>
      <c r="F2222" t="s">
        <v>279</v>
      </c>
      <c r="G2222" t="s">
        <v>33</v>
      </c>
      <c r="H2222">
        <v>0</v>
      </c>
      <c r="I2222" t="s">
        <v>380</v>
      </c>
    </row>
    <row r="2223" spans="1:9" x14ac:dyDescent="0.25">
      <c r="A2223">
        <v>70376</v>
      </c>
      <c r="B2223" t="s">
        <v>228</v>
      </c>
      <c r="C2223" t="s">
        <v>238</v>
      </c>
      <c r="D2223">
        <v>4</v>
      </c>
      <c r="E2223">
        <v>-55470</v>
      </c>
      <c r="F2223" t="s">
        <v>279</v>
      </c>
      <c r="G2223" t="s">
        <v>35</v>
      </c>
      <c r="H2223">
        <v>1090</v>
      </c>
      <c r="I2223" t="s">
        <v>309</v>
      </c>
    </row>
    <row r="2224" spans="1:9" x14ac:dyDescent="0.25">
      <c r="A2224">
        <v>70376</v>
      </c>
      <c r="B2224" t="s">
        <v>228</v>
      </c>
      <c r="C2224" t="s">
        <v>238</v>
      </c>
      <c r="D2224">
        <v>4</v>
      </c>
      <c r="E2224">
        <v>-55470</v>
      </c>
      <c r="F2224" t="s">
        <v>279</v>
      </c>
      <c r="G2224" t="s">
        <v>35</v>
      </c>
      <c r="H2224">
        <v>2096</v>
      </c>
      <c r="I2224" t="s">
        <v>310</v>
      </c>
    </row>
    <row r="2225" spans="1:9" x14ac:dyDescent="0.25">
      <c r="A2225">
        <v>70376</v>
      </c>
      <c r="B2225" t="s">
        <v>228</v>
      </c>
      <c r="C2225" t="s">
        <v>238</v>
      </c>
      <c r="D2225">
        <v>4</v>
      </c>
      <c r="E2225">
        <v>-55470</v>
      </c>
      <c r="F2225" t="s">
        <v>279</v>
      </c>
      <c r="G2225" t="s">
        <v>31</v>
      </c>
      <c r="H2225">
        <v>0</v>
      </c>
      <c r="I2225" t="s">
        <v>364</v>
      </c>
    </row>
    <row r="2226" spans="1:9" x14ac:dyDescent="0.25">
      <c r="A2226">
        <v>70376</v>
      </c>
      <c r="B2226" t="s">
        <v>228</v>
      </c>
      <c r="C2226" t="s">
        <v>238</v>
      </c>
      <c r="D2226">
        <v>4</v>
      </c>
      <c r="E2226">
        <v>-55470</v>
      </c>
      <c r="F2226" t="s">
        <v>279</v>
      </c>
      <c r="G2226" t="s">
        <v>35</v>
      </c>
      <c r="H2226">
        <v>979</v>
      </c>
      <c r="I2226" t="s">
        <v>294</v>
      </c>
    </row>
    <row r="2227" spans="1:9" x14ac:dyDescent="0.25">
      <c r="A2227">
        <v>70376</v>
      </c>
      <c r="B2227" t="s">
        <v>228</v>
      </c>
      <c r="C2227" t="s">
        <v>238</v>
      </c>
      <c r="D2227">
        <v>4</v>
      </c>
      <c r="E2227">
        <v>-55470</v>
      </c>
      <c r="F2227" t="s">
        <v>279</v>
      </c>
      <c r="G2227" t="s">
        <v>35</v>
      </c>
      <c r="H2227">
        <v>6139</v>
      </c>
      <c r="I2227" t="s">
        <v>295</v>
      </c>
    </row>
    <row r="2228" spans="1:9" x14ac:dyDescent="0.25">
      <c r="A2228">
        <v>70376</v>
      </c>
      <c r="B2228" t="s">
        <v>228</v>
      </c>
      <c r="C2228" t="s">
        <v>238</v>
      </c>
      <c r="D2228">
        <v>4</v>
      </c>
      <c r="E2228">
        <v>-55470</v>
      </c>
      <c r="F2228" t="s">
        <v>279</v>
      </c>
      <c r="G2228" t="s">
        <v>35</v>
      </c>
      <c r="H2228">
        <v>1403</v>
      </c>
      <c r="I2228" t="s">
        <v>296</v>
      </c>
    </row>
    <row r="2229" spans="1:9" x14ac:dyDescent="0.25">
      <c r="A2229">
        <v>70376</v>
      </c>
      <c r="B2229" t="s">
        <v>228</v>
      </c>
      <c r="C2229" t="s">
        <v>238</v>
      </c>
      <c r="D2229">
        <v>4</v>
      </c>
      <c r="E2229">
        <v>-55470</v>
      </c>
      <c r="F2229" t="s">
        <v>279</v>
      </c>
      <c r="G2229" t="s">
        <v>35</v>
      </c>
      <c r="H2229">
        <v>0</v>
      </c>
      <c r="I2229" t="s">
        <v>325</v>
      </c>
    </row>
    <row r="2230" spans="1:9" x14ac:dyDescent="0.25">
      <c r="A2230">
        <v>70376</v>
      </c>
      <c r="B2230" t="s">
        <v>228</v>
      </c>
      <c r="C2230" t="s">
        <v>238</v>
      </c>
      <c r="D2230">
        <v>4</v>
      </c>
      <c r="E2230">
        <v>-55470</v>
      </c>
      <c r="F2230" t="s">
        <v>279</v>
      </c>
      <c r="G2230" t="s">
        <v>29</v>
      </c>
      <c r="H2230">
        <v>1652</v>
      </c>
      <c r="I2230" t="s">
        <v>297</v>
      </c>
    </row>
    <row r="2231" spans="1:9" x14ac:dyDescent="0.25">
      <c r="A2231">
        <v>70376</v>
      </c>
      <c r="B2231" t="s">
        <v>228</v>
      </c>
      <c r="C2231" t="s">
        <v>238</v>
      </c>
      <c r="D2231">
        <v>4</v>
      </c>
      <c r="E2231">
        <v>-55470</v>
      </c>
      <c r="F2231" t="s">
        <v>279</v>
      </c>
      <c r="G2231" t="s">
        <v>36</v>
      </c>
      <c r="H2231">
        <v>26819</v>
      </c>
      <c r="I2231" t="s">
        <v>298</v>
      </c>
    </row>
    <row r="2232" spans="1:9" x14ac:dyDescent="0.25">
      <c r="A2232">
        <v>70376</v>
      </c>
      <c r="B2232" t="s">
        <v>228</v>
      </c>
      <c r="C2232" t="s">
        <v>238</v>
      </c>
      <c r="D2232">
        <v>4</v>
      </c>
      <c r="E2232">
        <v>-55470</v>
      </c>
      <c r="F2232" t="s">
        <v>274</v>
      </c>
      <c r="G2232" t="s">
        <v>275</v>
      </c>
      <c r="H2232">
        <v>209845</v>
      </c>
      <c r="I2232" t="s">
        <v>299</v>
      </c>
    </row>
    <row r="2233" spans="1:9" x14ac:dyDescent="0.25">
      <c r="A2233">
        <v>70376</v>
      </c>
      <c r="B2233" t="s">
        <v>228</v>
      </c>
      <c r="C2233" t="s">
        <v>238</v>
      </c>
      <c r="D2233">
        <v>4</v>
      </c>
      <c r="E2233">
        <v>-55470</v>
      </c>
      <c r="F2233" t="s">
        <v>274</v>
      </c>
      <c r="G2233" t="s">
        <v>275</v>
      </c>
      <c r="H2233">
        <v>0</v>
      </c>
      <c r="I2233" t="s">
        <v>385</v>
      </c>
    </row>
    <row r="2234" spans="1:9" x14ac:dyDescent="0.25">
      <c r="A2234">
        <v>70376</v>
      </c>
      <c r="B2234" t="s">
        <v>228</v>
      </c>
      <c r="C2234" t="s">
        <v>238</v>
      </c>
      <c r="D2234">
        <v>4</v>
      </c>
      <c r="E2234">
        <v>-55470</v>
      </c>
      <c r="F2234" t="s">
        <v>279</v>
      </c>
      <c r="G2234" t="s">
        <v>35</v>
      </c>
      <c r="H2234">
        <v>9293</v>
      </c>
      <c r="I2234" t="s">
        <v>311</v>
      </c>
    </row>
    <row r="2235" spans="1:9" x14ac:dyDescent="0.25">
      <c r="A2235">
        <v>70376</v>
      </c>
      <c r="B2235" t="s">
        <v>228</v>
      </c>
      <c r="C2235" t="s">
        <v>238</v>
      </c>
      <c r="D2235">
        <v>4</v>
      </c>
      <c r="E2235">
        <v>-55470</v>
      </c>
      <c r="F2235" t="s">
        <v>279</v>
      </c>
      <c r="G2235" t="s">
        <v>35</v>
      </c>
      <c r="H2235">
        <v>175</v>
      </c>
      <c r="I2235" t="s">
        <v>312</v>
      </c>
    </row>
    <row r="2236" spans="1:9" x14ac:dyDescent="0.25">
      <c r="A2236">
        <v>70376</v>
      </c>
      <c r="B2236" t="s">
        <v>228</v>
      </c>
      <c r="C2236" t="s">
        <v>238</v>
      </c>
      <c r="D2236">
        <v>4</v>
      </c>
      <c r="E2236">
        <v>-55470</v>
      </c>
      <c r="F2236" t="s">
        <v>279</v>
      </c>
      <c r="G2236" t="s">
        <v>35</v>
      </c>
      <c r="H2236">
        <v>1730</v>
      </c>
      <c r="I2236" t="s">
        <v>313</v>
      </c>
    </row>
    <row r="2237" spans="1:9" x14ac:dyDescent="0.25">
      <c r="A2237">
        <v>70376</v>
      </c>
      <c r="B2237" t="s">
        <v>228</v>
      </c>
      <c r="C2237" t="s">
        <v>238</v>
      </c>
      <c r="D2237">
        <v>4</v>
      </c>
      <c r="E2237">
        <v>-55470</v>
      </c>
      <c r="F2237" t="s">
        <v>279</v>
      </c>
      <c r="G2237" t="s">
        <v>37</v>
      </c>
      <c r="H2237">
        <v>0</v>
      </c>
      <c r="I2237" t="s">
        <v>381</v>
      </c>
    </row>
    <row r="2238" spans="1:9" x14ac:dyDescent="0.25">
      <c r="A2238">
        <v>70376</v>
      </c>
      <c r="B2238" t="s">
        <v>228</v>
      </c>
      <c r="C2238" t="s">
        <v>238</v>
      </c>
      <c r="D2238">
        <v>4</v>
      </c>
      <c r="E2238">
        <v>-55470</v>
      </c>
      <c r="F2238" t="s">
        <v>279</v>
      </c>
      <c r="G2238" t="s">
        <v>37</v>
      </c>
      <c r="H2238">
        <v>30568</v>
      </c>
      <c r="I2238" t="s">
        <v>314</v>
      </c>
    </row>
    <row r="2239" spans="1:9" x14ac:dyDescent="0.25">
      <c r="A2239">
        <v>70376</v>
      </c>
      <c r="B2239" t="s">
        <v>228</v>
      </c>
      <c r="C2239" t="s">
        <v>238</v>
      </c>
      <c r="D2239">
        <v>4</v>
      </c>
      <c r="E2239">
        <v>-55470</v>
      </c>
      <c r="F2239" t="s">
        <v>279</v>
      </c>
      <c r="G2239" t="s">
        <v>35</v>
      </c>
      <c r="H2239">
        <v>1307</v>
      </c>
      <c r="I2239" t="s">
        <v>315</v>
      </c>
    </row>
    <row r="2240" spans="1:9" x14ac:dyDescent="0.25">
      <c r="A2240">
        <v>70376</v>
      </c>
      <c r="B2240" t="s">
        <v>228</v>
      </c>
      <c r="C2240" t="s">
        <v>238</v>
      </c>
      <c r="D2240">
        <v>4</v>
      </c>
      <c r="E2240">
        <v>-55470</v>
      </c>
      <c r="F2240" t="s">
        <v>279</v>
      </c>
      <c r="G2240" t="s">
        <v>37</v>
      </c>
      <c r="H2240">
        <v>0</v>
      </c>
      <c r="I2240" t="s">
        <v>323</v>
      </c>
    </row>
    <row r="2241" spans="1:9" x14ac:dyDescent="0.25">
      <c r="A2241">
        <v>70376</v>
      </c>
      <c r="B2241" t="s">
        <v>228</v>
      </c>
      <c r="C2241" t="s">
        <v>238</v>
      </c>
      <c r="D2241">
        <v>4</v>
      </c>
      <c r="E2241">
        <v>-55470</v>
      </c>
      <c r="F2241" t="s">
        <v>279</v>
      </c>
      <c r="G2241" t="s">
        <v>37</v>
      </c>
      <c r="H2241">
        <v>16</v>
      </c>
      <c r="I2241" t="s">
        <v>322</v>
      </c>
    </row>
    <row r="2242" spans="1:9" x14ac:dyDescent="0.25">
      <c r="A2242">
        <v>70376</v>
      </c>
      <c r="B2242" t="s">
        <v>228</v>
      </c>
      <c r="C2242" t="s">
        <v>238</v>
      </c>
      <c r="D2242">
        <v>4</v>
      </c>
      <c r="E2242">
        <v>-55470</v>
      </c>
      <c r="F2242" t="s">
        <v>279</v>
      </c>
      <c r="G2242" t="s">
        <v>37</v>
      </c>
      <c r="H2242">
        <v>0</v>
      </c>
      <c r="I2242" t="s">
        <v>382</v>
      </c>
    </row>
    <row r="2243" spans="1:9" x14ac:dyDescent="0.25">
      <c r="A2243">
        <v>70376</v>
      </c>
      <c r="B2243" t="s">
        <v>228</v>
      </c>
      <c r="C2243" t="s">
        <v>238</v>
      </c>
      <c r="D2243">
        <v>4</v>
      </c>
      <c r="E2243">
        <v>-55470</v>
      </c>
      <c r="F2243" t="s">
        <v>279</v>
      </c>
      <c r="G2243" t="s">
        <v>37</v>
      </c>
      <c r="H2243">
        <v>7976</v>
      </c>
      <c r="I2243" t="s">
        <v>316</v>
      </c>
    </row>
    <row r="2244" spans="1:9" x14ac:dyDescent="0.25">
      <c r="A2244">
        <v>70376</v>
      </c>
      <c r="B2244" t="s">
        <v>228</v>
      </c>
      <c r="C2244" t="s">
        <v>238</v>
      </c>
      <c r="D2244">
        <v>4</v>
      </c>
      <c r="E2244">
        <v>-55470</v>
      </c>
      <c r="F2244" t="s">
        <v>279</v>
      </c>
      <c r="G2244" t="s">
        <v>36</v>
      </c>
      <c r="H2244">
        <v>45839</v>
      </c>
      <c r="I2244" t="s">
        <v>317</v>
      </c>
    </row>
    <row r="2245" spans="1:9" x14ac:dyDescent="0.25">
      <c r="A2245">
        <v>70376</v>
      </c>
      <c r="B2245" t="s">
        <v>228</v>
      </c>
      <c r="C2245" t="s">
        <v>238</v>
      </c>
      <c r="D2245">
        <v>4</v>
      </c>
      <c r="E2245">
        <v>-55470</v>
      </c>
      <c r="F2245" t="s">
        <v>274</v>
      </c>
      <c r="G2245" t="s">
        <v>275</v>
      </c>
      <c r="H2245">
        <v>0</v>
      </c>
      <c r="I2245" t="s">
        <v>276</v>
      </c>
    </row>
    <row r="2246" spans="1:9" x14ac:dyDescent="0.25">
      <c r="A2246">
        <v>70376</v>
      </c>
      <c r="B2246" t="s">
        <v>228</v>
      </c>
      <c r="C2246" t="s">
        <v>238</v>
      </c>
      <c r="D2246">
        <v>4</v>
      </c>
      <c r="E2246">
        <v>-55470</v>
      </c>
      <c r="F2246" t="s">
        <v>279</v>
      </c>
      <c r="G2246" t="s">
        <v>29</v>
      </c>
      <c r="H2246">
        <v>0</v>
      </c>
      <c r="I2246" t="s">
        <v>324</v>
      </c>
    </row>
    <row r="2247" spans="1:9" x14ac:dyDescent="0.25">
      <c r="A2247">
        <v>70376</v>
      </c>
      <c r="B2247" t="s">
        <v>228</v>
      </c>
      <c r="C2247" t="s">
        <v>238</v>
      </c>
      <c r="D2247">
        <v>4</v>
      </c>
      <c r="E2247">
        <v>-55470</v>
      </c>
      <c r="F2247" t="s">
        <v>274</v>
      </c>
      <c r="G2247" t="s">
        <v>277</v>
      </c>
      <c r="H2247">
        <v>9</v>
      </c>
      <c r="I2247" t="s">
        <v>278</v>
      </c>
    </row>
    <row r="2248" spans="1:9" x14ac:dyDescent="0.25">
      <c r="A2248">
        <v>70376</v>
      </c>
      <c r="B2248" t="s">
        <v>228</v>
      </c>
      <c r="C2248" t="s">
        <v>238</v>
      </c>
      <c r="D2248">
        <v>4</v>
      </c>
      <c r="E2248">
        <v>-55470</v>
      </c>
      <c r="F2248" t="s">
        <v>274</v>
      </c>
      <c r="G2248" t="s">
        <v>300</v>
      </c>
      <c r="H2248">
        <v>0</v>
      </c>
      <c r="I2248" t="s">
        <v>383</v>
      </c>
    </row>
    <row r="2249" spans="1:9" x14ac:dyDescent="0.25">
      <c r="A2249">
        <v>70376</v>
      </c>
      <c r="B2249" t="s">
        <v>228</v>
      </c>
      <c r="C2249" t="s">
        <v>238</v>
      </c>
      <c r="D2249">
        <v>4</v>
      </c>
      <c r="E2249">
        <v>-55470</v>
      </c>
      <c r="F2249" t="s">
        <v>279</v>
      </c>
      <c r="G2249" t="s">
        <v>33</v>
      </c>
      <c r="H2249">
        <v>27215</v>
      </c>
      <c r="I2249" t="s">
        <v>280</v>
      </c>
    </row>
    <row r="2250" spans="1:9" x14ac:dyDescent="0.25">
      <c r="A2250">
        <v>70376</v>
      </c>
      <c r="B2250" t="s">
        <v>228</v>
      </c>
      <c r="C2250" t="s">
        <v>238</v>
      </c>
      <c r="D2250">
        <v>4</v>
      </c>
      <c r="E2250">
        <v>-55470</v>
      </c>
      <c r="F2250" t="s">
        <v>279</v>
      </c>
      <c r="G2250" t="s">
        <v>29</v>
      </c>
      <c r="H2250">
        <v>3526</v>
      </c>
      <c r="I2250" t="s">
        <v>281</v>
      </c>
    </row>
    <row r="2251" spans="1:9" x14ac:dyDescent="0.25">
      <c r="A2251">
        <v>70376</v>
      </c>
      <c r="B2251" t="s">
        <v>228</v>
      </c>
      <c r="C2251" t="s">
        <v>238</v>
      </c>
      <c r="D2251">
        <v>4</v>
      </c>
      <c r="E2251">
        <v>-55470</v>
      </c>
      <c r="F2251" t="s">
        <v>279</v>
      </c>
      <c r="G2251" t="s">
        <v>29</v>
      </c>
      <c r="H2251">
        <v>49821</v>
      </c>
      <c r="I2251" t="s">
        <v>282</v>
      </c>
    </row>
    <row r="2252" spans="1:9" x14ac:dyDescent="0.25">
      <c r="A2252">
        <v>70376</v>
      </c>
      <c r="B2252" t="s">
        <v>228</v>
      </c>
      <c r="C2252" t="s">
        <v>238</v>
      </c>
      <c r="D2252">
        <v>4</v>
      </c>
      <c r="E2252">
        <v>-55470</v>
      </c>
      <c r="F2252" t="s">
        <v>279</v>
      </c>
      <c r="G2252" t="s">
        <v>35</v>
      </c>
      <c r="H2252">
        <v>82097</v>
      </c>
      <c r="I2252" t="s">
        <v>283</v>
      </c>
    </row>
    <row r="2253" spans="1:9" x14ac:dyDescent="0.25">
      <c r="A2253">
        <v>70376</v>
      </c>
      <c r="B2253" t="s">
        <v>228</v>
      </c>
      <c r="C2253" t="s">
        <v>238</v>
      </c>
      <c r="D2253">
        <v>4</v>
      </c>
      <c r="E2253">
        <v>-55470</v>
      </c>
      <c r="F2253" t="s">
        <v>279</v>
      </c>
      <c r="G2253" t="s">
        <v>29</v>
      </c>
      <c r="H2253">
        <v>5802</v>
      </c>
      <c r="I2253" t="s">
        <v>284</v>
      </c>
    </row>
    <row r="2254" spans="1:9" x14ac:dyDescent="0.25">
      <c r="A2254">
        <v>70376</v>
      </c>
      <c r="B2254" t="s">
        <v>228</v>
      </c>
      <c r="C2254" t="s">
        <v>238</v>
      </c>
      <c r="D2254">
        <v>4</v>
      </c>
      <c r="E2254">
        <v>-55470</v>
      </c>
      <c r="F2254" t="s">
        <v>279</v>
      </c>
      <c r="G2254" t="s">
        <v>29</v>
      </c>
      <c r="H2254">
        <v>27659</v>
      </c>
      <c r="I2254" t="s">
        <v>285</v>
      </c>
    </row>
    <row r="2255" spans="1:9" x14ac:dyDescent="0.25">
      <c r="A2255">
        <v>70376</v>
      </c>
      <c r="B2255" t="s">
        <v>228</v>
      </c>
      <c r="C2255" t="s">
        <v>238</v>
      </c>
      <c r="D2255">
        <v>4</v>
      </c>
      <c r="E2255">
        <v>-55470</v>
      </c>
      <c r="F2255" t="s">
        <v>279</v>
      </c>
      <c r="G2255" t="s">
        <v>29</v>
      </c>
      <c r="H2255">
        <v>3972</v>
      </c>
      <c r="I2255" t="s">
        <v>286</v>
      </c>
    </row>
    <row r="2256" spans="1:9" x14ac:dyDescent="0.25">
      <c r="A2256">
        <v>70376</v>
      </c>
      <c r="B2256" t="s">
        <v>228</v>
      </c>
      <c r="C2256" t="s">
        <v>238</v>
      </c>
      <c r="D2256">
        <v>4</v>
      </c>
      <c r="E2256">
        <v>-55470</v>
      </c>
      <c r="F2256" t="s">
        <v>279</v>
      </c>
      <c r="G2256" t="s">
        <v>29</v>
      </c>
      <c r="H2256">
        <v>0</v>
      </c>
      <c r="I2256" t="s">
        <v>327</v>
      </c>
    </row>
    <row r="2257" spans="1:9" x14ac:dyDescent="0.25">
      <c r="A2257">
        <v>70376</v>
      </c>
      <c r="B2257" t="s">
        <v>228</v>
      </c>
      <c r="C2257" t="s">
        <v>238</v>
      </c>
      <c r="D2257">
        <v>4</v>
      </c>
      <c r="E2257">
        <v>-55470</v>
      </c>
      <c r="F2257" t="s">
        <v>279</v>
      </c>
      <c r="G2257" t="s">
        <v>34</v>
      </c>
      <c r="H2257">
        <v>1282</v>
      </c>
      <c r="I2257" t="s">
        <v>287</v>
      </c>
    </row>
    <row r="2258" spans="1:9" x14ac:dyDescent="0.25">
      <c r="A2258">
        <v>70376</v>
      </c>
      <c r="B2258" t="s">
        <v>228</v>
      </c>
      <c r="C2258" t="s">
        <v>238</v>
      </c>
      <c r="D2258">
        <v>4</v>
      </c>
      <c r="E2258">
        <v>-55470</v>
      </c>
      <c r="F2258" t="s">
        <v>279</v>
      </c>
      <c r="G2258" t="s">
        <v>29</v>
      </c>
      <c r="H2258">
        <v>43279</v>
      </c>
      <c r="I2258" t="s">
        <v>288</v>
      </c>
    </row>
    <row r="2259" spans="1:9" x14ac:dyDescent="0.25">
      <c r="A2259">
        <v>70376</v>
      </c>
      <c r="B2259" t="s">
        <v>228</v>
      </c>
      <c r="C2259" t="s">
        <v>238</v>
      </c>
      <c r="D2259">
        <v>4</v>
      </c>
      <c r="E2259">
        <v>-55470</v>
      </c>
      <c r="F2259" t="s">
        <v>279</v>
      </c>
      <c r="G2259" t="s">
        <v>34</v>
      </c>
      <c r="H2259">
        <v>10700</v>
      </c>
      <c r="I2259" t="s">
        <v>289</v>
      </c>
    </row>
    <row r="2260" spans="1:9" x14ac:dyDescent="0.25">
      <c r="A2260">
        <v>70376</v>
      </c>
      <c r="B2260" t="s">
        <v>228</v>
      </c>
      <c r="C2260" t="s">
        <v>238</v>
      </c>
      <c r="D2260">
        <v>4</v>
      </c>
      <c r="E2260">
        <v>-55470</v>
      </c>
      <c r="F2260" t="s">
        <v>279</v>
      </c>
      <c r="G2260" t="s">
        <v>29</v>
      </c>
      <c r="H2260">
        <v>5758</v>
      </c>
      <c r="I2260" t="s">
        <v>290</v>
      </c>
    </row>
    <row r="2261" spans="1:9" x14ac:dyDescent="0.25">
      <c r="A2261">
        <v>70376</v>
      </c>
      <c r="B2261" t="s">
        <v>228</v>
      </c>
      <c r="C2261" t="s">
        <v>238</v>
      </c>
      <c r="D2261">
        <v>4</v>
      </c>
      <c r="E2261">
        <v>-55470</v>
      </c>
      <c r="F2261" t="s">
        <v>279</v>
      </c>
      <c r="G2261" t="s">
        <v>32</v>
      </c>
      <c r="H2261">
        <v>61108</v>
      </c>
      <c r="I2261" t="s">
        <v>291</v>
      </c>
    </row>
    <row r="2262" spans="1:9" x14ac:dyDescent="0.25">
      <c r="A2262">
        <v>70376</v>
      </c>
      <c r="B2262" t="s">
        <v>228</v>
      </c>
      <c r="C2262" t="s">
        <v>238</v>
      </c>
      <c r="D2262">
        <v>4</v>
      </c>
      <c r="E2262">
        <v>-55470</v>
      </c>
      <c r="F2262" t="s">
        <v>279</v>
      </c>
      <c r="G2262" t="s">
        <v>29</v>
      </c>
      <c r="H2262">
        <v>12531</v>
      </c>
      <c r="I2262" t="s">
        <v>292</v>
      </c>
    </row>
    <row r="2263" spans="1:9" x14ac:dyDescent="0.25">
      <c r="A2263">
        <v>70376</v>
      </c>
      <c r="B2263" t="s">
        <v>228</v>
      </c>
      <c r="C2263" t="s">
        <v>238</v>
      </c>
      <c r="D2263">
        <v>4</v>
      </c>
      <c r="E2263">
        <v>-55470</v>
      </c>
      <c r="F2263" t="s">
        <v>279</v>
      </c>
      <c r="G2263" t="s">
        <v>29</v>
      </c>
      <c r="H2263">
        <v>0</v>
      </c>
      <c r="I2263" t="s">
        <v>384</v>
      </c>
    </row>
    <row r="2264" spans="1:9" x14ac:dyDescent="0.25">
      <c r="A2264">
        <v>70376</v>
      </c>
      <c r="B2264" t="s">
        <v>228</v>
      </c>
      <c r="C2264" t="s">
        <v>238</v>
      </c>
      <c r="D2264">
        <v>4</v>
      </c>
      <c r="E2264">
        <v>-55470</v>
      </c>
      <c r="F2264" t="s">
        <v>279</v>
      </c>
      <c r="G2264" t="s">
        <v>35</v>
      </c>
      <c r="H2264">
        <v>4513</v>
      </c>
      <c r="I2264" t="s">
        <v>293</v>
      </c>
    </row>
    <row r="2265" spans="1:9" x14ac:dyDescent="0.25">
      <c r="A2265">
        <v>70377</v>
      </c>
      <c r="B2265" t="s">
        <v>230</v>
      </c>
      <c r="C2265" t="s">
        <v>238</v>
      </c>
      <c r="D2265">
        <v>4</v>
      </c>
      <c r="E2265">
        <v>-4771</v>
      </c>
      <c r="F2265" t="s">
        <v>279</v>
      </c>
      <c r="G2265" t="s">
        <v>34</v>
      </c>
      <c r="H2265">
        <v>10700</v>
      </c>
      <c r="I2265" t="s">
        <v>289</v>
      </c>
    </row>
    <row r="2266" spans="1:9" x14ac:dyDescent="0.25">
      <c r="A2266">
        <v>70377</v>
      </c>
      <c r="B2266" t="s">
        <v>230</v>
      </c>
      <c r="C2266" t="s">
        <v>238</v>
      </c>
      <c r="D2266">
        <v>4</v>
      </c>
      <c r="E2266">
        <v>-4771</v>
      </c>
      <c r="F2266" t="s">
        <v>279</v>
      </c>
      <c r="G2266" t="s">
        <v>29</v>
      </c>
      <c r="H2266">
        <v>5463</v>
      </c>
      <c r="I2266" t="s">
        <v>290</v>
      </c>
    </row>
    <row r="2267" spans="1:9" x14ac:dyDescent="0.25">
      <c r="A2267">
        <v>70377</v>
      </c>
      <c r="B2267" t="s">
        <v>230</v>
      </c>
      <c r="C2267" t="s">
        <v>238</v>
      </c>
      <c r="D2267">
        <v>4</v>
      </c>
      <c r="E2267">
        <v>-4771</v>
      </c>
      <c r="F2267" t="s">
        <v>279</v>
      </c>
      <c r="G2267" t="s">
        <v>32</v>
      </c>
      <c r="H2267">
        <v>62905</v>
      </c>
      <c r="I2267" t="s">
        <v>291</v>
      </c>
    </row>
    <row r="2268" spans="1:9" x14ac:dyDescent="0.25">
      <c r="A2268">
        <v>70377</v>
      </c>
      <c r="B2268" t="s">
        <v>230</v>
      </c>
      <c r="C2268" t="s">
        <v>238</v>
      </c>
      <c r="D2268">
        <v>4</v>
      </c>
      <c r="E2268">
        <v>-4771</v>
      </c>
      <c r="F2268" t="s">
        <v>279</v>
      </c>
      <c r="G2268" t="s">
        <v>29</v>
      </c>
      <c r="H2268">
        <v>12883</v>
      </c>
      <c r="I2268" t="s">
        <v>292</v>
      </c>
    </row>
    <row r="2269" spans="1:9" x14ac:dyDescent="0.25">
      <c r="A2269">
        <v>70377</v>
      </c>
      <c r="B2269" t="s">
        <v>230</v>
      </c>
      <c r="C2269" t="s">
        <v>238</v>
      </c>
      <c r="D2269">
        <v>4</v>
      </c>
      <c r="E2269">
        <v>-4771</v>
      </c>
      <c r="F2269" t="s">
        <v>279</v>
      </c>
      <c r="G2269" t="s">
        <v>29</v>
      </c>
      <c r="H2269">
        <v>0</v>
      </c>
      <c r="I2269" t="s">
        <v>384</v>
      </c>
    </row>
    <row r="2270" spans="1:9" x14ac:dyDescent="0.25">
      <c r="A2270">
        <v>70377</v>
      </c>
      <c r="B2270" t="s">
        <v>230</v>
      </c>
      <c r="C2270" t="s">
        <v>238</v>
      </c>
      <c r="D2270">
        <v>4</v>
      </c>
      <c r="E2270">
        <v>-4771</v>
      </c>
      <c r="F2270" t="s">
        <v>279</v>
      </c>
      <c r="G2270" t="s">
        <v>35</v>
      </c>
      <c r="H2270">
        <v>2606</v>
      </c>
      <c r="I2270" t="s">
        <v>293</v>
      </c>
    </row>
    <row r="2271" spans="1:9" x14ac:dyDescent="0.25">
      <c r="A2271">
        <v>70377</v>
      </c>
      <c r="B2271" t="s">
        <v>230</v>
      </c>
      <c r="C2271" t="s">
        <v>238</v>
      </c>
      <c r="D2271">
        <v>4</v>
      </c>
      <c r="E2271">
        <v>-4771</v>
      </c>
      <c r="F2271" t="s">
        <v>279</v>
      </c>
      <c r="G2271" t="s">
        <v>35</v>
      </c>
      <c r="H2271">
        <v>1608</v>
      </c>
      <c r="I2271" t="s">
        <v>294</v>
      </c>
    </row>
    <row r="2272" spans="1:9" x14ac:dyDescent="0.25">
      <c r="A2272">
        <v>70377</v>
      </c>
      <c r="B2272" t="s">
        <v>230</v>
      </c>
      <c r="C2272" t="s">
        <v>238</v>
      </c>
      <c r="D2272">
        <v>4</v>
      </c>
      <c r="E2272">
        <v>-4771</v>
      </c>
      <c r="F2272" t="s">
        <v>279</v>
      </c>
      <c r="G2272" t="s">
        <v>35</v>
      </c>
      <c r="H2272">
        <v>5297</v>
      </c>
      <c r="I2272" t="s">
        <v>295</v>
      </c>
    </row>
    <row r="2273" spans="1:9" x14ac:dyDescent="0.25">
      <c r="A2273">
        <v>70377</v>
      </c>
      <c r="B2273" t="s">
        <v>230</v>
      </c>
      <c r="C2273" t="s">
        <v>238</v>
      </c>
      <c r="D2273">
        <v>4</v>
      </c>
      <c r="E2273">
        <v>-4771</v>
      </c>
      <c r="F2273" t="s">
        <v>279</v>
      </c>
      <c r="G2273" t="s">
        <v>35</v>
      </c>
      <c r="H2273">
        <v>2390</v>
      </c>
      <c r="I2273" t="s">
        <v>296</v>
      </c>
    </row>
    <row r="2274" spans="1:9" x14ac:dyDescent="0.25">
      <c r="A2274">
        <v>70377</v>
      </c>
      <c r="B2274" t="s">
        <v>230</v>
      </c>
      <c r="C2274" t="s">
        <v>238</v>
      </c>
      <c r="D2274">
        <v>4</v>
      </c>
      <c r="E2274">
        <v>-4771</v>
      </c>
      <c r="F2274" t="s">
        <v>279</v>
      </c>
      <c r="G2274" t="s">
        <v>35</v>
      </c>
      <c r="H2274">
        <v>0</v>
      </c>
      <c r="I2274" t="s">
        <v>325</v>
      </c>
    </row>
    <row r="2275" spans="1:9" x14ac:dyDescent="0.25">
      <c r="A2275">
        <v>70377</v>
      </c>
      <c r="B2275" t="s">
        <v>230</v>
      </c>
      <c r="C2275" t="s">
        <v>238</v>
      </c>
      <c r="D2275">
        <v>4</v>
      </c>
      <c r="E2275">
        <v>-4771</v>
      </c>
      <c r="F2275" t="s">
        <v>279</v>
      </c>
      <c r="G2275" t="s">
        <v>29</v>
      </c>
      <c r="H2275">
        <v>367</v>
      </c>
      <c r="I2275" t="s">
        <v>297</v>
      </c>
    </row>
    <row r="2276" spans="1:9" x14ac:dyDescent="0.25">
      <c r="A2276">
        <v>70377</v>
      </c>
      <c r="B2276" t="s">
        <v>230</v>
      </c>
      <c r="C2276" t="s">
        <v>238</v>
      </c>
      <c r="D2276">
        <v>4</v>
      </c>
      <c r="E2276">
        <v>-4771</v>
      </c>
      <c r="F2276" t="s">
        <v>279</v>
      </c>
      <c r="G2276" t="s">
        <v>36</v>
      </c>
      <c r="H2276">
        <v>26120</v>
      </c>
      <c r="I2276" t="s">
        <v>298</v>
      </c>
    </row>
    <row r="2277" spans="1:9" x14ac:dyDescent="0.25">
      <c r="A2277">
        <v>70377</v>
      </c>
      <c r="B2277" t="s">
        <v>230</v>
      </c>
      <c r="C2277" t="s">
        <v>238</v>
      </c>
      <c r="D2277">
        <v>4</v>
      </c>
      <c r="E2277">
        <v>-4771</v>
      </c>
      <c r="F2277" t="s">
        <v>274</v>
      </c>
      <c r="G2277" t="s">
        <v>275</v>
      </c>
      <c r="H2277">
        <v>291654</v>
      </c>
      <c r="I2277" t="s">
        <v>299</v>
      </c>
    </row>
    <row r="2278" spans="1:9" x14ac:dyDescent="0.25">
      <c r="A2278">
        <v>70377</v>
      </c>
      <c r="B2278" t="s">
        <v>230</v>
      </c>
      <c r="C2278" t="s">
        <v>238</v>
      </c>
      <c r="D2278">
        <v>4</v>
      </c>
      <c r="E2278">
        <v>-4771</v>
      </c>
      <c r="F2278" t="s">
        <v>274</v>
      </c>
      <c r="G2278" t="s">
        <v>275</v>
      </c>
      <c r="H2278">
        <v>0</v>
      </c>
      <c r="I2278" t="s">
        <v>385</v>
      </c>
    </row>
    <row r="2279" spans="1:9" x14ac:dyDescent="0.25">
      <c r="A2279">
        <v>70377</v>
      </c>
      <c r="B2279" t="s">
        <v>230</v>
      </c>
      <c r="C2279" t="s">
        <v>238</v>
      </c>
      <c r="D2279">
        <v>4</v>
      </c>
      <c r="E2279">
        <v>-4771</v>
      </c>
      <c r="F2279" t="s">
        <v>279</v>
      </c>
      <c r="G2279" t="s">
        <v>31</v>
      </c>
      <c r="H2279">
        <v>0</v>
      </c>
      <c r="I2279" t="s">
        <v>364</v>
      </c>
    </row>
    <row r="2280" spans="1:9" x14ac:dyDescent="0.25">
      <c r="A2280">
        <v>70377</v>
      </c>
      <c r="B2280" t="s">
        <v>230</v>
      </c>
      <c r="C2280" t="s">
        <v>238</v>
      </c>
      <c r="D2280">
        <v>4</v>
      </c>
      <c r="E2280">
        <v>-4771</v>
      </c>
      <c r="F2280" t="s">
        <v>279</v>
      </c>
      <c r="G2280" t="s">
        <v>31</v>
      </c>
      <c r="H2280">
        <v>0</v>
      </c>
      <c r="I2280" t="s">
        <v>365</v>
      </c>
    </row>
    <row r="2281" spans="1:9" x14ac:dyDescent="0.25">
      <c r="A2281">
        <v>70377</v>
      </c>
      <c r="B2281" t="s">
        <v>230</v>
      </c>
      <c r="C2281" t="s">
        <v>238</v>
      </c>
      <c r="D2281">
        <v>4</v>
      </c>
      <c r="E2281">
        <v>-4771</v>
      </c>
      <c r="F2281" t="s">
        <v>279</v>
      </c>
      <c r="G2281" t="s">
        <v>31</v>
      </c>
      <c r="H2281">
        <v>0</v>
      </c>
      <c r="I2281" t="s">
        <v>366</v>
      </c>
    </row>
    <row r="2282" spans="1:9" x14ac:dyDescent="0.25">
      <c r="A2282">
        <v>70377</v>
      </c>
      <c r="B2282" t="s">
        <v>230</v>
      </c>
      <c r="C2282" t="s">
        <v>238</v>
      </c>
      <c r="D2282">
        <v>4</v>
      </c>
      <c r="E2282">
        <v>-4771</v>
      </c>
      <c r="F2282" t="s">
        <v>279</v>
      </c>
      <c r="G2282" t="s">
        <v>31</v>
      </c>
      <c r="H2282">
        <v>0</v>
      </c>
      <c r="I2282" t="s">
        <v>367</v>
      </c>
    </row>
    <row r="2283" spans="1:9" x14ac:dyDescent="0.25">
      <c r="A2283">
        <v>70377</v>
      </c>
      <c r="B2283" t="s">
        <v>230</v>
      </c>
      <c r="C2283" t="s">
        <v>238</v>
      </c>
      <c r="D2283">
        <v>4</v>
      </c>
      <c r="E2283">
        <v>-4771</v>
      </c>
      <c r="F2283" t="s">
        <v>279</v>
      </c>
      <c r="G2283" t="s">
        <v>31</v>
      </c>
      <c r="H2283">
        <v>0</v>
      </c>
      <c r="I2283" t="s">
        <v>368</v>
      </c>
    </row>
    <row r="2284" spans="1:9" x14ac:dyDescent="0.25">
      <c r="A2284">
        <v>70377</v>
      </c>
      <c r="B2284" t="s">
        <v>230</v>
      </c>
      <c r="C2284" t="s">
        <v>238</v>
      </c>
      <c r="D2284">
        <v>4</v>
      </c>
      <c r="E2284">
        <v>-4771</v>
      </c>
      <c r="F2284" t="s">
        <v>279</v>
      </c>
      <c r="G2284" t="s">
        <v>31</v>
      </c>
      <c r="H2284">
        <v>0</v>
      </c>
      <c r="I2284" t="s">
        <v>369</v>
      </c>
    </row>
    <row r="2285" spans="1:9" x14ac:dyDescent="0.25">
      <c r="A2285">
        <v>70377</v>
      </c>
      <c r="B2285" t="s">
        <v>230</v>
      </c>
      <c r="C2285" t="s">
        <v>238</v>
      </c>
      <c r="D2285">
        <v>4</v>
      </c>
      <c r="E2285">
        <v>-4771</v>
      </c>
      <c r="F2285" t="s">
        <v>279</v>
      </c>
      <c r="G2285" t="s">
        <v>31</v>
      </c>
      <c r="H2285">
        <v>0</v>
      </c>
      <c r="I2285" t="s">
        <v>370</v>
      </c>
    </row>
    <row r="2286" spans="1:9" x14ac:dyDescent="0.25">
      <c r="A2286">
        <v>70377</v>
      </c>
      <c r="B2286" t="s">
        <v>230</v>
      </c>
      <c r="C2286" t="s">
        <v>238</v>
      </c>
      <c r="D2286">
        <v>4</v>
      </c>
      <c r="E2286">
        <v>-4771</v>
      </c>
      <c r="F2286" t="s">
        <v>279</v>
      </c>
      <c r="G2286" t="s">
        <v>31</v>
      </c>
      <c r="H2286">
        <v>0</v>
      </c>
      <c r="I2286" t="s">
        <v>371</v>
      </c>
    </row>
    <row r="2287" spans="1:9" x14ac:dyDescent="0.25">
      <c r="A2287">
        <v>70377</v>
      </c>
      <c r="B2287" t="s">
        <v>230</v>
      </c>
      <c r="C2287" t="s">
        <v>238</v>
      </c>
      <c r="D2287">
        <v>4</v>
      </c>
      <c r="E2287">
        <v>-4771</v>
      </c>
      <c r="F2287" t="s">
        <v>279</v>
      </c>
      <c r="G2287" t="s">
        <v>31</v>
      </c>
      <c r="H2287">
        <v>0</v>
      </c>
      <c r="I2287" t="s">
        <v>328</v>
      </c>
    </row>
    <row r="2288" spans="1:9" x14ac:dyDescent="0.25">
      <c r="A2288">
        <v>70377</v>
      </c>
      <c r="B2288" t="s">
        <v>230</v>
      </c>
      <c r="C2288" t="s">
        <v>238</v>
      </c>
      <c r="D2288">
        <v>4</v>
      </c>
      <c r="E2288">
        <v>-4771</v>
      </c>
      <c r="F2288" t="s">
        <v>279</v>
      </c>
      <c r="G2288" t="s">
        <v>33</v>
      </c>
      <c r="H2288">
        <v>0</v>
      </c>
      <c r="I2288" t="s">
        <v>372</v>
      </c>
    </row>
    <row r="2289" spans="1:9" x14ac:dyDescent="0.25">
      <c r="A2289">
        <v>70377</v>
      </c>
      <c r="B2289" t="s">
        <v>230</v>
      </c>
      <c r="C2289" t="s">
        <v>238</v>
      </c>
      <c r="D2289">
        <v>4</v>
      </c>
      <c r="E2289">
        <v>-4771</v>
      </c>
      <c r="F2289" t="s">
        <v>279</v>
      </c>
      <c r="G2289" t="s">
        <v>33</v>
      </c>
      <c r="H2289">
        <v>0</v>
      </c>
      <c r="I2289" t="s">
        <v>329</v>
      </c>
    </row>
    <row r="2290" spans="1:9" x14ac:dyDescent="0.25">
      <c r="A2290">
        <v>70377</v>
      </c>
      <c r="B2290" t="s">
        <v>230</v>
      </c>
      <c r="C2290" t="s">
        <v>238</v>
      </c>
      <c r="D2290">
        <v>4</v>
      </c>
      <c r="E2290">
        <v>-4771</v>
      </c>
      <c r="F2290" t="s">
        <v>279</v>
      </c>
      <c r="G2290" t="s">
        <v>33</v>
      </c>
      <c r="H2290">
        <v>5180</v>
      </c>
      <c r="I2290" t="s">
        <v>319</v>
      </c>
    </row>
    <row r="2291" spans="1:9" x14ac:dyDescent="0.25">
      <c r="A2291">
        <v>70377</v>
      </c>
      <c r="B2291" t="s">
        <v>230</v>
      </c>
      <c r="C2291" t="s">
        <v>238</v>
      </c>
      <c r="D2291">
        <v>4</v>
      </c>
      <c r="E2291">
        <v>-4771</v>
      </c>
      <c r="F2291" t="s">
        <v>279</v>
      </c>
      <c r="G2291" t="s">
        <v>33</v>
      </c>
      <c r="H2291">
        <v>0</v>
      </c>
      <c r="I2291" t="s">
        <v>373</v>
      </c>
    </row>
    <row r="2292" spans="1:9" x14ac:dyDescent="0.25">
      <c r="A2292">
        <v>70377</v>
      </c>
      <c r="B2292" t="s">
        <v>230</v>
      </c>
      <c r="C2292" t="s">
        <v>238</v>
      </c>
      <c r="D2292">
        <v>4</v>
      </c>
      <c r="E2292">
        <v>-4771</v>
      </c>
      <c r="F2292" t="s">
        <v>279</v>
      </c>
      <c r="G2292" t="s">
        <v>33</v>
      </c>
      <c r="H2292">
        <v>0</v>
      </c>
      <c r="I2292" t="s">
        <v>374</v>
      </c>
    </row>
    <row r="2293" spans="1:9" x14ac:dyDescent="0.25">
      <c r="A2293">
        <v>70377</v>
      </c>
      <c r="B2293" t="s">
        <v>230</v>
      </c>
      <c r="C2293" t="s">
        <v>238</v>
      </c>
      <c r="D2293">
        <v>4</v>
      </c>
      <c r="E2293">
        <v>-4771</v>
      </c>
      <c r="F2293" t="s">
        <v>279</v>
      </c>
      <c r="G2293" t="s">
        <v>33</v>
      </c>
      <c r="H2293">
        <v>96611</v>
      </c>
      <c r="I2293" t="s">
        <v>326</v>
      </c>
    </row>
    <row r="2294" spans="1:9" x14ac:dyDescent="0.25">
      <c r="A2294">
        <v>70377</v>
      </c>
      <c r="B2294" t="s">
        <v>230</v>
      </c>
      <c r="C2294" t="s">
        <v>238</v>
      </c>
      <c r="D2294">
        <v>4</v>
      </c>
      <c r="E2294">
        <v>-4771</v>
      </c>
      <c r="F2294" t="s">
        <v>279</v>
      </c>
      <c r="G2294" t="s">
        <v>33</v>
      </c>
      <c r="H2294">
        <v>0</v>
      </c>
      <c r="I2294" t="s">
        <v>375</v>
      </c>
    </row>
    <row r="2295" spans="1:9" x14ac:dyDescent="0.25">
      <c r="A2295">
        <v>70377</v>
      </c>
      <c r="B2295" t="s">
        <v>230</v>
      </c>
      <c r="C2295" t="s">
        <v>238</v>
      </c>
      <c r="D2295">
        <v>4</v>
      </c>
      <c r="E2295">
        <v>-4771</v>
      </c>
      <c r="F2295" t="s">
        <v>279</v>
      </c>
      <c r="G2295" t="s">
        <v>33</v>
      </c>
      <c r="H2295">
        <v>0</v>
      </c>
      <c r="I2295" t="s">
        <v>376</v>
      </c>
    </row>
    <row r="2296" spans="1:9" x14ac:dyDescent="0.25">
      <c r="A2296">
        <v>70377</v>
      </c>
      <c r="B2296" t="s">
        <v>230</v>
      </c>
      <c r="C2296" t="s">
        <v>238</v>
      </c>
      <c r="D2296">
        <v>4</v>
      </c>
      <c r="E2296">
        <v>-4771</v>
      </c>
      <c r="F2296" t="s">
        <v>279</v>
      </c>
      <c r="G2296" t="s">
        <v>33</v>
      </c>
      <c r="H2296">
        <v>0</v>
      </c>
      <c r="I2296" t="s">
        <v>377</v>
      </c>
    </row>
    <row r="2297" spans="1:9" x14ac:dyDescent="0.25">
      <c r="A2297">
        <v>70377</v>
      </c>
      <c r="B2297" t="s">
        <v>230</v>
      </c>
      <c r="C2297" t="s">
        <v>238</v>
      </c>
      <c r="D2297">
        <v>4</v>
      </c>
      <c r="E2297">
        <v>-4771</v>
      </c>
      <c r="F2297" t="s">
        <v>274</v>
      </c>
      <c r="G2297" t="s">
        <v>275</v>
      </c>
      <c r="H2297">
        <v>889716</v>
      </c>
      <c r="I2297" t="s">
        <v>318</v>
      </c>
    </row>
    <row r="2298" spans="1:9" x14ac:dyDescent="0.25">
      <c r="A2298">
        <v>70377</v>
      </c>
      <c r="B2298" t="s">
        <v>230</v>
      </c>
      <c r="C2298" t="s">
        <v>238</v>
      </c>
      <c r="D2298">
        <v>4</v>
      </c>
      <c r="E2298">
        <v>-4771</v>
      </c>
      <c r="F2298" t="s">
        <v>274</v>
      </c>
      <c r="G2298" t="s">
        <v>300</v>
      </c>
      <c r="H2298">
        <v>23013</v>
      </c>
      <c r="I2298" t="s">
        <v>301</v>
      </c>
    </row>
    <row r="2299" spans="1:9" x14ac:dyDescent="0.25">
      <c r="A2299">
        <v>70377</v>
      </c>
      <c r="B2299" t="s">
        <v>230</v>
      </c>
      <c r="C2299" t="s">
        <v>238</v>
      </c>
      <c r="D2299">
        <v>4</v>
      </c>
      <c r="E2299">
        <v>-4771</v>
      </c>
      <c r="F2299" t="s">
        <v>274</v>
      </c>
      <c r="G2299" t="s">
        <v>275</v>
      </c>
      <c r="H2299">
        <v>-60057</v>
      </c>
      <c r="I2299" t="s">
        <v>302</v>
      </c>
    </row>
    <row r="2300" spans="1:9" x14ac:dyDescent="0.25">
      <c r="A2300">
        <v>70377</v>
      </c>
      <c r="B2300" t="s">
        <v>230</v>
      </c>
      <c r="C2300" t="s">
        <v>238</v>
      </c>
      <c r="D2300">
        <v>4</v>
      </c>
      <c r="E2300">
        <v>-4771</v>
      </c>
      <c r="F2300" t="s">
        <v>279</v>
      </c>
      <c r="G2300" t="s">
        <v>30</v>
      </c>
      <c r="H2300">
        <v>197917</v>
      </c>
      <c r="I2300" t="s">
        <v>303</v>
      </c>
    </row>
    <row r="2301" spans="1:9" x14ac:dyDescent="0.25">
      <c r="A2301">
        <v>70377</v>
      </c>
      <c r="B2301" t="s">
        <v>230</v>
      </c>
      <c r="C2301" t="s">
        <v>238</v>
      </c>
      <c r="D2301">
        <v>4</v>
      </c>
      <c r="E2301">
        <v>-4771</v>
      </c>
      <c r="F2301" t="s">
        <v>279</v>
      </c>
      <c r="G2301" t="s">
        <v>35</v>
      </c>
      <c r="H2301">
        <v>9904</v>
      </c>
      <c r="I2301" t="s">
        <v>304</v>
      </c>
    </row>
    <row r="2302" spans="1:9" x14ac:dyDescent="0.25">
      <c r="A2302">
        <v>70377</v>
      </c>
      <c r="B2302" t="s">
        <v>230</v>
      </c>
      <c r="C2302" t="s">
        <v>238</v>
      </c>
      <c r="D2302">
        <v>4</v>
      </c>
      <c r="E2302">
        <v>-4771</v>
      </c>
      <c r="F2302" t="s">
        <v>279</v>
      </c>
      <c r="G2302" t="s">
        <v>31</v>
      </c>
      <c r="H2302">
        <v>307716</v>
      </c>
      <c r="I2302" t="s">
        <v>305</v>
      </c>
    </row>
    <row r="2303" spans="1:9" x14ac:dyDescent="0.25">
      <c r="A2303">
        <v>70377</v>
      </c>
      <c r="B2303" t="s">
        <v>230</v>
      </c>
      <c r="C2303" t="s">
        <v>238</v>
      </c>
      <c r="D2303">
        <v>4</v>
      </c>
      <c r="E2303">
        <v>-4771</v>
      </c>
      <c r="F2303" t="s">
        <v>279</v>
      </c>
      <c r="G2303" t="s">
        <v>33</v>
      </c>
      <c r="H2303">
        <v>0</v>
      </c>
      <c r="I2303" t="s">
        <v>320</v>
      </c>
    </row>
    <row r="2304" spans="1:9" x14ac:dyDescent="0.25">
      <c r="A2304">
        <v>70377</v>
      </c>
      <c r="B2304" t="s">
        <v>230</v>
      </c>
      <c r="C2304" t="s">
        <v>238</v>
      </c>
      <c r="D2304">
        <v>4</v>
      </c>
      <c r="E2304">
        <v>-4771</v>
      </c>
      <c r="F2304" t="s">
        <v>279</v>
      </c>
      <c r="G2304" t="s">
        <v>33</v>
      </c>
      <c r="H2304">
        <v>0</v>
      </c>
      <c r="I2304" t="s">
        <v>306</v>
      </c>
    </row>
    <row r="2305" spans="1:9" x14ac:dyDescent="0.25">
      <c r="A2305">
        <v>70377</v>
      </c>
      <c r="B2305" t="s">
        <v>230</v>
      </c>
      <c r="C2305" t="s">
        <v>238</v>
      </c>
      <c r="D2305">
        <v>4</v>
      </c>
      <c r="E2305">
        <v>-4771</v>
      </c>
      <c r="F2305" t="s">
        <v>279</v>
      </c>
      <c r="G2305" t="s">
        <v>33</v>
      </c>
      <c r="H2305">
        <v>0</v>
      </c>
      <c r="I2305" t="s">
        <v>378</v>
      </c>
    </row>
    <row r="2306" spans="1:9" x14ac:dyDescent="0.25">
      <c r="A2306">
        <v>70377</v>
      </c>
      <c r="B2306" t="s">
        <v>230</v>
      </c>
      <c r="C2306" t="s">
        <v>238</v>
      </c>
      <c r="D2306">
        <v>4</v>
      </c>
      <c r="E2306">
        <v>-4771</v>
      </c>
      <c r="F2306" t="s">
        <v>279</v>
      </c>
      <c r="G2306" t="s">
        <v>31</v>
      </c>
      <c r="H2306">
        <v>28788</v>
      </c>
      <c r="I2306" t="s">
        <v>307</v>
      </c>
    </row>
    <row r="2307" spans="1:9" x14ac:dyDescent="0.25">
      <c r="A2307">
        <v>70377</v>
      </c>
      <c r="B2307" t="s">
        <v>230</v>
      </c>
      <c r="C2307" t="s">
        <v>238</v>
      </c>
      <c r="D2307">
        <v>4</v>
      </c>
      <c r="E2307">
        <v>-4771</v>
      </c>
      <c r="F2307" t="s">
        <v>279</v>
      </c>
      <c r="G2307" t="s">
        <v>31</v>
      </c>
      <c r="H2307">
        <v>0</v>
      </c>
      <c r="I2307" t="s">
        <v>379</v>
      </c>
    </row>
    <row r="2308" spans="1:9" x14ac:dyDescent="0.25">
      <c r="A2308">
        <v>70377</v>
      </c>
      <c r="B2308" t="s">
        <v>230</v>
      </c>
      <c r="C2308" t="s">
        <v>238</v>
      </c>
      <c r="D2308">
        <v>4</v>
      </c>
      <c r="E2308">
        <v>-4771</v>
      </c>
      <c r="F2308" t="s">
        <v>279</v>
      </c>
      <c r="G2308" t="s">
        <v>30</v>
      </c>
      <c r="H2308">
        <v>8162</v>
      </c>
      <c r="I2308" t="s">
        <v>308</v>
      </c>
    </row>
    <row r="2309" spans="1:9" x14ac:dyDescent="0.25">
      <c r="A2309">
        <v>70377</v>
      </c>
      <c r="B2309" t="s">
        <v>230</v>
      </c>
      <c r="C2309" t="s">
        <v>238</v>
      </c>
      <c r="D2309">
        <v>4</v>
      </c>
      <c r="E2309">
        <v>-4771</v>
      </c>
      <c r="F2309" t="s">
        <v>279</v>
      </c>
      <c r="G2309" t="s">
        <v>35</v>
      </c>
      <c r="H2309">
        <v>368</v>
      </c>
      <c r="I2309" t="s">
        <v>321</v>
      </c>
    </row>
    <row r="2310" spans="1:9" x14ac:dyDescent="0.25">
      <c r="A2310">
        <v>70377</v>
      </c>
      <c r="B2310" t="s">
        <v>230</v>
      </c>
      <c r="C2310" t="s">
        <v>238</v>
      </c>
      <c r="D2310">
        <v>4</v>
      </c>
      <c r="E2310">
        <v>-4771</v>
      </c>
      <c r="F2310" t="s">
        <v>279</v>
      </c>
      <c r="G2310" t="s">
        <v>33</v>
      </c>
      <c r="H2310">
        <v>0</v>
      </c>
      <c r="I2310" t="s">
        <v>380</v>
      </c>
    </row>
    <row r="2311" spans="1:9" x14ac:dyDescent="0.25">
      <c r="A2311">
        <v>70377</v>
      </c>
      <c r="B2311" t="s">
        <v>230</v>
      </c>
      <c r="C2311" t="s">
        <v>238</v>
      </c>
      <c r="D2311">
        <v>4</v>
      </c>
      <c r="E2311">
        <v>-4771</v>
      </c>
      <c r="F2311" t="s">
        <v>279</v>
      </c>
      <c r="G2311" t="s">
        <v>35</v>
      </c>
      <c r="H2311">
        <v>277</v>
      </c>
      <c r="I2311" t="s">
        <v>309</v>
      </c>
    </row>
    <row r="2312" spans="1:9" x14ac:dyDescent="0.25">
      <c r="A2312">
        <v>70377</v>
      </c>
      <c r="B2312" t="s">
        <v>230</v>
      </c>
      <c r="C2312" t="s">
        <v>238</v>
      </c>
      <c r="D2312">
        <v>4</v>
      </c>
      <c r="E2312">
        <v>-4771</v>
      </c>
      <c r="F2312" t="s">
        <v>279</v>
      </c>
      <c r="G2312" t="s">
        <v>35</v>
      </c>
      <c r="H2312">
        <v>1889</v>
      </c>
      <c r="I2312" t="s">
        <v>310</v>
      </c>
    </row>
    <row r="2313" spans="1:9" x14ac:dyDescent="0.25">
      <c r="A2313">
        <v>70377</v>
      </c>
      <c r="B2313" t="s">
        <v>230</v>
      </c>
      <c r="C2313" t="s">
        <v>238</v>
      </c>
      <c r="D2313">
        <v>4</v>
      </c>
      <c r="E2313">
        <v>-4771</v>
      </c>
      <c r="F2313" t="s">
        <v>279</v>
      </c>
      <c r="G2313" t="s">
        <v>35</v>
      </c>
      <c r="H2313">
        <v>11138</v>
      </c>
      <c r="I2313" t="s">
        <v>311</v>
      </c>
    </row>
    <row r="2314" spans="1:9" x14ac:dyDescent="0.25">
      <c r="A2314">
        <v>70377</v>
      </c>
      <c r="B2314" t="s">
        <v>230</v>
      </c>
      <c r="C2314" t="s">
        <v>238</v>
      </c>
      <c r="D2314">
        <v>4</v>
      </c>
      <c r="E2314">
        <v>-4771</v>
      </c>
      <c r="F2314" t="s">
        <v>279</v>
      </c>
      <c r="G2314" t="s">
        <v>35</v>
      </c>
      <c r="H2314">
        <v>105</v>
      </c>
      <c r="I2314" t="s">
        <v>312</v>
      </c>
    </row>
    <row r="2315" spans="1:9" x14ac:dyDescent="0.25">
      <c r="A2315">
        <v>70377</v>
      </c>
      <c r="B2315" t="s">
        <v>230</v>
      </c>
      <c r="C2315" t="s">
        <v>238</v>
      </c>
      <c r="D2315">
        <v>4</v>
      </c>
      <c r="E2315">
        <v>-4771</v>
      </c>
      <c r="F2315" t="s">
        <v>279</v>
      </c>
      <c r="G2315" t="s">
        <v>35</v>
      </c>
      <c r="H2315">
        <v>1850</v>
      </c>
      <c r="I2315" t="s">
        <v>313</v>
      </c>
    </row>
    <row r="2316" spans="1:9" x14ac:dyDescent="0.25">
      <c r="A2316">
        <v>70377</v>
      </c>
      <c r="B2316" t="s">
        <v>230</v>
      </c>
      <c r="C2316" t="s">
        <v>238</v>
      </c>
      <c r="D2316">
        <v>4</v>
      </c>
      <c r="E2316">
        <v>-4771</v>
      </c>
      <c r="F2316" t="s">
        <v>279</v>
      </c>
      <c r="G2316" t="s">
        <v>37</v>
      </c>
      <c r="H2316">
        <v>0</v>
      </c>
      <c r="I2316" t="s">
        <v>381</v>
      </c>
    </row>
    <row r="2317" spans="1:9" x14ac:dyDescent="0.25">
      <c r="A2317">
        <v>70377</v>
      </c>
      <c r="B2317" t="s">
        <v>230</v>
      </c>
      <c r="C2317" t="s">
        <v>238</v>
      </c>
      <c r="D2317">
        <v>4</v>
      </c>
      <c r="E2317">
        <v>-4771</v>
      </c>
      <c r="F2317" t="s">
        <v>279</v>
      </c>
      <c r="G2317" t="s">
        <v>37</v>
      </c>
      <c r="H2317">
        <v>21189</v>
      </c>
      <c r="I2317" t="s">
        <v>314</v>
      </c>
    </row>
    <row r="2318" spans="1:9" x14ac:dyDescent="0.25">
      <c r="A2318">
        <v>70377</v>
      </c>
      <c r="B2318" t="s">
        <v>230</v>
      </c>
      <c r="C2318" t="s">
        <v>238</v>
      </c>
      <c r="D2318">
        <v>4</v>
      </c>
      <c r="E2318">
        <v>-4771</v>
      </c>
      <c r="F2318" t="s">
        <v>279</v>
      </c>
      <c r="G2318" t="s">
        <v>35</v>
      </c>
      <c r="H2318">
        <v>4883</v>
      </c>
      <c r="I2318" t="s">
        <v>315</v>
      </c>
    </row>
    <row r="2319" spans="1:9" x14ac:dyDescent="0.25">
      <c r="A2319">
        <v>70377</v>
      </c>
      <c r="B2319" t="s">
        <v>230</v>
      </c>
      <c r="C2319" t="s">
        <v>238</v>
      </c>
      <c r="D2319">
        <v>4</v>
      </c>
      <c r="E2319">
        <v>-4771</v>
      </c>
      <c r="F2319" t="s">
        <v>279</v>
      </c>
      <c r="G2319" t="s">
        <v>37</v>
      </c>
      <c r="H2319">
        <v>0</v>
      </c>
      <c r="I2319" t="s">
        <v>323</v>
      </c>
    </row>
    <row r="2320" spans="1:9" x14ac:dyDescent="0.25">
      <c r="A2320">
        <v>70377</v>
      </c>
      <c r="B2320" t="s">
        <v>230</v>
      </c>
      <c r="C2320" t="s">
        <v>238</v>
      </c>
      <c r="D2320">
        <v>4</v>
      </c>
      <c r="E2320">
        <v>-4771</v>
      </c>
      <c r="F2320" t="s">
        <v>279</v>
      </c>
      <c r="G2320" t="s">
        <v>37</v>
      </c>
      <c r="H2320">
        <v>0</v>
      </c>
      <c r="I2320" t="s">
        <v>322</v>
      </c>
    </row>
    <row r="2321" spans="1:9" x14ac:dyDescent="0.25">
      <c r="A2321">
        <v>70377</v>
      </c>
      <c r="B2321" t="s">
        <v>230</v>
      </c>
      <c r="C2321" t="s">
        <v>238</v>
      </c>
      <c r="D2321">
        <v>4</v>
      </c>
      <c r="E2321">
        <v>-4771</v>
      </c>
      <c r="F2321" t="s">
        <v>279</v>
      </c>
      <c r="G2321" t="s">
        <v>37</v>
      </c>
      <c r="H2321">
        <v>0</v>
      </c>
      <c r="I2321" t="s">
        <v>382</v>
      </c>
    </row>
    <row r="2322" spans="1:9" x14ac:dyDescent="0.25">
      <c r="A2322">
        <v>70377</v>
      </c>
      <c r="B2322" t="s">
        <v>230</v>
      </c>
      <c r="C2322" t="s">
        <v>238</v>
      </c>
      <c r="D2322">
        <v>4</v>
      </c>
      <c r="E2322">
        <v>-4771</v>
      </c>
      <c r="F2322" t="s">
        <v>279</v>
      </c>
      <c r="G2322" t="s">
        <v>37</v>
      </c>
      <c r="H2322">
        <v>4291</v>
      </c>
      <c r="I2322" t="s">
        <v>316</v>
      </c>
    </row>
    <row r="2323" spans="1:9" x14ac:dyDescent="0.25">
      <c r="A2323">
        <v>70377</v>
      </c>
      <c r="B2323" t="s">
        <v>230</v>
      </c>
      <c r="C2323" t="s">
        <v>238</v>
      </c>
      <c r="D2323">
        <v>4</v>
      </c>
      <c r="E2323">
        <v>-4771</v>
      </c>
      <c r="F2323" t="s">
        <v>279</v>
      </c>
      <c r="G2323" t="s">
        <v>36</v>
      </c>
      <c r="H2323">
        <v>48074</v>
      </c>
      <c r="I2323" t="s">
        <v>317</v>
      </c>
    </row>
    <row r="2324" spans="1:9" x14ac:dyDescent="0.25">
      <c r="A2324">
        <v>70377</v>
      </c>
      <c r="B2324" t="s">
        <v>230</v>
      </c>
      <c r="C2324" t="s">
        <v>238</v>
      </c>
      <c r="D2324">
        <v>4</v>
      </c>
      <c r="E2324">
        <v>-4771</v>
      </c>
      <c r="F2324" t="s">
        <v>274</v>
      </c>
      <c r="G2324" t="s">
        <v>275</v>
      </c>
      <c r="H2324">
        <v>0</v>
      </c>
      <c r="I2324" t="s">
        <v>276</v>
      </c>
    </row>
    <row r="2325" spans="1:9" x14ac:dyDescent="0.25">
      <c r="A2325">
        <v>70377</v>
      </c>
      <c r="B2325" t="s">
        <v>230</v>
      </c>
      <c r="C2325" t="s">
        <v>238</v>
      </c>
      <c r="D2325">
        <v>4</v>
      </c>
      <c r="E2325">
        <v>-4771</v>
      </c>
      <c r="F2325" t="s">
        <v>279</v>
      </c>
      <c r="G2325" t="s">
        <v>29</v>
      </c>
      <c r="H2325">
        <v>0</v>
      </c>
      <c r="I2325" t="s">
        <v>324</v>
      </c>
    </row>
    <row r="2326" spans="1:9" x14ac:dyDescent="0.25">
      <c r="A2326">
        <v>70377</v>
      </c>
      <c r="B2326" t="s">
        <v>230</v>
      </c>
      <c r="C2326" t="s">
        <v>238</v>
      </c>
      <c r="D2326">
        <v>4</v>
      </c>
      <c r="E2326">
        <v>-4771</v>
      </c>
      <c r="F2326" t="s">
        <v>274</v>
      </c>
      <c r="G2326" t="s">
        <v>277</v>
      </c>
      <c r="H2326">
        <v>2802</v>
      </c>
      <c r="I2326" t="s">
        <v>278</v>
      </c>
    </row>
    <row r="2327" spans="1:9" x14ac:dyDescent="0.25">
      <c r="A2327">
        <v>70377</v>
      </c>
      <c r="B2327" t="s">
        <v>230</v>
      </c>
      <c r="C2327" t="s">
        <v>238</v>
      </c>
      <c r="D2327">
        <v>4</v>
      </c>
      <c r="E2327">
        <v>-4771</v>
      </c>
      <c r="F2327" t="s">
        <v>274</v>
      </c>
      <c r="G2327" t="s">
        <v>300</v>
      </c>
      <c r="H2327">
        <v>0</v>
      </c>
      <c r="I2327" t="s">
        <v>383</v>
      </c>
    </row>
    <row r="2328" spans="1:9" x14ac:dyDescent="0.25">
      <c r="A2328">
        <v>70377</v>
      </c>
      <c r="B2328" t="s">
        <v>230</v>
      </c>
      <c r="C2328" t="s">
        <v>238</v>
      </c>
      <c r="D2328">
        <v>4</v>
      </c>
      <c r="E2328">
        <v>-4771</v>
      </c>
      <c r="F2328" t="s">
        <v>279</v>
      </c>
      <c r="G2328" t="s">
        <v>33</v>
      </c>
      <c r="H2328">
        <v>37061</v>
      </c>
      <c r="I2328" t="s">
        <v>280</v>
      </c>
    </row>
    <row r="2329" spans="1:9" x14ac:dyDescent="0.25">
      <c r="A2329">
        <v>70377</v>
      </c>
      <c r="B2329" t="s">
        <v>230</v>
      </c>
      <c r="C2329" t="s">
        <v>238</v>
      </c>
      <c r="D2329">
        <v>4</v>
      </c>
      <c r="E2329">
        <v>-4771</v>
      </c>
      <c r="F2329" t="s">
        <v>279</v>
      </c>
      <c r="G2329" t="s">
        <v>29</v>
      </c>
      <c r="H2329">
        <v>5285</v>
      </c>
      <c r="I2329" t="s">
        <v>281</v>
      </c>
    </row>
    <row r="2330" spans="1:9" x14ac:dyDescent="0.25">
      <c r="A2330">
        <v>70377</v>
      </c>
      <c r="B2330" t="s">
        <v>230</v>
      </c>
      <c r="C2330" t="s">
        <v>238</v>
      </c>
      <c r="D2330">
        <v>4</v>
      </c>
      <c r="E2330">
        <v>-4771</v>
      </c>
      <c r="F2330" t="s">
        <v>279</v>
      </c>
      <c r="G2330" t="s">
        <v>29</v>
      </c>
      <c r="H2330">
        <v>54329</v>
      </c>
      <c r="I2330" t="s">
        <v>282</v>
      </c>
    </row>
    <row r="2331" spans="1:9" x14ac:dyDescent="0.25">
      <c r="A2331">
        <v>70377</v>
      </c>
      <c r="B2331" t="s">
        <v>230</v>
      </c>
      <c r="C2331" t="s">
        <v>238</v>
      </c>
      <c r="D2331">
        <v>4</v>
      </c>
      <c r="E2331">
        <v>-4771</v>
      </c>
      <c r="F2331" t="s">
        <v>279</v>
      </c>
      <c r="G2331" t="s">
        <v>35</v>
      </c>
      <c r="H2331">
        <v>78967</v>
      </c>
      <c r="I2331" t="s">
        <v>283</v>
      </c>
    </row>
    <row r="2332" spans="1:9" x14ac:dyDescent="0.25">
      <c r="A2332">
        <v>70377</v>
      </c>
      <c r="B2332" t="s">
        <v>230</v>
      </c>
      <c r="C2332" t="s">
        <v>238</v>
      </c>
      <c r="D2332">
        <v>4</v>
      </c>
      <c r="E2332">
        <v>-4771</v>
      </c>
      <c r="F2332" t="s">
        <v>279</v>
      </c>
      <c r="G2332" t="s">
        <v>29</v>
      </c>
      <c r="H2332">
        <v>5244</v>
      </c>
      <c r="I2332" t="s">
        <v>284</v>
      </c>
    </row>
    <row r="2333" spans="1:9" x14ac:dyDescent="0.25">
      <c r="A2333">
        <v>70377</v>
      </c>
      <c r="B2333" t="s">
        <v>230</v>
      </c>
      <c r="C2333" t="s">
        <v>238</v>
      </c>
      <c r="D2333">
        <v>4</v>
      </c>
      <c r="E2333">
        <v>-4771</v>
      </c>
      <c r="F2333" t="s">
        <v>279</v>
      </c>
      <c r="G2333" t="s">
        <v>29</v>
      </c>
      <c r="H2333">
        <v>35096</v>
      </c>
      <c r="I2333" t="s">
        <v>285</v>
      </c>
    </row>
    <row r="2334" spans="1:9" x14ac:dyDescent="0.25">
      <c r="A2334">
        <v>70377</v>
      </c>
      <c r="B2334" t="s">
        <v>230</v>
      </c>
      <c r="C2334" t="s">
        <v>238</v>
      </c>
      <c r="D2334">
        <v>4</v>
      </c>
      <c r="E2334">
        <v>-4771</v>
      </c>
      <c r="F2334" t="s">
        <v>279</v>
      </c>
      <c r="G2334" t="s">
        <v>29</v>
      </c>
      <c r="H2334">
        <v>3863</v>
      </c>
      <c r="I2334" t="s">
        <v>286</v>
      </c>
    </row>
    <row r="2335" spans="1:9" x14ac:dyDescent="0.25">
      <c r="A2335">
        <v>70377</v>
      </c>
      <c r="B2335" t="s">
        <v>230</v>
      </c>
      <c r="C2335" t="s">
        <v>238</v>
      </c>
      <c r="D2335">
        <v>4</v>
      </c>
      <c r="E2335">
        <v>-4771</v>
      </c>
      <c r="F2335" t="s">
        <v>279</v>
      </c>
      <c r="G2335" t="s">
        <v>29</v>
      </c>
      <c r="H2335">
        <v>0</v>
      </c>
      <c r="I2335" t="s">
        <v>327</v>
      </c>
    </row>
    <row r="2336" spans="1:9" x14ac:dyDescent="0.25">
      <c r="A2336">
        <v>70377</v>
      </c>
      <c r="B2336" t="s">
        <v>230</v>
      </c>
      <c r="C2336" t="s">
        <v>238</v>
      </c>
      <c r="D2336">
        <v>4</v>
      </c>
      <c r="E2336">
        <v>-4771</v>
      </c>
      <c r="F2336" t="s">
        <v>279</v>
      </c>
      <c r="G2336" t="s">
        <v>34</v>
      </c>
      <c r="H2336">
        <v>3978</v>
      </c>
      <c r="I2336" t="s">
        <v>287</v>
      </c>
    </row>
    <row r="2337" spans="1:9" x14ac:dyDescent="0.25">
      <c r="A2337">
        <v>70377</v>
      </c>
      <c r="B2337" t="s">
        <v>230</v>
      </c>
      <c r="C2337" t="s">
        <v>238</v>
      </c>
      <c r="D2337">
        <v>4</v>
      </c>
      <c r="E2337">
        <v>-4771</v>
      </c>
      <c r="F2337" t="s">
        <v>279</v>
      </c>
      <c r="G2337" t="s">
        <v>29</v>
      </c>
      <c r="H2337">
        <v>49395</v>
      </c>
      <c r="I2337" t="s">
        <v>288</v>
      </c>
    </row>
    <row r="2338" spans="1:9" x14ac:dyDescent="0.25">
      <c r="A2338">
        <v>70378</v>
      </c>
      <c r="B2338" t="s">
        <v>232</v>
      </c>
      <c r="C2338" t="s">
        <v>238</v>
      </c>
      <c r="D2338">
        <v>4</v>
      </c>
      <c r="E2338">
        <v>-37535</v>
      </c>
      <c r="F2338" t="s">
        <v>279</v>
      </c>
      <c r="G2338" t="s">
        <v>31</v>
      </c>
      <c r="H2338">
        <v>0</v>
      </c>
      <c r="I2338" t="s">
        <v>364</v>
      </c>
    </row>
    <row r="2339" spans="1:9" x14ac:dyDescent="0.25">
      <c r="A2339">
        <v>70378</v>
      </c>
      <c r="B2339" t="s">
        <v>232</v>
      </c>
      <c r="C2339" t="s">
        <v>238</v>
      </c>
      <c r="D2339">
        <v>4</v>
      </c>
      <c r="E2339">
        <v>-37535</v>
      </c>
      <c r="F2339" t="s">
        <v>279</v>
      </c>
      <c r="G2339" t="s">
        <v>31</v>
      </c>
      <c r="H2339">
        <v>0</v>
      </c>
      <c r="I2339" t="s">
        <v>365</v>
      </c>
    </row>
    <row r="2340" spans="1:9" x14ac:dyDescent="0.25">
      <c r="A2340">
        <v>70378</v>
      </c>
      <c r="B2340" t="s">
        <v>232</v>
      </c>
      <c r="C2340" t="s">
        <v>238</v>
      </c>
      <c r="D2340">
        <v>4</v>
      </c>
      <c r="E2340">
        <v>-37535</v>
      </c>
      <c r="F2340" t="s">
        <v>279</v>
      </c>
      <c r="G2340" t="s">
        <v>31</v>
      </c>
      <c r="H2340">
        <v>0</v>
      </c>
      <c r="I2340" t="s">
        <v>366</v>
      </c>
    </row>
    <row r="2341" spans="1:9" x14ac:dyDescent="0.25">
      <c r="A2341">
        <v>70378</v>
      </c>
      <c r="B2341" t="s">
        <v>232</v>
      </c>
      <c r="C2341" t="s">
        <v>238</v>
      </c>
      <c r="D2341">
        <v>4</v>
      </c>
      <c r="E2341">
        <v>-37535</v>
      </c>
      <c r="F2341" t="s">
        <v>279</v>
      </c>
      <c r="G2341" t="s">
        <v>31</v>
      </c>
      <c r="H2341">
        <v>0</v>
      </c>
      <c r="I2341" t="s">
        <v>367</v>
      </c>
    </row>
    <row r="2342" spans="1:9" x14ac:dyDescent="0.25">
      <c r="A2342">
        <v>70378</v>
      </c>
      <c r="B2342" t="s">
        <v>232</v>
      </c>
      <c r="C2342" t="s">
        <v>238</v>
      </c>
      <c r="D2342">
        <v>4</v>
      </c>
      <c r="E2342">
        <v>-37535</v>
      </c>
      <c r="F2342" t="s">
        <v>279</v>
      </c>
      <c r="G2342" t="s">
        <v>31</v>
      </c>
      <c r="H2342">
        <v>0</v>
      </c>
      <c r="I2342" t="s">
        <v>368</v>
      </c>
    </row>
    <row r="2343" spans="1:9" x14ac:dyDescent="0.25">
      <c r="A2343">
        <v>70378</v>
      </c>
      <c r="B2343" t="s">
        <v>232</v>
      </c>
      <c r="C2343" t="s">
        <v>238</v>
      </c>
      <c r="D2343">
        <v>4</v>
      </c>
      <c r="E2343">
        <v>-37535</v>
      </c>
      <c r="F2343" t="s">
        <v>279</v>
      </c>
      <c r="G2343" t="s">
        <v>31</v>
      </c>
      <c r="H2343">
        <v>0</v>
      </c>
      <c r="I2343" t="s">
        <v>369</v>
      </c>
    </row>
    <row r="2344" spans="1:9" x14ac:dyDescent="0.25">
      <c r="A2344">
        <v>70378</v>
      </c>
      <c r="B2344" t="s">
        <v>232</v>
      </c>
      <c r="C2344" t="s">
        <v>238</v>
      </c>
      <c r="D2344">
        <v>4</v>
      </c>
      <c r="E2344">
        <v>-37535</v>
      </c>
      <c r="F2344" t="s">
        <v>279</v>
      </c>
      <c r="G2344" t="s">
        <v>31</v>
      </c>
      <c r="H2344">
        <v>0</v>
      </c>
      <c r="I2344" t="s">
        <v>370</v>
      </c>
    </row>
    <row r="2345" spans="1:9" x14ac:dyDescent="0.25">
      <c r="A2345">
        <v>70378</v>
      </c>
      <c r="B2345" t="s">
        <v>232</v>
      </c>
      <c r="C2345" t="s">
        <v>238</v>
      </c>
      <c r="D2345">
        <v>4</v>
      </c>
      <c r="E2345">
        <v>-37535</v>
      </c>
      <c r="F2345" t="s">
        <v>279</v>
      </c>
      <c r="G2345" t="s">
        <v>31</v>
      </c>
      <c r="H2345">
        <v>0</v>
      </c>
      <c r="I2345" t="s">
        <v>371</v>
      </c>
    </row>
    <row r="2346" spans="1:9" x14ac:dyDescent="0.25">
      <c r="A2346">
        <v>70378</v>
      </c>
      <c r="B2346" t="s">
        <v>232</v>
      </c>
      <c r="C2346" t="s">
        <v>238</v>
      </c>
      <c r="D2346">
        <v>4</v>
      </c>
      <c r="E2346">
        <v>-37535</v>
      </c>
      <c r="F2346" t="s">
        <v>279</v>
      </c>
      <c r="G2346" t="s">
        <v>31</v>
      </c>
      <c r="H2346">
        <v>0</v>
      </c>
      <c r="I2346" t="s">
        <v>328</v>
      </c>
    </row>
    <row r="2347" spans="1:9" x14ac:dyDescent="0.25">
      <c r="A2347">
        <v>70378</v>
      </c>
      <c r="B2347" t="s">
        <v>232</v>
      </c>
      <c r="C2347" t="s">
        <v>238</v>
      </c>
      <c r="D2347">
        <v>4</v>
      </c>
      <c r="E2347">
        <v>-37535</v>
      </c>
      <c r="F2347" t="s">
        <v>279</v>
      </c>
      <c r="G2347" t="s">
        <v>33</v>
      </c>
      <c r="H2347">
        <v>0</v>
      </c>
      <c r="I2347" t="s">
        <v>372</v>
      </c>
    </row>
    <row r="2348" spans="1:9" x14ac:dyDescent="0.25">
      <c r="A2348">
        <v>70378</v>
      </c>
      <c r="B2348" t="s">
        <v>232</v>
      </c>
      <c r="C2348" t="s">
        <v>238</v>
      </c>
      <c r="D2348">
        <v>4</v>
      </c>
      <c r="E2348">
        <v>-37535</v>
      </c>
      <c r="F2348" t="s">
        <v>279</v>
      </c>
      <c r="G2348" t="s">
        <v>33</v>
      </c>
      <c r="H2348">
        <v>0</v>
      </c>
      <c r="I2348" t="s">
        <v>329</v>
      </c>
    </row>
    <row r="2349" spans="1:9" x14ac:dyDescent="0.25">
      <c r="A2349">
        <v>70378</v>
      </c>
      <c r="B2349" t="s">
        <v>232</v>
      </c>
      <c r="C2349" t="s">
        <v>238</v>
      </c>
      <c r="D2349">
        <v>4</v>
      </c>
      <c r="E2349">
        <v>-37535</v>
      </c>
      <c r="F2349" t="s">
        <v>279</v>
      </c>
      <c r="G2349" t="s">
        <v>33</v>
      </c>
      <c r="H2349">
        <v>5180</v>
      </c>
      <c r="I2349" t="s">
        <v>319</v>
      </c>
    </row>
    <row r="2350" spans="1:9" x14ac:dyDescent="0.25">
      <c r="A2350">
        <v>70378</v>
      </c>
      <c r="B2350" t="s">
        <v>232</v>
      </c>
      <c r="C2350" t="s">
        <v>238</v>
      </c>
      <c r="D2350">
        <v>4</v>
      </c>
      <c r="E2350">
        <v>-37535</v>
      </c>
      <c r="F2350" t="s">
        <v>279</v>
      </c>
      <c r="G2350" t="s">
        <v>33</v>
      </c>
      <c r="H2350">
        <v>0</v>
      </c>
      <c r="I2350" t="s">
        <v>373</v>
      </c>
    </row>
    <row r="2351" spans="1:9" x14ac:dyDescent="0.25">
      <c r="A2351">
        <v>70378</v>
      </c>
      <c r="B2351" t="s">
        <v>232</v>
      </c>
      <c r="C2351" t="s">
        <v>238</v>
      </c>
      <c r="D2351">
        <v>4</v>
      </c>
      <c r="E2351">
        <v>-37535</v>
      </c>
      <c r="F2351" t="s">
        <v>279</v>
      </c>
      <c r="G2351" t="s">
        <v>33</v>
      </c>
      <c r="H2351">
        <v>0</v>
      </c>
      <c r="I2351" t="s">
        <v>374</v>
      </c>
    </row>
    <row r="2352" spans="1:9" x14ac:dyDescent="0.25">
      <c r="A2352">
        <v>70378</v>
      </c>
      <c r="B2352" t="s">
        <v>232</v>
      </c>
      <c r="C2352" t="s">
        <v>238</v>
      </c>
      <c r="D2352">
        <v>4</v>
      </c>
      <c r="E2352">
        <v>-37535</v>
      </c>
      <c r="F2352" t="s">
        <v>279</v>
      </c>
      <c r="G2352" t="s">
        <v>33</v>
      </c>
      <c r="H2352">
        <v>33850</v>
      </c>
      <c r="I2352" t="s">
        <v>326</v>
      </c>
    </row>
    <row r="2353" spans="1:9" x14ac:dyDescent="0.25">
      <c r="A2353">
        <v>70378</v>
      </c>
      <c r="B2353" t="s">
        <v>232</v>
      </c>
      <c r="C2353" t="s">
        <v>238</v>
      </c>
      <c r="D2353">
        <v>4</v>
      </c>
      <c r="E2353">
        <v>-37535</v>
      </c>
      <c r="F2353" t="s">
        <v>279</v>
      </c>
      <c r="G2353" t="s">
        <v>33</v>
      </c>
      <c r="H2353">
        <v>0</v>
      </c>
      <c r="I2353" t="s">
        <v>375</v>
      </c>
    </row>
    <row r="2354" spans="1:9" x14ac:dyDescent="0.25">
      <c r="A2354">
        <v>70378</v>
      </c>
      <c r="B2354" t="s">
        <v>232</v>
      </c>
      <c r="C2354" t="s">
        <v>238</v>
      </c>
      <c r="D2354">
        <v>4</v>
      </c>
      <c r="E2354">
        <v>-37535</v>
      </c>
      <c r="F2354" t="s">
        <v>279</v>
      </c>
      <c r="G2354" t="s">
        <v>33</v>
      </c>
      <c r="H2354">
        <v>0</v>
      </c>
      <c r="I2354" t="s">
        <v>376</v>
      </c>
    </row>
    <row r="2355" spans="1:9" x14ac:dyDescent="0.25">
      <c r="A2355">
        <v>70378</v>
      </c>
      <c r="B2355" t="s">
        <v>232</v>
      </c>
      <c r="C2355" t="s">
        <v>238</v>
      </c>
      <c r="D2355">
        <v>4</v>
      </c>
      <c r="E2355">
        <v>-37535</v>
      </c>
      <c r="F2355" t="s">
        <v>279</v>
      </c>
      <c r="G2355" t="s">
        <v>33</v>
      </c>
      <c r="H2355">
        <v>0</v>
      </c>
      <c r="I2355" t="s">
        <v>377</v>
      </c>
    </row>
    <row r="2356" spans="1:9" x14ac:dyDescent="0.25">
      <c r="A2356">
        <v>70378</v>
      </c>
      <c r="B2356" t="s">
        <v>232</v>
      </c>
      <c r="C2356" t="s">
        <v>238</v>
      </c>
      <c r="D2356">
        <v>4</v>
      </c>
      <c r="E2356">
        <v>-37535</v>
      </c>
      <c r="F2356" t="s">
        <v>274</v>
      </c>
      <c r="G2356" t="s">
        <v>275</v>
      </c>
      <c r="H2356">
        <v>938077</v>
      </c>
      <c r="I2356" t="s">
        <v>318</v>
      </c>
    </row>
    <row r="2357" spans="1:9" x14ac:dyDescent="0.25">
      <c r="A2357">
        <v>70378</v>
      </c>
      <c r="B2357" t="s">
        <v>232</v>
      </c>
      <c r="C2357" t="s">
        <v>238</v>
      </c>
      <c r="D2357">
        <v>4</v>
      </c>
      <c r="E2357">
        <v>-37535</v>
      </c>
      <c r="F2357" t="s">
        <v>274</v>
      </c>
      <c r="G2357" t="s">
        <v>300</v>
      </c>
      <c r="H2357">
        <v>26198</v>
      </c>
      <c r="I2357" t="s">
        <v>301</v>
      </c>
    </row>
    <row r="2358" spans="1:9" x14ac:dyDescent="0.25">
      <c r="A2358">
        <v>70378</v>
      </c>
      <c r="B2358" t="s">
        <v>232</v>
      </c>
      <c r="C2358" t="s">
        <v>238</v>
      </c>
      <c r="D2358">
        <v>4</v>
      </c>
      <c r="E2358">
        <v>-37535</v>
      </c>
      <c r="F2358" t="s">
        <v>274</v>
      </c>
      <c r="G2358" t="s">
        <v>275</v>
      </c>
      <c r="H2358">
        <v>-91311</v>
      </c>
      <c r="I2358" t="s">
        <v>302</v>
      </c>
    </row>
    <row r="2359" spans="1:9" x14ac:dyDescent="0.25">
      <c r="A2359">
        <v>70378</v>
      </c>
      <c r="B2359" t="s">
        <v>232</v>
      </c>
      <c r="C2359" t="s">
        <v>238</v>
      </c>
      <c r="D2359">
        <v>4</v>
      </c>
      <c r="E2359">
        <v>-37535</v>
      </c>
      <c r="F2359" t="s">
        <v>279</v>
      </c>
      <c r="G2359" t="s">
        <v>30</v>
      </c>
      <c r="H2359">
        <v>204736</v>
      </c>
      <c r="I2359" t="s">
        <v>303</v>
      </c>
    </row>
    <row r="2360" spans="1:9" x14ac:dyDescent="0.25">
      <c r="A2360">
        <v>70378</v>
      </c>
      <c r="B2360" t="s">
        <v>232</v>
      </c>
      <c r="C2360" t="s">
        <v>238</v>
      </c>
      <c r="D2360">
        <v>4</v>
      </c>
      <c r="E2360">
        <v>-37535</v>
      </c>
      <c r="F2360" t="s">
        <v>279</v>
      </c>
      <c r="G2360" t="s">
        <v>35</v>
      </c>
      <c r="H2360">
        <v>21931</v>
      </c>
      <c r="I2360" t="s">
        <v>304</v>
      </c>
    </row>
    <row r="2361" spans="1:9" x14ac:dyDescent="0.25">
      <c r="A2361">
        <v>70378</v>
      </c>
      <c r="B2361" t="s">
        <v>232</v>
      </c>
      <c r="C2361" t="s">
        <v>238</v>
      </c>
      <c r="D2361">
        <v>4</v>
      </c>
      <c r="E2361">
        <v>-37535</v>
      </c>
      <c r="F2361" t="s">
        <v>279</v>
      </c>
      <c r="G2361" t="s">
        <v>31</v>
      </c>
      <c r="H2361">
        <v>320467</v>
      </c>
      <c r="I2361" t="s">
        <v>305</v>
      </c>
    </row>
    <row r="2362" spans="1:9" x14ac:dyDescent="0.25">
      <c r="A2362">
        <v>70378</v>
      </c>
      <c r="B2362" t="s">
        <v>232</v>
      </c>
      <c r="C2362" t="s">
        <v>238</v>
      </c>
      <c r="D2362">
        <v>4</v>
      </c>
      <c r="E2362">
        <v>-37535</v>
      </c>
      <c r="F2362" t="s">
        <v>279</v>
      </c>
      <c r="G2362" t="s">
        <v>33</v>
      </c>
      <c r="H2362">
        <v>0</v>
      </c>
      <c r="I2362" t="s">
        <v>320</v>
      </c>
    </row>
    <row r="2363" spans="1:9" x14ac:dyDescent="0.25">
      <c r="A2363">
        <v>70378</v>
      </c>
      <c r="B2363" t="s">
        <v>232</v>
      </c>
      <c r="C2363" t="s">
        <v>238</v>
      </c>
      <c r="D2363">
        <v>4</v>
      </c>
      <c r="E2363">
        <v>-37535</v>
      </c>
      <c r="F2363" t="s">
        <v>279</v>
      </c>
      <c r="G2363" t="s">
        <v>33</v>
      </c>
      <c r="H2363">
        <v>0</v>
      </c>
      <c r="I2363" t="s">
        <v>306</v>
      </c>
    </row>
    <row r="2364" spans="1:9" x14ac:dyDescent="0.25">
      <c r="A2364">
        <v>70378</v>
      </c>
      <c r="B2364" t="s">
        <v>232</v>
      </c>
      <c r="C2364" t="s">
        <v>238</v>
      </c>
      <c r="D2364">
        <v>4</v>
      </c>
      <c r="E2364">
        <v>-37535</v>
      </c>
      <c r="F2364" t="s">
        <v>279</v>
      </c>
      <c r="G2364" t="s">
        <v>33</v>
      </c>
      <c r="H2364">
        <v>0</v>
      </c>
      <c r="I2364" t="s">
        <v>378</v>
      </c>
    </row>
    <row r="2365" spans="1:9" x14ac:dyDescent="0.25">
      <c r="A2365">
        <v>70378</v>
      </c>
      <c r="B2365" t="s">
        <v>232</v>
      </c>
      <c r="C2365" t="s">
        <v>238</v>
      </c>
      <c r="D2365">
        <v>4</v>
      </c>
      <c r="E2365">
        <v>-37535</v>
      </c>
      <c r="F2365" t="s">
        <v>279</v>
      </c>
      <c r="G2365" t="s">
        <v>31</v>
      </c>
      <c r="H2365">
        <v>29782</v>
      </c>
      <c r="I2365" t="s">
        <v>307</v>
      </c>
    </row>
    <row r="2366" spans="1:9" x14ac:dyDescent="0.25">
      <c r="A2366">
        <v>70378</v>
      </c>
      <c r="B2366" t="s">
        <v>232</v>
      </c>
      <c r="C2366" t="s">
        <v>238</v>
      </c>
      <c r="D2366">
        <v>4</v>
      </c>
      <c r="E2366">
        <v>-37535</v>
      </c>
      <c r="F2366" t="s">
        <v>279</v>
      </c>
      <c r="G2366" t="s">
        <v>31</v>
      </c>
      <c r="H2366">
        <v>0</v>
      </c>
      <c r="I2366" t="s">
        <v>379</v>
      </c>
    </row>
    <row r="2367" spans="1:9" x14ac:dyDescent="0.25">
      <c r="A2367">
        <v>70378</v>
      </c>
      <c r="B2367" t="s">
        <v>232</v>
      </c>
      <c r="C2367" t="s">
        <v>238</v>
      </c>
      <c r="D2367">
        <v>4</v>
      </c>
      <c r="E2367">
        <v>-37535</v>
      </c>
      <c r="F2367" t="s">
        <v>279</v>
      </c>
      <c r="G2367" t="s">
        <v>30</v>
      </c>
      <c r="H2367">
        <v>8235</v>
      </c>
      <c r="I2367" t="s">
        <v>308</v>
      </c>
    </row>
    <row r="2368" spans="1:9" x14ac:dyDescent="0.25">
      <c r="A2368">
        <v>70378</v>
      </c>
      <c r="B2368" t="s">
        <v>232</v>
      </c>
      <c r="C2368" t="s">
        <v>238</v>
      </c>
      <c r="D2368">
        <v>4</v>
      </c>
      <c r="E2368">
        <v>-37535</v>
      </c>
      <c r="F2368" t="s">
        <v>279</v>
      </c>
      <c r="G2368" t="s">
        <v>35</v>
      </c>
      <c r="H2368">
        <v>1740</v>
      </c>
      <c r="I2368" t="s">
        <v>321</v>
      </c>
    </row>
    <row r="2369" spans="1:9" x14ac:dyDescent="0.25">
      <c r="A2369">
        <v>70378</v>
      </c>
      <c r="B2369" t="s">
        <v>232</v>
      </c>
      <c r="C2369" t="s">
        <v>238</v>
      </c>
      <c r="D2369">
        <v>4</v>
      </c>
      <c r="E2369">
        <v>-37535</v>
      </c>
      <c r="F2369" t="s">
        <v>279</v>
      </c>
      <c r="G2369" t="s">
        <v>33</v>
      </c>
      <c r="H2369">
        <v>0</v>
      </c>
      <c r="I2369" t="s">
        <v>380</v>
      </c>
    </row>
    <row r="2370" spans="1:9" x14ac:dyDescent="0.25">
      <c r="A2370">
        <v>70378</v>
      </c>
      <c r="B2370" t="s">
        <v>232</v>
      </c>
      <c r="C2370" t="s">
        <v>238</v>
      </c>
      <c r="D2370">
        <v>4</v>
      </c>
      <c r="E2370">
        <v>-37535</v>
      </c>
      <c r="F2370" t="s">
        <v>279</v>
      </c>
      <c r="G2370" t="s">
        <v>35</v>
      </c>
      <c r="H2370">
        <v>1483</v>
      </c>
      <c r="I2370" t="s">
        <v>309</v>
      </c>
    </row>
    <row r="2371" spans="1:9" x14ac:dyDescent="0.25">
      <c r="A2371">
        <v>70378</v>
      </c>
      <c r="B2371" t="s">
        <v>232</v>
      </c>
      <c r="C2371" t="s">
        <v>238</v>
      </c>
      <c r="D2371">
        <v>4</v>
      </c>
      <c r="E2371">
        <v>-37535</v>
      </c>
      <c r="F2371" t="s">
        <v>279</v>
      </c>
      <c r="G2371" t="s">
        <v>35</v>
      </c>
      <c r="H2371">
        <v>2955</v>
      </c>
      <c r="I2371" t="s">
        <v>310</v>
      </c>
    </row>
    <row r="2372" spans="1:9" x14ac:dyDescent="0.25">
      <c r="A2372">
        <v>70378</v>
      </c>
      <c r="B2372" t="s">
        <v>232</v>
      </c>
      <c r="C2372" t="s">
        <v>238</v>
      </c>
      <c r="D2372">
        <v>4</v>
      </c>
      <c r="E2372">
        <v>-37535</v>
      </c>
      <c r="F2372" t="s">
        <v>279</v>
      </c>
      <c r="G2372" t="s">
        <v>35</v>
      </c>
      <c r="H2372">
        <v>13759</v>
      </c>
      <c r="I2372" t="s">
        <v>311</v>
      </c>
    </row>
    <row r="2373" spans="1:9" x14ac:dyDescent="0.25">
      <c r="A2373">
        <v>70378</v>
      </c>
      <c r="B2373" t="s">
        <v>232</v>
      </c>
      <c r="C2373" t="s">
        <v>238</v>
      </c>
      <c r="D2373">
        <v>4</v>
      </c>
      <c r="E2373">
        <v>-37535</v>
      </c>
      <c r="F2373" t="s">
        <v>279</v>
      </c>
      <c r="G2373" t="s">
        <v>35</v>
      </c>
      <c r="H2373">
        <v>0</v>
      </c>
      <c r="I2373" t="s">
        <v>312</v>
      </c>
    </row>
    <row r="2374" spans="1:9" x14ac:dyDescent="0.25">
      <c r="A2374">
        <v>70378</v>
      </c>
      <c r="B2374" t="s">
        <v>232</v>
      </c>
      <c r="C2374" t="s">
        <v>238</v>
      </c>
      <c r="D2374">
        <v>4</v>
      </c>
      <c r="E2374">
        <v>-37535</v>
      </c>
      <c r="F2374" t="s">
        <v>279</v>
      </c>
      <c r="G2374" t="s">
        <v>35</v>
      </c>
      <c r="H2374">
        <v>855</v>
      </c>
      <c r="I2374" t="s">
        <v>313</v>
      </c>
    </row>
    <row r="2375" spans="1:9" x14ac:dyDescent="0.25">
      <c r="A2375">
        <v>70378</v>
      </c>
      <c r="B2375" t="s">
        <v>232</v>
      </c>
      <c r="C2375" t="s">
        <v>238</v>
      </c>
      <c r="D2375">
        <v>4</v>
      </c>
      <c r="E2375">
        <v>-37535</v>
      </c>
      <c r="F2375" t="s">
        <v>279</v>
      </c>
      <c r="G2375" t="s">
        <v>37</v>
      </c>
      <c r="H2375">
        <v>0</v>
      </c>
      <c r="I2375" t="s">
        <v>381</v>
      </c>
    </row>
    <row r="2376" spans="1:9" x14ac:dyDescent="0.25">
      <c r="A2376">
        <v>70378</v>
      </c>
      <c r="B2376" t="s">
        <v>232</v>
      </c>
      <c r="C2376" t="s">
        <v>238</v>
      </c>
      <c r="D2376">
        <v>4</v>
      </c>
      <c r="E2376">
        <v>-37535</v>
      </c>
      <c r="F2376" t="s">
        <v>279</v>
      </c>
      <c r="G2376" t="s">
        <v>37</v>
      </c>
      <c r="H2376">
        <v>24716</v>
      </c>
      <c r="I2376" t="s">
        <v>314</v>
      </c>
    </row>
    <row r="2377" spans="1:9" x14ac:dyDescent="0.25">
      <c r="A2377">
        <v>70378</v>
      </c>
      <c r="B2377" t="s">
        <v>232</v>
      </c>
      <c r="C2377" t="s">
        <v>238</v>
      </c>
      <c r="D2377">
        <v>4</v>
      </c>
      <c r="E2377">
        <v>-37535</v>
      </c>
      <c r="F2377" t="s">
        <v>279</v>
      </c>
      <c r="G2377" t="s">
        <v>35</v>
      </c>
      <c r="H2377">
        <v>2467</v>
      </c>
      <c r="I2377" t="s">
        <v>315</v>
      </c>
    </row>
    <row r="2378" spans="1:9" x14ac:dyDescent="0.25">
      <c r="A2378">
        <v>70378</v>
      </c>
      <c r="B2378" t="s">
        <v>232</v>
      </c>
      <c r="C2378" t="s">
        <v>238</v>
      </c>
      <c r="D2378">
        <v>4</v>
      </c>
      <c r="E2378">
        <v>-37535</v>
      </c>
      <c r="F2378" t="s">
        <v>279</v>
      </c>
      <c r="G2378" t="s">
        <v>37</v>
      </c>
      <c r="H2378">
        <v>0</v>
      </c>
      <c r="I2378" t="s">
        <v>323</v>
      </c>
    </row>
    <row r="2379" spans="1:9" x14ac:dyDescent="0.25">
      <c r="A2379">
        <v>70378</v>
      </c>
      <c r="B2379" t="s">
        <v>232</v>
      </c>
      <c r="C2379" t="s">
        <v>238</v>
      </c>
      <c r="D2379">
        <v>4</v>
      </c>
      <c r="E2379">
        <v>-37535</v>
      </c>
      <c r="F2379" t="s">
        <v>279</v>
      </c>
      <c r="G2379" t="s">
        <v>37</v>
      </c>
      <c r="H2379">
        <v>17</v>
      </c>
      <c r="I2379" t="s">
        <v>322</v>
      </c>
    </row>
    <row r="2380" spans="1:9" x14ac:dyDescent="0.25">
      <c r="A2380">
        <v>70378</v>
      </c>
      <c r="B2380" t="s">
        <v>232</v>
      </c>
      <c r="C2380" t="s">
        <v>238</v>
      </c>
      <c r="D2380">
        <v>4</v>
      </c>
      <c r="E2380">
        <v>-37535</v>
      </c>
      <c r="F2380" t="s">
        <v>279</v>
      </c>
      <c r="G2380" t="s">
        <v>37</v>
      </c>
      <c r="H2380">
        <v>0</v>
      </c>
      <c r="I2380" t="s">
        <v>382</v>
      </c>
    </row>
    <row r="2381" spans="1:9" x14ac:dyDescent="0.25">
      <c r="A2381">
        <v>70378</v>
      </c>
      <c r="B2381" t="s">
        <v>232</v>
      </c>
      <c r="C2381" t="s">
        <v>238</v>
      </c>
      <c r="D2381">
        <v>4</v>
      </c>
      <c r="E2381">
        <v>-37535</v>
      </c>
      <c r="F2381" t="s">
        <v>279</v>
      </c>
      <c r="G2381" t="s">
        <v>37</v>
      </c>
      <c r="H2381">
        <v>5452</v>
      </c>
      <c r="I2381" t="s">
        <v>316</v>
      </c>
    </row>
    <row r="2382" spans="1:9" x14ac:dyDescent="0.25">
      <c r="A2382">
        <v>70378</v>
      </c>
      <c r="B2382" t="s">
        <v>232</v>
      </c>
      <c r="C2382" t="s">
        <v>238</v>
      </c>
      <c r="D2382">
        <v>4</v>
      </c>
      <c r="E2382">
        <v>-37535</v>
      </c>
      <c r="F2382" t="s">
        <v>279</v>
      </c>
      <c r="G2382" t="s">
        <v>36</v>
      </c>
      <c r="H2382">
        <v>55457</v>
      </c>
      <c r="I2382" t="s">
        <v>317</v>
      </c>
    </row>
    <row r="2383" spans="1:9" x14ac:dyDescent="0.25">
      <c r="A2383">
        <v>70378</v>
      </c>
      <c r="B2383" t="s">
        <v>232</v>
      </c>
      <c r="C2383" t="s">
        <v>238</v>
      </c>
      <c r="D2383">
        <v>4</v>
      </c>
      <c r="E2383">
        <v>-37535</v>
      </c>
      <c r="F2383" t="s">
        <v>274</v>
      </c>
      <c r="G2383" t="s">
        <v>275</v>
      </c>
      <c r="H2383">
        <v>-190</v>
      </c>
      <c r="I2383" t="s">
        <v>276</v>
      </c>
    </row>
    <row r="2384" spans="1:9" x14ac:dyDescent="0.25">
      <c r="A2384">
        <v>70378</v>
      </c>
      <c r="B2384" t="s">
        <v>232</v>
      </c>
      <c r="C2384" t="s">
        <v>238</v>
      </c>
      <c r="D2384">
        <v>4</v>
      </c>
      <c r="E2384">
        <v>-37535</v>
      </c>
      <c r="F2384" t="s">
        <v>279</v>
      </c>
      <c r="G2384" t="s">
        <v>29</v>
      </c>
      <c r="H2384">
        <v>0</v>
      </c>
      <c r="I2384" t="s">
        <v>324</v>
      </c>
    </row>
    <row r="2385" spans="1:9" x14ac:dyDescent="0.25">
      <c r="A2385">
        <v>70378</v>
      </c>
      <c r="B2385" t="s">
        <v>232</v>
      </c>
      <c r="C2385" t="s">
        <v>238</v>
      </c>
      <c r="D2385">
        <v>4</v>
      </c>
      <c r="E2385">
        <v>-37535</v>
      </c>
      <c r="F2385" t="s">
        <v>274</v>
      </c>
      <c r="G2385" t="s">
        <v>277</v>
      </c>
      <c r="H2385">
        <v>2701</v>
      </c>
      <c r="I2385" t="s">
        <v>278</v>
      </c>
    </row>
    <row r="2386" spans="1:9" x14ac:dyDescent="0.25">
      <c r="A2386">
        <v>70378</v>
      </c>
      <c r="B2386" t="s">
        <v>232</v>
      </c>
      <c r="C2386" t="s">
        <v>238</v>
      </c>
      <c r="D2386">
        <v>4</v>
      </c>
      <c r="E2386">
        <v>-37535</v>
      </c>
      <c r="F2386" t="s">
        <v>274</v>
      </c>
      <c r="G2386" t="s">
        <v>300</v>
      </c>
      <c r="H2386">
        <v>0</v>
      </c>
      <c r="I2386" t="s">
        <v>383</v>
      </c>
    </row>
    <row r="2387" spans="1:9" x14ac:dyDescent="0.25">
      <c r="A2387">
        <v>70378</v>
      </c>
      <c r="B2387" t="s">
        <v>232</v>
      </c>
      <c r="C2387" t="s">
        <v>238</v>
      </c>
      <c r="D2387">
        <v>4</v>
      </c>
      <c r="E2387">
        <v>-37535</v>
      </c>
      <c r="F2387" t="s">
        <v>279</v>
      </c>
      <c r="G2387" t="s">
        <v>33</v>
      </c>
      <c r="H2387">
        <v>28487</v>
      </c>
      <c r="I2387" t="s">
        <v>280</v>
      </c>
    </row>
    <row r="2388" spans="1:9" x14ac:dyDescent="0.25">
      <c r="A2388">
        <v>70378</v>
      </c>
      <c r="B2388" t="s">
        <v>232</v>
      </c>
      <c r="C2388" t="s">
        <v>238</v>
      </c>
      <c r="D2388">
        <v>4</v>
      </c>
      <c r="E2388">
        <v>-37535</v>
      </c>
      <c r="F2388" t="s">
        <v>279</v>
      </c>
      <c r="G2388" t="s">
        <v>29</v>
      </c>
      <c r="H2388">
        <v>4699</v>
      </c>
      <c r="I2388" t="s">
        <v>281</v>
      </c>
    </row>
    <row r="2389" spans="1:9" x14ac:dyDescent="0.25">
      <c r="A2389">
        <v>70378</v>
      </c>
      <c r="B2389" t="s">
        <v>232</v>
      </c>
      <c r="C2389" t="s">
        <v>238</v>
      </c>
      <c r="D2389">
        <v>4</v>
      </c>
      <c r="E2389">
        <v>-37535</v>
      </c>
      <c r="F2389" t="s">
        <v>279</v>
      </c>
      <c r="G2389" t="s">
        <v>29</v>
      </c>
      <c r="H2389">
        <v>53768</v>
      </c>
      <c r="I2389" t="s">
        <v>282</v>
      </c>
    </row>
    <row r="2390" spans="1:9" x14ac:dyDescent="0.25">
      <c r="A2390">
        <v>70378</v>
      </c>
      <c r="B2390" t="s">
        <v>232</v>
      </c>
      <c r="C2390" t="s">
        <v>238</v>
      </c>
      <c r="D2390">
        <v>4</v>
      </c>
      <c r="E2390">
        <v>-37535</v>
      </c>
      <c r="F2390" t="s">
        <v>279</v>
      </c>
      <c r="G2390" t="s">
        <v>35</v>
      </c>
      <c r="H2390">
        <v>72040</v>
      </c>
      <c r="I2390" t="s">
        <v>283</v>
      </c>
    </row>
    <row r="2391" spans="1:9" x14ac:dyDescent="0.25">
      <c r="A2391">
        <v>70378</v>
      </c>
      <c r="B2391" t="s">
        <v>232</v>
      </c>
      <c r="C2391" t="s">
        <v>238</v>
      </c>
      <c r="D2391">
        <v>4</v>
      </c>
      <c r="E2391">
        <v>-37535</v>
      </c>
      <c r="F2391" t="s">
        <v>279</v>
      </c>
      <c r="G2391" t="s">
        <v>29</v>
      </c>
      <c r="H2391">
        <v>5694</v>
      </c>
      <c r="I2391" t="s">
        <v>284</v>
      </c>
    </row>
    <row r="2392" spans="1:9" x14ac:dyDescent="0.25">
      <c r="A2392">
        <v>70378</v>
      </c>
      <c r="B2392" t="s">
        <v>232</v>
      </c>
      <c r="C2392" t="s">
        <v>238</v>
      </c>
      <c r="D2392">
        <v>4</v>
      </c>
      <c r="E2392">
        <v>-37535</v>
      </c>
      <c r="F2392" t="s">
        <v>279</v>
      </c>
      <c r="G2392" t="s">
        <v>29</v>
      </c>
      <c r="H2392">
        <v>27015</v>
      </c>
      <c r="I2392" t="s">
        <v>285</v>
      </c>
    </row>
    <row r="2393" spans="1:9" x14ac:dyDescent="0.25">
      <c r="A2393">
        <v>70378</v>
      </c>
      <c r="B2393" t="s">
        <v>232</v>
      </c>
      <c r="C2393" t="s">
        <v>238</v>
      </c>
      <c r="D2393">
        <v>4</v>
      </c>
      <c r="E2393">
        <v>-37535</v>
      </c>
      <c r="F2393" t="s">
        <v>279</v>
      </c>
      <c r="G2393" t="s">
        <v>29</v>
      </c>
      <c r="H2393">
        <v>2204</v>
      </c>
      <c r="I2393" t="s">
        <v>286</v>
      </c>
    </row>
    <row r="2394" spans="1:9" x14ac:dyDescent="0.25">
      <c r="A2394">
        <v>70378</v>
      </c>
      <c r="B2394" t="s">
        <v>232</v>
      </c>
      <c r="C2394" t="s">
        <v>238</v>
      </c>
      <c r="D2394">
        <v>4</v>
      </c>
      <c r="E2394">
        <v>-37535</v>
      </c>
      <c r="F2394" t="s">
        <v>279</v>
      </c>
      <c r="G2394" t="s">
        <v>29</v>
      </c>
      <c r="H2394">
        <v>0</v>
      </c>
      <c r="I2394" t="s">
        <v>327</v>
      </c>
    </row>
    <row r="2395" spans="1:9" x14ac:dyDescent="0.25">
      <c r="A2395">
        <v>70378</v>
      </c>
      <c r="B2395" t="s">
        <v>232</v>
      </c>
      <c r="C2395" t="s">
        <v>238</v>
      </c>
      <c r="D2395">
        <v>4</v>
      </c>
      <c r="E2395">
        <v>-37535</v>
      </c>
      <c r="F2395" t="s">
        <v>279</v>
      </c>
      <c r="G2395" t="s">
        <v>34</v>
      </c>
      <c r="H2395">
        <v>2764</v>
      </c>
      <c r="I2395" t="s">
        <v>287</v>
      </c>
    </row>
    <row r="2396" spans="1:9" x14ac:dyDescent="0.25">
      <c r="A2396">
        <v>70378</v>
      </c>
      <c r="B2396" t="s">
        <v>232</v>
      </c>
      <c r="C2396" t="s">
        <v>238</v>
      </c>
      <c r="D2396">
        <v>4</v>
      </c>
      <c r="E2396">
        <v>-37535</v>
      </c>
      <c r="F2396" t="s">
        <v>279</v>
      </c>
      <c r="G2396" t="s">
        <v>29</v>
      </c>
      <c r="H2396">
        <v>47666</v>
      </c>
      <c r="I2396" t="s">
        <v>288</v>
      </c>
    </row>
    <row r="2397" spans="1:9" x14ac:dyDescent="0.25">
      <c r="A2397">
        <v>70378</v>
      </c>
      <c r="B2397" t="s">
        <v>232</v>
      </c>
      <c r="C2397" t="s">
        <v>238</v>
      </c>
      <c r="D2397">
        <v>4</v>
      </c>
      <c r="E2397">
        <v>-37535</v>
      </c>
      <c r="F2397" t="s">
        <v>279</v>
      </c>
      <c r="G2397" t="s">
        <v>34</v>
      </c>
      <c r="H2397">
        <v>10700</v>
      </c>
      <c r="I2397" t="s">
        <v>289</v>
      </c>
    </row>
    <row r="2398" spans="1:9" x14ac:dyDescent="0.25">
      <c r="A2398">
        <v>70378</v>
      </c>
      <c r="B2398" t="s">
        <v>232</v>
      </c>
      <c r="C2398" t="s">
        <v>238</v>
      </c>
      <c r="D2398">
        <v>4</v>
      </c>
      <c r="E2398">
        <v>-37535</v>
      </c>
      <c r="F2398" t="s">
        <v>279</v>
      </c>
      <c r="G2398" t="s">
        <v>29</v>
      </c>
      <c r="H2398">
        <v>5756</v>
      </c>
      <c r="I2398" t="s">
        <v>290</v>
      </c>
    </row>
    <row r="2399" spans="1:9" x14ac:dyDescent="0.25">
      <c r="A2399">
        <v>70378</v>
      </c>
      <c r="B2399" t="s">
        <v>232</v>
      </c>
      <c r="C2399" t="s">
        <v>238</v>
      </c>
      <c r="D2399">
        <v>4</v>
      </c>
      <c r="E2399">
        <v>-37535</v>
      </c>
      <c r="F2399" t="s">
        <v>279</v>
      </c>
      <c r="G2399" t="s">
        <v>32</v>
      </c>
      <c r="H2399">
        <v>61730</v>
      </c>
      <c r="I2399" t="s">
        <v>291</v>
      </c>
    </row>
    <row r="2400" spans="1:9" x14ac:dyDescent="0.25">
      <c r="A2400">
        <v>70378</v>
      </c>
      <c r="B2400" t="s">
        <v>232</v>
      </c>
      <c r="C2400" t="s">
        <v>238</v>
      </c>
      <c r="D2400">
        <v>4</v>
      </c>
      <c r="E2400">
        <v>-37535</v>
      </c>
      <c r="F2400" t="s">
        <v>279</v>
      </c>
      <c r="G2400" t="s">
        <v>29</v>
      </c>
      <c r="H2400">
        <v>13609</v>
      </c>
      <c r="I2400" t="s">
        <v>292</v>
      </c>
    </row>
    <row r="2401" spans="1:9" x14ac:dyDescent="0.25">
      <c r="A2401">
        <v>70378</v>
      </c>
      <c r="B2401" t="s">
        <v>232</v>
      </c>
      <c r="C2401" t="s">
        <v>238</v>
      </c>
      <c r="D2401">
        <v>4</v>
      </c>
      <c r="E2401">
        <v>-37535</v>
      </c>
      <c r="F2401" t="s">
        <v>279</v>
      </c>
      <c r="G2401" t="s">
        <v>29</v>
      </c>
      <c r="H2401">
        <v>0</v>
      </c>
      <c r="I2401" t="s">
        <v>384</v>
      </c>
    </row>
    <row r="2402" spans="1:9" x14ac:dyDescent="0.25">
      <c r="A2402">
        <v>70378</v>
      </c>
      <c r="B2402" t="s">
        <v>232</v>
      </c>
      <c r="C2402" t="s">
        <v>238</v>
      </c>
      <c r="D2402">
        <v>4</v>
      </c>
      <c r="E2402">
        <v>-37535</v>
      </c>
      <c r="F2402" t="s">
        <v>279</v>
      </c>
      <c r="G2402" t="s">
        <v>35</v>
      </c>
      <c r="H2402">
        <v>6850</v>
      </c>
      <c r="I2402" t="s">
        <v>293</v>
      </c>
    </row>
    <row r="2403" spans="1:9" x14ac:dyDescent="0.25">
      <c r="A2403">
        <v>70378</v>
      </c>
      <c r="B2403" t="s">
        <v>232</v>
      </c>
      <c r="C2403" t="s">
        <v>238</v>
      </c>
      <c r="D2403">
        <v>4</v>
      </c>
      <c r="E2403">
        <v>-37535</v>
      </c>
      <c r="F2403" t="s">
        <v>279</v>
      </c>
      <c r="G2403" t="s">
        <v>35</v>
      </c>
      <c r="H2403">
        <v>0</v>
      </c>
      <c r="I2403" t="s">
        <v>294</v>
      </c>
    </row>
    <row r="2404" spans="1:9" x14ac:dyDescent="0.25">
      <c r="A2404">
        <v>70378</v>
      </c>
      <c r="B2404" t="s">
        <v>232</v>
      </c>
      <c r="C2404" t="s">
        <v>238</v>
      </c>
      <c r="D2404">
        <v>4</v>
      </c>
      <c r="E2404">
        <v>-37535</v>
      </c>
      <c r="F2404" t="s">
        <v>279</v>
      </c>
      <c r="G2404" t="s">
        <v>35</v>
      </c>
      <c r="H2404">
        <v>6261</v>
      </c>
      <c r="I2404" t="s">
        <v>295</v>
      </c>
    </row>
    <row r="2405" spans="1:9" x14ac:dyDescent="0.25">
      <c r="A2405">
        <v>70378</v>
      </c>
      <c r="B2405" t="s">
        <v>232</v>
      </c>
      <c r="C2405" t="s">
        <v>238</v>
      </c>
      <c r="D2405">
        <v>4</v>
      </c>
      <c r="E2405">
        <v>-37535</v>
      </c>
      <c r="F2405" t="s">
        <v>279</v>
      </c>
      <c r="G2405" t="s">
        <v>35</v>
      </c>
      <c r="H2405">
        <v>2062</v>
      </c>
      <c r="I2405" t="s">
        <v>296</v>
      </c>
    </row>
    <row r="2406" spans="1:9" x14ac:dyDescent="0.25">
      <c r="A2406">
        <v>70378</v>
      </c>
      <c r="B2406" t="s">
        <v>232</v>
      </c>
      <c r="C2406" t="s">
        <v>238</v>
      </c>
      <c r="D2406">
        <v>4</v>
      </c>
      <c r="E2406">
        <v>-37535</v>
      </c>
      <c r="F2406" t="s">
        <v>279</v>
      </c>
      <c r="G2406" t="s">
        <v>35</v>
      </c>
      <c r="H2406">
        <v>0</v>
      </c>
      <c r="I2406" t="s">
        <v>325</v>
      </c>
    </row>
    <row r="2407" spans="1:9" x14ac:dyDescent="0.25">
      <c r="A2407">
        <v>70378</v>
      </c>
      <c r="B2407" t="s">
        <v>232</v>
      </c>
      <c r="C2407" t="s">
        <v>238</v>
      </c>
      <c r="D2407">
        <v>4</v>
      </c>
      <c r="E2407">
        <v>-37535</v>
      </c>
      <c r="F2407" t="s">
        <v>279</v>
      </c>
      <c r="G2407" t="s">
        <v>29</v>
      </c>
      <c r="H2407">
        <v>1554</v>
      </c>
      <c r="I2407" t="s">
        <v>297</v>
      </c>
    </row>
    <row r="2408" spans="1:9" x14ac:dyDescent="0.25">
      <c r="A2408">
        <v>70378</v>
      </c>
      <c r="B2408" t="s">
        <v>232</v>
      </c>
      <c r="C2408" t="s">
        <v>238</v>
      </c>
      <c r="D2408">
        <v>4</v>
      </c>
      <c r="E2408">
        <v>-37535</v>
      </c>
      <c r="F2408" t="s">
        <v>279</v>
      </c>
      <c r="G2408" t="s">
        <v>36</v>
      </c>
      <c r="H2408">
        <v>25798</v>
      </c>
      <c r="I2408" t="s">
        <v>298</v>
      </c>
    </row>
    <row r="2409" spans="1:9" x14ac:dyDescent="0.25">
      <c r="A2409">
        <v>70378</v>
      </c>
      <c r="B2409" t="s">
        <v>232</v>
      </c>
      <c r="C2409" t="s">
        <v>238</v>
      </c>
      <c r="D2409">
        <v>4</v>
      </c>
      <c r="E2409">
        <v>-37535</v>
      </c>
      <c r="F2409" t="s">
        <v>274</v>
      </c>
      <c r="G2409" t="s">
        <v>275</v>
      </c>
      <c r="H2409">
        <v>198729</v>
      </c>
      <c r="I2409" t="s">
        <v>299</v>
      </c>
    </row>
    <row r="2410" spans="1:9" x14ac:dyDescent="0.25">
      <c r="A2410">
        <v>70378</v>
      </c>
      <c r="B2410" t="s">
        <v>232</v>
      </c>
      <c r="C2410" t="s">
        <v>238</v>
      </c>
      <c r="D2410">
        <v>4</v>
      </c>
      <c r="E2410">
        <v>-37535</v>
      </c>
      <c r="F2410" t="s">
        <v>274</v>
      </c>
      <c r="G2410" t="s">
        <v>275</v>
      </c>
      <c r="H2410">
        <v>0</v>
      </c>
      <c r="I2410" t="s">
        <v>385</v>
      </c>
    </row>
    <row r="2411" spans="1:9" x14ac:dyDescent="0.25">
      <c r="A2411">
        <v>70379</v>
      </c>
      <c r="B2411" t="s">
        <v>234</v>
      </c>
      <c r="C2411" t="s">
        <v>238</v>
      </c>
      <c r="D2411">
        <v>4</v>
      </c>
      <c r="E2411">
        <v>121934</v>
      </c>
      <c r="F2411" t="s">
        <v>279</v>
      </c>
      <c r="G2411" t="s">
        <v>35</v>
      </c>
      <c r="H2411">
        <v>9809</v>
      </c>
      <c r="I2411" t="s">
        <v>293</v>
      </c>
    </row>
    <row r="2412" spans="1:9" x14ac:dyDescent="0.25">
      <c r="A2412">
        <v>70379</v>
      </c>
      <c r="B2412" t="s">
        <v>234</v>
      </c>
      <c r="C2412" t="s">
        <v>238</v>
      </c>
      <c r="D2412">
        <v>4</v>
      </c>
      <c r="E2412">
        <v>121934</v>
      </c>
      <c r="F2412" t="s">
        <v>279</v>
      </c>
      <c r="G2412" t="s">
        <v>35</v>
      </c>
      <c r="H2412">
        <v>1929</v>
      </c>
      <c r="I2412" t="s">
        <v>294</v>
      </c>
    </row>
    <row r="2413" spans="1:9" x14ac:dyDescent="0.25">
      <c r="A2413">
        <v>70379</v>
      </c>
      <c r="B2413" t="s">
        <v>234</v>
      </c>
      <c r="C2413" t="s">
        <v>238</v>
      </c>
      <c r="D2413">
        <v>4</v>
      </c>
      <c r="E2413">
        <v>121934</v>
      </c>
      <c r="F2413" t="s">
        <v>279</v>
      </c>
      <c r="G2413" t="s">
        <v>35</v>
      </c>
      <c r="H2413">
        <v>8732</v>
      </c>
      <c r="I2413" t="s">
        <v>295</v>
      </c>
    </row>
    <row r="2414" spans="1:9" x14ac:dyDescent="0.25">
      <c r="A2414">
        <v>70379</v>
      </c>
      <c r="B2414" t="s">
        <v>234</v>
      </c>
      <c r="C2414" t="s">
        <v>238</v>
      </c>
      <c r="D2414">
        <v>4</v>
      </c>
      <c r="E2414">
        <v>121934</v>
      </c>
      <c r="F2414" t="s">
        <v>279</v>
      </c>
      <c r="G2414" t="s">
        <v>35</v>
      </c>
      <c r="H2414">
        <v>12324</v>
      </c>
      <c r="I2414" t="s">
        <v>296</v>
      </c>
    </row>
    <row r="2415" spans="1:9" x14ac:dyDescent="0.25">
      <c r="A2415">
        <v>70379</v>
      </c>
      <c r="B2415" t="s">
        <v>234</v>
      </c>
      <c r="C2415" t="s">
        <v>238</v>
      </c>
      <c r="D2415">
        <v>4</v>
      </c>
      <c r="E2415">
        <v>121934</v>
      </c>
      <c r="F2415" t="s">
        <v>279</v>
      </c>
      <c r="G2415" t="s">
        <v>35</v>
      </c>
      <c r="H2415">
        <v>0</v>
      </c>
      <c r="I2415" t="s">
        <v>325</v>
      </c>
    </row>
    <row r="2416" spans="1:9" x14ac:dyDescent="0.25">
      <c r="A2416">
        <v>70379</v>
      </c>
      <c r="B2416" t="s">
        <v>234</v>
      </c>
      <c r="C2416" t="s">
        <v>238</v>
      </c>
      <c r="D2416">
        <v>4</v>
      </c>
      <c r="E2416">
        <v>121934</v>
      </c>
      <c r="F2416" t="s">
        <v>279</v>
      </c>
      <c r="G2416" t="s">
        <v>29</v>
      </c>
      <c r="H2416">
        <v>1896</v>
      </c>
      <c r="I2416" t="s">
        <v>297</v>
      </c>
    </row>
    <row r="2417" spans="1:9" x14ac:dyDescent="0.25">
      <c r="A2417">
        <v>70379</v>
      </c>
      <c r="B2417" t="s">
        <v>234</v>
      </c>
      <c r="C2417" t="s">
        <v>238</v>
      </c>
      <c r="D2417">
        <v>4</v>
      </c>
      <c r="E2417">
        <v>121934</v>
      </c>
      <c r="F2417" t="s">
        <v>279</v>
      </c>
      <c r="G2417" t="s">
        <v>36</v>
      </c>
      <c r="H2417">
        <v>28992</v>
      </c>
      <c r="I2417" t="s">
        <v>298</v>
      </c>
    </row>
    <row r="2418" spans="1:9" x14ac:dyDescent="0.25">
      <c r="A2418">
        <v>70379</v>
      </c>
      <c r="B2418" t="s">
        <v>234</v>
      </c>
      <c r="C2418" t="s">
        <v>238</v>
      </c>
      <c r="D2418">
        <v>4</v>
      </c>
      <c r="E2418">
        <v>121934</v>
      </c>
      <c r="F2418" t="s">
        <v>274</v>
      </c>
      <c r="G2418" t="s">
        <v>275</v>
      </c>
      <c r="H2418">
        <v>220739</v>
      </c>
      <c r="I2418" t="s">
        <v>299</v>
      </c>
    </row>
    <row r="2419" spans="1:9" x14ac:dyDescent="0.25">
      <c r="A2419">
        <v>70379</v>
      </c>
      <c r="B2419" t="s">
        <v>234</v>
      </c>
      <c r="C2419" t="s">
        <v>238</v>
      </c>
      <c r="D2419">
        <v>4</v>
      </c>
      <c r="E2419">
        <v>121934</v>
      </c>
      <c r="F2419" t="s">
        <v>274</v>
      </c>
      <c r="G2419" t="s">
        <v>275</v>
      </c>
      <c r="H2419">
        <v>0</v>
      </c>
      <c r="I2419" t="s">
        <v>385</v>
      </c>
    </row>
    <row r="2420" spans="1:9" x14ac:dyDescent="0.25">
      <c r="A2420">
        <v>70379</v>
      </c>
      <c r="B2420" t="s">
        <v>234</v>
      </c>
      <c r="C2420" t="s">
        <v>238</v>
      </c>
      <c r="D2420">
        <v>4</v>
      </c>
      <c r="E2420">
        <v>121934</v>
      </c>
      <c r="F2420" t="s">
        <v>279</v>
      </c>
      <c r="G2420" t="s">
        <v>35</v>
      </c>
      <c r="H2420">
        <v>1114</v>
      </c>
      <c r="I2420" t="s">
        <v>310</v>
      </c>
    </row>
    <row r="2421" spans="1:9" x14ac:dyDescent="0.25">
      <c r="A2421">
        <v>70379</v>
      </c>
      <c r="B2421" t="s">
        <v>234</v>
      </c>
      <c r="C2421" t="s">
        <v>238</v>
      </c>
      <c r="D2421">
        <v>4</v>
      </c>
      <c r="E2421">
        <v>121934</v>
      </c>
      <c r="F2421" t="s">
        <v>279</v>
      </c>
      <c r="G2421" t="s">
        <v>35</v>
      </c>
      <c r="H2421">
        <v>11480</v>
      </c>
      <c r="I2421" t="s">
        <v>311</v>
      </c>
    </row>
    <row r="2422" spans="1:9" x14ac:dyDescent="0.25">
      <c r="A2422">
        <v>70379</v>
      </c>
      <c r="B2422" t="s">
        <v>234</v>
      </c>
      <c r="C2422" t="s">
        <v>238</v>
      </c>
      <c r="D2422">
        <v>4</v>
      </c>
      <c r="E2422">
        <v>121934</v>
      </c>
      <c r="F2422" t="s">
        <v>279</v>
      </c>
      <c r="G2422" t="s">
        <v>35</v>
      </c>
      <c r="H2422">
        <v>169</v>
      </c>
      <c r="I2422" t="s">
        <v>312</v>
      </c>
    </row>
    <row r="2423" spans="1:9" x14ac:dyDescent="0.25">
      <c r="A2423">
        <v>70379</v>
      </c>
      <c r="B2423" t="s">
        <v>234</v>
      </c>
      <c r="C2423" t="s">
        <v>238</v>
      </c>
      <c r="D2423">
        <v>4</v>
      </c>
      <c r="E2423">
        <v>121934</v>
      </c>
      <c r="F2423" t="s">
        <v>279</v>
      </c>
      <c r="G2423" t="s">
        <v>35</v>
      </c>
      <c r="H2423">
        <v>1710</v>
      </c>
      <c r="I2423" t="s">
        <v>313</v>
      </c>
    </row>
    <row r="2424" spans="1:9" x14ac:dyDescent="0.25">
      <c r="A2424">
        <v>70379</v>
      </c>
      <c r="B2424" t="s">
        <v>234</v>
      </c>
      <c r="C2424" t="s">
        <v>238</v>
      </c>
      <c r="D2424">
        <v>4</v>
      </c>
      <c r="E2424">
        <v>121934</v>
      </c>
      <c r="F2424" t="s">
        <v>279</v>
      </c>
      <c r="G2424" t="s">
        <v>37</v>
      </c>
      <c r="H2424">
        <v>0</v>
      </c>
      <c r="I2424" t="s">
        <v>381</v>
      </c>
    </row>
    <row r="2425" spans="1:9" x14ac:dyDescent="0.25">
      <c r="A2425">
        <v>70379</v>
      </c>
      <c r="B2425" t="s">
        <v>234</v>
      </c>
      <c r="C2425" t="s">
        <v>238</v>
      </c>
      <c r="D2425">
        <v>4</v>
      </c>
      <c r="E2425">
        <v>121934</v>
      </c>
      <c r="F2425" t="s">
        <v>279</v>
      </c>
      <c r="G2425" t="s">
        <v>37</v>
      </c>
      <c r="H2425">
        <v>38123</v>
      </c>
      <c r="I2425" t="s">
        <v>314</v>
      </c>
    </row>
    <row r="2426" spans="1:9" x14ac:dyDescent="0.25">
      <c r="A2426">
        <v>70379</v>
      </c>
      <c r="B2426" t="s">
        <v>234</v>
      </c>
      <c r="C2426" t="s">
        <v>238</v>
      </c>
      <c r="D2426">
        <v>4</v>
      </c>
      <c r="E2426">
        <v>121934</v>
      </c>
      <c r="F2426" t="s">
        <v>279</v>
      </c>
      <c r="G2426" t="s">
        <v>35</v>
      </c>
      <c r="H2426">
        <v>2046</v>
      </c>
      <c r="I2426" t="s">
        <v>315</v>
      </c>
    </row>
    <row r="2427" spans="1:9" x14ac:dyDescent="0.25">
      <c r="A2427">
        <v>70379</v>
      </c>
      <c r="B2427" t="s">
        <v>234</v>
      </c>
      <c r="C2427" t="s">
        <v>238</v>
      </c>
      <c r="D2427">
        <v>4</v>
      </c>
      <c r="E2427">
        <v>121934</v>
      </c>
      <c r="F2427" t="s">
        <v>279</v>
      </c>
      <c r="G2427" t="s">
        <v>37</v>
      </c>
      <c r="H2427">
        <v>13032</v>
      </c>
      <c r="I2427" t="s">
        <v>323</v>
      </c>
    </row>
    <row r="2428" spans="1:9" x14ac:dyDescent="0.25">
      <c r="A2428">
        <v>70379</v>
      </c>
      <c r="B2428" t="s">
        <v>234</v>
      </c>
      <c r="C2428" t="s">
        <v>238</v>
      </c>
      <c r="D2428">
        <v>4</v>
      </c>
      <c r="E2428">
        <v>121934</v>
      </c>
      <c r="F2428" t="s">
        <v>279</v>
      </c>
      <c r="G2428" t="s">
        <v>37</v>
      </c>
      <c r="H2428">
        <v>0</v>
      </c>
      <c r="I2428" t="s">
        <v>322</v>
      </c>
    </row>
    <row r="2429" spans="1:9" x14ac:dyDescent="0.25">
      <c r="A2429">
        <v>70379</v>
      </c>
      <c r="B2429" t="s">
        <v>234</v>
      </c>
      <c r="C2429" t="s">
        <v>238</v>
      </c>
      <c r="D2429">
        <v>4</v>
      </c>
      <c r="E2429">
        <v>121934</v>
      </c>
      <c r="F2429" t="s">
        <v>279</v>
      </c>
      <c r="G2429" t="s">
        <v>37</v>
      </c>
      <c r="H2429">
        <v>0</v>
      </c>
      <c r="I2429" t="s">
        <v>382</v>
      </c>
    </row>
    <row r="2430" spans="1:9" x14ac:dyDescent="0.25">
      <c r="A2430">
        <v>70379</v>
      </c>
      <c r="B2430" t="s">
        <v>234</v>
      </c>
      <c r="C2430" t="s">
        <v>238</v>
      </c>
      <c r="D2430">
        <v>4</v>
      </c>
      <c r="E2430">
        <v>121934</v>
      </c>
      <c r="F2430" t="s">
        <v>279</v>
      </c>
      <c r="G2430" t="s">
        <v>37</v>
      </c>
      <c r="H2430">
        <v>3944</v>
      </c>
      <c r="I2430" t="s">
        <v>316</v>
      </c>
    </row>
    <row r="2431" spans="1:9" x14ac:dyDescent="0.25">
      <c r="A2431">
        <v>70379</v>
      </c>
      <c r="B2431" t="s">
        <v>234</v>
      </c>
      <c r="C2431" t="s">
        <v>238</v>
      </c>
      <c r="D2431">
        <v>4</v>
      </c>
      <c r="E2431">
        <v>121934</v>
      </c>
      <c r="F2431" t="s">
        <v>279</v>
      </c>
      <c r="G2431" t="s">
        <v>36</v>
      </c>
      <c r="H2431">
        <v>52582</v>
      </c>
      <c r="I2431" t="s">
        <v>317</v>
      </c>
    </row>
    <row r="2432" spans="1:9" x14ac:dyDescent="0.25">
      <c r="A2432">
        <v>70379</v>
      </c>
      <c r="B2432" t="s">
        <v>234</v>
      </c>
      <c r="C2432" t="s">
        <v>238</v>
      </c>
      <c r="D2432">
        <v>4</v>
      </c>
      <c r="E2432">
        <v>121934</v>
      </c>
      <c r="F2432" t="s">
        <v>274</v>
      </c>
      <c r="G2432" t="s">
        <v>275</v>
      </c>
      <c r="H2432">
        <v>0</v>
      </c>
      <c r="I2432" t="s">
        <v>276</v>
      </c>
    </row>
    <row r="2433" spans="1:9" x14ac:dyDescent="0.25">
      <c r="A2433">
        <v>70379</v>
      </c>
      <c r="B2433" t="s">
        <v>234</v>
      </c>
      <c r="C2433" t="s">
        <v>238</v>
      </c>
      <c r="D2433">
        <v>4</v>
      </c>
      <c r="E2433">
        <v>121934</v>
      </c>
      <c r="F2433" t="s">
        <v>279</v>
      </c>
      <c r="G2433" t="s">
        <v>29</v>
      </c>
      <c r="H2433">
        <v>0</v>
      </c>
      <c r="I2433" t="s">
        <v>324</v>
      </c>
    </row>
    <row r="2434" spans="1:9" x14ac:dyDescent="0.25">
      <c r="A2434">
        <v>70379</v>
      </c>
      <c r="B2434" t="s">
        <v>234</v>
      </c>
      <c r="C2434" t="s">
        <v>238</v>
      </c>
      <c r="D2434">
        <v>4</v>
      </c>
      <c r="E2434">
        <v>121934</v>
      </c>
      <c r="F2434" t="s">
        <v>274</v>
      </c>
      <c r="G2434" t="s">
        <v>277</v>
      </c>
      <c r="H2434">
        <v>220</v>
      </c>
      <c r="I2434" t="s">
        <v>278</v>
      </c>
    </row>
    <row r="2435" spans="1:9" x14ac:dyDescent="0.25">
      <c r="A2435">
        <v>70379</v>
      </c>
      <c r="B2435" t="s">
        <v>234</v>
      </c>
      <c r="C2435" t="s">
        <v>238</v>
      </c>
      <c r="D2435">
        <v>4</v>
      </c>
      <c r="E2435">
        <v>121934</v>
      </c>
      <c r="F2435" t="s">
        <v>274</v>
      </c>
      <c r="G2435" t="s">
        <v>300</v>
      </c>
      <c r="H2435">
        <v>0</v>
      </c>
      <c r="I2435" t="s">
        <v>383</v>
      </c>
    </row>
    <row r="2436" spans="1:9" x14ac:dyDescent="0.25">
      <c r="A2436">
        <v>70379</v>
      </c>
      <c r="B2436" t="s">
        <v>234</v>
      </c>
      <c r="C2436" t="s">
        <v>238</v>
      </c>
      <c r="D2436">
        <v>4</v>
      </c>
      <c r="E2436">
        <v>121934</v>
      </c>
      <c r="F2436" t="s">
        <v>279</v>
      </c>
      <c r="G2436" t="s">
        <v>33</v>
      </c>
      <c r="H2436">
        <v>55694</v>
      </c>
      <c r="I2436" t="s">
        <v>280</v>
      </c>
    </row>
    <row r="2437" spans="1:9" x14ac:dyDescent="0.25">
      <c r="A2437">
        <v>70379</v>
      </c>
      <c r="B2437" t="s">
        <v>234</v>
      </c>
      <c r="C2437" t="s">
        <v>238</v>
      </c>
      <c r="D2437">
        <v>4</v>
      </c>
      <c r="E2437">
        <v>121934</v>
      </c>
      <c r="F2437" t="s">
        <v>279</v>
      </c>
      <c r="G2437" t="s">
        <v>29</v>
      </c>
      <c r="H2437">
        <v>5903</v>
      </c>
      <c r="I2437" t="s">
        <v>281</v>
      </c>
    </row>
    <row r="2438" spans="1:9" x14ac:dyDescent="0.25">
      <c r="A2438">
        <v>70379</v>
      </c>
      <c r="B2438" t="s">
        <v>234</v>
      </c>
      <c r="C2438" t="s">
        <v>238</v>
      </c>
      <c r="D2438">
        <v>4</v>
      </c>
      <c r="E2438">
        <v>121934</v>
      </c>
      <c r="F2438" t="s">
        <v>279</v>
      </c>
      <c r="G2438" t="s">
        <v>29</v>
      </c>
      <c r="H2438">
        <v>62212</v>
      </c>
      <c r="I2438" t="s">
        <v>282</v>
      </c>
    </row>
    <row r="2439" spans="1:9" x14ac:dyDescent="0.25">
      <c r="A2439">
        <v>70379</v>
      </c>
      <c r="B2439" t="s">
        <v>234</v>
      </c>
      <c r="C2439" t="s">
        <v>238</v>
      </c>
      <c r="D2439">
        <v>4</v>
      </c>
      <c r="E2439">
        <v>121934</v>
      </c>
      <c r="F2439" t="s">
        <v>279</v>
      </c>
      <c r="G2439" t="s">
        <v>35</v>
      </c>
      <c r="H2439">
        <v>88761</v>
      </c>
      <c r="I2439" t="s">
        <v>283</v>
      </c>
    </row>
    <row r="2440" spans="1:9" x14ac:dyDescent="0.25">
      <c r="A2440">
        <v>70379</v>
      </c>
      <c r="B2440" t="s">
        <v>234</v>
      </c>
      <c r="C2440" t="s">
        <v>238</v>
      </c>
      <c r="D2440">
        <v>4</v>
      </c>
      <c r="E2440">
        <v>121934</v>
      </c>
      <c r="F2440" t="s">
        <v>279</v>
      </c>
      <c r="G2440" t="s">
        <v>29</v>
      </c>
      <c r="H2440">
        <v>7112</v>
      </c>
      <c r="I2440" t="s">
        <v>284</v>
      </c>
    </row>
    <row r="2441" spans="1:9" x14ac:dyDescent="0.25">
      <c r="A2441">
        <v>70379</v>
      </c>
      <c r="B2441" t="s">
        <v>234</v>
      </c>
      <c r="C2441" t="s">
        <v>238</v>
      </c>
      <c r="D2441">
        <v>4</v>
      </c>
      <c r="E2441">
        <v>121934</v>
      </c>
      <c r="F2441" t="s">
        <v>279</v>
      </c>
      <c r="G2441" t="s">
        <v>29</v>
      </c>
      <c r="H2441">
        <v>30782</v>
      </c>
      <c r="I2441" t="s">
        <v>285</v>
      </c>
    </row>
    <row r="2442" spans="1:9" x14ac:dyDescent="0.25">
      <c r="A2442">
        <v>70379</v>
      </c>
      <c r="B2442" t="s">
        <v>234</v>
      </c>
      <c r="C2442" t="s">
        <v>238</v>
      </c>
      <c r="D2442">
        <v>4</v>
      </c>
      <c r="E2442">
        <v>121934</v>
      </c>
      <c r="F2442" t="s">
        <v>279</v>
      </c>
      <c r="G2442" t="s">
        <v>29</v>
      </c>
      <c r="H2442">
        <v>5678</v>
      </c>
      <c r="I2442" t="s">
        <v>286</v>
      </c>
    </row>
    <row r="2443" spans="1:9" x14ac:dyDescent="0.25">
      <c r="A2443">
        <v>70379</v>
      </c>
      <c r="B2443" t="s">
        <v>234</v>
      </c>
      <c r="C2443" t="s">
        <v>238</v>
      </c>
      <c r="D2443">
        <v>4</v>
      </c>
      <c r="E2443">
        <v>121934</v>
      </c>
      <c r="F2443" t="s">
        <v>279</v>
      </c>
      <c r="G2443" t="s">
        <v>29</v>
      </c>
      <c r="H2443">
        <v>0</v>
      </c>
      <c r="I2443" t="s">
        <v>327</v>
      </c>
    </row>
    <row r="2444" spans="1:9" x14ac:dyDescent="0.25">
      <c r="A2444">
        <v>70379</v>
      </c>
      <c r="B2444" t="s">
        <v>234</v>
      </c>
      <c r="C2444" t="s">
        <v>238</v>
      </c>
      <c r="D2444">
        <v>4</v>
      </c>
      <c r="E2444">
        <v>121934</v>
      </c>
      <c r="F2444" t="s">
        <v>279</v>
      </c>
      <c r="G2444" t="s">
        <v>34</v>
      </c>
      <c r="H2444">
        <v>5035</v>
      </c>
      <c r="I2444" t="s">
        <v>287</v>
      </c>
    </row>
    <row r="2445" spans="1:9" x14ac:dyDescent="0.25">
      <c r="A2445">
        <v>70379</v>
      </c>
      <c r="B2445" t="s">
        <v>234</v>
      </c>
      <c r="C2445" t="s">
        <v>238</v>
      </c>
      <c r="D2445">
        <v>4</v>
      </c>
      <c r="E2445">
        <v>121934</v>
      </c>
      <c r="F2445" t="s">
        <v>279</v>
      </c>
      <c r="G2445" t="s">
        <v>29</v>
      </c>
      <c r="H2445">
        <v>48695</v>
      </c>
      <c r="I2445" t="s">
        <v>288</v>
      </c>
    </row>
    <row r="2446" spans="1:9" x14ac:dyDescent="0.25">
      <c r="A2446">
        <v>70379</v>
      </c>
      <c r="B2446" t="s">
        <v>234</v>
      </c>
      <c r="C2446" t="s">
        <v>238</v>
      </c>
      <c r="D2446">
        <v>4</v>
      </c>
      <c r="E2446">
        <v>121934</v>
      </c>
      <c r="F2446" t="s">
        <v>279</v>
      </c>
      <c r="G2446" t="s">
        <v>34</v>
      </c>
      <c r="H2446">
        <v>10700</v>
      </c>
      <c r="I2446" t="s">
        <v>289</v>
      </c>
    </row>
    <row r="2447" spans="1:9" x14ac:dyDescent="0.25">
      <c r="A2447">
        <v>70379</v>
      </c>
      <c r="B2447" t="s">
        <v>234</v>
      </c>
      <c r="C2447" t="s">
        <v>238</v>
      </c>
      <c r="D2447">
        <v>4</v>
      </c>
      <c r="E2447">
        <v>121934</v>
      </c>
      <c r="F2447" t="s">
        <v>279</v>
      </c>
      <c r="G2447" t="s">
        <v>29</v>
      </c>
      <c r="H2447">
        <v>7396</v>
      </c>
      <c r="I2447" t="s">
        <v>290</v>
      </c>
    </row>
    <row r="2448" spans="1:9" x14ac:dyDescent="0.25">
      <c r="A2448">
        <v>70379</v>
      </c>
      <c r="B2448" t="s">
        <v>234</v>
      </c>
      <c r="C2448" t="s">
        <v>238</v>
      </c>
      <c r="D2448">
        <v>4</v>
      </c>
      <c r="E2448">
        <v>121934</v>
      </c>
      <c r="F2448" t="s">
        <v>279</v>
      </c>
      <c r="G2448" t="s">
        <v>32</v>
      </c>
      <c r="H2448">
        <v>62859</v>
      </c>
      <c r="I2448" t="s">
        <v>291</v>
      </c>
    </row>
    <row r="2449" spans="1:9" x14ac:dyDescent="0.25">
      <c r="A2449">
        <v>70379</v>
      </c>
      <c r="B2449" t="s">
        <v>234</v>
      </c>
      <c r="C2449" t="s">
        <v>238</v>
      </c>
      <c r="D2449">
        <v>4</v>
      </c>
      <c r="E2449">
        <v>121934</v>
      </c>
      <c r="F2449" t="s">
        <v>279</v>
      </c>
      <c r="G2449" t="s">
        <v>29</v>
      </c>
      <c r="H2449">
        <v>14035</v>
      </c>
      <c r="I2449" t="s">
        <v>292</v>
      </c>
    </row>
    <row r="2450" spans="1:9" x14ac:dyDescent="0.25">
      <c r="A2450">
        <v>70379</v>
      </c>
      <c r="B2450" t="s">
        <v>234</v>
      </c>
      <c r="C2450" t="s">
        <v>238</v>
      </c>
      <c r="D2450">
        <v>4</v>
      </c>
      <c r="E2450">
        <v>121934</v>
      </c>
      <c r="F2450" t="s">
        <v>279</v>
      </c>
      <c r="G2450" t="s">
        <v>29</v>
      </c>
      <c r="H2450">
        <v>0</v>
      </c>
      <c r="I2450" t="s">
        <v>384</v>
      </c>
    </row>
    <row r="2451" spans="1:9" x14ac:dyDescent="0.25">
      <c r="A2451">
        <v>70379</v>
      </c>
      <c r="B2451" t="s">
        <v>234</v>
      </c>
      <c r="C2451" t="s">
        <v>238</v>
      </c>
      <c r="D2451">
        <v>4</v>
      </c>
      <c r="E2451">
        <v>121934</v>
      </c>
      <c r="F2451" t="s">
        <v>279</v>
      </c>
      <c r="G2451" t="s">
        <v>31</v>
      </c>
      <c r="H2451">
        <v>0</v>
      </c>
      <c r="I2451" t="s">
        <v>364</v>
      </c>
    </row>
    <row r="2452" spans="1:9" x14ac:dyDescent="0.25">
      <c r="A2452">
        <v>70379</v>
      </c>
      <c r="B2452" t="s">
        <v>234</v>
      </c>
      <c r="C2452" t="s">
        <v>238</v>
      </c>
      <c r="D2452">
        <v>4</v>
      </c>
      <c r="E2452">
        <v>121934</v>
      </c>
      <c r="F2452" t="s">
        <v>279</v>
      </c>
      <c r="G2452" t="s">
        <v>31</v>
      </c>
      <c r="H2452">
        <v>0</v>
      </c>
      <c r="I2452" t="s">
        <v>365</v>
      </c>
    </row>
    <row r="2453" spans="1:9" x14ac:dyDescent="0.25">
      <c r="A2453">
        <v>70379</v>
      </c>
      <c r="B2453" t="s">
        <v>234</v>
      </c>
      <c r="C2453" t="s">
        <v>238</v>
      </c>
      <c r="D2453">
        <v>4</v>
      </c>
      <c r="E2453">
        <v>121934</v>
      </c>
      <c r="F2453" t="s">
        <v>279</v>
      </c>
      <c r="G2453" t="s">
        <v>31</v>
      </c>
      <c r="H2453">
        <v>0</v>
      </c>
      <c r="I2453" t="s">
        <v>366</v>
      </c>
    </row>
    <row r="2454" spans="1:9" x14ac:dyDescent="0.25">
      <c r="A2454">
        <v>70379</v>
      </c>
      <c r="B2454" t="s">
        <v>234</v>
      </c>
      <c r="C2454" t="s">
        <v>238</v>
      </c>
      <c r="D2454">
        <v>4</v>
      </c>
      <c r="E2454">
        <v>121934</v>
      </c>
      <c r="F2454" t="s">
        <v>279</v>
      </c>
      <c r="G2454" t="s">
        <v>31</v>
      </c>
      <c r="H2454">
        <v>0</v>
      </c>
      <c r="I2454" t="s">
        <v>367</v>
      </c>
    </row>
    <row r="2455" spans="1:9" x14ac:dyDescent="0.25">
      <c r="A2455">
        <v>70379</v>
      </c>
      <c r="B2455" t="s">
        <v>234</v>
      </c>
      <c r="C2455" t="s">
        <v>238</v>
      </c>
      <c r="D2455">
        <v>4</v>
      </c>
      <c r="E2455">
        <v>121934</v>
      </c>
      <c r="F2455" t="s">
        <v>279</v>
      </c>
      <c r="G2455" t="s">
        <v>31</v>
      </c>
      <c r="H2455">
        <v>0</v>
      </c>
      <c r="I2455" t="s">
        <v>368</v>
      </c>
    </row>
    <row r="2456" spans="1:9" x14ac:dyDescent="0.25">
      <c r="A2456">
        <v>70379</v>
      </c>
      <c r="B2456" t="s">
        <v>234</v>
      </c>
      <c r="C2456" t="s">
        <v>238</v>
      </c>
      <c r="D2456">
        <v>4</v>
      </c>
      <c r="E2456">
        <v>121934</v>
      </c>
      <c r="F2456" t="s">
        <v>279</v>
      </c>
      <c r="G2456" t="s">
        <v>31</v>
      </c>
      <c r="H2456">
        <v>0</v>
      </c>
      <c r="I2456" t="s">
        <v>369</v>
      </c>
    </row>
    <row r="2457" spans="1:9" x14ac:dyDescent="0.25">
      <c r="A2457">
        <v>70379</v>
      </c>
      <c r="B2457" t="s">
        <v>234</v>
      </c>
      <c r="C2457" t="s">
        <v>238</v>
      </c>
      <c r="D2457">
        <v>4</v>
      </c>
      <c r="E2457">
        <v>121934</v>
      </c>
      <c r="F2457" t="s">
        <v>279</v>
      </c>
      <c r="G2457" t="s">
        <v>31</v>
      </c>
      <c r="H2457">
        <v>0</v>
      </c>
      <c r="I2457" t="s">
        <v>370</v>
      </c>
    </row>
    <row r="2458" spans="1:9" x14ac:dyDescent="0.25">
      <c r="A2458">
        <v>70379</v>
      </c>
      <c r="B2458" t="s">
        <v>234</v>
      </c>
      <c r="C2458" t="s">
        <v>238</v>
      </c>
      <c r="D2458">
        <v>4</v>
      </c>
      <c r="E2458">
        <v>121934</v>
      </c>
      <c r="F2458" t="s">
        <v>279</v>
      </c>
      <c r="G2458" t="s">
        <v>31</v>
      </c>
      <c r="H2458">
        <v>0</v>
      </c>
      <c r="I2458" t="s">
        <v>371</v>
      </c>
    </row>
    <row r="2459" spans="1:9" x14ac:dyDescent="0.25">
      <c r="A2459">
        <v>70379</v>
      </c>
      <c r="B2459" t="s">
        <v>234</v>
      </c>
      <c r="C2459" t="s">
        <v>238</v>
      </c>
      <c r="D2459">
        <v>4</v>
      </c>
      <c r="E2459">
        <v>121934</v>
      </c>
      <c r="F2459" t="s">
        <v>279</v>
      </c>
      <c r="G2459" t="s">
        <v>31</v>
      </c>
      <c r="H2459">
        <v>0</v>
      </c>
      <c r="I2459" t="s">
        <v>328</v>
      </c>
    </row>
    <row r="2460" spans="1:9" x14ac:dyDescent="0.25">
      <c r="A2460">
        <v>70379</v>
      </c>
      <c r="B2460" t="s">
        <v>234</v>
      </c>
      <c r="C2460" t="s">
        <v>238</v>
      </c>
      <c r="D2460">
        <v>4</v>
      </c>
      <c r="E2460">
        <v>121934</v>
      </c>
      <c r="F2460" t="s">
        <v>279</v>
      </c>
      <c r="G2460" t="s">
        <v>33</v>
      </c>
      <c r="H2460">
        <v>0</v>
      </c>
      <c r="I2460" t="s">
        <v>372</v>
      </c>
    </row>
    <row r="2461" spans="1:9" x14ac:dyDescent="0.25">
      <c r="A2461">
        <v>70379</v>
      </c>
      <c r="B2461" t="s">
        <v>234</v>
      </c>
      <c r="C2461" t="s">
        <v>238</v>
      </c>
      <c r="D2461">
        <v>4</v>
      </c>
      <c r="E2461">
        <v>121934</v>
      </c>
      <c r="F2461" t="s">
        <v>279</v>
      </c>
      <c r="G2461" t="s">
        <v>33</v>
      </c>
      <c r="H2461">
        <v>0</v>
      </c>
      <c r="I2461" t="s">
        <v>329</v>
      </c>
    </row>
    <row r="2462" spans="1:9" x14ac:dyDescent="0.25">
      <c r="A2462">
        <v>70379</v>
      </c>
      <c r="B2462" t="s">
        <v>234</v>
      </c>
      <c r="C2462" t="s">
        <v>238</v>
      </c>
      <c r="D2462">
        <v>4</v>
      </c>
      <c r="E2462">
        <v>121934</v>
      </c>
      <c r="F2462" t="s">
        <v>279</v>
      </c>
      <c r="G2462" t="s">
        <v>33</v>
      </c>
      <c r="H2462">
        <v>6790</v>
      </c>
      <c r="I2462" t="s">
        <v>319</v>
      </c>
    </row>
    <row r="2463" spans="1:9" x14ac:dyDescent="0.25">
      <c r="A2463">
        <v>70379</v>
      </c>
      <c r="B2463" t="s">
        <v>234</v>
      </c>
      <c r="C2463" t="s">
        <v>238</v>
      </c>
      <c r="D2463">
        <v>4</v>
      </c>
      <c r="E2463">
        <v>121934</v>
      </c>
      <c r="F2463" t="s">
        <v>279</v>
      </c>
      <c r="G2463" t="s">
        <v>33</v>
      </c>
      <c r="H2463">
        <v>0</v>
      </c>
      <c r="I2463" t="s">
        <v>373</v>
      </c>
    </row>
    <row r="2464" spans="1:9" x14ac:dyDescent="0.25">
      <c r="A2464">
        <v>70379</v>
      </c>
      <c r="B2464" t="s">
        <v>234</v>
      </c>
      <c r="C2464" t="s">
        <v>238</v>
      </c>
      <c r="D2464">
        <v>4</v>
      </c>
      <c r="E2464">
        <v>121934</v>
      </c>
      <c r="F2464" t="s">
        <v>279</v>
      </c>
      <c r="G2464" t="s">
        <v>33</v>
      </c>
      <c r="H2464">
        <v>0</v>
      </c>
      <c r="I2464" t="s">
        <v>374</v>
      </c>
    </row>
    <row r="2465" spans="1:9" x14ac:dyDescent="0.25">
      <c r="A2465">
        <v>70379</v>
      </c>
      <c r="B2465" t="s">
        <v>234</v>
      </c>
      <c r="C2465" t="s">
        <v>238</v>
      </c>
      <c r="D2465">
        <v>4</v>
      </c>
      <c r="E2465">
        <v>121934</v>
      </c>
      <c r="F2465" t="s">
        <v>279</v>
      </c>
      <c r="G2465" t="s">
        <v>33</v>
      </c>
      <c r="H2465">
        <v>0</v>
      </c>
      <c r="I2465" t="s">
        <v>326</v>
      </c>
    </row>
    <row r="2466" spans="1:9" x14ac:dyDescent="0.25">
      <c r="A2466">
        <v>70379</v>
      </c>
      <c r="B2466" t="s">
        <v>234</v>
      </c>
      <c r="C2466" t="s">
        <v>238</v>
      </c>
      <c r="D2466">
        <v>4</v>
      </c>
      <c r="E2466">
        <v>121934</v>
      </c>
      <c r="F2466" t="s">
        <v>279</v>
      </c>
      <c r="G2466" t="s">
        <v>33</v>
      </c>
      <c r="H2466">
        <v>0</v>
      </c>
      <c r="I2466" t="s">
        <v>375</v>
      </c>
    </row>
    <row r="2467" spans="1:9" x14ac:dyDescent="0.25">
      <c r="A2467">
        <v>70379</v>
      </c>
      <c r="B2467" t="s">
        <v>234</v>
      </c>
      <c r="C2467" t="s">
        <v>238</v>
      </c>
      <c r="D2467">
        <v>4</v>
      </c>
      <c r="E2467">
        <v>121934</v>
      </c>
      <c r="F2467" t="s">
        <v>279</v>
      </c>
      <c r="G2467" t="s">
        <v>33</v>
      </c>
      <c r="H2467">
        <v>0</v>
      </c>
      <c r="I2467" t="s">
        <v>376</v>
      </c>
    </row>
    <row r="2468" spans="1:9" x14ac:dyDescent="0.25">
      <c r="A2468">
        <v>70379</v>
      </c>
      <c r="B2468" t="s">
        <v>234</v>
      </c>
      <c r="C2468" t="s">
        <v>238</v>
      </c>
      <c r="D2468">
        <v>4</v>
      </c>
      <c r="E2468">
        <v>121934</v>
      </c>
      <c r="F2468" t="s">
        <v>279</v>
      </c>
      <c r="G2468" t="s">
        <v>33</v>
      </c>
      <c r="H2468">
        <v>0</v>
      </c>
      <c r="I2468" t="s">
        <v>377</v>
      </c>
    </row>
    <row r="2469" spans="1:9" x14ac:dyDescent="0.25">
      <c r="A2469">
        <v>70379</v>
      </c>
      <c r="B2469" t="s">
        <v>234</v>
      </c>
      <c r="C2469" t="s">
        <v>238</v>
      </c>
      <c r="D2469">
        <v>4</v>
      </c>
      <c r="E2469">
        <v>121934</v>
      </c>
      <c r="F2469" t="s">
        <v>274</v>
      </c>
      <c r="G2469" t="s">
        <v>275</v>
      </c>
      <c r="H2469">
        <v>1058136</v>
      </c>
      <c r="I2469" t="s">
        <v>318</v>
      </c>
    </row>
    <row r="2470" spans="1:9" x14ac:dyDescent="0.25">
      <c r="A2470">
        <v>70379</v>
      </c>
      <c r="B2470" t="s">
        <v>234</v>
      </c>
      <c r="C2470" t="s">
        <v>238</v>
      </c>
      <c r="D2470">
        <v>4</v>
      </c>
      <c r="E2470">
        <v>121934</v>
      </c>
      <c r="F2470" t="s">
        <v>274</v>
      </c>
      <c r="G2470" t="s">
        <v>300</v>
      </c>
      <c r="H2470">
        <v>29479</v>
      </c>
      <c r="I2470" t="s">
        <v>301</v>
      </c>
    </row>
    <row r="2471" spans="1:9" x14ac:dyDescent="0.25">
      <c r="A2471">
        <v>70379</v>
      </c>
      <c r="B2471" t="s">
        <v>234</v>
      </c>
      <c r="C2471" t="s">
        <v>238</v>
      </c>
      <c r="D2471">
        <v>4</v>
      </c>
      <c r="E2471">
        <v>121934</v>
      </c>
      <c r="F2471" t="s">
        <v>274</v>
      </c>
      <c r="G2471" t="s">
        <v>275</v>
      </c>
      <c r="H2471">
        <v>-86042</v>
      </c>
      <c r="I2471" t="s">
        <v>302</v>
      </c>
    </row>
    <row r="2472" spans="1:9" x14ac:dyDescent="0.25">
      <c r="A2472">
        <v>70379</v>
      </c>
      <c r="B2472" t="s">
        <v>234</v>
      </c>
      <c r="C2472" t="s">
        <v>238</v>
      </c>
      <c r="D2472">
        <v>4</v>
      </c>
      <c r="E2472">
        <v>121934</v>
      </c>
      <c r="F2472" t="s">
        <v>279</v>
      </c>
      <c r="G2472" t="s">
        <v>30</v>
      </c>
      <c r="H2472">
        <v>165949</v>
      </c>
      <c r="I2472" t="s">
        <v>303</v>
      </c>
    </row>
    <row r="2473" spans="1:9" x14ac:dyDescent="0.25">
      <c r="A2473">
        <v>70379</v>
      </c>
      <c r="B2473" t="s">
        <v>234</v>
      </c>
      <c r="C2473" t="s">
        <v>238</v>
      </c>
      <c r="D2473">
        <v>4</v>
      </c>
      <c r="E2473">
        <v>121934</v>
      </c>
      <c r="F2473" t="s">
        <v>279</v>
      </c>
      <c r="G2473" t="s">
        <v>35</v>
      </c>
      <c r="H2473">
        <v>10397</v>
      </c>
      <c r="I2473" t="s">
        <v>304</v>
      </c>
    </row>
    <row r="2474" spans="1:9" x14ac:dyDescent="0.25">
      <c r="A2474">
        <v>70379</v>
      </c>
      <c r="B2474" t="s">
        <v>234</v>
      </c>
      <c r="C2474" t="s">
        <v>238</v>
      </c>
      <c r="D2474">
        <v>4</v>
      </c>
      <c r="E2474">
        <v>121934</v>
      </c>
      <c r="F2474" t="s">
        <v>279</v>
      </c>
      <c r="G2474" t="s">
        <v>31</v>
      </c>
      <c r="H2474">
        <v>296583</v>
      </c>
      <c r="I2474" t="s">
        <v>305</v>
      </c>
    </row>
    <row r="2475" spans="1:9" x14ac:dyDescent="0.25">
      <c r="A2475">
        <v>70379</v>
      </c>
      <c r="B2475" t="s">
        <v>234</v>
      </c>
      <c r="C2475" t="s">
        <v>238</v>
      </c>
      <c r="D2475">
        <v>4</v>
      </c>
      <c r="E2475">
        <v>121934</v>
      </c>
      <c r="F2475" t="s">
        <v>279</v>
      </c>
      <c r="G2475" t="s">
        <v>33</v>
      </c>
      <c r="H2475">
        <v>0</v>
      </c>
      <c r="I2475" t="s">
        <v>320</v>
      </c>
    </row>
    <row r="2476" spans="1:9" x14ac:dyDescent="0.25">
      <c r="A2476">
        <v>70379</v>
      </c>
      <c r="B2476" t="s">
        <v>234</v>
      </c>
      <c r="C2476" t="s">
        <v>238</v>
      </c>
      <c r="D2476">
        <v>4</v>
      </c>
      <c r="E2476">
        <v>121934</v>
      </c>
      <c r="F2476" t="s">
        <v>279</v>
      </c>
      <c r="G2476" t="s">
        <v>33</v>
      </c>
      <c r="H2476">
        <v>0</v>
      </c>
      <c r="I2476" t="s">
        <v>306</v>
      </c>
    </row>
    <row r="2477" spans="1:9" x14ac:dyDescent="0.25">
      <c r="A2477">
        <v>70379</v>
      </c>
      <c r="B2477" t="s">
        <v>234</v>
      </c>
      <c r="C2477" t="s">
        <v>238</v>
      </c>
      <c r="D2477">
        <v>4</v>
      </c>
      <c r="E2477">
        <v>121934</v>
      </c>
      <c r="F2477" t="s">
        <v>279</v>
      </c>
      <c r="G2477" t="s">
        <v>33</v>
      </c>
      <c r="H2477">
        <v>0</v>
      </c>
      <c r="I2477" t="s">
        <v>378</v>
      </c>
    </row>
    <row r="2478" spans="1:9" x14ac:dyDescent="0.25">
      <c r="A2478">
        <v>70379</v>
      </c>
      <c r="B2478" t="s">
        <v>234</v>
      </c>
      <c r="C2478" t="s">
        <v>238</v>
      </c>
      <c r="D2478">
        <v>4</v>
      </c>
      <c r="E2478">
        <v>121934</v>
      </c>
      <c r="F2478" t="s">
        <v>279</v>
      </c>
      <c r="G2478" t="s">
        <v>31</v>
      </c>
      <c r="H2478">
        <v>4869</v>
      </c>
      <c r="I2478" t="s">
        <v>307</v>
      </c>
    </row>
    <row r="2479" spans="1:9" x14ac:dyDescent="0.25">
      <c r="A2479">
        <v>70379</v>
      </c>
      <c r="B2479" t="s">
        <v>234</v>
      </c>
      <c r="C2479" t="s">
        <v>238</v>
      </c>
      <c r="D2479">
        <v>4</v>
      </c>
      <c r="E2479">
        <v>121934</v>
      </c>
      <c r="F2479" t="s">
        <v>279</v>
      </c>
      <c r="G2479" t="s">
        <v>31</v>
      </c>
      <c r="H2479">
        <v>0</v>
      </c>
      <c r="I2479" t="s">
        <v>379</v>
      </c>
    </row>
    <row r="2480" spans="1:9" x14ac:dyDescent="0.25">
      <c r="A2480">
        <v>70379</v>
      </c>
      <c r="B2480" t="s">
        <v>234</v>
      </c>
      <c r="C2480" t="s">
        <v>238</v>
      </c>
      <c r="D2480">
        <v>4</v>
      </c>
      <c r="E2480">
        <v>121934</v>
      </c>
      <c r="F2480" t="s">
        <v>279</v>
      </c>
      <c r="G2480" t="s">
        <v>30</v>
      </c>
      <c r="H2480">
        <v>22245</v>
      </c>
      <c r="I2480" t="s">
        <v>308</v>
      </c>
    </row>
    <row r="2481" spans="1:9" x14ac:dyDescent="0.25">
      <c r="A2481">
        <v>70379</v>
      </c>
      <c r="B2481" t="s">
        <v>234</v>
      </c>
      <c r="C2481" t="s">
        <v>238</v>
      </c>
      <c r="D2481">
        <v>4</v>
      </c>
      <c r="E2481">
        <v>121934</v>
      </c>
      <c r="F2481" t="s">
        <v>279</v>
      </c>
      <c r="G2481" t="s">
        <v>35</v>
      </c>
      <c r="H2481">
        <v>450</v>
      </c>
      <c r="I2481" t="s">
        <v>321</v>
      </c>
    </row>
    <row r="2482" spans="1:9" x14ac:dyDescent="0.25">
      <c r="A2482">
        <v>70379</v>
      </c>
      <c r="B2482" t="s">
        <v>234</v>
      </c>
      <c r="C2482" t="s">
        <v>238</v>
      </c>
      <c r="D2482">
        <v>4</v>
      </c>
      <c r="E2482">
        <v>121934</v>
      </c>
      <c r="F2482" t="s">
        <v>279</v>
      </c>
      <c r="G2482" t="s">
        <v>33</v>
      </c>
      <c r="H2482">
        <v>0</v>
      </c>
      <c r="I2482" t="s">
        <v>380</v>
      </c>
    </row>
    <row r="2483" spans="1:9" x14ac:dyDescent="0.25">
      <c r="A2483">
        <v>70379</v>
      </c>
      <c r="B2483" t="s">
        <v>234</v>
      </c>
      <c r="C2483" t="s">
        <v>238</v>
      </c>
      <c r="D2483">
        <v>4</v>
      </c>
      <c r="E2483">
        <v>121934</v>
      </c>
      <c r="F2483" t="s">
        <v>279</v>
      </c>
      <c r="G2483" t="s">
        <v>35</v>
      </c>
      <c r="H2483">
        <v>571</v>
      </c>
      <c r="I2483" t="s">
        <v>309</v>
      </c>
    </row>
    <row r="2484" spans="1:9" x14ac:dyDescent="0.25">
      <c r="A2484">
        <v>70381</v>
      </c>
      <c r="B2484" t="s">
        <v>236</v>
      </c>
      <c r="C2484" t="s">
        <v>238</v>
      </c>
      <c r="D2484">
        <v>4</v>
      </c>
      <c r="E2484">
        <v>-63676</v>
      </c>
      <c r="F2484" t="s">
        <v>279</v>
      </c>
      <c r="G2484" t="s">
        <v>31</v>
      </c>
      <c r="H2484">
        <v>0</v>
      </c>
      <c r="I2484" t="s">
        <v>364</v>
      </c>
    </row>
    <row r="2485" spans="1:9" x14ac:dyDescent="0.25">
      <c r="A2485">
        <v>70381</v>
      </c>
      <c r="B2485" t="s">
        <v>236</v>
      </c>
      <c r="C2485" t="s">
        <v>238</v>
      </c>
      <c r="D2485">
        <v>4</v>
      </c>
      <c r="E2485">
        <v>-63676</v>
      </c>
      <c r="F2485" t="s">
        <v>279</v>
      </c>
      <c r="G2485" t="s">
        <v>31</v>
      </c>
      <c r="H2485">
        <v>0</v>
      </c>
      <c r="I2485" t="s">
        <v>365</v>
      </c>
    </row>
    <row r="2486" spans="1:9" x14ac:dyDescent="0.25">
      <c r="A2486">
        <v>70381</v>
      </c>
      <c r="B2486" t="s">
        <v>236</v>
      </c>
      <c r="C2486" t="s">
        <v>238</v>
      </c>
      <c r="D2486">
        <v>4</v>
      </c>
      <c r="E2486">
        <v>-63676</v>
      </c>
      <c r="F2486" t="s">
        <v>279</v>
      </c>
      <c r="G2486" t="s">
        <v>31</v>
      </c>
      <c r="H2486">
        <v>0</v>
      </c>
      <c r="I2486" t="s">
        <v>366</v>
      </c>
    </row>
    <row r="2487" spans="1:9" x14ac:dyDescent="0.25">
      <c r="A2487">
        <v>70381</v>
      </c>
      <c r="B2487" t="s">
        <v>236</v>
      </c>
      <c r="C2487" t="s">
        <v>238</v>
      </c>
      <c r="D2487">
        <v>4</v>
      </c>
      <c r="E2487">
        <v>-63676</v>
      </c>
      <c r="F2487" t="s">
        <v>279</v>
      </c>
      <c r="G2487" t="s">
        <v>31</v>
      </c>
      <c r="H2487">
        <v>0</v>
      </c>
      <c r="I2487" t="s">
        <v>367</v>
      </c>
    </row>
    <row r="2488" spans="1:9" x14ac:dyDescent="0.25">
      <c r="A2488">
        <v>70381</v>
      </c>
      <c r="B2488" t="s">
        <v>236</v>
      </c>
      <c r="C2488" t="s">
        <v>238</v>
      </c>
      <c r="D2488">
        <v>4</v>
      </c>
      <c r="E2488">
        <v>-63676</v>
      </c>
      <c r="F2488" t="s">
        <v>279</v>
      </c>
      <c r="G2488" t="s">
        <v>31</v>
      </c>
      <c r="H2488">
        <v>0</v>
      </c>
      <c r="I2488" t="s">
        <v>368</v>
      </c>
    </row>
    <row r="2489" spans="1:9" x14ac:dyDescent="0.25">
      <c r="A2489">
        <v>70381</v>
      </c>
      <c r="B2489" t="s">
        <v>236</v>
      </c>
      <c r="C2489" t="s">
        <v>238</v>
      </c>
      <c r="D2489">
        <v>4</v>
      </c>
      <c r="E2489">
        <v>-63676</v>
      </c>
      <c r="F2489" t="s">
        <v>279</v>
      </c>
      <c r="G2489" t="s">
        <v>31</v>
      </c>
      <c r="H2489">
        <v>0</v>
      </c>
      <c r="I2489" t="s">
        <v>369</v>
      </c>
    </row>
    <row r="2490" spans="1:9" x14ac:dyDescent="0.25">
      <c r="A2490">
        <v>70381</v>
      </c>
      <c r="B2490" t="s">
        <v>236</v>
      </c>
      <c r="C2490" t="s">
        <v>238</v>
      </c>
      <c r="D2490">
        <v>4</v>
      </c>
      <c r="E2490">
        <v>-63676</v>
      </c>
      <c r="F2490" t="s">
        <v>279</v>
      </c>
      <c r="G2490" t="s">
        <v>31</v>
      </c>
      <c r="H2490">
        <v>0</v>
      </c>
      <c r="I2490" t="s">
        <v>370</v>
      </c>
    </row>
    <row r="2491" spans="1:9" x14ac:dyDescent="0.25">
      <c r="A2491">
        <v>70381</v>
      </c>
      <c r="B2491" t="s">
        <v>236</v>
      </c>
      <c r="C2491" t="s">
        <v>238</v>
      </c>
      <c r="D2491">
        <v>4</v>
      </c>
      <c r="E2491">
        <v>-63676</v>
      </c>
      <c r="F2491" t="s">
        <v>279</v>
      </c>
      <c r="G2491" t="s">
        <v>31</v>
      </c>
      <c r="H2491">
        <v>0</v>
      </c>
      <c r="I2491" t="s">
        <v>371</v>
      </c>
    </row>
    <row r="2492" spans="1:9" x14ac:dyDescent="0.25">
      <c r="A2492">
        <v>70381</v>
      </c>
      <c r="B2492" t="s">
        <v>236</v>
      </c>
      <c r="C2492" t="s">
        <v>238</v>
      </c>
      <c r="D2492">
        <v>4</v>
      </c>
      <c r="E2492">
        <v>-63676</v>
      </c>
      <c r="F2492" t="s">
        <v>279</v>
      </c>
      <c r="G2492" t="s">
        <v>31</v>
      </c>
      <c r="H2492">
        <v>0</v>
      </c>
      <c r="I2492" t="s">
        <v>328</v>
      </c>
    </row>
    <row r="2493" spans="1:9" x14ac:dyDescent="0.25">
      <c r="A2493">
        <v>70381</v>
      </c>
      <c r="B2493" t="s">
        <v>236</v>
      </c>
      <c r="C2493" t="s">
        <v>238</v>
      </c>
      <c r="D2493">
        <v>4</v>
      </c>
      <c r="E2493">
        <v>-63676</v>
      </c>
      <c r="F2493" t="s">
        <v>279</v>
      </c>
      <c r="G2493" t="s">
        <v>33</v>
      </c>
      <c r="H2493">
        <v>0</v>
      </c>
      <c r="I2493" t="s">
        <v>372</v>
      </c>
    </row>
    <row r="2494" spans="1:9" x14ac:dyDescent="0.25">
      <c r="A2494">
        <v>70381</v>
      </c>
      <c r="B2494" t="s">
        <v>236</v>
      </c>
      <c r="C2494" t="s">
        <v>238</v>
      </c>
      <c r="D2494">
        <v>4</v>
      </c>
      <c r="E2494">
        <v>-63676</v>
      </c>
      <c r="F2494" t="s">
        <v>279</v>
      </c>
      <c r="G2494" t="s">
        <v>33</v>
      </c>
      <c r="H2494">
        <v>0</v>
      </c>
      <c r="I2494" t="s">
        <v>329</v>
      </c>
    </row>
    <row r="2495" spans="1:9" x14ac:dyDescent="0.25">
      <c r="A2495">
        <v>70381</v>
      </c>
      <c r="B2495" t="s">
        <v>236</v>
      </c>
      <c r="C2495" t="s">
        <v>238</v>
      </c>
      <c r="D2495">
        <v>4</v>
      </c>
      <c r="E2495">
        <v>-63676</v>
      </c>
      <c r="F2495" t="s">
        <v>279</v>
      </c>
      <c r="G2495" t="s">
        <v>33</v>
      </c>
      <c r="H2495">
        <v>86406</v>
      </c>
      <c r="I2495" t="s">
        <v>319</v>
      </c>
    </row>
    <row r="2496" spans="1:9" x14ac:dyDescent="0.25">
      <c r="A2496">
        <v>70381</v>
      </c>
      <c r="B2496" t="s">
        <v>236</v>
      </c>
      <c r="C2496" t="s">
        <v>238</v>
      </c>
      <c r="D2496">
        <v>4</v>
      </c>
      <c r="E2496">
        <v>-63676</v>
      </c>
      <c r="F2496" t="s">
        <v>279</v>
      </c>
      <c r="G2496" t="s">
        <v>33</v>
      </c>
      <c r="H2496">
        <v>0</v>
      </c>
      <c r="I2496" t="s">
        <v>373</v>
      </c>
    </row>
    <row r="2497" spans="1:9" x14ac:dyDescent="0.25">
      <c r="A2497">
        <v>70381</v>
      </c>
      <c r="B2497" t="s">
        <v>236</v>
      </c>
      <c r="C2497" t="s">
        <v>238</v>
      </c>
      <c r="D2497">
        <v>4</v>
      </c>
      <c r="E2497">
        <v>-63676</v>
      </c>
      <c r="F2497" t="s">
        <v>279</v>
      </c>
      <c r="G2497" t="s">
        <v>33</v>
      </c>
      <c r="H2497">
        <v>0</v>
      </c>
      <c r="I2497" t="s">
        <v>374</v>
      </c>
    </row>
    <row r="2498" spans="1:9" x14ac:dyDescent="0.25">
      <c r="A2498">
        <v>70381</v>
      </c>
      <c r="B2498" t="s">
        <v>236</v>
      </c>
      <c r="C2498" t="s">
        <v>238</v>
      </c>
      <c r="D2498">
        <v>4</v>
      </c>
      <c r="E2498">
        <v>-63676</v>
      </c>
      <c r="F2498" t="s">
        <v>279</v>
      </c>
      <c r="G2498" t="s">
        <v>33</v>
      </c>
      <c r="H2498">
        <v>0</v>
      </c>
      <c r="I2498" t="s">
        <v>326</v>
      </c>
    </row>
    <row r="2499" spans="1:9" x14ac:dyDescent="0.25">
      <c r="A2499">
        <v>70381</v>
      </c>
      <c r="B2499" t="s">
        <v>236</v>
      </c>
      <c r="C2499" t="s">
        <v>238</v>
      </c>
      <c r="D2499">
        <v>4</v>
      </c>
      <c r="E2499">
        <v>-63676</v>
      </c>
      <c r="F2499" t="s">
        <v>279</v>
      </c>
      <c r="G2499" t="s">
        <v>33</v>
      </c>
      <c r="H2499">
        <v>0</v>
      </c>
      <c r="I2499" t="s">
        <v>375</v>
      </c>
    </row>
    <row r="2500" spans="1:9" x14ac:dyDescent="0.25">
      <c r="A2500">
        <v>70381</v>
      </c>
      <c r="B2500" t="s">
        <v>236</v>
      </c>
      <c r="C2500" t="s">
        <v>238</v>
      </c>
      <c r="D2500">
        <v>4</v>
      </c>
      <c r="E2500">
        <v>-63676</v>
      </c>
      <c r="F2500" t="s">
        <v>279</v>
      </c>
      <c r="G2500" t="s">
        <v>33</v>
      </c>
      <c r="H2500">
        <v>0</v>
      </c>
      <c r="I2500" t="s">
        <v>376</v>
      </c>
    </row>
    <row r="2501" spans="1:9" x14ac:dyDescent="0.25">
      <c r="A2501">
        <v>70381</v>
      </c>
      <c r="B2501" t="s">
        <v>236</v>
      </c>
      <c r="C2501" t="s">
        <v>238</v>
      </c>
      <c r="D2501">
        <v>4</v>
      </c>
      <c r="E2501">
        <v>-63676</v>
      </c>
      <c r="F2501" t="s">
        <v>279</v>
      </c>
      <c r="G2501" t="s">
        <v>33</v>
      </c>
      <c r="H2501">
        <v>0</v>
      </c>
      <c r="I2501" t="s">
        <v>377</v>
      </c>
    </row>
    <row r="2502" spans="1:9" x14ac:dyDescent="0.25">
      <c r="A2502">
        <v>70381</v>
      </c>
      <c r="B2502" t="s">
        <v>236</v>
      </c>
      <c r="C2502" t="s">
        <v>238</v>
      </c>
      <c r="D2502">
        <v>4</v>
      </c>
      <c r="E2502">
        <v>-63676</v>
      </c>
      <c r="F2502" t="s">
        <v>274</v>
      </c>
      <c r="G2502" t="s">
        <v>275</v>
      </c>
      <c r="H2502">
        <v>283639</v>
      </c>
      <c r="I2502" t="s">
        <v>318</v>
      </c>
    </row>
    <row r="2503" spans="1:9" x14ac:dyDescent="0.25">
      <c r="A2503">
        <v>70381</v>
      </c>
      <c r="B2503" t="s">
        <v>236</v>
      </c>
      <c r="C2503" t="s">
        <v>238</v>
      </c>
      <c r="D2503">
        <v>4</v>
      </c>
      <c r="E2503">
        <v>-63676</v>
      </c>
      <c r="F2503" t="s">
        <v>274</v>
      </c>
      <c r="G2503" t="s">
        <v>300</v>
      </c>
      <c r="H2503">
        <v>30500</v>
      </c>
      <c r="I2503" t="s">
        <v>301</v>
      </c>
    </row>
    <row r="2504" spans="1:9" x14ac:dyDescent="0.25">
      <c r="A2504">
        <v>70381</v>
      </c>
      <c r="B2504" t="s">
        <v>236</v>
      </c>
      <c r="C2504" t="s">
        <v>238</v>
      </c>
      <c r="D2504">
        <v>4</v>
      </c>
      <c r="E2504">
        <v>-63676</v>
      </c>
      <c r="F2504" t="s">
        <v>274</v>
      </c>
      <c r="G2504" t="s">
        <v>275</v>
      </c>
      <c r="H2504">
        <v>-36573</v>
      </c>
      <c r="I2504" t="s">
        <v>302</v>
      </c>
    </row>
    <row r="2505" spans="1:9" x14ac:dyDescent="0.25">
      <c r="A2505">
        <v>70381</v>
      </c>
      <c r="B2505" t="s">
        <v>236</v>
      </c>
      <c r="C2505" t="s">
        <v>238</v>
      </c>
      <c r="D2505">
        <v>4</v>
      </c>
      <c r="E2505">
        <v>-63676</v>
      </c>
      <c r="F2505" t="s">
        <v>279</v>
      </c>
      <c r="G2505" t="s">
        <v>30</v>
      </c>
      <c r="H2505">
        <v>375269</v>
      </c>
      <c r="I2505" t="s">
        <v>303</v>
      </c>
    </row>
    <row r="2506" spans="1:9" x14ac:dyDescent="0.25">
      <c r="A2506">
        <v>70381</v>
      </c>
      <c r="B2506" t="s">
        <v>236</v>
      </c>
      <c r="C2506" t="s">
        <v>238</v>
      </c>
      <c r="D2506">
        <v>4</v>
      </c>
      <c r="E2506">
        <v>-63676</v>
      </c>
      <c r="F2506" t="s">
        <v>279</v>
      </c>
      <c r="G2506" t="s">
        <v>35</v>
      </c>
      <c r="H2506">
        <v>27891</v>
      </c>
      <c r="I2506" t="s">
        <v>304</v>
      </c>
    </row>
    <row r="2507" spans="1:9" x14ac:dyDescent="0.25">
      <c r="A2507">
        <v>70381</v>
      </c>
      <c r="B2507" t="s">
        <v>236</v>
      </c>
      <c r="C2507" t="s">
        <v>238</v>
      </c>
      <c r="D2507">
        <v>4</v>
      </c>
      <c r="E2507">
        <v>-63676</v>
      </c>
      <c r="F2507" t="s">
        <v>279</v>
      </c>
      <c r="G2507" t="s">
        <v>31</v>
      </c>
      <c r="H2507">
        <v>196270</v>
      </c>
      <c r="I2507" t="s">
        <v>305</v>
      </c>
    </row>
    <row r="2508" spans="1:9" x14ac:dyDescent="0.25">
      <c r="A2508">
        <v>70381</v>
      </c>
      <c r="B2508" t="s">
        <v>236</v>
      </c>
      <c r="C2508" t="s">
        <v>238</v>
      </c>
      <c r="D2508">
        <v>4</v>
      </c>
      <c r="E2508">
        <v>-63676</v>
      </c>
      <c r="F2508" t="s">
        <v>279</v>
      </c>
      <c r="G2508" t="s">
        <v>33</v>
      </c>
      <c r="H2508">
        <v>3056</v>
      </c>
      <c r="I2508" t="s">
        <v>320</v>
      </c>
    </row>
    <row r="2509" spans="1:9" x14ac:dyDescent="0.25">
      <c r="A2509">
        <v>70381</v>
      </c>
      <c r="B2509" t="s">
        <v>236</v>
      </c>
      <c r="C2509" t="s">
        <v>238</v>
      </c>
      <c r="D2509">
        <v>4</v>
      </c>
      <c r="E2509">
        <v>-63676</v>
      </c>
      <c r="F2509" t="s">
        <v>279</v>
      </c>
      <c r="G2509" t="s">
        <v>33</v>
      </c>
      <c r="H2509">
        <v>0</v>
      </c>
      <c r="I2509" t="s">
        <v>306</v>
      </c>
    </row>
    <row r="2510" spans="1:9" x14ac:dyDescent="0.25">
      <c r="A2510">
        <v>70381</v>
      </c>
      <c r="B2510" t="s">
        <v>236</v>
      </c>
      <c r="C2510" t="s">
        <v>238</v>
      </c>
      <c r="D2510">
        <v>4</v>
      </c>
      <c r="E2510">
        <v>-63676</v>
      </c>
      <c r="F2510" t="s">
        <v>279</v>
      </c>
      <c r="G2510" t="s">
        <v>33</v>
      </c>
      <c r="H2510">
        <v>0</v>
      </c>
      <c r="I2510" t="s">
        <v>378</v>
      </c>
    </row>
    <row r="2511" spans="1:9" x14ac:dyDescent="0.25">
      <c r="A2511">
        <v>70381</v>
      </c>
      <c r="B2511" t="s">
        <v>236</v>
      </c>
      <c r="C2511" t="s">
        <v>238</v>
      </c>
      <c r="D2511">
        <v>4</v>
      </c>
      <c r="E2511">
        <v>-63676</v>
      </c>
      <c r="F2511" t="s">
        <v>279</v>
      </c>
      <c r="G2511" t="s">
        <v>31</v>
      </c>
      <c r="H2511">
        <v>26228</v>
      </c>
      <c r="I2511" t="s">
        <v>307</v>
      </c>
    </row>
    <row r="2512" spans="1:9" x14ac:dyDescent="0.25">
      <c r="A2512">
        <v>70381</v>
      </c>
      <c r="B2512" t="s">
        <v>236</v>
      </c>
      <c r="C2512" t="s">
        <v>238</v>
      </c>
      <c r="D2512">
        <v>4</v>
      </c>
      <c r="E2512">
        <v>-63676</v>
      </c>
      <c r="F2512" t="s">
        <v>279</v>
      </c>
      <c r="G2512" t="s">
        <v>31</v>
      </c>
      <c r="H2512">
        <v>0</v>
      </c>
      <c r="I2512" t="s">
        <v>379</v>
      </c>
    </row>
    <row r="2513" spans="1:9" x14ac:dyDescent="0.25">
      <c r="A2513">
        <v>70381</v>
      </c>
      <c r="B2513" t="s">
        <v>236</v>
      </c>
      <c r="C2513" t="s">
        <v>238</v>
      </c>
      <c r="D2513">
        <v>4</v>
      </c>
      <c r="E2513">
        <v>-63676</v>
      </c>
      <c r="F2513" t="s">
        <v>279</v>
      </c>
      <c r="G2513" t="s">
        <v>30</v>
      </c>
      <c r="H2513">
        <v>13560</v>
      </c>
      <c r="I2513" t="s">
        <v>308</v>
      </c>
    </row>
    <row r="2514" spans="1:9" x14ac:dyDescent="0.25">
      <c r="A2514">
        <v>70381</v>
      </c>
      <c r="B2514" t="s">
        <v>236</v>
      </c>
      <c r="C2514" t="s">
        <v>238</v>
      </c>
      <c r="D2514">
        <v>4</v>
      </c>
      <c r="E2514">
        <v>-63676</v>
      </c>
      <c r="F2514" t="s">
        <v>279</v>
      </c>
      <c r="G2514" t="s">
        <v>35</v>
      </c>
      <c r="H2514">
        <v>25558</v>
      </c>
      <c r="I2514" t="s">
        <v>321</v>
      </c>
    </row>
    <row r="2515" spans="1:9" x14ac:dyDescent="0.25">
      <c r="A2515">
        <v>70381</v>
      </c>
      <c r="B2515" t="s">
        <v>236</v>
      </c>
      <c r="C2515" t="s">
        <v>238</v>
      </c>
      <c r="D2515">
        <v>4</v>
      </c>
      <c r="E2515">
        <v>-63676</v>
      </c>
      <c r="F2515" t="s">
        <v>279</v>
      </c>
      <c r="G2515" t="s">
        <v>33</v>
      </c>
      <c r="H2515">
        <v>0</v>
      </c>
      <c r="I2515" t="s">
        <v>380</v>
      </c>
    </row>
    <row r="2516" spans="1:9" x14ac:dyDescent="0.25">
      <c r="A2516">
        <v>70381</v>
      </c>
      <c r="B2516" t="s">
        <v>236</v>
      </c>
      <c r="C2516" t="s">
        <v>238</v>
      </c>
      <c r="D2516">
        <v>4</v>
      </c>
      <c r="E2516">
        <v>-63676</v>
      </c>
      <c r="F2516" t="s">
        <v>279</v>
      </c>
      <c r="G2516" t="s">
        <v>35</v>
      </c>
      <c r="H2516">
        <v>338</v>
      </c>
      <c r="I2516" t="s">
        <v>309</v>
      </c>
    </row>
    <row r="2517" spans="1:9" x14ac:dyDescent="0.25">
      <c r="A2517">
        <v>70381</v>
      </c>
      <c r="B2517" t="s">
        <v>236</v>
      </c>
      <c r="C2517" t="s">
        <v>238</v>
      </c>
      <c r="D2517">
        <v>4</v>
      </c>
      <c r="E2517">
        <v>-63676</v>
      </c>
      <c r="F2517" t="s">
        <v>279</v>
      </c>
      <c r="G2517" t="s">
        <v>35</v>
      </c>
      <c r="H2517">
        <v>3068</v>
      </c>
      <c r="I2517" t="s">
        <v>310</v>
      </c>
    </row>
    <row r="2518" spans="1:9" x14ac:dyDescent="0.25">
      <c r="A2518">
        <v>70381</v>
      </c>
      <c r="B2518" t="s">
        <v>236</v>
      </c>
      <c r="C2518" t="s">
        <v>238</v>
      </c>
      <c r="D2518">
        <v>4</v>
      </c>
      <c r="E2518">
        <v>-63676</v>
      </c>
      <c r="F2518" t="s">
        <v>279</v>
      </c>
      <c r="G2518" t="s">
        <v>35</v>
      </c>
      <c r="H2518">
        <v>16255</v>
      </c>
      <c r="I2518" t="s">
        <v>311</v>
      </c>
    </row>
    <row r="2519" spans="1:9" x14ac:dyDescent="0.25">
      <c r="A2519">
        <v>70381</v>
      </c>
      <c r="B2519" t="s">
        <v>236</v>
      </c>
      <c r="C2519" t="s">
        <v>238</v>
      </c>
      <c r="D2519">
        <v>4</v>
      </c>
      <c r="E2519">
        <v>-63676</v>
      </c>
      <c r="F2519" t="s">
        <v>279</v>
      </c>
      <c r="G2519" t="s">
        <v>35</v>
      </c>
      <c r="H2519">
        <v>246</v>
      </c>
      <c r="I2519" t="s">
        <v>312</v>
      </c>
    </row>
    <row r="2520" spans="1:9" x14ac:dyDescent="0.25">
      <c r="A2520">
        <v>70381</v>
      </c>
      <c r="B2520" t="s">
        <v>236</v>
      </c>
      <c r="C2520" t="s">
        <v>238</v>
      </c>
      <c r="D2520">
        <v>4</v>
      </c>
      <c r="E2520">
        <v>-63676</v>
      </c>
      <c r="F2520" t="s">
        <v>279</v>
      </c>
      <c r="G2520" t="s">
        <v>35</v>
      </c>
      <c r="H2520">
        <v>4203</v>
      </c>
      <c r="I2520" t="s">
        <v>313</v>
      </c>
    </row>
    <row r="2521" spans="1:9" x14ac:dyDescent="0.25">
      <c r="A2521">
        <v>70381</v>
      </c>
      <c r="B2521" t="s">
        <v>236</v>
      </c>
      <c r="C2521" t="s">
        <v>238</v>
      </c>
      <c r="D2521">
        <v>4</v>
      </c>
      <c r="E2521">
        <v>-63676</v>
      </c>
      <c r="F2521" t="s">
        <v>279</v>
      </c>
      <c r="G2521" t="s">
        <v>37</v>
      </c>
      <c r="H2521">
        <v>0</v>
      </c>
      <c r="I2521" t="s">
        <v>381</v>
      </c>
    </row>
    <row r="2522" spans="1:9" x14ac:dyDescent="0.25">
      <c r="A2522">
        <v>70381</v>
      </c>
      <c r="B2522" t="s">
        <v>236</v>
      </c>
      <c r="C2522" t="s">
        <v>238</v>
      </c>
      <c r="D2522">
        <v>4</v>
      </c>
      <c r="E2522">
        <v>-63676</v>
      </c>
      <c r="F2522" t="s">
        <v>279</v>
      </c>
      <c r="G2522" t="s">
        <v>37</v>
      </c>
      <c r="H2522">
        <v>15491</v>
      </c>
      <c r="I2522" t="s">
        <v>314</v>
      </c>
    </row>
    <row r="2523" spans="1:9" x14ac:dyDescent="0.25">
      <c r="A2523">
        <v>70381</v>
      </c>
      <c r="B2523" t="s">
        <v>236</v>
      </c>
      <c r="C2523" t="s">
        <v>238</v>
      </c>
      <c r="D2523">
        <v>4</v>
      </c>
      <c r="E2523">
        <v>-63676</v>
      </c>
      <c r="F2523" t="s">
        <v>279</v>
      </c>
      <c r="G2523" t="s">
        <v>35</v>
      </c>
      <c r="H2523">
        <v>11334</v>
      </c>
      <c r="I2523" t="s">
        <v>315</v>
      </c>
    </row>
    <row r="2524" spans="1:9" x14ac:dyDescent="0.25">
      <c r="A2524">
        <v>70381</v>
      </c>
      <c r="B2524" t="s">
        <v>236</v>
      </c>
      <c r="C2524" t="s">
        <v>238</v>
      </c>
      <c r="D2524">
        <v>4</v>
      </c>
      <c r="E2524">
        <v>-63676</v>
      </c>
      <c r="F2524" t="s">
        <v>279</v>
      </c>
      <c r="G2524" t="s">
        <v>37</v>
      </c>
      <c r="H2524">
        <v>0</v>
      </c>
      <c r="I2524" t="s">
        <v>323</v>
      </c>
    </row>
    <row r="2525" spans="1:9" x14ac:dyDescent="0.25">
      <c r="A2525">
        <v>70381</v>
      </c>
      <c r="B2525" t="s">
        <v>236</v>
      </c>
      <c r="C2525" t="s">
        <v>238</v>
      </c>
      <c r="D2525">
        <v>4</v>
      </c>
      <c r="E2525">
        <v>-63676</v>
      </c>
      <c r="F2525" t="s">
        <v>279</v>
      </c>
      <c r="G2525" t="s">
        <v>37</v>
      </c>
      <c r="H2525">
        <v>0</v>
      </c>
      <c r="I2525" t="s">
        <v>322</v>
      </c>
    </row>
    <row r="2526" spans="1:9" x14ac:dyDescent="0.25">
      <c r="A2526">
        <v>70381</v>
      </c>
      <c r="B2526" t="s">
        <v>236</v>
      </c>
      <c r="C2526" t="s">
        <v>238</v>
      </c>
      <c r="D2526">
        <v>4</v>
      </c>
      <c r="E2526">
        <v>-63676</v>
      </c>
      <c r="F2526" t="s">
        <v>279</v>
      </c>
      <c r="G2526" t="s">
        <v>37</v>
      </c>
      <c r="H2526">
        <v>0</v>
      </c>
      <c r="I2526" t="s">
        <v>382</v>
      </c>
    </row>
    <row r="2527" spans="1:9" x14ac:dyDescent="0.25">
      <c r="A2527">
        <v>70381</v>
      </c>
      <c r="B2527" t="s">
        <v>236</v>
      </c>
      <c r="C2527" t="s">
        <v>238</v>
      </c>
      <c r="D2527">
        <v>4</v>
      </c>
      <c r="E2527">
        <v>-63676</v>
      </c>
      <c r="F2527" t="s">
        <v>279</v>
      </c>
      <c r="G2527" t="s">
        <v>37</v>
      </c>
      <c r="H2527">
        <v>20685</v>
      </c>
      <c r="I2527" t="s">
        <v>316</v>
      </c>
    </row>
    <row r="2528" spans="1:9" x14ac:dyDescent="0.25">
      <c r="A2528">
        <v>70381</v>
      </c>
      <c r="B2528" t="s">
        <v>236</v>
      </c>
      <c r="C2528" t="s">
        <v>238</v>
      </c>
      <c r="D2528">
        <v>4</v>
      </c>
      <c r="E2528">
        <v>-63676</v>
      </c>
      <c r="F2528" t="s">
        <v>279</v>
      </c>
      <c r="G2528" t="s">
        <v>36</v>
      </c>
      <c r="H2528">
        <v>80247</v>
      </c>
      <c r="I2528" t="s">
        <v>317</v>
      </c>
    </row>
    <row r="2529" spans="1:9" x14ac:dyDescent="0.25">
      <c r="A2529">
        <v>70381</v>
      </c>
      <c r="B2529" t="s">
        <v>236</v>
      </c>
      <c r="C2529" t="s">
        <v>238</v>
      </c>
      <c r="D2529">
        <v>4</v>
      </c>
      <c r="E2529">
        <v>-63676</v>
      </c>
      <c r="F2529" t="s">
        <v>274</v>
      </c>
      <c r="G2529" t="s">
        <v>275</v>
      </c>
      <c r="H2529">
        <v>0</v>
      </c>
      <c r="I2529" t="s">
        <v>276</v>
      </c>
    </row>
    <row r="2530" spans="1:9" x14ac:dyDescent="0.25">
      <c r="A2530">
        <v>70381</v>
      </c>
      <c r="B2530" t="s">
        <v>236</v>
      </c>
      <c r="C2530" t="s">
        <v>238</v>
      </c>
      <c r="D2530">
        <v>4</v>
      </c>
      <c r="E2530">
        <v>-63676</v>
      </c>
      <c r="F2530" t="s">
        <v>279</v>
      </c>
      <c r="G2530" t="s">
        <v>29</v>
      </c>
      <c r="H2530">
        <v>0</v>
      </c>
      <c r="I2530" t="s">
        <v>324</v>
      </c>
    </row>
    <row r="2531" spans="1:9" x14ac:dyDescent="0.25">
      <c r="A2531">
        <v>70381</v>
      </c>
      <c r="B2531" t="s">
        <v>236</v>
      </c>
      <c r="C2531" t="s">
        <v>238</v>
      </c>
      <c r="D2531">
        <v>4</v>
      </c>
      <c r="E2531">
        <v>-63676</v>
      </c>
      <c r="F2531" t="s">
        <v>274</v>
      </c>
      <c r="G2531" t="s">
        <v>277</v>
      </c>
      <c r="H2531">
        <v>169</v>
      </c>
      <c r="I2531" t="s">
        <v>278</v>
      </c>
    </row>
    <row r="2532" spans="1:9" x14ac:dyDescent="0.25">
      <c r="A2532">
        <v>70381</v>
      </c>
      <c r="B2532" t="s">
        <v>236</v>
      </c>
      <c r="C2532" t="s">
        <v>238</v>
      </c>
      <c r="D2532">
        <v>4</v>
      </c>
      <c r="E2532">
        <v>-63676</v>
      </c>
      <c r="F2532" t="s">
        <v>274</v>
      </c>
      <c r="G2532" t="s">
        <v>300</v>
      </c>
      <c r="H2532">
        <v>0</v>
      </c>
      <c r="I2532" t="s">
        <v>383</v>
      </c>
    </row>
    <row r="2533" spans="1:9" x14ac:dyDescent="0.25">
      <c r="A2533">
        <v>70381</v>
      </c>
      <c r="B2533" t="s">
        <v>236</v>
      </c>
      <c r="C2533" t="s">
        <v>238</v>
      </c>
      <c r="D2533">
        <v>4</v>
      </c>
      <c r="E2533">
        <v>-63676</v>
      </c>
      <c r="F2533" t="s">
        <v>279</v>
      </c>
      <c r="G2533" t="s">
        <v>33</v>
      </c>
      <c r="H2533">
        <v>57588</v>
      </c>
      <c r="I2533" t="s">
        <v>280</v>
      </c>
    </row>
    <row r="2534" spans="1:9" x14ac:dyDescent="0.25">
      <c r="A2534">
        <v>70381</v>
      </c>
      <c r="B2534" t="s">
        <v>236</v>
      </c>
      <c r="C2534" t="s">
        <v>238</v>
      </c>
      <c r="D2534">
        <v>4</v>
      </c>
      <c r="E2534">
        <v>-63676</v>
      </c>
      <c r="F2534" t="s">
        <v>279</v>
      </c>
      <c r="G2534" t="s">
        <v>29</v>
      </c>
      <c r="H2534">
        <v>159</v>
      </c>
      <c r="I2534" t="s">
        <v>281</v>
      </c>
    </row>
    <row r="2535" spans="1:9" x14ac:dyDescent="0.25">
      <c r="A2535">
        <v>70381</v>
      </c>
      <c r="B2535" t="s">
        <v>236</v>
      </c>
      <c r="C2535" t="s">
        <v>238</v>
      </c>
      <c r="D2535">
        <v>4</v>
      </c>
      <c r="E2535">
        <v>-63676</v>
      </c>
      <c r="F2535" t="s">
        <v>279</v>
      </c>
      <c r="G2535" t="s">
        <v>29</v>
      </c>
      <c r="H2535">
        <v>83842</v>
      </c>
      <c r="I2535" t="s">
        <v>282</v>
      </c>
    </row>
    <row r="2536" spans="1:9" x14ac:dyDescent="0.25">
      <c r="A2536">
        <v>70381</v>
      </c>
      <c r="B2536" t="s">
        <v>236</v>
      </c>
      <c r="C2536" t="s">
        <v>238</v>
      </c>
      <c r="D2536">
        <v>4</v>
      </c>
      <c r="E2536">
        <v>-63676</v>
      </c>
      <c r="F2536" t="s">
        <v>279</v>
      </c>
      <c r="G2536" t="s">
        <v>35</v>
      </c>
      <c r="H2536">
        <v>86236</v>
      </c>
      <c r="I2536" t="s">
        <v>283</v>
      </c>
    </row>
    <row r="2537" spans="1:9" x14ac:dyDescent="0.25">
      <c r="A2537">
        <v>70381</v>
      </c>
      <c r="B2537" t="s">
        <v>236</v>
      </c>
      <c r="C2537" t="s">
        <v>238</v>
      </c>
      <c r="D2537">
        <v>4</v>
      </c>
      <c r="E2537">
        <v>-63676</v>
      </c>
      <c r="F2537" t="s">
        <v>279</v>
      </c>
      <c r="G2537" t="s">
        <v>29</v>
      </c>
      <c r="H2537">
        <v>7857</v>
      </c>
      <c r="I2537" t="s">
        <v>284</v>
      </c>
    </row>
    <row r="2538" spans="1:9" x14ac:dyDescent="0.25">
      <c r="A2538">
        <v>70381</v>
      </c>
      <c r="B2538" t="s">
        <v>236</v>
      </c>
      <c r="C2538" t="s">
        <v>238</v>
      </c>
      <c r="D2538">
        <v>4</v>
      </c>
      <c r="E2538">
        <v>-63676</v>
      </c>
      <c r="F2538" t="s">
        <v>279</v>
      </c>
      <c r="G2538" t="s">
        <v>29</v>
      </c>
      <c r="H2538">
        <v>32432</v>
      </c>
      <c r="I2538" t="s">
        <v>285</v>
      </c>
    </row>
    <row r="2539" spans="1:9" x14ac:dyDescent="0.25">
      <c r="A2539">
        <v>70381</v>
      </c>
      <c r="B2539" t="s">
        <v>236</v>
      </c>
      <c r="C2539" t="s">
        <v>238</v>
      </c>
      <c r="D2539">
        <v>4</v>
      </c>
      <c r="E2539">
        <v>-63676</v>
      </c>
      <c r="F2539" t="s">
        <v>279</v>
      </c>
      <c r="G2539" t="s">
        <v>29</v>
      </c>
      <c r="H2539">
        <v>9133</v>
      </c>
      <c r="I2539" t="s">
        <v>286</v>
      </c>
    </row>
    <row r="2540" spans="1:9" x14ac:dyDescent="0.25">
      <c r="A2540">
        <v>70381</v>
      </c>
      <c r="B2540" t="s">
        <v>236</v>
      </c>
      <c r="C2540" t="s">
        <v>238</v>
      </c>
      <c r="D2540">
        <v>4</v>
      </c>
      <c r="E2540">
        <v>-63676</v>
      </c>
      <c r="F2540" t="s">
        <v>279</v>
      </c>
      <c r="G2540" t="s">
        <v>29</v>
      </c>
      <c r="H2540">
        <v>0</v>
      </c>
      <c r="I2540" t="s">
        <v>327</v>
      </c>
    </row>
    <row r="2541" spans="1:9" x14ac:dyDescent="0.25">
      <c r="A2541">
        <v>70381</v>
      </c>
      <c r="B2541" t="s">
        <v>236</v>
      </c>
      <c r="C2541" t="s">
        <v>238</v>
      </c>
      <c r="D2541">
        <v>4</v>
      </c>
      <c r="E2541">
        <v>-63676</v>
      </c>
      <c r="F2541" t="s">
        <v>279</v>
      </c>
      <c r="G2541" t="s">
        <v>34</v>
      </c>
      <c r="H2541">
        <v>8016</v>
      </c>
      <c r="I2541" t="s">
        <v>287</v>
      </c>
    </row>
    <row r="2542" spans="1:9" x14ac:dyDescent="0.25">
      <c r="A2542">
        <v>70381</v>
      </c>
      <c r="B2542" t="s">
        <v>236</v>
      </c>
      <c r="C2542" t="s">
        <v>238</v>
      </c>
      <c r="D2542">
        <v>4</v>
      </c>
      <c r="E2542">
        <v>-63676</v>
      </c>
      <c r="F2542" t="s">
        <v>279</v>
      </c>
      <c r="G2542" t="s">
        <v>29</v>
      </c>
      <c r="H2542">
        <v>28320</v>
      </c>
      <c r="I2542" t="s">
        <v>288</v>
      </c>
    </row>
    <row r="2543" spans="1:9" x14ac:dyDescent="0.25">
      <c r="A2543">
        <v>70381</v>
      </c>
      <c r="B2543" t="s">
        <v>236</v>
      </c>
      <c r="C2543" t="s">
        <v>238</v>
      </c>
      <c r="D2543">
        <v>4</v>
      </c>
      <c r="E2543">
        <v>-63676</v>
      </c>
      <c r="F2543" t="s">
        <v>279</v>
      </c>
      <c r="G2543" t="s">
        <v>34</v>
      </c>
      <c r="H2543">
        <v>12200</v>
      </c>
      <c r="I2543" t="s">
        <v>289</v>
      </c>
    </row>
    <row r="2544" spans="1:9" x14ac:dyDescent="0.25">
      <c r="A2544">
        <v>70381</v>
      </c>
      <c r="B2544" t="s">
        <v>236</v>
      </c>
      <c r="C2544" t="s">
        <v>238</v>
      </c>
      <c r="D2544">
        <v>4</v>
      </c>
      <c r="E2544">
        <v>-63676</v>
      </c>
      <c r="F2544" t="s">
        <v>279</v>
      </c>
      <c r="G2544" t="s">
        <v>29</v>
      </c>
      <c r="H2544">
        <v>9653</v>
      </c>
      <c r="I2544" t="s">
        <v>290</v>
      </c>
    </row>
    <row r="2545" spans="1:9" x14ac:dyDescent="0.25">
      <c r="A2545">
        <v>70381</v>
      </c>
      <c r="B2545" t="s">
        <v>236</v>
      </c>
      <c r="C2545" t="s">
        <v>238</v>
      </c>
      <c r="D2545">
        <v>4</v>
      </c>
      <c r="E2545">
        <v>-63676</v>
      </c>
      <c r="F2545" t="s">
        <v>279</v>
      </c>
      <c r="G2545" t="s">
        <v>32</v>
      </c>
      <c r="H2545">
        <v>85178</v>
      </c>
      <c r="I2545" t="s">
        <v>291</v>
      </c>
    </row>
    <row r="2546" spans="1:9" x14ac:dyDescent="0.25">
      <c r="A2546">
        <v>70381</v>
      </c>
      <c r="B2546" t="s">
        <v>236</v>
      </c>
      <c r="C2546" t="s">
        <v>238</v>
      </c>
      <c r="D2546">
        <v>4</v>
      </c>
      <c r="E2546">
        <v>-63676</v>
      </c>
      <c r="F2546" t="s">
        <v>279</v>
      </c>
      <c r="G2546" t="s">
        <v>29</v>
      </c>
      <c r="H2546">
        <v>14628</v>
      </c>
      <c r="I2546" t="s">
        <v>292</v>
      </c>
    </row>
    <row r="2547" spans="1:9" x14ac:dyDescent="0.25">
      <c r="A2547">
        <v>70381</v>
      </c>
      <c r="B2547" t="s">
        <v>236</v>
      </c>
      <c r="C2547" t="s">
        <v>238</v>
      </c>
      <c r="D2547">
        <v>4</v>
      </c>
      <c r="E2547">
        <v>-63676</v>
      </c>
      <c r="F2547" t="s">
        <v>279</v>
      </c>
      <c r="G2547" t="s">
        <v>29</v>
      </c>
      <c r="H2547">
        <v>0</v>
      </c>
      <c r="I2547" t="s">
        <v>384</v>
      </c>
    </row>
    <row r="2548" spans="1:9" x14ac:dyDescent="0.25">
      <c r="A2548">
        <v>70381</v>
      </c>
      <c r="B2548" t="s">
        <v>236</v>
      </c>
      <c r="C2548" t="s">
        <v>238</v>
      </c>
      <c r="D2548">
        <v>4</v>
      </c>
      <c r="E2548">
        <v>-63676</v>
      </c>
      <c r="F2548" t="s">
        <v>279</v>
      </c>
      <c r="G2548" t="s">
        <v>35</v>
      </c>
      <c r="H2548">
        <v>0</v>
      </c>
      <c r="I2548" t="s">
        <v>293</v>
      </c>
    </row>
    <row r="2549" spans="1:9" x14ac:dyDescent="0.25">
      <c r="A2549">
        <v>70381</v>
      </c>
      <c r="B2549" t="s">
        <v>236</v>
      </c>
      <c r="C2549" t="s">
        <v>238</v>
      </c>
      <c r="D2549">
        <v>4</v>
      </c>
      <c r="E2549">
        <v>-63676</v>
      </c>
      <c r="F2549" t="s">
        <v>279</v>
      </c>
      <c r="G2549" t="s">
        <v>35</v>
      </c>
      <c r="H2549">
        <v>2948</v>
      </c>
      <c r="I2549" t="s">
        <v>294</v>
      </c>
    </row>
    <row r="2550" spans="1:9" x14ac:dyDescent="0.25">
      <c r="A2550">
        <v>70381</v>
      </c>
      <c r="B2550" t="s">
        <v>236</v>
      </c>
      <c r="C2550" t="s">
        <v>238</v>
      </c>
      <c r="D2550">
        <v>4</v>
      </c>
      <c r="E2550">
        <v>-63676</v>
      </c>
      <c r="F2550" t="s">
        <v>279</v>
      </c>
      <c r="G2550" t="s">
        <v>35</v>
      </c>
      <c r="H2550">
        <v>6428</v>
      </c>
      <c r="I2550" t="s">
        <v>295</v>
      </c>
    </row>
    <row r="2551" spans="1:9" x14ac:dyDescent="0.25">
      <c r="A2551">
        <v>70381</v>
      </c>
      <c r="B2551" t="s">
        <v>236</v>
      </c>
      <c r="C2551" t="s">
        <v>238</v>
      </c>
      <c r="D2551">
        <v>4</v>
      </c>
      <c r="E2551">
        <v>-63676</v>
      </c>
      <c r="F2551" t="s">
        <v>279</v>
      </c>
      <c r="G2551" t="s">
        <v>35</v>
      </c>
      <c r="H2551">
        <v>10341</v>
      </c>
      <c r="I2551" t="s">
        <v>296</v>
      </c>
    </row>
    <row r="2552" spans="1:9" x14ac:dyDescent="0.25">
      <c r="A2552">
        <v>70381</v>
      </c>
      <c r="B2552" t="s">
        <v>236</v>
      </c>
      <c r="C2552" t="s">
        <v>238</v>
      </c>
      <c r="D2552">
        <v>4</v>
      </c>
      <c r="E2552">
        <v>-63676</v>
      </c>
      <c r="F2552" t="s">
        <v>279</v>
      </c>
      <c r="G2552" t="s">
        <v>35</v>
      </c>
      <c r="H2552">
        <v>280</v>
      </c>
      <c r="I2552" t="s">
        <v>325</v>
      </c>
    </row>
    <row r="2553" spans="1:9" x14ac:dyDescent="0.25">
      <c r="A2553">
        <v>70381</v>
      </c>
      <c r="B2553" t="s">
        <v>236</v>
      </c>
      <c r="C2553" t="s">
        <v>238</v>
      </c>
      <c r="D2553">
        <v>4</v>
      </c>
      <c r="E2553">
        <v>-63676</v>
      </c>
      <c r="F2553" t="s">
        <v>279</v>
      </c>
      <c r="G2553" t="s">
        <v>29</v>
      </c>
      <c r="H2553">
        <v>2000</v>
      </c>
      <c r="I2553" t="s">
        <v>297</v>
      </c>
    </row>
    <row r="2554" spans="1:9" x14ac:dyDescent="0.25">
      <c r="A2554">
        <v>70381</v>
      </c>
      <c r="B2554" t="s">
        <v>236</v>
      </c>
      <c r="C2554" t="s">
        <v>238</v>
      </c>
      <c r="D2554">
        <v>4</v>
      </c>
      <c r="E2554">
        <v>-63676</v>
      </c>
      <c r="F2554" t="s">
        <v>279</v>
      </c>
      <c r="G2554" t="s">
        <v>36</v>
      </c>
      <c r="H2554">
        <v>29595</v>
      </c>
      <c r="I2554" t="s">
        <v>298</v>
      </c>
    </row>
    <row r="2555" spans="1:9" x14ac:dyDescent="0.25">
      <c r="A2555">
        <v>70381</v>
      </c>
      <c r="B2555" t="s">
        <v>236</v>
      </c>
      <c r="C2555" t="s">
        <v>238</v>
      </c>
      <c r="D2555">
        <v>4</v>
      </c>
      <c r="E2555">
        <v>-63676</v>
      </c>
      <c r="F2555" t="s">
        <v>274</v>
      </c>
      <c r="G2555" t="s">
        <v>275</v>
      </c>
      <c r="H2555">
        <v>1051528</v>
      </c>
      <c r="I2555" t="s">
        <v>299</v>
      </c>
    </row>
    <row r="2556" spans="1:9" x14ac:dyDescent="0.25">
      <c r="A2556">
        <v>70381</v>
      </c>
      <c r="B2556" t="s">
        <v>236</v>
      </c>
      <c r="C2556" t="s">
        <v>238</v>
      </c>
      <c r="D2556">
        <v>4</v>
      </c>
      <c r="E2556">
        <v>-63676</v>
      </c>
      <c r="F2556" t="s">
        <v>274</v>
      </c>
      <c r="G2556" t="s">
        <v>275</v>
      </c>
      <c r="H2556">
        <v>0</v>
      </c>
      <c r="I2556" t="s">
        <v>385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Instructions</vt:lpstr>
      <vt:lpstr>Main</vt:lpstr>
      <vt:lpstr>Main Data</vt:lpstr>
      <vt:lpstr>BalSht</vt:lpstr>
      <vt:lpstr>BalSht Data</vt:lpstr>
      <vt:lpstr>IncStmt</vt:lpstr>
      <vt:lpstr>IncStmt Data</vt:lpstr>
      <vt:lpstr>BalSht!Print_Area</vt:lpstr>
      <vt:lpstr>IncStmt!Print_Area</vt:lpstr>
      <vt:lpstr>BalSht!Print_Titles</vt:lpstr>
      <vt:lpstr>IncStmt!Print_Titles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2018-05-03T05:57:52Z</dcterms:modified>
</cp:coreProperties>
</file>