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iket.Mulmule\Downloads\"/>
    </mc:Choice>
  </mc:AlternateContent>
  <bookViews>
    <workbookView xWindow="0" yWindow="0" windowWidth="24000" windowHeight="9735" tabRatio="825"/>
  </bookViews>
  <sheets>
    <sheet name="Operating" sheetId="1" r:id="rId1"/>
    <sheet name="ECRDCRMustPayDebtData" sheetId="14" state="veryHidden" r:id="rId2"/>
    <sheet name="Expenses" sheetId="2" r:id="rId3"/>
    <sheet name="Occupancy" sheetId="23" r:id="rId4"/>
    <sheet name="ActualOccupancy" sheetId="24" state="veryHidden" r:id="rId5"/>
    <sheet name="AnnualFinancialData" sheetId="5" state="veryHidden" r:id="rId6"/>
    <sheet name="ProjectTypeData" sheetId="9" state="veryHidden" r:id="rId7"/>
    <sheet name="BalanceSheetData" sheetId="6" state="veryHidden" r:id="rId8"/>
    <sheet name="IncomeStatementData" sheetId="7" state="veryHidden" r:id="rId9"/>
    <sheet name="OccupancyData" sheetId="8" state="veryHidden" r:id="rId10"/>
    <sheet name="ReserveData" sheetId="10" state="veryHidden" r:id="rId11"/>
    <sheet name="MgmtCompanyData" sheetId="11" state="veryHidden" r:id="rId12"/>
    <sheet name="AnnualMustPayDebtData" sheetId="12" state="veryHidden" r:id="rId13"/>
    <sheet name="PriorQ4BalanceSheet" sheetId="13" state="veryHidden" r:id="rId14"/>
  </sheets>
  <externalReferences>
    <externalReference r:id="rId15"/>
  </externalReferences>
  <definedNames>
    <definedName name="_xlnm._FilterDatabase" localSheetId="5" hidden="1">AnnualFinancialData!$A$1:$P$6293</definedName>
    <definedName name="_xlnm._FilterDatabase" localSheetId="7" hidden="1">BalanceSheetData!$A$1:$J$4969</definedName>
    <definedName name="_xlnm._FilterDatabase" localSheetId="9" hidden="1">OccupancyData!$B$1:$B$1608</definedName>
    <definedName name="_xlnm._FilterDatabase" localSheetId="6" hidden="1">ProjectTypeData!$A$1:$E$59</definedName>
    <definedName name="Acf_ab_cell">Operating!$BC$9</definedName>
    <definedName name="Acf_ab_cell1" localSheetId="3">[1]Operating!#REF!</definedName>
    <definedName name="Acf_ab_cell1">Operating!#REF!</definedName>
    <definedName name="Acf_ab_cell2" localSheetId="3">[1]Operating!#REF!</definedName>
    <definedName name="Acf_ab_cell2">Operating!#REF!</definedName>
    <definedName name="Acf_ytd_cell">Operating!$BB$9</definedName>
    <definedName name="Acf_ytd_cell1" localSheetId="3">[1]Operating!#REF!</definedName>
    <definedName name="Acf_ytd_cell1">Operating!#REF!</definedName>
    <definedName name="Acf_ytd_cell2" localSheetId="3">[1]Operating!#REF!</definedName>
    <definedName name="Acf_ytd_cell2">Operating!#REF!</definedName>
    <definedName name="Acf_ytda_cell">Operating!$BA$9</definedName>
    <definedName name="Acf_ytda_cell1" localSheetId="3">[1]Operating!#REF!</definedName>
    <definedName name="Acf_ytda_cell1">Operating!#REF!</definedName>
    <definedName name="Acf_ytda_cell2" localSheetId="3">[1]Operating!#REF!</definedName>
    <definedName name="Acf_ytda_cell2">Operating!#REF!</definedName>
    <definedName name="Acf_ytdau_cell">Operating!$BD$9</definedName>
    <definedName name="Acf_ytdau_cell1" localSheetId="3">[1]Operating!#REF!</definedName>
    <definedName name="Acf_ytdau_cell1">Operating!#REF!</definedName>
    <definedName name="Acf_ytdau_cell2" localSheetId="3">[1]Operating!#REF!</definedName>
    <definedName name="Acf_ytdau_cell2">Operating!#REF!</definedName>
    <definedName name="Acf_ytdbu_cell">Operating!$BE$9</definedName>
    <definedName name="Acf_ytdbu_cell1" localSheetId="3">[1]Operating!#REF!</definedName>
    <definedName name="Acf_ytdbu_cell1">Operating!#REF!</definedName>
    <definedName name="Acf_ytdbu_cell2" localSheetId="3">[1]Operating!#REF!</definedName>
    <definedName name="Acf_ytdbu_cell2">Operating!#REF!</definedName>
    <definedName name="Adm_ytda_cell">Expenses!$J$5</definedName>
    <definedName name="Adm_ytda_cell1" localSheetId="3">[1]Expenses!#REF!</definedName>
    <definedName name="Adm_ytda_cell1">Expenses!#REF!</definedName>
    <definedName name="Adm_ytda_cell2" localSheetId="3">[1]Expenses!#REF!</definedName>
    <definedName name="Adm_ytda_cell2">Expenses!#REF!</definedName>
    <definedName name="Adm_ytdab_cell">Expenses!$L$5</definedName>
    <definedName name="Adm_ytdab_cell1" localSheetId="3">[1]Expenses!#REF!</definedName>
    <definedName name="Adm_ytdab_cell1">Expenses!#REF!</definedName>
    <definedName name="Adm_ytdab_cell2" localSheetId="3">[1]Expenses!#REF!</definedName>
    <definedName name="Adm_ytdab_cell2">Expenses!#REF!</definedName>
    <definedName name="Adm_ytdau_cell">Expenses!$M$5</definedName>
    <definedName name="Adm_ytdau_cell1" localSheetId="3">[1]Expenses!#REF!</definedName>
    <definedName name="Adm_ytdau_cell1">Expenses!#REF!</definedName>
    <definedName name="Adm_ytdau_cell2" localSheetId="3">[1]Expenses!#REF!</definedName>
    <definedName name="Adm_ytdau_cell2">Expenses!#REF!</definedName>
    <definedName name="Adm_ytdb_cell">Expenses!$K$5</definedName>
    <definedName name="Adm_ytdb_cell1" localSheetId="3">[1]Expenses!#REF!</definedName>
    <definedName name="Adm_ytdb_cell1">Expenses!#REF!</definedName>
    <definedName name="Adm_ytdb_cell2" localSheetId="3">[1]Expenses!#REF!</definedName>
    <definedName name="Adm_ytdb_cell2">Expenses!#REF!</definedName>
    <definedName name="Adm_ytdbu_cell">Expenses!$N$5</definedName>
    <definedName name="Adm_ytdbu_cell1" localSheetId="3">[1]Expenses!#REF!</definedName>
    <definedName name="Adm_ytdbu_cell1">Expenses!#REF!</definedName>
    <definedName name="Adm_ytdbu_cell2" localSheetId="3">[1]Expenses!#REF!</definedName>
    <definedName name="Adm_ytdbu_cell2">Expenses!#REF!</definedName>
    <definedName name="Amf_ytd_cell">Operating!$AW$9</definedName>
    <definedName name="Amf_ytd_cell1" localSheetId="3">[1]Operating!#REF!</definedName>
    <definedName name="Amf_ytd_cell1">Operating!#REF!</definedName>
    <definedName name="Amf_ytd_cell2" localSheetId="3">[1]Operating!#REF!</definedName>
    <definedName name="Amf_ytd_cell2">Operating!#REF!</definedName>
    <definedName name="Amf_ytda_cell">Operating!$AV$9</definedName>
    <definedName name="Amf_ytda_cell1" localSheetId="3">[1]Operating!#REF!</definedName>
    <definedName name="Amf_ytda_cell1">Operating!#REF!</definedName>
    <definedName name="Amf_ytda_cell2" localSheetId="3">[1]Operating!#REF!</definedName>
    <definedName name="Amf_ytda_cell2">Operating!#REF!</definedName>
    <definedName name="Amf_ytdau_cell">Operating!$AY$9</definedName>
    <definedName name="Amf_ytdau_cell1" localSheetId="3">[1]Operating!#REF!</definedName>
    <definedName name="Amf_ytdau_cell1">Operating!#REF!</definedName>
    <definedName name="Amf_ytdau_cell2" localSheetId="3">[1]Operating!#REF!</definedName>
    <definedName name="Amf_ytdau_cell2">Operating!#REF!</definedName>
    <definedName name="Amf_ytdb_cell">Operating!$AX$9</definedName>
    <definedName name="Amf_ytdb_cell1" localSheetId="3">[1]Operating!#REF!</definedName>
    <definedName name="Amf_ytdb_cell1">Operating!#REF!</definedName>
    <definedName name="Amf_ytdb_cell2" localSheetId="3">[1]Operating!#REF!</definedName>
    <definedName name="Amf_ytdb_cell2">Operating!#REF!</definedName>
    <definedName name="Amf_ytdbu_cell">Operating!$AZ$9</definedName>
    <definedName name="Amf_ytdbu_cell1" localSheetId="3">[1]Operating!#REF!</definedName>
    <definedName name="Amf_ytdbu_cell1">Operating!#REF!</definedName>
    <definedName name="Amf_ytdbu_cell2" localSheetId="3">[1]Operating!#REF!</definedName>
    <definedName name="Amf_ytdbu_cell2">Operating!#REF!</definedName>
    <definedName name="Bd_ytda_cell">Expenses!$O$5</definedName>
    <definedName name="Bd_ytda_cell1" localSheetId="3">[1]Expenses!#REF!</definedName>
    <definedName name="Bd_ytda_cell1">Expenses!#REF!</definedName>
    <definedName name="Bd_ytda_cell2" localSheetId="3">[1]Expenses!#REF!</definedName>
    <definedName name="Bd_ytda_cell2">Expenses!#REF!</definedName>
    <definedName name="Bd_ytdab_cell">Expenses!$Q$5</definedName>
    <definedName name="Bd_ytdab_cell1" localSheetId="3">[1]Expenses!#REF!</definedName>
    <definedName name="Bd_ytdab_cell1">Expenses!#REF!</definedName>
    <definedName name="Bd_ytdab_cell2" localSheetId="3">[1]Expenses!#REF!</definedName>
    <definedName name="Bd_ytdab_cell2">Expenses!#REF!</definedName>
    <definedName name="Bd_ytdau_cell">Expenses!$R$5</definedName>
    <definedName name="Bd_ytdau_cell1" localSheetId="3">[1]Expenses!#REF!</definedName>
    <definedName name="Bd_ytdau_cell1">Expenses!#REF!</definedName>
    <definedName name="Bd_ytdau_cell2" localSheetId="3">[1]Expenses!#REF!</definedName>
    <definedName name="Bd_ytdau_cell2">Expenses!#REF!</definedName>
    <definedName name="Bd_ytdb_cell">Expenses!$P$5</definedName>
    <definedName name="Bd_ytdb_cell1" localSheetId="3">[1]Expenses!#REF!</definedName>
    <definedName name="Bd_ytdb_cell1">Expenses!#REF!</definedName>
    <definedName name="Bd_ytdb_cell2" localSheetId="3">[1]Expenses!#REF!</definedName>
    <definedName name="Bd_ytdb_cell2">Expenses!#REF!</definedName>
    <definedName name="Bd_ytdbu_cell">Expenses!$S$5</definedName>
    <definedName name="Bd_ytdbu_cell1" localSheetId="3">[1]Expenses!#REF!</definedName>
    <definedName name="Bd_ytdbu_cell1">Expenses!#REF!</definedName>
    <definedName name="Bd_ytdbu_cell2" localSheetId="3">[1]Expenses!#REF!</definedName>
    <definedName name="Bd_ytdbu_cell2">Expenses!#REF!</definedName>
    <definedName name="Cap_ytd_cell">Operating!$AR$9</definedName>
    <definedName name="Cap_ytd_cell1" localSheetId="3">[1]Operating!#REF!</definedName>
    <definedName name="Cap_ytd_cell1">Operating!#REF!</definedName>
    <definedName name="Cap_ytd_cell2" localSheetId="3">[1]Operating!#REF!</definedName>
    <definedName name="Cap_ytd_cell2">Operating!#REF!</definedName>
    <definedName name="Cap_ytda_cell">Operating!$AQ$9</definedName>
    <definedName name="Cap_ytda_cell1" localSheetId="3">[1]Operating!#REF!</definedName>
    <definedName name="Cap_ytda_cell1">Operating!#REF!</definedName>
    <definedName name="Cap_ytda_cell2" localSheetId="3">[1]Operating!#REF!</definedName>
    <definedName name="Cap_ytda_cell2">Operating!#REF!</definedName>
    <definedName name="Cap_ytdau_cell">Operating!$AT$9</definedName>
    <definedName name="Cap_ytdau_cell1" localSheetId="3">[1]Operating!#REF!</definedName>
    <definedName name="Cap_ytdau_cell1">Operating!#REF!</definedName>
    <definedName name="Cap_ytdau_cell2" localSheetId="3">[1]Operating!#REF!</definedName>
    <definedName name="Cap_ytdau_cell2">Operating!#REF!</definedName>
    <definedName name="Cap_ytdb_cell">Operating!$AS$9</definedName>
    <definedName name="Cap_ytdb_cell1" localSheetId="3">[1]Operating!#REF!</definedName>
    <definedName name="Cap_ytdb_cell1">Operating!#REF!</definedName>
    <definedName name="Cap_ytdb_cell2" localSheetId="3">[1]Operating!#REF!</definedName>
    <definedName name="Cap_ytdb_cell2">Operating!#REF!</definedName>
    <definedName name="Cap_ytdb_cell3" localSheetId="3">[1]Operating!#REF!</definedName>
    <definedName name="Cap_ytdb_cell3">Operating!#REF!</definedName>
    <definedName name="Cap_ytdbu_cell">Operating!$AU$9</definedName>
    <definedName name="Cap_ytdbu_cell1" localSheetId="3">[1]Operating!#REF!</definedName>
    <definedName name="Cap_ytdbu_cell1">Operating!#REF!</definedName>
    <definedName name="Cap_ytdbu_cell2" localSheetId="3">[1]Operating!#REF!</definedName>
    <definedName name="Cap_ytdbu_cell2">Operating!#REF!</definedName>
    <definedName name="Cf_ytd_cell">Operating!$BB$9</definedName>
    <definedName name="Cf_ytd_cell1" localSheetId="3">[1]Operating!#REF!</definedName>
    <definedName name="Cf_ytd_cell1">Operating!#REF!</definedName>
    <definedName name="Clear">Operating!$A$15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Clear">Expenses!$A$8</definedName>
    <definedName name="Exp_Portfolio_cell">Expenses!$B$5</definedName>
    <definedName name="Exp_Units_cell">Expenses!$C$4</definedName>
    <definedName name="Exp_Units_cell1">Expenses!$C$6</definedName>
    <definedName name="Exp_Units_cell2" localSheetId="3">[1]Expenses!#REF!</definedName>
    <definedName name="Exp_Units_cell2">Expenses!#REF!</definedName>
    <definedName name="Exp_Units_cell3" localSheetId="3">[1]Expenses!#REF!</definedName>
    <definedName name="Exp_Units_cell3">Expenses!#REF!</definedName>
    <definedName name="Exp_Units_cell4" localSheetId="3">[1]Expenses!#REF!</definedName>
    <definedName name="Exp_Units_cell4">Expenses!#REF!</definedName>
    <definedName name="Fm_ytd_cell">Operating!$AH$9</definedName>
    <definedName name="Fm_ytd_cell1" localSheetId="3">[1]Operating!#REF!</definedName>
    <definedName name="Fm_ytd_cell1">Operating!#REF!</definedName>
    <definedName name="Fm_ytd_cell2" localSheetId="3">[1]Operating!#REF!</definedName>
    <definedName name="Fm_ytd_cell2">Operating!#REF!</definedName>
    <definedName name="Fm_ytda_cell">Operating!$AG$9</definedName>
    <definedName name="Fm_ytda_cell1" localSheetId="3">[1]Operating!#REF!</definedName>
    <definedName name="Fm_ytda_cell1">Operating!#REF!</definedName>
    <definedName name="Fm_ytda_cell2" localSheetId="3">[1]Operating!#REF!</definedName>
    <definedName name="Fm_ytda_cell2">Operating!#REF!</definedName>
    <definedName name="Fm_ytdau_cell">Operating!$AJ$9</definedName>
    <definedName name="Fm_ytdau_cell1" localSheetId="3">[1]Operating!#REF!</definedName>
    <definedName name="Fm_ytdau_cell1">Operating!#REF!</definedName>
    <definedName name="Fm_ytdau_cell2" localSheetId="3">[1]Operating!#REF!</definedName>
    <definedName name="Fm_ytdau_cell2">Operating!#REF!</definedName>
    <definedName name="Fm_ytdb_cell">Operating!$AI$9</definedName>
    <definedName name="Fm_ytdb_cell1" localSheetId="3">[1]Operating!#REF!</definedName>
    <definedName name="Fm_ytdb_cell1">Operating!#REF!</definedName>
    <definedName name="Fm_ytdb_cell2" localSheetId="3">[1]Operating!#REF!</definedName>
    <definedName name="Fm_ytdb_cell2">Operating!#REF!</definedName>
    <definedName name="Fm_ytdb_cell3" localSheetId="3">[1]Operating!#REF!</definedName>
    <definedName name="Fm_ytdb_cell3">Operating!#REF!</definedName>
    <definedName name="Fm_ytdbu_cell">Operating!$AK$9</definedName>
    <definedName name="Fm_ytdbu_cell1" localSheetId="3">[1]Operating!#REF!</definedName>
    <definedName name="Fm_ytdbu_cell1">Operating!#REF!</definedName>
    <definedName name="Fm_ytdbu_cell2" localSheetId="3">[1]Operating!#REF!</definedName>
    <definedName name="Fm_ytdbu_cell2">Operating!#REF!</definedName>
    <definedName name="Ins_ytda_cell">Expenses!$AX$5</definedName>
    <definedName name="Ins_ytda_cell1" localSheetId="3">[1]Expenses!#REF!</definedName>
    <definedName name="Ins_ytda_cell1">Expenses!#REF!</definedName>
    <definedName name="Ins_ytda_cell2" localSheetId="3">[1]Expenses!#REF!</definedName>
    <definedName name="Ins_ytda_cell2">Expenses!#REF!</definedName>
    <definedName name="Ins_ytdab_cell">Expenses!$AZ$5</definedName>
    <definedName name="Ins_ytdab_cell1" localSheetId="3">[1]Expenses!#REF!</definedName>
    <definedName name="Ins_ytdab_cell1">Expenses!#REF!</definedName>
    <definedName name="Ins_ytdab_cell2" localSheetId="3">[1]Expenses!#REF!</definedName>
    <definedName name="Ins_ytdab_cell2">Expenses!#REF!</definedName>
    <definedName name="Ins_ytdau_cell">Expenses!$BA$5</definedName>
    <definedName name="Ins_ytdau_cell1" localSheetId="3">[1]Expenses!#REF!</definedName>
    <definedName name="Ins_ytdau_cell1">Expenses!#REF!</definedName>
    <definedName name="Ins_ytdau_cell2" localSheetId="3">[1]Expenses!#REF!</definedName>
    <definedName name="Ins_ytdau_cell2">Expenses!#REF!</definedName>
    <definedName name="Ins_ytdb_cell">Expenses!$AY$5</definedName>
    <definedName name="Ins_ytdb_cell1" localSheetId="3">[1]Expenses!#REF!</definedName>
    <definedName name="Ins_ytdb_cell1">Expenses!#REF!</definedName>
    <definedName name="Ins_ytdb_cell2" localSheetId="3">[1]Expenses!#REF!</definedName>
    <definedName name="Ins_ytdb_cell2">Expenses!#REF!</definedName>
    <definedName name="Ins_ytdbu_cell">Expenses!$BB$5</definedName>
    <definedName name="Ins_ytdbu_cell1" localSheetId="3">[1]Expenses!#REF!</definedName>
    <definedName name="Ins_ytdbu_cell1">Expenses!#REF!</definedName>
    <definedName name="Ins_ytdbu_cell2" localSheetId="3">[1]Expenses!#REF!</definedName>
    <definedName name="Ins_ytdbu_cell2">Expenses!#REF!</definedName>
    <definedName name="Mf_ytda_cell">Expenses!$T$5</definedName>
    <definedName name="Mf_ytda_cell1" localSheetId="3">[1]Expenses!#REF!</definedName>
    <definedName name="Mf_ytda_cell1">Expenses!#REF!</definedName>
    <definedName name="Mf_ytda_cell2" localSheetId="3">[1]Expenses!#REF!</definedName>
    <definedName name="Mf_ytda_cell2">Expenses!#REF!</definedName>
    <definedName name="Mf_ytdab_cell">Expenses!$V$5</definedName>
    <definedName name="Mf_ytdab_cell1" localSheetId="3">[1]Expenses!#REF!</definedName>
    <definedName name="Mf_ytdab_cell1">Expenses!#REF!</definedName>
    <definedName name="Mf_ytdab_cell2" localSheetId="3">[1]Expenses!#REF!</definedName>
    <definedName name="Mf_ytdab_cell2">Expenses!#REF!</definedName>
    <definedName name="Mf_ytdau_cell">Expenses!$W$5</definedName>
    <definedName name="Mf_ytdau_cell1" localSheetId="3">[1]Expenses!#REF!</definedName>
    <definedName name="Mf_ytdau_cell1">Expenses!#REF!</definedName>
    <definedName name="Mf_ytdau_cell2" localSheetId="3">[1]Expenses!#REF!</definedName>
    <definedName name="Mf_ytdau_cell2">Expenses!#REF!</definedName>
    <definedName name="Mf_ytdb_cell">Expenses!$U$5</definedName>
    <definedName name="Mf_ytdb_cell1" localSheetId="3">[1]Expenses!#REF!</definedName>
    <definedName name="Mf_ytdb_cell1">Expenses!#REF!</definedName>
    <definedName name="Mf_ytdb_cell2" localSheetId="3">[1]Expenses!#REF!</definedName>
    <definedName name="Mf_ytdb_cell2">Expenses!#REF!</definedName>
    <definedName name="Mf_ytdbu_cell">Expenses!$X$5</definedName>
    <definedName name="Mf_ytdbu_cell1" localSheetId="3">[1]Expenses!#REF!</definedName>
    <definedName name="Mf_ytdbu_cell1">Expenses!#REF!</definedName>
    <definedName name="Mf_ytdbu_cell2" localSheetId="3">[1]Expenses!#REF!</definedName>
    <definedName name="Mf_ytdbu_cell2">Expenses!#REF!</definedName>
    <definedName name="Mgmt_comp_cell">Expenses!$D$4</definedName>
    <definedName name="Mgmt_comp_cell1" localSheetId="3">[1]Expenses!#REF!</definedName>
    <definedName name="Mgmt_comp_cell1">Expenses!#REF!</definedName>
    <definedName name="Mgmt_comp_cell2" localSheetId="3">[1]Expenses!#REF!</definedName>
    <definedName name="Mgmt_comp_cell2">Expenses!#REF!</definedName>
    <definedName name="Noi_ab_cell">Operating!$AD$9</definedName>
    <definedName name="Noi_ab_cell1" localSheetId="3">[1]Operating!#REF!</definedName>
    <definedName name="Noi_ab_cell1">Operating!#REF!</definedName>
    <definedName name="Noi_ab_cell2" localSheetId="3">[1]Operating!#REF!</definedName>
    <definedName name="Noi_ab_cell2">Operating!#REF!</definedName>
    <definedName name="Noi_ytd_cell">Operating!$AC$9</definedName>
    <definedName name="Noi_ytd_cell1" localSheetId="3">[1]Operating!#REF!</definedName>
    <definedName name="Noi_ytd_cell1">Operating!#REF!</definedName>
    <definedName name="Noi_ytd_cell2" localSheetId="3">[1]Operating!#REF!</definedName>
    <definedName name="Noi_ytd_cell2">Operating!#REF!</definedName>
    <definedName name="Noi_ytda_cell">Operating!$AB$9</definedName>
    <definedName name="Noi_ytda_cell1" localSheetId="3">[1]Operating!#REF!</definedName>
    <definedName name="Noi_ytda_cell1">Operating!#REF!</definedName>
    <definedName name="Noi_ytda_cell2" localSheetId="3">[1]Operating!#REF!</definedName>
    <definedName name="Noi_ytda_cell2">Operating!#REF!</definedName>
    <definedName name="Noi_ytdau_cell">Operating!$AE$9</definedName>
    <definedName name="Noi_ytdau_cell1" localSheetId="3">[1]Operating!#REF!</definedName>
    <definedName name="Noi_ytdau_cell1">Operating!#REF!</definedName>
    <definedName name="Noi_ytdau_cell2" localSheetId="3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3">[1]Operating!#REF!</definedName>
    <definedName name="Noi_ytdbu_cell1">Operating!#REF!</definedName>
    <definedName name="Noi_ytdbu_cell2" localSheetId="3">[1]Operating!#REF!</definedName>
    <definedName name="Noi_ytdbu_cell2">Operating!#REF!</definedName>
    <definedName name="Oc_ab_cell">Operating!$X$9</definedName>
    <definedName name="Oc_ab_cell1" localSheetId="3">[1]Operating!#REF!</definedName>
    <definedName name="Oc_ab_cell1">Operating!#REF!</definedName>
    <definedName name="Oc_ab_cell2" localSheetId="3">[1]Operating!#REF!</definedName>
    <definedName name="Oc_ab_cell2">Operating!#REF!</definedName>
    <definedName name="Oc_ytd_cell">Operating!$W$9</definedName>
    <definedName name="Oc_ytd_cell1" localSheetId="3">[1]Operating!#REF!</definedName>
    <definedName name="Oc_ytd_cell1">Operating!#REF!</definedName>
    <definedName name="Oc_ytd_cell2" localSheetId="3">[1]Operating!#REF!</definedName>
    <definedName name="Oc_ytd_cell2">Operating!#REF!</definedName>
    <definedName name="Oc_ytda_cell">Operating!$V$9</definedName>
    <definedName name="Oc_ytda_cell1" localSheetId="3">[1]Operating!#REF!</definedName>
    <definedName name="Oc_ytda_cell1">Operating!#REF!</definedName>
    <definedName name="Oc_ytda_cell2" localSheetId="3">[1]Operating!#REF!</definedName>
    <definedName name="Oc_ytda_cell2">Operating!#REF!</definedName>
    <definedName name="Oc_ytdaer_cell">Operating!$AA$9</definedName>
    <definedName name="Oc_ytdaer_cell1" localSheetId="3">[1]Operating!#REF!</definedName>
    <definedName name="Oc_ytdaer_cell1">Operating!#REF!</definedName>
    <definedName name="Oc_ytdaer_cell2" localSheetId="3">[1]Operating!#REF!</definedName>
    <definedName name="Oc_ytdaer_cell2">Operating!#REF!</definedName>
    <definedName name="Oc_ytdau_cell">Operating!$Y$9</definedName>
    <definedName name="Oc_ytdau_cell1" localSheetId="3">[1]Operating!#REF!</definedName>
    <definedName name="Oc_ytdau_cell1">Operating!#REF!</definedName>
    <definedName name="Oc_ytdau_cell2" localSheetId="3">[1]Operating!#REF!</definedName>
    <definedName name="Oc_ytdau_cell2">Operating!#REF!</definedName>
    <definedName name="Oc_ytdbu_cell">Operating!$Z$9</definedName>
    <definedName name="Oc_ytdbu_cell1" localSheetId="3">[1]Operating!#REF!</definedName>
    <definedName name="Oc_ytdbu_cell1">Operating!#REF!</definedName>
    <definedName name="Oc_ytdbu_cell2" localSheetId="3">[1]Operating!#REF!</definedName>
    <definedName name="Oc_ytdbu_cell2">Operating!#REF!</definedName>
    <definedName name="Occu_proj_cell" localSheetId="3">Occupancy!$B$4</definedName>
    <definedName name="Occu_proj_cell">#REF!</definedName>
    <definedName name="Occu_proj_end" localSheetId="3">Occupancy!$C$4</definedName>
    <definedName name="Occu_proj_end">#REF!</definedName>
    <definedName name="Occupancy_cell">Operating!$L$9</definedName>
    <definedName name="Occupancy_cell1" localSheetId="3">[1]Operating!#REF!</definedName>
    <definedName name="Occupancy_cell1">Operating!#REF!</definedName>
    <definedName name="Occupancy_cell2" localSheetId="3">[1]Operating!#REF!</definedName>
    <definedName name="Occupancy_cell2">Operating!#REF!</definedName>
    <definedName name="Ocytd_cell">Operating!$W$9</definedName>
    <definedName name="Ocytd_cell1" localSheetId="3">[1]Operating!#REF!</definedName>
    <definedName name="Ocytd_cell1">Operating!#REF!</definedName>
    <definedName name="Oper_cash_cell">Operating!$F$9</definedName>
    <definedName name="Oper_cash_cell1" localSheetId="3">[1]Operating!#REF!</definedName>
    <definedName name="Oper_cash_cell1">Operating!#REF!</definedName>
    <definedName name="Oper_cash_cell2" localSheetId="3">[1]Operating!#REF!</definedName>
    <definedName name="Oper_cash_cell2">Operating!#REF!</definedName>
    <definedName name="Oper_other_cell">Operating!$I$9</definedName>
    <definedName name="Oper_other_cell1" localSheetId="3">[1]Operating!#REF!</definedName>
    <definedName name="Oper_other_cell1">Operating!#REF!</definedName>
    <definedName name="Oper_other_cell2" localSheetId="3">[1]Operating!#REF!</definedName>
    <definedName name="Oper_other_cell2">Operating!#REF!</definedName>
    <definedName name="Operating_cell">Operating!$H$9</definedName>
    <definedName name="Operating_cell1" localSheetId="3">[1]Operating!#REF!</definedName>
    <definedName name="Operating_cell1">Operating!#REF!</definedName>
    <definedName name="Operating_cell2" localSheetId="3">[1]Operating!#REF!</definedName>
    <definedName name="Operating_cell2">Operating!#REF!</definedName>
    <definedName name="Other_cell" localSheetId="3">[1]Operating!#REF!</definedName>
    <definedName name="Other_cell">Operating!#REF!</definedName>
    <definedName name="Other_cell_end" localSheetId="3">[1]Operating!#REF!</definedName>
    <definedName name="Other_cell_end">Operating!#REF!</definedName>
    <definedName name="Other_cell_start" localSheetId="3">[1]Operating!#REF!</definedName>
    <definedName name="Other_cell_start">Operating!#REF!</definedName>
    <definedName name="Other_exp" localSheetId="3">[1]Expenses!#REF!</definedName>
    <definedName name="Other_exp">Expenses!#REF!</definedName>
    <definedName name="Other_exp_end" localSheetId="3">[1]Expenses!#REF!</definedName>
    <definedName name="Other_exp_end">Expenses!#REF!</definedName>
    <definedName name="Other_exp_start" localSheetId="3">[1]Expenses!#REF!</definedName>
    <definedName name="Other_exp_start">Expenses!#REF!</definedName>
    <definedName name="Pay_ytd_cell">Expenses!$F$5</definedName>
    <definedName name="Pay_ytd_cell1" localSheetId="3">[1]Expenses!#REF!</definedName>
    <definedName name="Pay_ytd_cell1">Expenses!#REF!</definedName>
    <definedName name="Pay_ytd_cell2" localSheetId="3">[1]Expenses!#REF!</definedName>
    <definedName name="Pay_ytd_cell2">Expenses!#REF!</definedName>
    <definedName name="Pay_ytda_cell">Expenses!$E$5</definedName>
    <definedName name="Pay_ytda_cell1" localSheetId="3">[1]Expenses!#REF!</definedName>
    <definedName name="Pay_ytda_cell1">Expenses!#REF!</definedName>
    <definedName name="Pay_ytda_cell2" localSheetId="3">[1]Expenses!#REF!</definedName>
    <definedName name="Pay_ytda_cell2">Expenses!#REF!</definedName>
    <definedName name="Pay_ytdab_cell">Expenses!$G$5</definedName>
    <definedName name="Pay_ytdab_cell1" localSheetId="3">[1]Expenses!#REF!</definedName>
    <definedName name="Pay_ytdab_cell1">Expenses!#REF!</definedName>
    <definedName name="Pay_ytdab_cell2" localSheetId="3">[1]Expenses!#REF!</definedName>
    <definedName name="Pay_ytdab_cell2">Expenses!#REF!</definedName>
    <definedName name="Pay_ytdau_cell">Expenses!$H$5</definedName>
    <definedName name="Pay_ytdau_cell1" localSheetId="3">[1]Expenses!#REF!</definedName>
    <definedName name="Pay_ytdau_cell1">Expenses!#REF!</definedName>
    <definedName name="Pay_ytdau_cell2" localSheetId="3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3">[1]Expenses!#REF!</definedName>
    <definedName name="Pay_ytdbu_cell1">Expenses!#REF!</definedName>
    <definedName name="Pay_ytdbu_cell2" localSheetId="3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2">Expenses!$A$1:$BG$6</definedName>
    <definedName name="_xlnm.Print_Area" localSheetId="3">Occupancy!#REF!</definedName>
    <definedName name="_xlnm.Print_Area" localSheetId="0">Operating!$A$1:$AL$11</definedName>
    <definedName name="Rehab_cell" localSheetId="3">[1]Operating!#REF!</definedName>
    <definedName name="Rehab_cell">Operating!#REF!</definedName>
    <definedName name="Rehab_cell_end" localSheetId="3">[1]Operating!#REF!</definedName>
    <definedName name="Rehab_cell_end">Operating!#REF!</definedName>
    <definedName name="Rehab_cell_start" localSheetId="3">[1]Operating!#REF!</definedName>
    <definedName name="Rehab_cell_start">Operating!#REF!</definedName>
    <definedName name="Rehab_exp" localSheetId="3">[1]Expenses!#REF!</definedName>
    <definedName name="Rehab_exp">Expenses!#REF!</definedName>
    <definedName name="Rehab_exp_end" localSheetId="3">[1]Expenses!#REF!</definedName>
    <definedName name="Rehab_exp_end">Expenses!#REF!</definedName>
    <definedName name="Rehab_exp_start" localSheetId="3">[1]Expenses!#REF!</definedName>
    <definedName name="Rehab_exp_start">Expenses!#REF!</definedName>
    <definedName name="Replac_cell">Operating!$G$9</definedName>
    <definedName name="Replac_cell1" localSheetId="3">[1]Operating!#REF!</definedName>
    <definedName name="Replac_cell1">Operating!#REF!</definedName>
    <definedName name="Replac_cell2" localSheetId="3">[1]Operating!#REF!</definedName>
    <definedName name="Replac_cell2">Operating!#REF!</definedName>
    <definedName name="Res_ab_cell">Operating!$AN$9</definedName>
    <definedName name="Res_ab_cell1" localSheetId="3">[1]Operating!#REF!</definedName>
    <definedName name="Res_ab_cell1">Operating!#REF!</definedName>
    <definedName name="Res_ab_cell2" localSheetId="3">[1]Operating!#REF!</definedName>
    <definedName name="Res_ab_cell2">Operating!#REF!</definedName>
    <definedName name="Res_ytd_cell">Operating!$AM$9</definedName>
    <definedName name="Res_ytd_cell1" localSheetId="3">[1]Operating!#REF!</definedName>
    <definedName name="Res_ytd_cell1">Operating!#REF!</definedName>
    <definedName name="Res_ytd_cell2" localSheetId="3">[1]Operating!#REF!</definedName>
    <definedName name="Res_ytd_cell2">Operating!#REF!</definedName>
    <definedName name="Res_ytda_cell">Operating!$AL$9</definedName>
    <definedName name="Res_ytda_cell1" localSheetId="3">[1]Operating!#REF!</definedName>
    <definedName name="Res_ytda_cell1">Operating!#REF!</definedName>
    <definedName name="Res_ytda_cell2" localSheetId="3">[1]Operating!#REF!</definedName>
    <definedName name="Res_ytda_cell2">Operating!#REF!</definedName>
    <definedName name="Res_ytdau_cell">Operating!$AO$9</definedName>
    <definedName name="Res_ytdau_cell1" localSheetId="3">[1]Operating!#REF!</definedName>
    <definedName name="Res_ytdau_cell1">Operating!#REF!</definedName>
    <definedName name="Res_ytdau_cell2" localSheetId="3">[1]Operating!#REF!</definedName>
    <definedName name="Res_ytdau_cell2">Operating!#REF!</definedName>
    <definedName name="Res_ytdbu_cell">Operating!$AP$9</definedName>
    <definedName name="Res_ytdbu_cell1" localSheetId="3">[1]Operating!#REF!</definedName>
    <definedName name="Res_ytdbu_cell1">Operating!#REF!</definedName>
    <definedName name="Res_ytdbu_cell2" localSheetId="3">[1]Operating!#REF!</definedName>
    <definedName name="Res_ytdbu_cell2">Operating!#REF!</definedName>
    <definedName name="Rm_ytda_cell">Expenses!$Y$5</definedName>
    <definedName name="Rm_ytda_cell1" localSheetId="3">[1]Expenses!#REF!</definedName>
    <definedName name="Rm_ytda_cell1">Expenses!#REF!</definedName>
    <definedName name="Rm_ytda_cell2" localSheetId="3">[1]Expenses!#REF!</definedName>
    <definedName name="Rm_ytda_cell2">Expenses!#REF!</definedName>
    <definedName name="Rm_ytdab_cell">Expenses!$AA$5</definedName>
    <definedName name="Rm_ytdab_cell1" localSheetId="3">[1]Expenses!#REF!</definedName>
    <definedName name="Rm_ytdab_cell1">Expenses!#REF!</definedName>
    <definedName name="Rm_ytdab_cell2" localSheetId="3">[1]Expenses!#REF!</definedName>
    <definedName name="Rm_ytdab_cell2">Expenses!#REF!</definedName>
    <definedName name="Rm_ytdau_cell">Expenses!$AB$5</definedName>
    <definedName name="Rm_ytdau_cell1" localSheetId="3">[1]Expenses!#REF!</definedName>
    <definedName name="Rm_ytdau_cell1">Expenses!#REF!</definedName>
    <definedName name="Rm_ytdau_cell2" localSheetId="3">[1]Expenses!#REF!</definedName>
    <definedName name="Rm_ytdau_cell2">Expenses!#REF!</definedName>
    <definedName name="Rm_ytdb_cell">Expenses!$Z$5</definedName>
    <definedName name="Rm_ytdb_cell1" localSheetId="3">[1]Expenses!#REF!</definedName>
    <definedName name="Rm_ytdb_cell1">Expenses!#REF!</definedName>
    <definedName name="Rm_ytdb_cell2" localSheetId="3">[1]Expenses!#REF!</definedName>
    <definedName name="Rm_ytdb_cell2">Expenses!#REF!</definedName>
    <definedName name="Rm_ytdbu_cell">Expenses!$AC$5</definedName>
    <definedName name="Rm_ytdbu_cell1" localSheetId="3">[1]Expenses!#REF!</definedName>
    <definedName name="Rm_ytdbu_cell1">Expenses!#REF!</definedName>
    <definedName name="Rm_ytdbu_cell2" localSheetId="3">[1]Expenses!#REF!</definedName>
    <definedName name="Rm_ytdbu_cell2">Expenses!#REF!</definedName>
    <definedName name="Rytd_cell">Operating!$R$9</definedName>
    <definedName name="Rytd_cell1" localSheetId="3">[1]Operating!#REF!</definedName>
    <definedName name="Rytd_cell1">Operating!#REF!</definedName>
    <definedName name="Rytd_cell2" localSheetId="3">[1]Operating!#REF!</definedName>
    <definedName name="Rytd_cell2">Operating!#REF!</definedName>
    <definedName name="Rytd_cells" localSheetId="3">[1]Operating!#REF!</definedName>
    <definedName name="Rytd_cells">Operating!#REF!</definedName>
    <definedName name="Rytda_cell">Operating!$Q$9</definedName>
    <definedName name="Rytda_cell1" localSheetId="3">[1]Operating!#REF!</definedName>
    <definedName name="Rytda_cell1">Operating!#REF!</definedName>
    <definedName name="Rytda_cell2" localSheetId="3">[1]Operating!#REF!</definedName>
    <definedName name="Rytda_cell2">Operating!#REF!</definedName>
    <definedName name="Rytdau_cell">Operating!$T$9</definedName>
    <definedName name="Rytdau_cell1" localSheetId="3">[1]Operating!#REF!</definedName>
    <definedName name="Rytdau_cell1">Operating!#REF!</definedName>
    <definedName name="Rytdau_cell2" localSheetId="3">[1]Operating!#REF!</definedName>
    <definedName name="Rytdau_cell2">Operating!#REF!</definedName>
    <definedName name="Rytdb_cell">Operating!$S$9</definedName>
    <definedName name="Rytdb_cell1" localSheetId="3">[1]Operating!#REF!</definedName>
    <definedName name="Rytdb_cell1">Operating!#REF!</definedName>
    <definedName name="Rytdb_cell2" localSheetId="3">[1]Operating!#REF!</definedName>
    <definedName name="Rytdb_cell2">Operating!#REF!</definedName>
    <definedName name="Rytdbu_cell">Operating!$U$9</definedName>
    <definedName name="Rytdbu_cell1" localSheetId="3">[1]Operating!#REF!</definedName>
    <definedName name="Rytdbu_cell1">Operating!#REF!</definedName>
    <definedName name="Rytdbu_cell2" localSheetId="3">[1]Operating!#REF!</definedName>
    <definedName name="Rytdbu_cell2">Operating!#REF!</definedName>
    <definedName name="Sec_ytda_cell">Expenses!$AD$5</definedName>
    <definedName name="Sec_ytda_cell1" localSheetId="3">[1]Expenses!#REF!</definedName>
    <definedName name="Sec_ytda_cell1">Expenses!#REF!</definedName>
    <definedName name="Sec_ytda_cell2" localSheetId="3">[1]Expenses!#REF!</definedName>
    <definedName name="Sec_ytda_cell2">Expenses!#REF!</definedName>
    <definedName name="Sec_ytdab_cell">Expenses!$AF$5</definedName>
    <definedName name="Sec_ytdab_cell1" localSheetId="3">[1]Expenses!#REF!</definedName>
    <definedName name="Sec_ytdab_cell1">Expenses!#REF!</definedName>
    <definedName name="Sec_ytdab_cell2" localSheetId="3">[1]Expenses!#REF!</definedName>
    <definedName name="Sec_ytdab_cell2">Expenses!#REF!</definedName>
    <definedName name="Sec_ytdau_cell">Expenses!$AG$5</definedName>
    <definedName name="Sec_ytdau_cell1" localSheetId="3">[1]Expenses!#REF!</definedName>
    <definedName name="Sec_ytdau_cell1">Expenses!#REF!</definedName>
    <definedName name="Sec_ytdau_cell2" localSheetId="3">[1]Expenses!#REF!</definedName>
    <definedName name="Sec_ytdau_cell2">Expenses!#REF!</definedName>
    <definedName name="Sec_ytdb_cell">Expenses!$AE$5</definedName>
    <definedName name="Sec_ytdb_cell1" localSheetId="3">[1]Expenses!#REF!</definedName>
    <definedName name="Sec_ytdb_cell1">Expenses!#REF!</definedName>
    <definedName name="Sec_ytdb_cell2" localSheetId="3">[1]Expenses!#REF!</definedName>
    <definedName name="Sec_ytdb_cell2">Expenses!#REF!</definedName>
    <definedName name="Sec_ytdbu_cell">Expenses!$AH$5</definedName>
    <definedName name="Sec_ytdbu_cell1" localSheetId="3">[1]Expenses!#REF!</definedName>
    <definedName name="Sec_ytdbu_cell1">Expenses!#REF!</definedName>
    <definedName name="Sec_ytdbu_cell2" localSheetId="3">[1]Expenses!#REF!</definedName>
    <definedName name="Sec_ytdbu_cell2">Expenses!#REF!</definedName>
    <definedName name="Status_cell">Operating!$D$9</definedName>
    <definedName name="Status_cell1" localSheetId="3">[1]Operating!#REF!</definedName>
    <definedName name="Status_cell1">Operating!#REF!</definedName>
    <definedName name="Status_cell2" localSheetId="3">[1]Operating!#REF!</definedName>
    <definedName name="Status_cell2">Operating!#REF!</definedName>
    <definedName name="Tax_ytda_cell">Expenses!$AS$5</definedName>
    <definedName name="Tax_ytda_cell1" localSheetId="3">[1]Expenses!#REF!</definedName>
    <definedName name="Tax_ytda_cell1">Expenses!#REF!</definedName>
    <definedName name="Tax_ytda_cell2" localSheetId="3">[1]Expenses!#REF!</definedName>
    <definedName name="Tax_ytda_cell2">Expenses!#REF!</definedName>
    <definedName name="Tax_ytdab_cell">Expenses!$AU$5</definedName>
    <definedName name="Tax_ytdab_cell1" localSheetId="3">[1]Expenses!#REF!</definedName>
    <definedName name="Tax_ytdab_cell1">Expenses!#REF!</definedName>
    <definedName name="Tax_ytdab_cell2" localSheetId="3">[1]Expenses!#REF!</definedName>
    <definedName name="Tax_ytdab_cell2">Expenses!#REF!</definedName>
    <definedName name="Tax_ytdau_cell">Expenses!$AV$5</definedName>
    <definedName name="Tax_ytdau_cell1" localSheetId="3">[1]Expenses!#REF!</definedName>
    <definedName name="Tax_ytdau_cell1">Expenses!#REF!</definedName>
    <definedName name="Tax_ytdau_cell2" localSheetId="3">[1]Expenses!#REF!</definedName>
    <definedName name="Tax_ytdau_cell2">Expenses!#REF!</definedName>
    <definedName name="Tax_ytdb_cell">Expenses!$AT$5</definedName>
    <definedName name="Tax_ytdb_cell1" localSheetId="3">[1]Expenses!#REF!</definedName>
    <definedName name="Tax_ytdb_cell1">Expenses!#REF!</definedName>
    <definedName name="Tax_ytdb_cell2" localSheetId="3">[1]Expenses!#REF!</definedName>
    <definedName name="Tax_ytdb_cell2">Expenses!#REF!</definedName>
    <definedName name="Tax_ytdbu_cell">Expenses!$AW$5</definedName>
    <definedName name="Tax_ytdbu_cell1" localSheetId="3">[1]Expenses!#REF!</definedName>
    <definedName name="Tax_ytdbu_cell1">Expenses!#REF!</definedName>
    <definedName name="Tax_ytdbu_cell2" localSheetId="3">[1]Expenses!#REF!</definedName>
    <definedName name="Tax_ytdbu_cell2">Expenses!#REF!</definedName>
    <definedName name="Toe_ytda_cell">Expenses!$BC$5</definedName>
    <definedName name="Toe_ytda_cell1" localSheetId="3">[1]Expenses!#REF!</definedName>
    <definedName name="Toe_ytda_cell1">Expenses!#REF!</definedName>
    <definedName name="Toe_ytda_cell2" localSheetId="3">[1]Expenses!#REF!</definedName>
    <definedName name="Toe_ytda_cell2">Expenses!#REF!</definedName>
    <definedName name="Toe_ytdab_cell">Expenses!$BE$5</definedName>
    <definedName name="Toe_ytdab_cell1" localSheetId="3">[1]Expenses!#REF!</definedName>
    <definedName name="Toe_ytdab_cell1">Expenses!#REF!</definedName>
    <definedName name="Toe_ytdab_cell2" localSheetId="3">[1]Expenses!#REF!</definedName>
    <definedName name="Toe_ytdab_cell2">Expenses!#REF!</definedName>
    <definedName name="Toe_ytdau_cell">Expenses!$BF$5</definedName>
    <definedName name="Toe_ytdau_cell1" localSheetId="3">[1]Expenses!#REF!</definedName>
    <definedName name="Toe_ytdau_cell1">Expenses!#REF!</definedName>
    <definedName name="Toe_ytdau_cell2" localSheetId="3">[1]Expenses!#REF!</definedName>
    <definedName name="Toe_ytdau_cell2">Expenses!#REF!</definedName>
    <definedName name="Toe_ytdb_cell">Expenses!$BD$5</definedName>
    <definedName name="Toe_ytdb_cell1" localSheetId="3">[1]Expenses!#REF!</definedName>
    <definedName name="Toe_ytdb_cell1">Expenses!#REF!</definedName>
    <definedName name="Toe_ytdb_cell2" localSheetId="3">[1]Expenses!#REF!</definedName>
    <definedName name="Toe_ytdb_cell2">Expenses!#REF!</definedName>
    <definedName name="Toe_ytdbu_cell">Expenses!$BG$5</definedName>
    <definedName name="Toe_ytdbu_cell1" localSheetId="3">[1]Expenses!#REF!</definedName>
    <definedName name="Toe_ytdbu_cell1">Expenses!#REF!</definedName>
    <definedName name="Toe_ytdbu_cell2" localSheetId="3">[1]Expenses!#REF!</definedName>
    <definedName name="Toe_ytdbu_cell2">Expenses!#REF!</definedName>
    <definedName name="Total_cell">Operating!$J$9</definedName>
    <definedName name="Total_cell1" localSheetId="3">[1]Operating!#REF!</definedName>
    <definedName name="Total_cell1">Operating!#REF!</definedName>
    <definedName name="Total_cell2" localSheetId="3">[1]Operating!#REF!</definedName>
    <definedName name="Total_cell2">Operating!#REF!</definedName>
    <definedName name="Units_cell">Operating!$C$9</definedName>
    <definedName name="Units_cell1" localSheetId="3">[1]Operating!#REF!</definedName>
    <definedName name="Units_cell1">Operating!#REF!</definedName>
    <definedName name="Units_cell2" localSheetId="3">[1]Operating!#REF!</definedName>
    <definedName name="Units_cell2">Operating!#REF!</definedName>
    <definedName name="Units_cell3">Operating!$C$12</definedName>
    <definedName name="Util_ytda_cell">Expenses!$AI$5</definedName>
    <definedName name="Util_ytda_cell1" localSheetId="3">[1]Expenses!#REF!</definedName>
    <definedName name="Util_ytda_cell1">Expenses!#REF!</definedName>
    <definedName name="Util_ytda_cell2" localSheetId="3">[1]Expenses!#REF!</definedName>
    <definedName name="Util_ytda_cell2">Expenses!#REF!</definedName>
    <definedName name="Util_ytdab_cell">Expenses!$AK$5</definedName>
    <definedName name="Util_ytdab_cell1" localSheetId="3">[1]Expenses!#REF!</definedName>
    <definedName name="Util_ytdab_cell1">Expenses!#REF!</definedName>
    <definedName name="Util_ytdab_cell2" localSheetId="3">[1]Expenses!#REF!</definedName>
    <definedName name="Util_ytdab_cell2">Expenses!#REF!</definedName>
    <definedName name="Util_ytdau_cell">Expenses!$AL$5</definedName>
    <definedName name="Util_ytdau_cell1" localSheetId="3">[1]Expenses!#REF!</definedName>
    <definedName name="Util_ytdau_cell1">Expenses!#REF!</definedName>
    <definedName name="Util_ytdau_cell2" localSheetId="3">[1]Expenses!#REF!</definedName>
    <definedName name="Util_ytdau_cell2">Expenses!#REF!</definedName>
    <definedName name="Util_ytdb_cell">Expenses!$AJ$5</definedName>
    <definedName name="Util_ytdb_cell1" localSheetId="3">[1]Expenses!#REF!</definedName>
    <definedName name="Util_ytdb_cell1">Expenses!#REF!</definedName>
    <definedName name="Util_ytdb_cell2" localSheetId="3">[1]Expenses!#REF!</definedName>
    <definedName name="Util_ytdb_cell2">Expenses!#REF!</definedName>
    <definedName name="Util_ytdbu_cell">Expenses!$AM$5</definedName>
    <definedName name="Util_ytdbu_cell1" localSheetId="3">[1]Expenses!#REF!</definedName>
    <definedName name="Util_ytdbu_cell1">Expenses!#REF!</definedName>
    <definedName name="Util_ytdbu_cell2" localSheetId="3">[1]Expenses!#REF!</definedName>
    <definedName name="Util_ytdbu_cell2">Expenses!#REF!</definedName>
    <definedName name="Ws_ytda_cell">Expenses!$AN$5</definedName>
    <definedName name="Ws_ytda_cell1" localSheetId="3">[1]Expenses!#REF!</definedName>
    <definedName name="Ws_ytda_cell1">Expenses!#REF!</definedName>
    <definedName name="Ws_ytda_cell2" localSheetId="3">[1]Expenses!#REF!</definedName>
    <definedName name="Ws_ytda_cell2">Expenses!#REF!</definedName>
    <definedName name="Ws_ytdab_cell">Expenses!$AP$5</definedName>
    <definedName name="Ws_ytdab_cell1" localSheetId="3">[1]Expenses!#REF!</definedName>
    <definedName name="Ws_ytdab_cell1">Expenses!#REF!</definedName>
    <definedName name="Ws_ytdab_cell2" localSheetId="3">[1]Expenses!#REF!</definedName>
    <definedName name="Ws_ytdab_cell2">Expenses!#REF!</definedName>
    <definedName name="Ws_ytdau_cell">Expenses!$AQ$5</definedName>
    <definedName name="Ws_ytdau_cell1" localSheetId="3">[1]Expenses!#REF!</definedName>
    <definedName name="Ws_ytdau_cell1">Expenses!#REF!</definedName>
    <definedName name="Ws_ytdau_cell2" localSheetId="3">[1]Expenses!#REF!</definedName>
    <definedName name="Ws_ytdau_cell2">Expenses!#REF!</definedName>
    <definedName name="Ws_ytdb_cell">Expenses!$AO$5</definedName>
    <definedName name="Ws_ytdb_cell1" localSheetId="3">[1]Expenses!#REF!</definedName>
    <definedName name="Ws_ytdb_cell1">Expenses!#REF!</definedName>
    <definedName name="Ws_ytdb_cell2" localSheetId="3">[1]Expenses!#REF!</definedName>
    <definedName name="Ws_ytdb_cell2">Expenses!#REF!</definedName>
    <definedName name="Ws_ytdbu_cell">Expenses!$AR$5</definedName>
    <definedName name="Ws_ytdbu_cell1" localSheetId="3">[1]Expenses!#REF!</definedName>
    <definedName name="Ws_ytdbu_cell1">Expenses!#REF!</definedName>
    <definedName name="Ws_ytdbu_cell2" localSheetId="3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3">[1]Operating!#REF!</definedName>
    <definedName name="YtdOccupancy_cell1">Operating!#REF!</definedName>
    <definedName name="YtdOccupancy_cell2" localSheetId="3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O13" i="1"/>
  <c r="N13" i="1"/>
  <c r="M13" i="1"/>
  <c r="E13" i="1"/>
  <c r="AX6" i="2"/>
  <c r="AN6" i="2"/>
  <c r="AD6" i="2"/>
  <c r="Y6" i="2"/>
  <c r="O6" i="2"/>
  <c r="I13" i="1"/>
  <c r="V6" i="2" l="1"/>
  <c r="U6" i="2" s="1"/>
  <c r="AF6" i="2"/>
  <c r="AE6" i="2" s="1"/>
  <c r="AI6" i="2"/>
  <c r="AS6" i="2"/>
  <c r="T6" i="2"/>
  <c r="Q6" i="2"/>
  <c r="P6" i="2" s="1"/>
  <c r="AA6" i="2"/>
  <c r="Z6" i="2" s="1"/>
  <c r="AK6" i="2"/>
  <c r="AJ6" i="2" s="1"/>
  <c r="AU6" i="2"/>
  <c r="AT6" i="2" s="1"/>
  <c r="AP6" i="2"/>
  <c r="AO6" i="2" s="1"/>
  <c r="AZ6" i="2"/>
  <c r="AY6" i="2" s="1"/>
  <c r="H13" i="1"/>
  <c r="L13" i="1"/>
  <c r="Q13" i="1"/>
  <c r="F13" i="1"/>
  <c r="J13" i="1"/>
  <c r="S13" i="1"/>
  <c r="C13" i="1"/>
  <c r="G13" i="1"/>
  <c r="J6" i="2"/>
  <c r="W13" i="1"/>
  <c r="AX13" i="1"/>
  <c r="X13" i="1"/>
  <c r="AG13" i="1"/>
  <c r="AJ13" i="1" s="1"/>
  <c r="AN13" i="1"/>
  <c r="AM13" i="1" s="1"/>
  <c r="AP13" i="1" s="1"/>
  <c r="AS13" i="1"/>
  <c r="V13" i="1"/>
  <c r="AL13" i="1"/>
  <c r="AO13" i="1" s="1"/>
  <c r="BA13" i="1"/>
  <c r="BD13" i="1" s="1"/>
  <c r="BB13" i="1"/>
  <c r="BE13" i="1" s="1"/>
  <c r="G6" i="2"/>
  <c r="F6" i="2" s="1"/>
  <c r="BE6" i="2"/>
  <c r="AQ13" i="1"/>
  <c r="AT13" i="1" s="1"/>
  <c r="BC13" i="1"/>
  <c r="L6" i="2"/>
  <c r="K6" i="2" s="1"/>
  <c r="AV13" i="1"/>
  <c r="AY13" i="1" s="1"/>
  <c r="E6" i="2"/>
  <c r="B57" i="23"/>
  <c r="AQ4" i="2"/>
  <c r="AG4" i="2"/>
  <c r="AO4" i="2"/>
  <c r="AR4" i="2" s="1"/>
  <c r="AE4" i="2"/>
  <c r="AH4" i="2" s="1"/>
  <c r="K13" i="1" l="1"/>
  <c r="AA13" i="1"/>
  <c r="BC6" i="2"/>
  <c r="AD13" i="1"/>
  <c r="R13" i="1"/>
  <c r="AW13" i="1"/>
  <c r="AZ13" i="1" s="1"/>
  <c r="AR13" i="1"/>
  <c r="AU13" i="1" s="1"/>
  <c r="C6" i="2"/>
  <c r="H6" i="2" s="1"/>
  <c r="AI13" i="1"/>
  <c r="N6" i="2"/>
  <c r="I6" i="2"/>
  <c r="BD6" i="2"/>
  <c r="BG6" i="2" s="1"/>
  <c r="Z13" i="1" s="1"/>
  <c r="T13" i="1"/>
  <c r="AB13" i="1"/>
  <c r="AI3" i="2"/>
  <c r="AW6" i="2" l="1"/>
  <c r="S6" i="2"/>
  <c r="W6" i="2"/>
  <c r="BA6" i="2"/>
  <c r="AV6" i="2"/>
  <c r="AH6" i="2"/>
  <c r="AC6" i="2"/>
  <c r="AG6" i="2"/>
  <c r="BB6" i="2"/>
  <c r="R6" i="2"/>
  <c r="AL6" i="2"/>
  <c r="AM6" i="2"/>
  <c r="AQ6" i="2"/>
  <c r="X6" i="2"/>
  <c r="AB6" i="2"/>
  <c r="AR6" i="2"/>
  <c r="AH13" i="1"/>
  <c r="AK13" i="1" s="1"/>
  <c r="BF6" i="2"/>
  <c r="Y13" i="1" s="1"/>
  <c r="AE13" i="1" s="1"/>
  <c r="M6" i="2"/>
  <c r="AC13" i="1"/>
  <c r="U13" i="1"/>
  <c r="AF13" i="1" s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<sst xmlns="http://schemas.openxmlformats.org/spreadsheetml/2006/main" count="211" uniqueCount="82">
  <si>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</si>
  <si>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</si>
  <si>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</si>
  <si>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</si>
  <si>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</si>
  <si>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</si>
  <si>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</si>
  <si>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</si>
  <si>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</si>
  <si>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</si>
  <si>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</si>
  <si>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</si>
  <si>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</si>
  <si>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</si>
  <si>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</si>
  <si>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</si>
  <si>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</si>
  <si>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</si>
  <si>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</si>
  <si>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</si>
  <si>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</si>
  <si>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</si>
  <si>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</si>
  <si>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</si>
  <si>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</si>
  <si>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</si>
  <si>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</si>
  <si>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</si>
  <si>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</si>
  <si>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</si>
  <si>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</si>
  <si>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</si>
  <si>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</si>
  <si>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</si>
  <si>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</si>
  <si>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</si>
  <si>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</si>
  <si>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</si>
  <si>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</si>
  <si>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</si>
  <si>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</si>
  <si>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</si>
  <si>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</si>
  <si>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</si>
  <si>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</si>
  <si>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</si>
  <si>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</si>
  <si>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</si>
  <si>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</si>
  <si>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</si>
  <si>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</si>
  <si>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</si>
  <si>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</si>
  <si>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</si>
  <si>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</si>
  <si>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</si>
  <si>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</si>
  <si>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</si>
  <si>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</si>
  <si>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</si>
  <si>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</si>
  <si>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</si>
  <si>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</si>
  <si>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</si>
  <si>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</si>
  <si>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</si>
  <si>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</si>
  <si>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</si>
  <si>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</si>
  <si>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</si>
  <si>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</si>
  <si>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</si>
  <si>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</si>
  <si>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</si>
  <si>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</si>
  <si>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</si>
  <si>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</si>
  <si>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</si>
  <si>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Total Operating</t>
  </si>
  <si>
    <t>Portfolio - excluding rehabs, lease ups</t>
  </si>
  <si>
    <t xml:space="preserve"> Actual Occupancy @ 3/30/2018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</si>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</sst>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1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6" fillId="5" borderId="26" xfId="2" applyNumberFormat="1" applyFont="1" applyFill="1" applyBorder="1" applyAlignment="1">
      <alignment horizontal="right"/>
    </xf>
    <xf numFmtId="14" fontId="20" fillId="7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8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9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9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9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10" fontId="8" fillId="6" borderId="26" xfId="2" applyNumberFormat="1" applyFont="1" applyFill="1" applyBorder="1" applyAlignment="1">
      <alignment horizontal="center"/>
    </xf>
    <xf numFmtId="10" fontId="7" fillId="5" borderId="26" xfId="2" applyNumberFormat="1" applyFont="1" applyFill="1" applyBorder="1" applyAlignment="1">
      <alignment horizontal="right"/>
    </xf>
    <xf numFmtId="10" fontId="7" fillId="5" borderId="18" xfId="2" applyNumberFormat="1" applyFont="1" applyFill="1" applyBorder="1" applyAlignment="1">
      <alignment horizontal="right"/>
    </xf>
    <xf numFmtId="10" fontId="10" fillId="0" borderId="0" xfId="4" applyNumberFormat="1" applyFont="1" applyAlignment="1">
      <alignment horizontal="center"/>
    </xf>
    <xf numFmtId="9" fontId="7" fillId="5" borderId="26" xfId="2" applyNumberFormat="1" applyFont="1" applyFill="1" applyBorder="1" applyAlignment="1">
      <alignment horizontal="right"/>
    </xf>
    <xf numFmtId="9" fontId="7" fillId="5" borderId="18" xfId="2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Macro%20Report/backup/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4"/>
  <sheetViews>
    <sheetView tabSelected="1" zoomScale="85" zoomScaleNormal="85" zoomScaleSheetLayoutView="40" workbookViewId="0">
      <selection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3" width="13.28515625" bestFit="1" customWidth="1"/>
    <col min="34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78">
        <v>43333</v>
      </c>
      <c r="G3" s="86" t="s">
        <v>74</v>
      </c>
      <c r="H3" s="87" t="s">
        <v>81</v>
      </c>
    </row>
    <row r="4" spans="1:57" ht="15.75" thickBot="1" x14ac:dyDescent="0.3">
      <c r="A4" s="11"/>
      <c r="B4" s="11"/>
    </row>
    <row r="5" spans="1:57" ht="21.75" customHeight="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 t="s">
        <v>72</v>
      </c>
      <c r="Q5" s="166" t="s">
        <v>72</v>
      </c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8"/>
      <c r="AG5" s="169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70"/>
    </row>
    <row r="6" spans="1:57" s="3" customFormat="1" ht="12.75" customHeight="1" x14ac:dyDescent="0.2">
      <c r="A6" s="20"/>
      <c r="B6" s="88"/>
      <c r="C6" s="21"/>
      <c r="D6" s="22"/>
      <c r="E6" s="22" t="s">
        <v>73</v>
      </c>
      <c r="F6" s="171" t="s">
        <v>73</v>
      </c>
      <c r="G6" s="172"/>
      <c r="H6" s="172"/>
      <c r="I6" s="172"/>
      <c r="J6" s="173"/>
      <c r="K6" s="23"/>
      <c r="L6" s="180"/>
      <c r="M6" s="180"/>
      <c r="N6" s="180"/>
      <c r="O6" s="180"/>
      <c r="P6" s="181"/>
      <c r="Q6" s="186" t="s">
        <v>5</v>
      </c>
      <c r="R6" s="149"/>
      <c r="S6" s="149"/>
      <c r="T6" s="149"/>
      <c r="U6" s="150"/>
      <c r="V6" s="189" t="s">
        <v>6</v>
      </c>
      <c r="W6" s="190"/>
      <c r="X6" s="190"/>
      <c r="Y6" s="190"/>
      <c r="Z6" s="190"/>
      <c r="AA6" s="191"/>
      <c r="AB6" s="148" t="s">
        <v>7</v>
      </c>
      <c r="AC6" s="149"/>
      <c r="AD6" s="149"/>
      <c r="AE6" s="149"/>
      <c r="AF6" s="150"/>
      <c r="AG6" s="189" t="s">
        <v>8</v>
      </c>
      <c r="AH6" s="190"/>
      <c r="AI6" s="190"/>
      <c r="AJ6" s="190"/>
      <c r="AK6" s="191"/>
      <c r="AL6" s="148" t="s">
        <v>9</v>
      </c>
      <c r="AM6" s="149"/>
      <c r="AN6" s="149"/>
      <c r="AO6" s="149"/>
      <c r="AP6" s="150"/>
      <c r="AQ6" s="189" t="s">
        <v>10</v>
      </c>
      <c r="AR6" s="190"/>
      <c r="AS6" s="190"/>
      <c r="AT6" s="190"/>
      <c r="AU6" s="191"/>
      <c r="AV6" s="148" t="s">
        <v>11</v>
      </c>
      <c r="AW6" s="149"/>
      <c r="AX6" s="149"/>
      <c r="AY6" s="149"/>
      <c r="AZ6" s="150"/>
      <c r="BA6" s="157" t="s">
        <v>12</v>
      </c>
      <c r="BB6" s="158"/>
      <c r="BC6" s="158"/>
      <c r="BD6" s="158"/>
      <c r="BE6" s="159"/>
    </row>
    <row r="7" spans="1:57" s="3" customFormat="1" ht="12.75" customHeight="1" x14ac:dyDescent="0.2">
      <c r="A7" s="24"/>
      <c r="B7" s="89"/>
      <c r="C7" s="25"/>
      <c r="D7" s="26"/>
      <c r="E7" s="26"/>
      <c r="F7" s="174"/>
      <c r="G7" s="175"/>
      <c r="H7" s="175"/>
      <c r="I7" s="175"/>
      <c r="J7" s="176"/>
      <c r="K7" s="27"/>
      <c r="L7" s="182"/>
      <c r="M7" s="182"/>
      <c r="N7" s="182"/>
      <c r="O7" s="182"/>
      <c r="P7" s="183"/>
      <c r="Q7" s="187"/>
      <c r="R7" s="152"/>
      <c r="S7" s="152"/>
      <c r="T7" s="152"/>
      <c r="U7" s="153"/>
      <c r="V7" s="192"/>
      <c r="W7" s="193"/>
      <c r="X7" s="193"/>
      <c r="Y7" s="193"/>
      <c r="Z7" s="193"/>
      <c r="AA7" s="194"/>
      <c r="AB7" s="151"/>
      <c r="AC7" s="152"/>
      <c r="AD7" s="152"/>
      <c r="AE7" s="152"/>
      <c r="AF7" s="153"/>
      <c r="AG7" s="192"/>
      <c r="AH7" s="193"/>
      <c r="AI7" s="193"/>
      <c r="AJ7" s="193"/>
      <c r="AK7" s="194"/>
      <c r="AL7" s="151"/>
      <c r="AM7" s="152"/>
      <c r="AN7" s="152"/>
      <c r="AO7" s="152"/>
      <c r="AP7" s="153"/>
      <c r="AQ7" s="192"/>
      <c r="AR7" s="193"/>
      <c r="AS7" s="193"/>
      <c r="AT7" s="193"/>
      <c r="AU7" s="194"/>
      <c r="AV7" s="151"/>
      <c r="AW7" s="152"/>
      <c r="AX7" s="152"/>
      <c r="AY7" s="152"/>
      <c r="AZ7" s="153"/>
      <c r="BA7" s="160"/>
      <c r="BB7" s="161"/>
      <c r="BC7" s="161"/>
      <c r="BD7" s="161"/>
      <c r="BE7" s="162"/>
    </row>
    <row r="8" spans="1:57" s="4" customFormat="1" ht="12.75" customHeight="1" x14ac:dyDescent="0.2">
      <c r="A8" s="28"/>
      <c r="B8" s="90"/>
      <c r="C8" s="29"/>
      <c r="D8" s="30"/>
      <c r="E8" s="30"/>
      <c r="F8" s="177"/>
      <c r="G8" s="178"/>
      <c r="H8" s="178"/>
      <c r="I8" s="178"/>
      <c r="J8" s="179"/>
      <c r="K8" s="31"/>
      <c r="L8" s="184"/>
      <c r="M8" s="184"/>
      <c r="N8" s="184"/>
      <c r="O8" s="184"/>
      <c r="P8" s="185"/>
      <c r="Q8" s="188"/>
      <c r="R8" s="155"/>
      <c r="S8" s="155"/>
      <c r="T8" s="155"/>
      <c r="U8" s="156"/>
      <c r="V8" s="195"/>
      <c r="W8" s="196"/>
      <c r="X8" s="196"/>
      <c r="Y8" s="196"/>
      <c r="Z8" s="196"/>
      <c r="AA8" s="197"/>
      <c r="AB8" s="154"/>
      <c r="AC8" s="155"/>
      <c r="AD8" s="155"/>
      <c r="AE8" s="155"/>
      <c r="AF8" s="156"/>
      <c r="AG8" s="195"/>
      <c r="AH8" s="196"/>
      <c r="AI8" s="196"/>
      <c r="AJ8" s="196"/>
      <c r="AK8" s="197"/>
      <c r="AL8" s="154"/>
      <c r="AM8" s="155"/>
      <c r="AN8" s="155"/>
      <c r="AO8" s="155"/>
      <c r="AP8" s="156"/>
      <c r="AQ8" s="195"/>
      <c r="AR8" s="196"/>
      <c r="AS8" s="196"/>
      <c r="AT8" s="196"/>
      <c r="AU8" s="197"/>
      <c r="AV8" s="154"/>
      <c r="AW8" s="155"/>
      <c r="AX8" s="155"/>
      <c r="AY8" s="155"/>
      <c r="AZ8" s="156"/>
      <c r="BA8" s="163"/>
      <c r="BB8" s="164"/>
      <c r="BC8" s="164"/>
      <c r="BD8" s="164"/>
      <c r="BE8" s="165"/>
    </row>
    <row r="9" spans="1:57" s="4" customFormat="1" ht="52.5" customHeight="1" x14ac:dyDescent="0.2">
      <c r="A9" s="46" t="s">
        <v>13</v>
      </c>
      <c r="B9" s="69" t="s">
        <v>75</v>
      </c>
      <c r="C9" s="32" t="s">
        <v>14</v>
      </c>
      <c r="D9" s="69" t="s">
        <v>15</v>
      </c>
      <c r="E9" s="32" t="s">
        <v>16</v>
      </c>
      <c r="F9" s="32" t="s">
        <v>17</v>
      </c>
      <c r="G9" s="32" t="s">
        <v>18</v>
      </c>
      <c r="H9" s="32" t="s">
        <v>19</v>
      </c>
      <c r="I9" s="32" t="s">
        <v>20</v>
      </c>
      <c r="J9" s="32" t="s">
        <v>21</v>
      </c>
      <c r="K9" s="33" t="s">
        <v>22</v>
      </c>
      <c r="L9" s="33" t="s">
        <v>80</v>
      </c>
      <c r="M9" s="32" t="s">
        <v>23</v>
      </c>
      <c r="N9" s="32" t="s">
        <v>24</v>
      </c>
      <c r="O9" s="32" t="s">
        <v>25</v>
      </c>
      <c r="P9" s="34" t="s">
        <v>26</v>
      </c>
      <c r="Q9" s="35" t="s">
        <v>27</v>
      </c>
      <c r="R9" s="36" t="s">
        <v>28</v>
      </c>
      <c r="S9" s="36" t="s">
        <v>29</v>
      </c>
      <c r="T9" s="36" t="s">
        <v>30</v>
      </c>
      <c r="U9" s="36" t="s">
        <v>31</v>
      </c>
      <c r="V9" s="37" t="s">
        <v>27</v>
      </c>
      <c r="W9" s="37" t="s">
        <v>28</v>
      </c>
      <c r="X9" s="37" t="s">
        <v>29</v>
      </c>
      <c r="Y9" s="37" t="s">
        <v>30</v>
      </c>
      <c r="Z9" s="37" t="s">
        <v>31</v>
      </c>
      <c r="AA9" s="37" t="s">
        <v>32</v>
      </c>
      <c r="AB9" s="36" t="s">
        <v>27</v>
      </c>
      <c r="AC9" s="36" t="s">
        <v>28</v>
      </c>
      <c r="AD9" s="36" t="s">
        <v>29</v>
      </c>
      <c r="AE9" s="36" t="s">
        <v>30</v>
      </c>
      <c r="AF9" s="36" t="s">
        <v>31</v>
      </c>
      <c r="AG9" s="37" t="s">
        <v>27</v>
      </c>
      <c r="AH9" s="37" t="s">
        <v>28</v>
      </c>
      <c r="AI9" s="37" t="s">
        <v>29</v>
      </c>
      <c r="AJ9" s="37" t="s">
        <v>30</v>
      </c>
      <c r="AK9" s="37" t="s">
        <v>31</v>
      </c>
      <c r="AL9" s="36" t="s">
        <v>27</v>
      </c>
      <c r="AM9" s="36" t="s">
        <v>28</v>
      </c>
      <c r="AN9" s="36" t="s">
        <v>29</v>
      </c>
      <c r="AO9" s="36" t="s">
        <v>30</v>
      </c>
      <c r="AP9" s="36" t="s">
        <v>31</v>
      </c>
      <c r="AQ9" s="37" t="s">
        <v>27</v>
      </c>
      <c r="AR9" s="37" t="s">
        <v>28</v>
      </c>
      <c r="AS9" s="37" t="s">
        <v>29</v>
      </c>
      <c r="AT9" s="37" t="s">
        <v>30</v>
      </c>
      <c r="AU9" s="37" t="s">
        <v>31</v>
      </c>
      <c r="AV9" s="36" t="s">
        <v>27</v>
      </c>
      <c r="AW9" s="36" t="s">
        <v>28</v>
      </c>
      <c r="AX9" s="36" t="s">
        <v>29</v>
      </c>
      <c r="AY9" s="36" t="s">
        <v>30</v>
      </c>
      <c r="AZ9" s="36" t="s">
        <v>31</v>
      </c>
      <c r="BA9" s="33" t="s">
        <v>27</v>
      </c>
      <c r="BB9" s="33" t="s">
        <v>28</v>
      </c>
      <c r="BC9" s="33" t="s">
        <v>33</v>
      </c>
      <c r="BD9" s="33" t="s">
        <v>30</v>
      </c>
      <c r="BE9" s="38" t="s">
        <v>31</v>
      </c>
    </row>
    <row r="10" spans="1:57" s="94" customFormat="1" ht="12.75" x14ac:dyDescent="0.2">
      <c r="A10" s="138"/>
      <c r="B10" s="140"/>
      <c r="C10" s="112"/>
      <c r="D10" s="113"/>
      <c r="E10" s="114"/>
      <c r="F10" s="115"/>
      <c r="G10" s="115"/>
      <c r="H10" s="115"/>
      <c r="I10" s="116"/>
      <c r="J10" s="117"/>
      <c r="K10" s="143"/>
      <c r="L10" s="146"/>
      <c r="M10" s="112"/>
      <c r="N10" s="112"/>
      <c r="O10" s="112"/>
      <c r="P10" s="118"/>
      <c r="Q10" s="119"/>
      <c r="R10" s="120"/>
      <c r="S10" s="121"/>
      <c r="T10" s="120"/>
      <c r="U10" s="120"/>
      <c r="V10" s="122"/>
      <c r="W10" s="122"/>
      <c r="X10" s="122"/>
      <c r="Y10" s="122"/>
      <c r="Z10" s="122"/>
      <c r="AA10" s="68"/>
      <c r="AB10" s="120"/>
      <c r="AC10" s="120"/>
      <c r="AD10" s="120"/>
      <c r="AE10" s="120"/>
      <c r="AF10" s="120"/>
      <c r="AG10" s="48"/>
      <c r="AH10" s="133"/>
      <c r="AI10" s="48"/>
      <c r="AJ10" s="122"/>
      <c r="AK10" s="122"/>
      <c r="AL10" s="121"/>
      <c r="AM10" s="120"/>
      <c r="AN10" s="121"/>
      <c r="AO10" s="120"/>
      <c r="AP10" s="120"/>
      <c r="AQ10" s="48"/>
      <c r="AR10" s="122"/>
      <c r="AS10" s="48"/>
      <c r="AT10" s="122"/>
      <c r="AU10" s="122"/>
      <c r="AV10" s="121"/>
      <c r="AW10" s="120"/>
      <c r="AX10" s="121"/>
      <c r="AY10" s="120"/>
      <c r="AZ10" s="120"/>
      <c r="BA10" s="123"/>
      <c r="BB10" s="123"/>
      <c r="BC10" s="123"/>
      <c r="BD10" s="123"/>
      <c r="BE10" s="124"/>
    </row>
    <row r="11" spans="1:57" s="94" customFormat="1" ht="12.75" x14ac:dyDescent="0.2">
      <c r="A11" s="76"/>
      <c r="B11" s="141"/>
      <c r="C11" s="125"/>
      <c r="D11" s="126"/>
      <c r="E11" s="65"/>
      <c r="F11" s="127"/>
      <c r="G11" s="127"/>
      <c r="H11" s="127"/>
      <c r="I11" s="128"/>
      <c r="J11" s="129"/>
      <c r="K11" s="144"/>
      <c r="L11" s="147"/>
      <c r="M11" s="66"/>
      <c r="N11" s="66"/>
      <c r="O11" s="66"/>
      <c r="P11" s="67"/>
      <c r="Q11" s="130"/>
      <c r="R11" s="131"/>
      <c r="S11" s="132"/>
      <c r="T11" s="131"/>
      <c r="U11" s="131"/>
      <c r="V11" s="133"/>
      <c r="W11" s="133"/>
      <c r="X11" s="133"/>
      <c r="Y11" s="133"/>
      <c r="Z11" s="133"/>
      <c r="AA11" s="134"/>
      <c r="AB11" s="131"/>
      <c r="AC11" s="131"/>
      <c r="AD11" s="131"/>
      <c r="AE11" s="131"/>
      <c r="AF11" s="131"/>
      <c r="AG11" s="135"/>
      <c r="AH11" s="133"/>
      <c r="AI11" s="135"/>
      <c r="AJ11" s="133"/>
      <c r="AK11" s="133"/>
      <c r="AL11" s="132"/>
      <c r="AM11" s="131"/>
      <c r="AN11" s="132"/>
      <c r="AO11" s="131"/>
      <c r="AP11" s="131"/>
      <c r="AQ11" s="135"/>
      <c r="AR11" s="133"/>
      <c r="AS11" s="135"/>
      <c r="AT11" s="133"/>
      <c r="AU11" s="133"/>
      <c r="AV11" s="132"/>
      <c r="AW11" s="131"/>
      <c r="AX11" s="132"/>
      <c r="AY11" s="131"/>
      <c r="AZ11" s="131"/>
      <c r="BA11" s="136"/>
      <c r="BB11" s="136"/>
      <c r="BC11" s="136"/>
      <c r="BD11" s="136"/>
      <c r="BE11" s="137"/>
    </row>
    <row r="12" spans="1:57" s="94" customFormat="1" ht="12.75" x14ac:dyDescent="0.2">
      <c r="A12" s="93"/>
      <c r="B12" s="91"/>
      <c r="C12" s="47"/>
      <c r="D12" s="64"/>
      <c r="E12" s="65"/>
      <c r="F12" s="66"/>
      <c r="G12" s="66"/>
      <c r="H12" s="66"/>
      <c r="I12" s="66"/>
      <c r="J12" s="66"/>
      <c r="K12" s="77"/>
      <c r="L12" s="77"/>
      <c r="M12" s="66"/>
      <c r="N12" s="66"/>
      <c r="O12" s="66"/>
      <c r="P12" s="67"/>
      <c r="Q12" s="80"/>
      <c r="R12" s="81"/>
      <c r="S12" s="81"/>
      <c r="T12" s="81"/>
      <c r="U12" s="81"/>
      <c r="V12" s="82"/>
      <c r="W12" s="82"/>
      <c r="X12" s="82"/>
      <c r="Y12" s="82"/>
      <c r="Z12" s="82"/>
      <c r="AA12" s="83"/>
      <c r="AB12" s="81"/>
      <c r="AC12" s="81"/>
      <c r="AD12" s="81"/>
      <c r="AE12" s="81"/>
      <c r="AF12" s="81"/>
      <c r="AG12" s="82"/>
      <c r="AH12" s="82"/>
      <c r="AI12" s="82"/>
      <c r="AJ12" s="82"/>
      <c r="AK12" s="82"/>
      <c r="AL12" s="81"/>
      <c r="AM12" s="81"/>
      <c r="AN12" s="81"/>
      <c r="AO12" s="81"/>
      <c r="AP12" s="81"/>
      <c r="AQ12" s="82"/>
      <c r="AR12" s="82"/>
      <c r="AS12" s="82"/>
      <c r="AT12" s="82"/>
      <c r="AU12" s="82"/>
      <c r="AV12" s="81"/>
      <c r="AW12" s="81"/>
      <c r="AX12" s="81"/>
      <c r="AY12" s="81"/>
      <c r="AZ12" s="81"/>
      <c r="BA12" s="84"/>
      <c r="BB12" s="84"/>
      <c r="BC12" s="84"/>
      <c r="BD12" s="84"/>
      <c r="BE12" s="85"/>
    </row>
    <row r="13" spans="1:57" s="94" customFormat="1" ht="13.5" thickBot="1" x14ac:dyDescent="0.25">
      <c r="A13" s="93" t="s">
        <v>35</v>
      </c>
      <c r="B13" s="91"/>
      <c r="C13" s="47">
        <f>IF(ISERROR(SUM(C11:C11)),"-",SUM(C11:C11))</f>
        <v>0</v>
      </c>
      <c r="D13" s="64"/>
      <c r="E13" s="65">
        <f>IF(ISERROR(SUM(E11:E11)),"-",SUM(E11:E11))</f>
        <v>0</v>
      </c>
      <c r="F13" s="66">
        <f>IF(ISERROR(SUM(F11:F11)),"-",SUM(F11:F11))</f>
        <v>0</v>
      </c>
      <c r="G13" s="66">
        <f>IF(ISERROR(SUM(G11:G11)),"-",SUM(G11:G11))</f>
        <v>0</v>
      </c>
      <c r="H13" s="66">
        <f>IF(ISERROR(SUM(H11:H11)),"-",SUM(H11:H11))</f>
        <v>0</v>
      </c>
      <c r="I13" s="66">
        <f>IF(ISERROR(SUM(I11:I11)),"-",SUM(I11:I11))</f>
        <v>0</v>
      </c>
      <c r="J13" s="66">
        <f>IF(ISERROR(SUM(J11:J11)),"-",SUM(J11:J11))</f>
        <v>0</v>
      </c>
      <c r="K13" s="77" t="str">
        <f>IF(ISERROR(AVERAGE(K11:K11)),"-",AVERAGE(K11:K11))</f>
        <v>-</v>
      </c>
      <c r="L13" s="77" t="str">
        <f>IF(ISERROR(AVERAGE(L11:L11)),"-",AVERAGE(L11:L11))</f>
        <v>-</v>
      </c>
      <c r="M13" s="66">
        <f>IF(ISERROR(SUM(M11:M11)),"-",SUM(M11:M11))</f>
        <v>0</v>
      </c>
      <c r="N13" s="66">
        <f>IF(ISERROR(SUM(N11:N11)),"-",SUM(N11:N11))</f>
        <v>0</v>
      </c>
      <c r="O13" s="66">
        <f>IF(ISERROR(SUM(O11:O11)),"-",SUM(O11:O11))</f>
        <v>0</v>
      </c>
      <c r="P13" s="67">
        <f>IF(ISERROR(SUM(P11:P11)),"-",SUM(P11:P11))</f>
        <v>0</v>
      </c>
      <c r="Q13" s="70">
        <f>IF(ISERROR(SUM(Q11:Q11)),"-",SUM(Q11:Q11))</f>
        <v>0</v>
      </c>
      <c r="R13" s="71">
        <f>IF(ISERROR(S13/12*Occupancy!$B$65),"-",S13/12*Occupancy!$B$65)</f>
        <v>0</v>
      </c>
      <c r="S13" s="71">
        <f>IF(ISERROR(SUM(S11:S11)),"-",SUM(S11:S11))</f>
        <v>0</v>
      </c>
      <c r="T13" s="71" t="str">
        <f>IF(ISERROR(IF(Q13="","",Q13/VLOOKUP(Occupancy!$B$65,Occupancy!$B$68:$B$79,1)*12/$C13)),"-",IF(Q13="","",Q13/VLOOKUP(Occupancy!$B$65,Occupancy!$B$68:$B$79,1)*12/$C13))</f>
        <v>-</v>
      </c>
      <c r="U13" s="71" t="str">
        <f>IF(ISERROR(IF(R13="","",R13/VLOOKUP(Occupancy!$B$65,Occupancy!$B$68:$B$79,1)*12/$C13)),"-",IF(R13="","",R13/VLOOKUP(Occupancy!$B$65,Occupancy!$B$68:$B$79,1)*12/$C13))</f>
        <v>-</v>
      </c>
      <c r="V13" s="72">
        <f>IF(ISERROR(SUM(V11:V11)),"-",SUM(V11:V11))</f>
        <v>0</v>
      </c>
      <c r="W13" s="72">
        <f>IF(ISERROR(SUM(W11:W11)),"-",SUM(W11:W11))</f>
        <v>0</v>
      </c>
      <c r="X13" s="72">
        <f>IF(ISERROR(SUM(X11:X11)),"-",SUM(X11:X11))</f>
        <v>0</v>
      </c>
      <c r="Y13" s="72" t="str">
        <f>IF(ISERROR(Expenses!BF6),"-",Expenses!BF6)</f>
        <v>-</v>
      </c>
      <c r="Z13" s="72" t="str">
        <f>IF(ISERROR(Expenses!BG6),"-",Expenses!BG6)</f>
        <v>-</v>
      </c>
      <c r="AA13" s="75" t="str">
        <f>IF(ISERROR(V13/Q13),"-",V13/Q13)</f>
        <v>-</v>
      </c>
      <c r="AB13" s="71">
        <f>IF(ISERROR(Q13-V13),"-",Q13-V13)</f>
        <v>0</v>
      </c>
      <c r="AC13" s="71">
        <f>IF(ISERROR(R13-W13),"-",R13-W13)</f>
        <v>0</v>
      </c>
      <c r="AD13" s="71">
        <f>IF(ISERROR(S13-X13),"-",S13-X13)</f>
        <v>0</v>
      </c>
      <c r="AE13" s="71" t="str">
        <f>IF(ISERROR(T13-Y13),"-",T13-Y13)</f>
        <v>-</v>
      </c>
      <c r="AF13" s="71" t="str">
        <f>IF(ISERROR(U13-Z13),"-",U13-Z13)</f>
        <v>-</v>
      </c>
      <c r="AG13" s="72">
        <f>IF(ISERROR(SUM(AG11:AG11)),"-",SUM(AG11:AG11))</f>
        <v>0</v>
      </c>
      <c r="AH13" s="72">
        <f>IF(ISERROR(SUM(AH11:AH11)),"-",SUM(AH11:AH11))</f>
        <v>0</v>
      </c>
      <c r="AI13" s="72">
        <f>IF(ISERROR(SUM(AI11:AI11)),"-",SUM(AI11:AI11))</f>
        <v>0</v>
      </c>
      <c r="AJ13" s="72" t="str">
        <f>IF(ISERROR(IF(AG13="","",AG13/VLOOKUP(Occupancy!$B$65,Occupancy!$B$68:$B$79,1)*12/$C13)),"-",IF(AG13="","",AG13/VLOOKUP(Occupancy!$B$65,Occupancy!$B$68:$B$79,1)*12/$C13))</f>
        <v>-</v>
      </c>
      <c r="AK13" s="72" t="str">
        <f>IF(ISERROR(IF(AH13="","",AH13/VLOOKUP(Occupancy!$B$65,Occupancy!$B$68:$B$79,1)*12/$C13)),"-",IF(AH13="","",AH13/VLOOKUP(Occupancy!$B$65,Occupancy!$B$68:$B$79,1)*12/$C13))</f>
        <v>-</v>
      </c>
      <c r="AL13" s="71">
        <f>IF(ISERROR(SUM(AL11:AL11)),"-",SUM(AL11:AL11))</f>
        <v>0</v>
      </c>
      <c r="AM13" s="71">
        <f>IF(ISERROR(AN13/12*Occupancy!$B$65),"-",AN13/12*Occupancy!$B$65)</f>
        <v>0</v>
      </c>
      <c r="AN13" s="71">
        <f>IF(ISERROR(SUM(AN11:AN11)),"-",SUM(AN11:AN11))</f>
        <v>0</v>
      </c>
      <c r="AO13" s="71" t="str">
        <f>IF(ISERROR(IF(AL13="","",AL13/VLOOKUP(Occupancy!$B$65,Occupancy!$B$68:$B$79,1)*12/$C13)),"-",IF(AL13="","",AL13/VLOOKUP(Occupancy!$B$65,Occupancy!$B$68:$B$79,1)*12/$C13))</f>
        <v>-</v>
      </c>
      <c r="AP13" s="71" t="str">
        <f>IF(ISERROR(IF(AM13="","",AM13/VLOOKUP(Occupancy!$B$65,Occupancy!$B$68:$B$79,1)*12/$C13)),"-",IF(AM13="","",AM13/VLOOKUP(Occupancy!$B$65,Occupancy!$B$68:$B$79,1)*12/$C13))</f>
        <v>-</v>
      </c>
      <c r="AQ13" s="72">
        <f>IF(ISERROR(SUM(AQ11:AQ11)),"-",SUM(AQ11:AQ11))</f>
        <v>0</v>
      </c>
      <c r="AR13" s="72">
        <f>IF(ISERROR(SUM(AR11:AR11)),"-",SUM(AR11:AR11))</f>
        <v>0</v>
      </c>
      <c r="AS13" s="72">
        <f>IF(ISERROR(SUM(AS11:AS11)),"-",SUM(AS11:AS11))</f>
        <v>0</v>
      </c>
      <c r="AT13" s="72" t="str">
        <f>IF(ISERROR(IF(AQ13="","",AQ13/VLOOKUP(Occupancy!$B$65,Occupancy!$B$68:$B$79,1)*12/$C13)),"-",IF(AQ13="","",AQ13/VLOOKUP(Occupancy!$B$65,Occupancy!$B$68:$B$79,1)*12/$C13))</f>
        <v>-</v>
      </c>
      <c r="AU13" s="72" t="str">
        <f>IF(ISERROR(IF(AR13="","",AR13/VLOOKUP(Occupancy!$B$65,Occupancy!$B$68:$B$79,1)*12/$C13)),"-",IF(AR13="","",AR13/VLOOKUP(Occupancy!$B$65,Occupancy!$B$68:$B$79,1)*12/$C13))</f>
        <v>-</v>
      </c>
      <c r="AV13" s="71">
        <f>IF(ISERROR(SUM(AV11:AV11)),"-",SUM(AV11:AV11))</f>
        <v>0</v>
      </c>
      <c r="AW13" s="71">
        <f>IF(ISERROR(SUM(AW11:AW11)),"-",SUM(AW11:AW11))</f>
        <v>0</v>
      </c>
      <c r="AX13" s="71">
        <f>IF(ISERROR(SUM(AX11:AX11)),"-",SUM(AX11:AX11))</f>
        <v>0</v>
      </c>
      <c r="AY13" s="71" t="str">
        <f>IF(ISERROR(IF(AV13="","",AV13/VLOOKUP(Occupancy!$B$65,Occupancy!$B$68:$B$79,1)*12/$C13)),"-",IF(AV13="","",AV13/VLOOKUP(Occupancy!$B$65,Occupancy!$B$68:$B$79,1)*12/$C13))</f>
        <v>-</v>
      </c>
      <c r="AZ13" s="71" t="str">
        <f>IF(ISERROR(IF(AW13="","",AW13/VLOOKUP(Occupancy!$B$65,Occupancy!$B$68:$B$79,1)*12/$C13)),"-",IF(AW13="","",AW13/VLOOKUP(Occupancy!$B$65,Occupancy!$B$68:$B$79,1)*12/$C13))</f>
        <v>-</v>
      </c>
      <c r="BA13" s="73">
        <f>IF(ISERROR(SUM(BA11:BA11)),"-",SUM(BA11:BA11))</f>
        <v>0</v>
      </c>
      <c r="BB13" s="73">
        <f>IF(ISERROR(SUM(BB11:BB11)),"-",SUM(BB11:BB11))</f>
        <v>0</v>
      </c>
      <c r="BC13" s="73">
        <f>IF(ISERROR(SUM(BC11:BC11)),"-",SUM(BC11:BC11))</f>
        <v>0</v>
      </c>
      <c r="BD13" s="73" t="str">
        <f>IF(ISERROR(IF(BA13="","",BA13/VLOOKUP(Occupancy!$B$65,Occupancy!$B$68:$B$79,1)*12/$C13)),"-",IF(BA13="","",BA13/VLOOKUP(Occupancy!$B$65,Occupancy!$B$68:$B$79,1)*12/$C13))</f>
        <v>-</v>
      </c>
      <c r="BE13" s="74" t="str">
        <f>IF(ISERROR(IF(BB13="","",BB13/VLOOKUP(Occupancy!$B$65,Occupancy!$B$68:$B$79,1)*12/$C13)),"-",IF(BB13="","",BB13/VLOOKUP(Occupancy!$B$65,Occupancy!$B$68:$B$79,1)*12/$C13))</f>
        <v>-</v>
      </c>
    </row>
    <row r="14" spans="1:57" s="94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E2" sqref="E2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6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19"/>
      <c r="B3" s="19"/>
      <c r="C3" s="19" t="s">
        <v>4</v>
      </c>
      <c r="D3" s="19"/>
      <c r="E3" s="204" t="s">
        <v>72</v>
      </c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6"/>
      <c r="AD3" s="39"/>
      <c r="AE3" s="39"/>
      <c r="AF3" s="39"/>
      <c r="AG3" s="39"/>
      <c r="AH3" s="39"/>
      <c r="AI3" s="207" t="str">
        <f>E3</f>
        <v>March 2018 YTD Operating and Budgeted Results</v>
      </c>
      <c r="AJ3" s="208"/>
      <c r="AK3" s="208"/>
      <c r="AL3" s="208"/>
      <c r="AM3" s="208"/>
      <c r="AN3" s="208"/>
      <c r="AO3" s="208"/>
      <c r="AP3" s="208"/>
      <c r="AQ3" s="208"/>
      <c r="AR3" s="208"/>
      <c r="AS3" s="208"/>
      <c r="AT3" s="208"/>
      <c r="AU3" s="208"/>
      <c r="AV3" s="208"/>
      <c r="AW3" s="208"/>
      <c r="AX3" s="208"/>
      <c r="AY3" s="208"/>
      <c r="AZ3" s="208"/>
      <c r="BA3" s="208"/>
      <c r="BB3" s="208"/>
      <c r="BC3" s="208"/>
      <c r="BD3" s="208"/>
      <c r="BE3" s="208"/>
      <c r="BF3" s="208"/>
      <c r="BG3" s="209"/>
    </row>
    <row r="4" spans="1:59" x14ac:dyDescent="0.25">
      <c r="A4" s="40"/>
      <c r="B4" s="40"/>
      <c r="C4" s="213" t="s">
        <v>14</v>
      </c>
      <c r="D4" s="208" t="s">
        <v>36</v>
      </c>
      <c r="E4" s="216" t="s">
        <v>37</v>
      </c>
      <c r="F4" s="198"/>
      <c r="G4" s="198"/>
      <c r="H4" s="198"/>
      <c r="I4" s="198"/>
      <c r="J4" s="199" t="s">
        <v>38</v>
      </c>
      <c r="K4" s="200"/>
      <c r="L4" s="200"/>
      <c r="M4" s="200"/>
      <c r="N4" s="201"/>
      <c r="O4" s="210" t="s">
        <v>39</v>
      </c>
      <c r="P4" s="198"/>
      <c r="Q4" s="198"/>
      <c r="R4" s="198"/>
      <c r="S4" s="211"/>
      <c r="T4" s="199" t="s">
        <v>40</v>
      </c>
      <c r="U4" s="200"/>
      <c r="V4" s="200"/>
      <c r="W4" s="200"/>
      <c r="X4" s="201"/>
      <c r="Y4" s="210" t="s">
        <v>41</v>
      </c>
      <c r="Z4" s="198"/>
      <c r="AA4" s="198"/>
      <c r="AB4" s="198"/>
      <c r="AC4" s="198"/>
      <c r="AD4" s="41"/>
      <c r="AE4" s="42" t="str">
        <f>IF(ISERROR(AF4/12*#REF!),"-",AF4/12*#REF!)</f>
        <v>-</v>
      </c>
      <c r="AF4" s="42" t="s">
        <v>42</v>
      </c>
      <c r="AG4" s="42" t="str">
        <f>IF(ISERROR(AD4/$B4/VLOOKUP(#REF!,#REF!:#REF!,1)*12),"-",AD4/$B4/VLOOKUP(#REF!,#REF!:#REF!,1)*12)</f>
        <v>-</v>
      </c>
      <c r="AH4" s="43" t="str">
        <f>IF(ISERROR(AE4/$B4/VLOOKUP(#REF!,#REF!:#REF!,1)*12),"-",AE4/$B4/VLOOKUP(#REF!,#REF!:#REF!,1)*12)</f>
        <v>-</v>
      </c>
      <c r="AI4" s="211" t="s">
        <v>43</v>
      </c>
      <c r="AJ4" s="212"/>
      <c r="AK4" s="212"/>
      <c r="AL4" s="212"/>
      <c r="AM4" s="210"/>
      <c r="AN4" s="44"/>
      <c r="AO4" s="42" t="str">
        <f>IF(ISERROR(AP4/12*#REF!),"-",AP4/12*#REF!)</f>
        <v>-</v>
      </c>
      <c r="AP4" s="42" t="s">
        <v>44</v>
      </c>
      <c r="AQ4" s="42" t="str">
        <f>IF(ISERROR(AN4/$B4/VLOOKUP(#REF!,#REF!:#REF!,1)*12),"-",AN4/$B4/VLOOKUP(#REF!,#REF!:#REF!,1)*12)</f>
        <v>-</v>
      </c>
      <c r="AR4" s="45" t="str">
        <f>IF(ISERROR(AO4/$B4/VLOOKUP(#REF!,#REF!:#REF!,1)*12),"-",AO4/$B4/VLOOKUP(#REF!,#REF!:#REF!,1)*12)</f>
        <v>-</v>
      </c>
      <c r="AS4" s="198" t="s">
        <v>45</v>
      </c>
      <c r="AT4" s="198"/>
      <c r="AU4" s="198"/>
      <c r="AV4" s="198"/>
      <c r="AW4" s="198"/>
      <c r="AX4" s="199" t="s">
        <v>46</v>
      </c>
      <c r="AY4" s="200"/>
      <c r="AZ4" s="200"/>
      <c r="BA4" s="200"/>
      <c r="BB4" s="201"/>
      <c r="BC4" s="202" t="s">
        <v>47</v>
      </c>
      <c r="BD4" s="202"/>
      <c r="BE4" s="202"/>
      <c r="BF4" s="202"/>
      <c r="BG4" s="203"/>
    </row>
    <row r="5" spans="1:59" ht="51.75" x14ac:dyDescent="0.25">
      <c r="A5" s="79" t="s">
        <v>34</v>
      </c>
      <c r="B5" s="92" t="s">
        <v>75</v>
      </c>
      <c r="C5" s="214"/>
      <c r="D5" s="215"/>
      <c r="E5" s="49" t="s">
        <v>48</v>
      </c>
      <c r="F5" s="50" t="s">
        <v>49</v>
      </c>
      <c r="G5" s="51" t="s">
        <v>29</v>
      </c>
      <c r="H5" s="50" t="s">
        <v>50</v>
      </c>
      <c r="I5" s="52" t="s">
        <v>51</v>
      </c>
      <c r="J5" s="53" t="s">
        <v>48</v>
      </c>
      <c r="K5" s="53" t="s">
        <v>49</v>
      </c>
      <c r="L5" s="54" t="s">
        <v>29</v>
      </c>
      <c r="M5" s="53" t="s">
        <v>50</v>
      </c>
      <c r="N5" s="53" t="s">
        <v>51</v>
      </c>
      <c r="O5" s="50" t="s">
        <v>48</v>
      </c>
      <c r="P5" s="50" t="s">
        <v>49</v>
      </c>
      <c r="Q5" s="51" t="s">
        <v>29</v>
      </c>
      <c r="R5" s="50" t="s">
        <v>50</v>
      </c>
      <c r="S5" s="50" t="s">
        <v>51</v>
      </c>
      <c r="T5" s="54" t="s">
        <v>48</v>
      </c>
      <c r="U5" s="53" t="s">
        <v>49</v>
      </c>
      <c r="V5" s="54" t="s">
        <v>29</v>
      </c>
      <c r="W5" s="53" t="s">
        <v>50</v>
      </c>
      <c r="X5" s="55" t="s">
        <v>51</v>
      </c>
      <c r="Y5" s="50" t="s">
        <v>48</v>
      </c>
      <c r="Z5" s="50" t="s">
        <v>49</v>
      </c>
      <c r="AA5" s="51" t="s">
        <v>29</v>
      </c>
      <c r="AB5" s="50" t="s">
        <v>50</v>
      </c>
      <c r="AC5" s="56" t="s">
        <v>51</v>
      </c>
      <c r="AD5" s="57" t="s">
        <v>48</v>
      </c>
      <c r="AE5" s="53" t="s">
        <v>49</v>
      </c>
      <c r="AF5" s="54" t="s">
        <v>29</v>
      </c>
      <c r="AG5" s="53" t="s">
        <v>50</v>
      </c>
      <c r="AH5" s="58" t="s">
        <v>51</v>
      </c>
      <c r="AI5" s="51" t="s">
        <v>48</v>
      </c>
      <c r="AJ5" s="50" t="s">
        <v>49</v>
      </c>
      <c r="AK5" s="51" t="s">
        <v>29</v>
      </c>
      <c r="AL5" s="50" t="s">
        <v>50</v>
      </c>
      <c r="AM5" s="59" t="s">
        <v>51</v>
      </c>
      <c r="AN5" s="53" t="s">
        <v>48</v>
      </c>
      <c r="AO5" s="53" t="s">
        <v>49</v>
      </c>
      <c r="AP5" s="54" t="s">
        <v>29</v>
      </c>
      <c r="AQ5" s="53" t="s">
        <v>50</v>
      </c>
      <c r="AR5" s="55" t="s">
        <v>51</v>
      </c>
      <c r="AS5" s="60" t="s">
        <v>48</v>
      </c>
      <c r="AT5" s="50" t="s">
        <v>49</v>
      </c>
      <c r="AU5" s="51" t="s">
        <v>29</v>
      </c>
      <c r="AV5" s="50" t="s">
        <v>50</v>
      </c>
      <c r="AW5" s="56" t="s">
        <v>51</v>
      </c>
      <c r="AX5" s="53" t="s">
        <v>48</v>
      </c>
      <c r="AY5" s="53" t="s">
        <v>49</v>
      </c>
      <c r="AZ5" s="54" t="s">
        <v>29</v>
      </c>
      <c r="BA5" s="53" t="s">
        <v>50</v>
      </c>
      <c r="BB5" s="53" t="s">
        <v>51</v>
      </c>
      <c r="BC5" s="61" t="s">
        <v>48</v>
      </c>
      <c r="BD5" s="62" t="s">
        <v>49</v>
      </c>
      <c r="BE5" s="61" t="s">
        <v>29</v>
      </c>
      <c r="BF5" s="62" t="s">
        <v>50</v>
      </c>
      <c r="BG5" s="63" t="s">
        <v>51</v>
      </c>
    </row>
    <row r="6" spans="1:59" x14ac:dyDescent="0.25">
      <c r="A6" s="111" t="s">
        <v>76</v>
      </c>
      <c r="B6" s="95"/>
      <c r="C6" s="30">
        <f>IF(ISERROR(SUM(C5:C5)),"-",SUM(C5:C5))</f>
        <v>0</v>
      </c>
      <c r="D6" s="96"/>
      <c r="E6" s="97">
        <f>IF(ISERROR(SUM(E5:E5)),"-",SUM(E5:E5))</f>
        <v>0</v>
      </c>
      <c r="F6" s="98">
        <f>IF(ISERROR(G6/12*Occupancy!$B$65),"-",G6/12*Occupancy!$B$65)</f>
        <v>0</v>
      </c>
      <c r="G6" s="99">
        <f>IF(ISERROR(SUM(G5:G5)),"-",SUM(G5:G5))</f>
        <v>0</v>
      </c>
      <c r="H6" s="98" t="str">
        <f>IF(ISERROR(E6/$C6/VLOOKUP(Occupancy!$B$65,Occupancy!$B$68:'Occupancy'!$B$79,1)*12),"-",E6/$C6/VLOOKUP(Occupancy!$B$65,Occupancy!$B$68:'Occupancy'!$B$79,1)*12)</f>
        <v>-</v>
      </c>
      <c r="I6" s="100" t="e">
        <f>IF(F6="","",F6/VLOOKUP(Occupancy!$B$65,Occupancy!$B$68:'Occupancy'!$B$79,1)*12/$C6)</f>
        <v>#DIV/0!</v>
      </c>
      <c r="J6" s="101">
        <f>IF(ISERROR(SUM(J5:J5)),"-",SUM(J5:J5))</f>
        <v>0</v>
      </c>
      <c r="K6" s="101">
        <f>IF(ISERROR(L6/12*Occupancy!$B$65),"-",L6/12*Occupancy!$B$65)</f>
        <v>0</v>
      </c>
      <c r="L6" s="102">
        <f>IF(ISERROR(SUM(L5:L5)),"-",SUM(L5:L5))</f>
        <v>0</v>
      </c>
      <c r="M6" s="101" t="str">
        <f>IF(ISERROR(J6/$C6/VLOOKUP(Occupancy!$B$65,Occupancy!$B$68:'Occupancy'!$B$79,1)*12),"-",J6/$C6/VLOOKUP(Occupancy!$B$65,Occupancy!$B$68:'Occupancy'!$B$79,1)*12)</f>
        <v>-</v>
      </c>
      <c r="N6" s="101" t="e">
        <f>IF(K6="","",K6/VLOOKUP(Occupancy!$B$65,Occupancy!$B$68:'Occupancy'!$B$79,1)*12/$C6)</f>
        <v>#DIV/0!</v>
      </c>
      <c r="O6" s="98">
        <f>IF(ISERROR(SUM(O5:O5)),"-",SUM(O5:O5))</f>
        <v>0</v>
      </c>
      <c r="P6" s="98">
        <f>IF(ISERROR(Q6/12*Occupancy!$B$65),"-",Q6/12*Occupancy!$B$65)</f>
        <v>0</v>
      </c>
      <c r="Q6" s="99">
        <f>IF(ISERROR(SUM(Q5:Q5)),"-",SUM(Q5:Q5))</f>
        <v>0</v>
      </c>
      <c r="R6" s="98" t="str">
        <f>IF(ISERROR(O6/$C6/VLOOKUP(Occupancy!$B$65,Occupancy!$B$68:'Occupancy'!$B$79,1)*12),"-",O6/$C6/VLOOKUP(Occupancy!$B$65,Occupancy!$B$68:'Occupancy'!$B$79,1)*12)</f>
        <v>-</v>
      </c>
      <c r="S6" s="98" t="e">
        <f>IF(P6="","",P6/VLOOKUP(Occupancy!$B$65,Occupancy!$B$68:'Occupancy'!$B$79,1)*12/$C6)</f>
        <v>#DIV/0!</v>
      </c>
      <c r="T6" s="102">
        <f>IF(ISERROR(SUM(T5:T5)),"-",SUM(T5:T5))</f>
        <v>0</v>
      </c>
      <c r="U6" s="101">
        <f>IF(ISERROR(V6/12*Occupancy!$B$65),"-",V6/12*Occupancy!$B$65)</f>
        <v>0</v>
      </c>
      <c r="V6" s="102">
        <f>IF(ISERROR(SUM(V5:V5)),"-",SUM(V5:V5))</f>
        <v>0</v>
      </c>
      <c r="W6" s="101" t="str">
        <f>IF(ISERROR(T6/$C6/VLOOKUP(Occupancy!$B$65,Occupancy!$B$68:'Occupancy'!$B$79,1)*12),"-",T6/$C6/VLOOKUP(Occupancy!$B$65,Occupancy!$B$68:'Occupancy'!$B$79,1)*12)</f>
        <v>-</v>
      </c>
      <c r="X6" s="103" t="e">
        <f>IF(U6="","",U6/VLOOKUP(Occupancy!$B$65,Occupancy!$B$68:'Occupancy'!$B$79,1)*12/$C6)</f>
        <v>#DIV/0!</v>
      </c>
      <c r="Y6" s="98">
        <f>IF(ISERROR(SUM(Y5:Y5)),"-",SUM(Y5:Y5))</f>
        <v>0</v>
      </c>
      <c r="Z6" s="98">
        <f>IF(ISERROR(AA6/12*Occupancy!$B$65),"-",AA6/12*Occupancy!$B$65)</f>
        <v>0</v>
      </c>
      <c r="AA6" s="99">
        <f>IF(ISERROR(SUM(AA5:AA5)),"-",SUM(AA5:AA5))</f>
        <v>0</v>
      </c>
      <c r="AB6" s="98" t="str">
        <f>IF(ISERROR(Y6/$C6/VLOOKUP(Occupancy!$B$65,Occupancy!$B$68:'Occupancy'!$B$79,1)*12),"-",Y6/$C6/VLOOKUP(Occupancy!$B$65,Occupancy!$B$68:'Occupancy'!$B$79,1)*12)</f>
        <v>-</v>
      </c>
      <c r="AC6" s="104" t="e">
        <f>IF(Z6="","",Z6/VLOOKUP(Occupancy!$B$65,Occupancy!$B$68:'Occupancy'!$B$79,1)*12/$C6)</f>
        <v>#DIV/0!</v>
      </c>
      <c r="AD6" s="102">
        <f>IF(ISERROR(SUM(AD5:AD5)),"-",SUM(AD5:AD5))</f>
        <v>0</v>
      </c>
      <c r="AE6" s="101">
        <f>IF(ISERROR(AF6/12*Occupancy!$B$65),"-",AF6/12*Occupancy!$B$65)</f>
        <v>0</v>
      </c>
      <c r="AF6" s="102">
        <f>IF(ISERROR(SUM(AF5:AF5)),"-",SUM(AF5:AF5))</f>
        <v>0</v>
      </c>
      <c r="AG6" s="101" t="str">
        <f>IF(ISERROR(AD6/$C6/VLOOKUP(Occupancy!$B$65,Occupancy!$B$68:'Occupancy'!$B$79,1)*12),"-",AD6/$C6/VLOOKUP(Occupancy!$B$65,Occupancy!$B$68:'Occupancy'!$B$79,1)*12)</f>
        <v>-</v>
      </c>
      <c r="AH6" s="105" t="e">
        <f>IF(AE6="","",AE6/VLOOKUP(Occupancy!$B$65,Occupancy!$B$68:'Occupancy'!$B$79,1)*12/$C6)</f>
        <v>#DIV/0!</v>
      </c>
      <c r="AI6" s="99">
        <f>IF(ISERROR(SUM(AI5:AI5)),"-",SUM(AI5:AI5))</f>
        <v>0</v>
      </c>
      <c r="AJ6" s="98">
        <f>IF(ISERROR(AK6/12*Occupancy!$B$65),"-",AK6/12*Occupancy!$B$65)</f>
        <v>0</v>
      </c>
      <c r="AK6" s="99">
        <f>IF(ISERROR(SUM(AK5:AK5)),"-",SUM(AK5:AK5))</f>
        <v>0</v>
      </c>
      <c r="AL6" s="98" t="str">
        <f>IF(ISERROR(AI6/$C6/VLOOKUP(Occupancy!$B$65,Occupancy!$B$68:'Occupancy'!$B$79,1)*12),"-",AI6/$C6/VLOOKUP(Occupancy!$B$65,Occupancy!$B$68:'Occupancy'!$B$79,1)*12)</f>
        <v>-</v>
      </c>
      <c r="AM6" s="106" t="e">
        <f>IF(AJ6="","",AJ6/VLOOKUP(Occupancy!$B$65,Occupancy!$B$68:'Occupancy'!$B$79,1)*12/$C6)</f>
        <v>#DIV/0!</v>
      </c>
      <c r="AN6" s="101">
        <f>IF(ISERROR(SUM(AN5:AN5)),"-",SUM(AN5:AN5))</f>
        <v>0</v>
      </c>
      <c r="AO6" s="101">
        <f>IF(ISERROR(AP6/12*Occupancy!$B$65),"-",AP6/12*Occupancy!$B$65)</f>
        <v>0</v>
      </c>
      <c r="AP6" s="102">
        <f>IF(ISERROR(SUM(AP5:AP5)),"-",SUM(AP5:AP5))</f>
        <v>0</v>
      </c>
      <c r="AQ6" s="101" t="str">
        <f>IF(ISERROR(AN6/$C6/VLOOKUP(Occupancy!$B$65,Occupancy!$B$68:'Occupancy'!$B$79,1)*12),"-",AN6/$C6/VLOOKUP(Occupancy!$B$65,Occupancy!$B$68:'Occupancy'!$B$79,1)*12)</f>
        <v>-</v>
      </c>
      <c r="AR6" s="103" t="e">
        <f>IF(AO6="","",AO6/VLOOKUP(Occupancy!$B$65,Occupancy!$B$68:'Occupancy'!$B$79,1)*12/$C6)</f>
        <v>#DIV/0!</v>
      </c>
      <c r="AS6" s="107">
        <f>IF(ISERROR(SUM(AS5:AS5)),"-",SUM(AS5:AS5))</f>
        <v>0</v>
      </c>
      <c r="AT6" s="98">
        <f>IF(ISERROR(AU6/12*Occupancy!$B$65),"-",AU6/12*Occupancy!$B$65)</f>
        <v>0</v>
      </c>
      <c r="AU6" s="99">
        <f>IF(ISERROR(SUM(AU5:AU5)),"-",SUM(AU5:AU5))</f>
        <v>0</v>
      </c>
      <c r="AV6" s="98" t="str">
        <f>IF(ISERROR(AS6/$C6/VLOOKUP(Occupancy!$B$65,Occupancy!$B$68:'Occupancy'!$B$79,1)*12),"-",AS6/$C6/VLOOKUP(Occupancy!$B$65,Occupancy!$B$68:'Occupancy'!$B$79,1)*12)</f>
        <v>-</v>
      </c>
      <c r="AW6" s="104" t="e">
        <f>IF(AT6="","",AT6/VLOOKUP(Occupancy!$B$65,Occupancy!$B$68:'Occupancy'!$B$79,1)*12/$C6)</f>
        <v>#DIV/0!</v>
      </c>
      <c r="AX6" s="101">
        <f>IF(ISERROR(SUM(AX5:AX5)),"-",SUM(AX5:AX5))</f>
        <v>0</v>
      </c>
      <c r="AY6" s="101">
        <f>IF(ISERROR(AZ6/12*Occupancy!$B$65),"-",AZ6/12*Occupancy!$B$65)</f>
        <v>0</v>
      </c>
      <c r="AZ6" s="102">
        <f>IF(ISERROR(SUM(AZ5:AZ5)),"-",SUM(AZ5:AZ5))</f>
        <v>0</v>
      </c>
      <c r="BA6" s="101" t="str">
        <f>IF(ISERROR(AX6/$C6/VLOOKUP(Occupancy!$B$65,Occupancy!$B$68:'Occupancy'!$B$79,1)*12),"-",AX6/$C6/VLOOKUP(Occupancy!$B$65,Occupancy!$B$68:'Occupancy'!$B$79,1)*12)</f>
        <v>-</v>
      </c>
      <c r="BB6" s="101" t="e">
        <f>IF(AY6="","",AY6/VLOOKUP(Occupancy!$B$65,Occupancy!$B$68:'Occupancy'!$B$79,1)*12/$C6)</f>
        <v>#DIV/0!</v>
      </c>
      <c r="BC6" s="108">
        <f>IF(ISERROR(SUM(BC5:BC5)),"-",SUM(BC5:BC5))</f>
        <v>0</v>
      </c>
      <c r="BD6" s="109">
        <f>IF(ISERROR(SUM(BD5:BD5)),"-",SUM(BD5:BD5))</f>
        <v>0</v>
      </c>
      <c r="BE6" s="108">
        <f>IF(ISERROR(SUM(BE5:BE5)),"-",SUM(BE5:BE5))</f>
        <v>0</v>
      </c>
      <c r="BF6" s="109" t="str">
        <f>IF(ISERROR(BC6/$C6/VLOOKUP(Occupancy!$B$65,Occupancy!$B$68:'Occupancy'!$B$79,1)*12),"-",BC6/$C6/VLOOKUP(Occupancy!$B$65,Occupancy!$B$68:'Occupancy'!$B$79,1)*12)</f>
        <v>-</v>
      </c>
      <c r="BG6" s="110" t="e">
        <f>IF(BD6="","",BD6/VLOOKUP(Occupancy!$B$65,Occupancy!$B$68:'Occupancy'!$B$79,1)*12/$C6)</f>
        <v>#DIV/0!</v>
      </c>
    </row>
  </sheetData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6" t="s">
        <v>0</v>
      </c>
      <c r="B1" s="7"/>
    </row>
    <row r="2" spans="1:4" x14ac:dyDescent="0.25">
      <c r="A2" s="6" t="s">
        <v>68</v>
      </c>
      <c r="B2" s="7"/>
    </row>
    <row r="3" spans="1:4" x14ac:dyDescent="0.25">
      <c r="B3" s="7"/>
    </row>
    <row r="4" spans="1:4" ht="36" customHeight="1" x14ac:dyDescent="0.25">
      <c r="A4" s="17"/>
      <c r="B4" s="139"/>
      <c r="C4" s="16" t="s">
        <v>75</v>
      </c>
      <c r="D4" s="16" t="s">
        <v>79</v>
      </c>
    </row>
    <row r="5" spans="1:4" x14ac:dyDescent="0.25">
      <c r="A5" s="13"/>
      <c r="B5" s="142"/>
      <c r="C5" s="14"/>
      <c r="D5" s="15"/>
    </row>
    <row r="6" spans="1:4" x14ac:dyDescent="0.25">
      <c r="A6" s="13"/>
      <c r="B6" s="142"/>
      <c r="C6" s="14"/>
      <c r="D6" s="15"/>
    </row>
    <row r="7" spans="1:4" x14ac:dyDescent="0.25">
      <c r="A7" s="13"/>
      <c r="B7" s="142"/>
      <c r="C7" s="14"/>
      <c r="D7" s="15"/>
    </row>
    <row r="8" spans="1:4" x14ac:dyDescent="0.25">
      <c r="A8" s="13"/>
      <c r="B8" s="142"/>
      <c r="C8" s="14"/>
      <c r="D8" s="15"/>
    </row>
    <row r="9" spans="1:4" x14ac:dyDescent="0.25">
      <c r="A9" s="13"/>
      <c r="B9" s="142"/>
      <c r="C9" s="14"/>
      <c r="D9" s="15"/>
    </row>
    <row r="10" spans="1:4" x14ac:dyDescent="0.25">
      <c r="A10" s="13"/>
      <c r="B10" s="142"/>
      <c r="C10" s="14"/>
      <c r="D10" s="15"/>
    </row>
    <row r="11" spans="1:4" x14ac:dyDescent="0.25">
      <c r="A11" s="13"/>
      <c r="B11" s="142"/>
      <c r="C11" s="14"/>
      <c r="D11" s="15"/>
    </row>
    <row r="12" spans="1:4" x14ac:dyDescent="0.25">
      <c r="A12" s="13"/>
      <c r="B12" s="142"/>
      <c r="C12" s="14"/>
      <c r="D12" s="15"/>
    </row>
    <row r="13" spans="1:4" x14ac:dyDescent="0.25">
      <c r="A13" s="13"/>
      <c r="B13" s="142"/>
      <c r="C13" s="14"/>
      <c r="D13" s="15"/>
    </row>
    <row r="14" spans="1:4" x14ac:dyDescent="0.25">
      <c r="A14" s="13"/>
      <c r="B14" s="142"/>
      <c r="C14" s="14"/>
      <c r="D14" s="15"/>
    </row>
    <row r="15" spans="1:4" x14ac:dyDescent="0.25">
      <c r="A15" s="13"/>
      <c r="B15" s="142"/>
      <c r="C15" s="14"/>
      <c r="D15" s="15"/>
    </row>
    <row r="16" spans="1:4" x14ac:dyDescent="0.25">
      <c r="A16" s="13"/>
      <c r="B16" s="142"/>
      <c r="C16" s="14"/>
      <c r="D16" s="15"/>
    </row>
    <row r="17" spans="1:4" x14ac:dyDescent="0.25">
      <c r="A17" s="13"/>
      <c r="B17" s="142"/>
      <c r="C17" s="14"/>
      <c r="D17" s="15"/>
    </row>
    <row r="18" spans="1:4" x14ac:dyDescent="0.25">
      <c r="A18" s="13"/>
      <c r="B18" s="142"/>
      <c r="C18" s="14"/>
      <c r="D18" s="15"/>
    </row>
    <row r="19" spans="1:4" x14ac:dyDescent="0.25">
      <c r="A19" s="13"/>
      <c r="B19" s="142"/>
      <c r="C19" s="14"/>
      <c r="D19" s="15"/>
    </row>
    <row r="20" spans="1:4" x14ac:dyDescent="0.25">
      <c r="A20" s="13"/>
      <c r="B20" s="142"/>
      <c r="C20" s="14"/>
      <c r="D20" s="15"/>
    </row>
    <row r="21" spans="1:4" x14ac:dyDescent="0.25">
      <c r="A21" s="13"/>
      <c r="B21" s="142"/>
      <c r="C21" s="14"/>
      <c r="D21" s="15"/>
    </row>
    <row r="22" spans="1:4" x14ac:dyDescent="0.25">
      <c r="A22" s="13"/>
      <c r="B22" s="142"/>
      <c r="C22" s="14"/>
      <c r="D22" s="15"/>
    </row>
    <row r="23" spans="1:4" x14ac:dyDescent="0.25">
      <c r="A23" s="13"/>
      <c r="B23" s="142"/>
      <c r="C23" s="14"/>
      <c r="D23" s="15"/>
    </row>
    <row r="24" spans="1:4" x14ac:dyDescent="0.25">
      <c r="A24" s="13"/>
      <c r="B24" s="142"/>
      <c r="C24" s="14"/>
      <c r="D24" s="15"/>
    </row>
    <row r="25" spans="1:4" x14ac:dyDescent="0.25">
      <c r="A25" s="13"/>
      <c r="B25" s="142"/>
      <c r="C25" s="14"/>
      <c r="D25" s="15"/>
    </row>
    <row r="26" spans="1:4" x14ac:dyDescent="0.25">
      <c r="A26" s="13"/>
      <c r="B26" s="142"/>
      <c r="C26" s="14"/>
      <c r="D26" s="15"/>
    </row>
    <row r="27" spans="1:4" x14ac:dyDescent="0.25">
      <c r="A27" s="13"/>
      <c r="B27" s="142"/>
      <c r="C27" s="14"/>
      <c r="D27" s="15"/>
    </row>
    <row r="28" spans="1:4" x14ac:dyDescent="0.25">
      <c r="A28" s="13"/>
      <c r="B28" s="142"/>
      <c r="C28" s="14"/>
      <c r="D28" s="15"/>
    </row>
    <row r="29" spans="1:4" x14ac:dyDescent="0.25">
      <c r="A29" s="13"/>
      <c r="B29" s="142"/>
      <c r="C29" s="14"/>
      <c r="D29" s="15"/>
    </row>
    <row r="30" spans="1:4" x14ac:dyDescent="0.25">
      <c r="A30" s="13"/>
      <c r="B30" s="142"/>
      <c r="C30" s="14"/>
      <c r="D30" s="15"/>
    </row>
    <row r="31" spans="1:4" x14ac:dyDescent="0.25">
      <c r="A31" s="13"/>
      <c r="B31" s="142"/>
      <c r="C31" s="14"/>
      <c r="D31" s="15"/>
    </row>
    <row r="32" spans="1:4" x14ac:dyDescent="0.25">
      <c r="A32" s="13"/>
      <c r="B32" s="142"/>
      <c r="C32" s="14"/>
      <c r="D32" s="15"/>
    </row>
    <row r="33" spans="1:4" x14ac:dyDescent="0.25">
      <c r="A33" s="13"/>
      <c r="B33" s="142"/>
      <c r="C33" s="14"/>
      <c r="D33" s="15"/>
    </row>
    <row r="34" spans="1:4" x14ac:dyDescent="0.25">
      <c r="A34" s="13"/>
      <c r="B34" s="142"/>
      <c r="C34" s="14"/>
      <c r="D34" s="15"/>
    </row>
    <row r="35" spans="1:4" x14ac:dyDescent="0.25">
      <c r="A35" s="13"/>
      <c r="B35" s="142"/>
      <c r="C35" s="14"/>
      <c r="D35" s="15"/>
    </row>
    <row r="36" spans="1:4" x14ac:dyDescent="0.25">
      <c r="A36" s="13"/>
      <c r="B36" s="142"/>
      <c r="C36" s="14"/>
      <c r="D36" s="15"/>
    </row>
    <row r="37" spans="1:4" x14ac:dyDescent="0.25">
      <c r="A37" s="13"/>
      <c r="B37" s="142"/>
      <c r="C37" s="14"/>
      <c r="D37" s="15"/>
    </row>
    <row r="38" spans="1:4" x14ac:dyDescent="0.25">
      <c r="A38" s="13"/>
      <c r="B38" s="142"/>
      <c r="C38" s="14"/>
      <c r="D38" s="15"/>
    </row>
    <row r="39" spans="1:4" x14ac:dyDescent="0.25">
      <c r="A39" s="8"/>
      <c r="B39" s="142"/>
      <c r="C39" s="14"/>
      <c r="D39" s="15"/>
    </row>
    <row r="40" spans="1:4" x14ac:dyDescent="0.25">
      <c r="A40" s="8"/>
      <c r="B40" s="142"/>
      <c r="C40" s="14"/>
      <c r="D40" s="15"/>
    </row>
    <row r="41" spans="1:4" x14ac:dyDescent="0.25">
      <c r="A41" s="8"/>
      <c r="B41" s="142"/>
      <c r="C41" s="14"/>
      <c r="D41" s="15"/>
    </row>
    <row r="42" spans="1:4" x14ac:dyDescent="0.25">
      <c r="A42" s="8"/>
      <c r="B42" s="142"/>
      <c r="C42" s="14"/>
      <c r="D42" s="15"/>
    </row>
    <row r="43" spans="1:4" x14ac:dyDescent="0.25">
      <c r="A43" s="8"/>
      <c r="B43" s="142"/>
      <c r="C43" s="14"/>
      <c r="D43" s="15"/>
    </row>
    <row r="44" spans="1:4" x14ac:dyDescent="0.25">
      <c r="A44" s="8"/>
      <c r="B44" s="142"/>
      <c r="C44" s="14"/>
      <c r="D44" s="15"/>
    </row>
    <row r="45" spans="1:4" x14ac:dyDescent="0.25">
      <c r="A45" s="8"/>
      <c r="B45" s="142"/>
      <c r="C45" s="14"/>
      <c r="D45" s="15"/>
    </row>
    <row r="46" spans="1:4" x14ac:dyDescent="0.25">
      <c r="A46" s="8"/>
      <c r="B46" s="142"/>
      <c r="C46" s="14"/>
      <c r="D46" s="15"/>
    </row>
    <row r="47" spans="1:4" x14ac:dyDescent="0.25">
      <c r="A47" s="8"/>
      <c r="B47" s="142"/>
      <c r="C47" s="14"/>
      <c r="D47" s="15"/>
    </row>
    <row r="48" spans="1:4" x14ac:dyDescent="0.25">
      <c r="A48" s="8"/>
      <c r="B48" s="142"/>
      <c r="C48" s="14"/>
      <c r="D48" s="15"/>
    </row>
    <row r="49" spans="1:4" x14ac:dyDescent="0.25">
      <c r="A49" s="8"/>
      <c r="B49" s="142"/>
      <c r="C49" s="14"/>
      <c r="D49" s="15"/>
    </row>
    <row r="50" spans="1:4" x14ac:dyDescent="0.25">
      <c r="A50" s="8"/>
      <c r="B50" s="142"/>
      <c r="C50" s="14"/>
      <c r="D50" s="15"/>
    </row>
    <row r="51" spans="1:4" x14ac:dyDescent="0.25">
      <c r="A51" s="8"/>
      <c r="B51" s="142"/>
      <c r="C51" s="14"/>
      <c r="D51" s="15"/>
    </row>
    <row r="52" spans="1:4" x14ac:dyDescent="0.25">
      <c r="A52" s="8"/>
      <c r="B52" s="142"/>
      <c r="C52" s="14"/>
      <c r="D52" s="15"/>
    </row>
    <row r="53" spans="1:4" x14ac:dyDescent="0.25">
      <c r="A53" s="8"/>
      <c r="B53" s="142"/>
      <c r="C53" s="14"/>
      <c r="D53" s="15"/>
    </row>
    <row r="54" spans="1:4" x14ac:dyDescent="0.25">
      <c r="A54" s="8"/>
      <c r="B54" s="142"/>
      <c r="C54" s="14"/>
      <c r="D54" s="15"/>
    </row>
    <row r="55" spans="1:4" x14ac:dyDescent="0.25">
      <c r="A55" s="8"/>
      <c r="B55" s="142"/>
      <c r="C55" s="14"/>
      <c r="D55" s="15"/>
    </row>
    <row r="56" spans="1:4" x14ac:dyDescent="0.25">
      <c r="A56" s="8"/>
      <c r="B56" s="142"/>
      <c r="C56" s="14"/>
      <c r="D56" s="15"/>
    </row>
    <row r="57" spans="1:4" x14ac:dyDescent="0.25">
      <c r="A57" s="9"/>
      <c r="B57" s="145" t="str">
        <f>IF(ISERROR(AVERAGE(B5:B56)),"-",AVERAGE(B5:B56))</f>
        <v>-</v>
      </c>
      <c r="C57" s="10"/>
      <c r="D57" s="7"/>
    </row>
    <row r="58" spans="1:4" x14ac:dyDescent="0.25">
      <c r="A58" s="9"/>
      <c r="B58" s="10"/>
      <c r="C58" s="10"/>
      <c r="D58" s="7"/>
    </row>
    <row r="59" spans="1:4" x14ac:dyDescent="0.25">
      <c r="A59" s="12"/>
    </row>
    <row r="60" spans="1:4" x14ac:dyDescent="0.25">
      <c r="A60" s="12"/>
    </row>
    <row r="61" spans="1:4" x14ac:dyDescent="0.25">
      <c r="A61" s="12"/>
    </row>
    <row r="62" spans="1:4" x14ac:dyDescent="0.25">
      <c r="A62" s="12"/>
    </row>
    <row r="63" spans="1:4" x14ac:dyDescent="0.25">
      <c r="A63" s="12"/>
    </row>
    <row r="64" spans="1:4" ht="15.75" thickBot="1" x14ac:dyDescent="0.3">
      <c r="A64" s="12"/>
    </row>
    <row r="65" spans="1:2" ht="15.75" thickBot="1" x14ac:dyDescent="0.3">
      <c r="A65" s="12"/>
      <c r="B65" s="18">
        <v>3</v>
      </c>
    </row>
    <row r="66" spans="1:2" ht="15.75" thickBot="1" x14ac:dyDescent="0.3">
      <c r="A66" s="12"/>
    </row>
    <row r="67" spans="1:2" ht="15.75" thickBot="1" x14ac:dyDescent="0.3">
      <c r="A67" s="12"/>
      <c r="B67" s="5" t="s">
        <v>52</v>
      </c>
    </row>
    <row r="68" spans="1:2" ht="15.75" thickBot="1" x14ac:dyDescent="0.3">
      <c r="A68" s="12"/>
      <c r="B68" s="5">
        <v>1</v>
      </c>
    </row>
    <row r="69" spans="1:2" ht="15.75" thickBot="1" x14ac:dyDescent="0.3">
      <c r="B69" s="5">
        <v>2</v>
      </c>
    </row>
    <row r="70" spans="1:2" ht="15.75" thickBot="1" x14ac:dyDescent="0.3">
      <c r="B70" s="5">
        <v>3</v>
      </c>
    </row>
    <row r="71" spans="1:2" ht="15.75" thickBot="1" x14ac:dyDescent="0.3">
      <c r="B71" s="5">
        <v>4</v>
      </c>
    </row>
    <row r="72" spans="1:2" ht="15.75" thickBot="1" x14ac:dyDescent="0.3">
      <c r="B72" s="5">
        <v>5</v>
      </c>
    </row>
    <row r="73" spans="1:2" ht="15.75" thickBot="1" x14ac:dyDescent="0.3">
      <c r="B73" s="5">
        <v>6</v>
      </c>
    </row>
    <row r="74" spans="1:2" ht="15.75" thickBot="1" x14ac:dyDescent="0.3">
      <c r="B74" s="5">
        <v>7</v>
      </c>
    </row>
    <row r="75" spans="1:2" ht="15.75" thickBot="1" x14ac:dyDescent="0.3">
      <c r="B75" s="5">
        <v>8</v>
      </c>
    </row>
    <row r="76" spans="1:2" ht="15.75" thickBot="1" x14ac:dyDescent="0.3">
      <c r="B76" s="5">
        <v>9</v>
      </c>
    </row>
    <row r="77" spans="1:2" ht="15.75" thickBot="1" x14ac:dyDescent="0.3">
      <c r="B77" s="5">
        <v>10</v>
      </c>
    </row>
    <row r="78" spans="1:2" ht="15.75" thickBot="1" x14ac:dyDescent="0.3">
      <c r="B78" s="5">
        <v>11</v>
      </c>
    </row>
    <row r="79" spans="1:2" ht="15.75" thickBot="1" x14ac:dyDescent="0.3">
      <c r="B79" s="18">
        <v>12</v>
      </c>
    </row>
  </sheetData>
  <pageMargins left="0.7" right="0.7" top="0.75" bottom="0.75" header="0.3" footer="0.3"/>
  <pageSetup scale="8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activeCell="G2" sqref="G2:G49"/>
    </sheetView>
  </sheetViews>
  <sheetFormatPr defaultRowHeight="15" x14ac:dyDescent="0.25"/>
  <cols>
    <col min="2" max="2" width="41.85546875" bestFit="1" customWidth="1"/>
    <col min="3" max="3" width="11.7109375" customWidth="1"/>
    <col min="4" max="4" width="15.425781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topLeftCell="A13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"/>
  <sheetViews>
    <sheetView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1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zoomScale="70" zoomScaleNormal="70" workbookViewId="0">
      <selection activeCell="G2" sqref="G2:G1676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2" t="s">
        <v>54</v>
      </c>
      <c r="C1" s="12" t="s">
        <v>64</v>
      </c>
      <c r="D1" t="s">
        <v>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2018-08-21T11:34:55Z</dcterms:modified>
</cp:coreProperties>
</file>