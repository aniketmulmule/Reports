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activeTab="5"/>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Main!$A$10:$F$10</definedName>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3" l="1"/>
  <c r="B6" i="3" l="1"/>
  <c r="AI6" i="3" l="1"/>
  <c r="AI5" i="3"/>
  <c r="CZ6" i="3" l="1"/>
  <c r="CZ7" i="3"/>
  <c r="CZ11" i="3"/>
  <c r="CZ23" i="3" s="1"/>
  <c r="CZ12" i="3"/>
  <c r="CZ13" i="3"/>
  <c r="CZ14" i="3"/>
  <c r="CZ15" i="3"/>
  <c r="CZ16" i="3"/>
  <c r="CZ17" i="3"/>
  <c r="CZ18" i="3"/>
  <c r="CZ19" i="3"/>
  <c r="CZ20" i="3"/>
  <c r="CZ21" i="3"/>
  <c r="CZ22" i="3"/>
  <c r="CY6" i="3"/>
  <c r="CY7" i="3"/>
  <c r="CY11" i="3"/>
  <c r="CY23" i="3" s="1"/>
  <c r="CY12" i="3"/>
  <c r="CY13" i="3"/>
  <c r="CY14" i="3"/>
  <c r="CY15" i="3"/>
  <c r="CY16" i="3"/>
  <c r="CY17" i="3"/>
  <c r="CY18" i="3"/>
  <c r="CY19" i="3"/>
  <c r="CY20" i="3"/>
  <c r="CY21" i="3"/>
  <c r="CY22" i="3"/>
  <c r="CX6" i="3"/>
  <c r="CX7" i="3"/>
  <c r="CX11" i="3"/>
  <c r="CX23" i="3" s="1"/>
  <c r="CX12" i="3"/>
  <c r="CX13" i="3"/>
  <c r="CX14" i="3"/>
  <c r="CX15" i="3"/>
  <c r="CX16" i="3"/>
  <c r="CX17" i="3"/>
  <c r="CX18" i="3"/>
  <c r="CX19" i="3"/>
  <c r="CX20" i="3"/>
  <c r="CX21" i="3"/>
  <c r="CX22" i="3"/>
  <c r="CW6" i="3"/>
  <c r="CW7" i="3"/>
  <c r="CW11" i="3"/>
  <c r="CW23" i="3" s="1"/>
  <c r="CW12" i="3"/>
  <c r="CW13" i="3"/>
  <c r="CW14" i="3"/>
  <c r="CW15" i="3"/>
  <c r="CW16" i="3"/>
  <c r="CW17" i="3"/>
  <c r="CW18" i="3"/>
  <c r="CW19" i="3"/>
  <c r="CW20" i="3"/>
  <c r="CW21" i="3"/>
  <c r="CW22" i="3"/>
  <c r="CV6" i="3"/>
  <c r="CV7" i="3"/>
  <c r="CV11" i="3"/>
  <c r="CV23" i="3" s="1"/>
  <c r="CV12" i="3"/>
  <c r="CV13" i="3"/>
  <c r="CV14" i="3"/>
  <c r="CV15" i="3"/>
  <c r="CV16" i="3"/>
  <c r="CV17" i="3"/>
  <c r="CV18" i="3"/>
  <c r="CV19" i="3"/>
  <c r="CV20" i="3"/>
  <c r="CV21" i="3"/>
  <c r="CV22" i="3"/>
  <c r="CU6" i="3"/>
  <c r="CU7" i="3"/>
  <c r="CU11" i="3"/>
  <c r="CU23" i="3" s="1"/>
  <c r="CU12" i="3"/>
  <c r="CU13" i="3"/>
  <c r="CU14" i="3"/>
  <c r="CU15" i="3"/>
  <c r="CU16" i="3"/>
  <c r="CU17" i="3"/>
  <c r="CU18" i="3"/>
  <c r="CU19" i="3"/>
  <c r="CU20" i="3"/>
  <c r="CU21" i="3"/>
  <c r="CU22" i="3"/>
  <c r="CT6" i="3"/>
  <c r="CT7" i="3"/>
  <c r="CT11" i="3"/>
  <c r="CT23" i="3" s="1"/>
  <c r="CT12" i="3"/>
  <c r="CT13" i="3"/>
  <c r="CT14" i="3"/>
  <c r="CT15" i="3"/>
  <c r="CT16" i="3"/>
  <c r="CT17" i="3"/>
  <c r="CT18" i="3"/>
  <c r="CT19" i="3"/>
  <c r="CT20" i="3"/>
  <c r="CT21" i="3"/>
  <c r="CT22" i="3"/>
  <c r="CS6" i="3"/>
  <c r="CS7" i="3"/>
  <c r="CS11" i="3"/>
  <c r="CS23" i="3" s="1"/>
  <c r="CS12" i="3"/>
  <c r="CS13" i="3"/>
  <c r="CS14" i="3"/>
  <c r="CS15" i="3"/>
  <c r="CS16" i="3"/>
  <c r="CS17" i="3"/>
  <c r="CS18" i="3"/>
  <c r="CS19" i="3"/>
  <c r="CS20" i="3"/>
  <c r="CS21" i="3"/>
  <c r="CS22" i="3"/>
  <c r="CR6" i="3"/>
  <c r="CR7" i="3"/>
  <c r="CR11" i="3"/>
  <c r="CR23" i="3" s="1"/>
  <c r="CR12" i="3"/>
  <c r="CR13" i="3"/>
  <c r="CR14" i="3"/>
  <c r="CR15" i="3"/>
  <c r="CR16" i="3"/>
  <c r="CR17" i="3"/>
  <c r="CR18" i="3"/>
  <c r="CR19" i="3"/>
  <c r="CR20" i="3"/>
  <c r="CR21" i="3"/>
  <c r="CR22" i="3"/>
  <c r="CQ6" i="3"/>
  <c r="CQ7" i="3"/>
  <c r="CQ11" i="3"/>
  <c r="CQ23" i="3" s="1"/>
  <c r="CQ12" i="3"/>
  <c r="CQ13" i="3"/>
  <c r="CQ14" i="3"/>
  <c r="CQ15" i="3"/>
  <c r="CQ16" i="3"/>
  <c r="CQ17" i="3"/>
  <c r="CQ18" i="3"/>
  <c r="CQ19" i="3"/>
  <c r="CQ20" i="3"/>
  <c r="CQ21" i="3"/>
  <c r="CQ22" i="3"/>
  <c r="CP6" i="3"/>
  <c r="CP7" i="3"/>
  <c r="CP11" i="3"/>
  <c r="CP23" i="3" s="1"/>
  <c r="CP12" i="3"/>
  <c r="CP13" i="3"/>
  <c r="CP14" i="3"/>
  <c r="CP15" i="3"/>
  <c r="CP16" i="3"/>
  <c r="CP17" i="3"/>
  <c r="CP18" i="3"/>
  <c r="CP19" i="3"/>
  <c r="CP20" i="3"/>
  <c r="CP21" i="3"/>
  <c r="CP22" i="3"/>
  <c r="CO6" i="3"/>
  <c r="CO7" i="3"/>
  <c r="CO11" i="3"/>
  <c r="CO23" i="3" s="1"/>
  <c r="CO12" i="3"/>
  <c r="CO13" i="3"/>
  <c r="CO14" i="3"/>
  <c r="CO15" i="3"/>
  <c r="CO16" i="3"/>
  <c r="CO17" i="3"/>
  <c r="CO18" i="3"/>
  <c r="CO19" i="3"/>
  <c r="CO20" i="3"/>
  <c r="CO21" i="3"/>
  <c r="CO22" i="3"/>
  <c r="CN6" i="3"/>
  <c r="CN7" i="3"/>
  <c r="CN11" i="3"/>
  <c r="CN23" i="3" s="1"/>
  <c r="CN12" i="3"/>
  <c r="CN13" i="3"/>
  <c r="CN14" i="3"/>
  <c r="CN15" i="3"/>
  <c r="CN16" i="3"/>
  <c r="CN17" i="3"/>
  <c r="CN18" i="3"/>
  <c r="CN19" i="3"/>
  <c r="CN20" i="3"/>
  <c r="CN21" i="3"/>
  <c r="CN22" i="3"/>
  <c r="CM6" i="3"/>
  <c r="CM7" i="3"/>
  <c r="CM11" i="3"/>
  <c r="CM23" i="3" s="1"/>
  <c r="CM12" i="3"/>
  <c r="CM13" i="3"/>
  <c r="CM14" i="3"/>
  <c r="CM15" i="3"/>
  <c r="CM16" i="3"/>
  <c r="CM17" i="3"/>
  <c r="CM18" i="3"/>
  <c r="CM19" i="3"/>
  <c r="CM20" i="3"/>
  <c r="CM21" i="3"/>
  <c r="CM22" i="3"/>
  <c r="CL6" i="3"/>
  <c r="CL7" i="3"/>
  <c r="CL11" i="3"/>
  <c r="CL23" i="3" s="1"/>
  <c r="CL12" i="3"/>
  <c r="CL13" i="3"/>
  <c r="CL14" i="3"/>
  <c r="CL15" i="3"/>
  <c r="CL16" i="3"/>
  <c r="CL17" i="3"/>
  <c r="CL18" i="3"/>
  <c r="CL19" i="3"/>
  <c r="CL20" i="3"/>
  <c r="CL21" i="3"/>
  <c r="CL22" i="3"/>
  <c r="CK6" i="3"/>
  <c r="CK7" i="3"/>
  <c r="CK11" i="3"/>
  <c r="CK23" i="3" s="1"/>
  <c r="CK12" i="3"/>
  <c r="CK13" i="3"/>
  <c r="CK14" i="3"/>
  <c r="CK15" i="3"/>
  <c r="CK16" i="3"/>
  <c r="CK17" i="3"/>
  <c r="CK18" i="3"/>
  <c r="CK19" i="3"/>
  <c r="CK20" i="3"/>
  <c r="CK21" i="3"/>
  <c r="CK22" i="3"/>
  <c r="CJ6" i="3"/>
  <c r="CJ7" i="3"/>
  <c r="CJ11" i="3"/>
  <c r="CJ23" i="3" s="1"/>
  <c r="CJ12" i="3"/>
  <c r="CJ13" i="3"/>
  <c r="CJ14" i="3"/>
  <c r="CJ15" i="3"/>
  <c r="CJ16" i="3"/>
  <c r="CJ17" i="3"/>
  <c r="CJ18" i="3"/>
  <c r="CJ19" i="3"/>
  <c r="CJ20" i="3"/>
  <c r="CJ21" i="3"/>
  <c r="CJ22" i="3"/>
  <c r="CI6" i="3"/>
  <c r="CI7" i="3"/>
  <c r="CI11" i="3"/>
  <c r="CI23" i="3" s="1"/>
  <c r="CI12" i="3"/>
  <c r="CI13" i="3"/>
  <c r="CI14" i="3"/>
  <c r="CI15" i="3"/>
  <c r="CI16" i="3"/>
  <c r="CI17" i="3"/>
  <c r="CI18" i="3"/>
  <c r="CI19" i="3"/>
  <c r="CI20" i="3"/>
  <c r="CI21" i="3"/>
  <c r="CI22" i="3"/>
  <c r="CH6" i="3"/>
  <c r="CH7" i="3"/>
  <c r="CH11" i="3"/>
  <c r="CH23" i="3" s="1"/>
  <c r="CH12" i="3"/>
  <c r="CH13" i="3"/>
  <c r="CH14" i="3"/>
  <c r="CH15" i="3"/>
  <c r="CH16" i="3"/>
  <c r="CH17" i="3"/>
  <c r="CH18" i="3"/>
  <c r="CH19" i="3"/>
  <c r="CH20" i="3"/>
  <c r="CH21" i="3"/>
  <c r="CH22" i="3"/>
  <c r="CG6" i="3"/>
  <c r="CG7" i="3"/>
  <c r="CG11" i="3"/>
  <c r="CG23" i="3" s="1"/>
  <c r="CG12" i="3"/>
  <c r="CG13" i="3"/>
  <c r="CG14" i="3"/>
  <c r="CG15" i="3"/>
  <c r="CG16" i="3"/>
  <c r="CG17" i="3"/>
  <c r="CG18" i="3"/>
  <c r="CG19" i="3"/>
  <c r="CG20" i="3"/>
  <c r="CG21" i="3"/>
  <c r="CG22" i="3"/>
  <c r="CF6" i="3"/>
  <c r="CF7" i="3"/>
  <c r="CF11" i="3"/>
  <c r="CF23" i="3" s="1"/>
  <c r="CF12" i="3"/>
  <c r="CF13" i="3"/>
  <c r="CF14" i="3"/>
  <c r="CF15" i="3"/>
  <c r="CF16" i="3"/>
  <c r="CF17" i="3"/>
  <c r="CF18" i="3"/>
  <c r="CF19" i="3"/>
  <c r="CF20" i="3"/>
  <c r="CF21" i="3"/>
  <c r="CF22" i="3"/>
  <c r="CE6" i="3"/>
  <c r="CE7" i="3"/>
  <c r="CE11" i="3"/>
  <c r="CE23" i="3" s="1"/>
  <c r="CE12" i="3"/>
  <c r="CE13" i="3"/>
  <c r="CE14" i="3"/>
  <c r="CE15" i="3"/>
  <c r="CE16" i="3"/>
  <c r="CE17" i="3"/>
  <c r="CE18" i="3"/>
  <c r="CE19" i="3"/>
  <c r="CE20" i="3"/>
  <c r="CE21" i="3"/>
  <c r="CE22" i="3"/>
  <c r="CD6" i="3"/>
  <c r="CD7" i="3"/>
  <c r="CD11" i="3"/>
  <c r="CD23" i="3" s="1"/>
  <c r="CD12" i="3"/>
  <c r="CD13" i="3"/>
  <c r="CD14" i="3"/>
  <c r="CD15" i="3"/>
  <c r="CD16" i="3"/>
  <c r="CD17" i="3"/>
  <c r="CD18" i="3"/>
  <c r="CD19" i="3"/>
  <c r="CD20" i="3"/>
  <c r="CD21" i="3"/>
  <c r="CD22" i="3"/>
  <c r="CC6" i="3"/>
  <c r="CC7" i="3"/>
  <c r="CC11" i="3"/>
  <c r="CC23" i="3" s="1"/>
  <c r="CC12" i="3"/>
  <c r="CC13" i="3"/>
  <c r="CC14" i="3"/>
  <c r="CC15" i="3"/>
  <c r="CC16" i="3"/>
  <c r="CC17" i="3"/>
  <c r="CC18" i="3"/>
  <c r="CC19" i="3"/>
  <c r="CC20" i="3"/>
  <c r="CC21" i="3"/>
  <c r="CC22" i="3"/>
  <c r="CB6" i="3"/>
  <c r="CB7" i="3"/>
  <c r="CB11" i="3"/>
  <c r="CB23" i="3" s="1"/>
  <c r="CB12" i="3"/>
  <c r="CB13" i="3"/>
  <c r="CB14" i="3"/>
  <c r="CB15" i="3"/>
  <c r="CB16" i="3"/>
  <c r="CB17" i="3"/>
  <c r="CB18" i="3"/>
  <c r="CB19" i="3"/>
  <c r="CB20" i="3"/>
  <c r="CB21" i="3"/>
  <c r="CB22" i="3"/>
  <c r="CA6" i="3"/>
  <c r="CA7" i="3"/>
  <c r="CA11" i="3"/>
  <c r="CA23" i="3" s="1"/>
  <c r="CA12" i="3"/>
  <c r="CA13" i="3"/>
  <c r="CA14" i="3"/>
  <c r="CA15" i="3"/>
  <c r="CA16" i="3"/>
  <c r="CA17" i="3"/>
  <c r="CA18" i="3"/>
  <c r="CA19" i="3"/>
  <c r="CA20" i="3"/>
  <c r="CA21" i="3"/>
  <c r="CA22" i="3"/>
  <c r="BZ6" i="3"/>
  <c r="BZ7" i="3"/>
  <c r="BZ11" i="3"/>
  <c r="BZ23" i="3" s="1"/>
  <c r="BZ12" i="3"/>
  <c r="BZ13" i="3"/>
  <c r="BZ14" i="3"/>
  <c r="BZ15" i="3"/>
  <c r="BZ16" i="3"/>
  <c r="BZ17" i="3"/>
  <c r="BZ18" i="3"/>
  <c r="BZ19" i="3"/>
  <c r="BZ20" i="3"/>
  <c r="BZ21" i="3"/>
  <c r="BZ22" i="3"/>
  <c r="BY6" i="3"/>
  <c r="BY7" i="3"/>
  <c r="BY11" i="3"/>
  <c r="BY23" i="3" s="1"/>
  <c r="BY12" i="3"/>
  <c r="BY13" i="3"/>
  <c r="BY14" i="3"/>
  <c r="BY15" i="3"/>
  <c r="BY16" i="3"/>
  <c r="BY17" i="3"/>
  <c r="BY18" i="3"/>
  <c r="BY19" i="3"/>
  <c r="BY20" i="3"/>
  <c r="BY21" i="3"/>
  <c r="BY22" i="3"/>
  <c r="BX6" i="3"/>
  <c r="BX7" i="3"/>
  <c r="BX11" i="3"/>
  <c r="BX23" i="3" s="1"/>
  <c r="BX12" i="3"/>
  <c r="BX13" i="3"/>
  <c r="BX14" i="3"/>
  <c r="BX15" i="3"/>
  <c r="BX16" i="3"/>
  <c r="BX17" i="3"/>
  <c r="BX18" i="3"/>
  <c r="BX19" i="3"/>
  <c r="BX20" i="3"/>
  <c r="BX21" i="3"/>
  <c r="BX22" i="3"/>
  <c r="BW6" i="3"/>
  <c r="BW7" i="3"/>
  <c r="BW11" i="3"/>
  <c r="BW23" i="3" s="1"/>
  <c r="BW12" i="3"/>
  <c r="BW13" i="3"/>
  <c r="BW14" i="3"/>
  <c r="BW15" i="3"/>
  <c r="BW16" i="3"/>
  <c r="BW17" i="3"/>
  <c r="BW18" i="3"/>
  <c r="BW19" i="3"/>
  <c r="BW20" i="3"/>
  <c r="BW21" i="3"/>
  <c r="BW22" i="3"/>
  <c r="BV6" i="3"/>
  <c r="BV7" i="3"/>
  <c r="BV11" i="3"/>
  <c r="BV23" i="3" s="1"/>
  <c r="BV12" i="3"/>
  <c r="BV13" i="3"/>
  <c r="BV14" i="3"/>
  <c r="BV15" i="3"/>
  <c r="BV16" i="3"/>
  <c r="BV17" i="3"/>
  <c r="BV18" i="3"/>
  <c r="BV19" i="3"/>
  <c r="BV20" i="3"/>
  <c r="BV21" i="3"/>
  <c r="BV22" i="3"/>
  <c r="BU6" i="3"/>
  <c r="BU7" i="3"/>
  <c r="BU11" i="3"/>
  <c r="BU23" i="3" s="1"/>
  <c r="BU12" i="3"/>
  <c r="BU13" i="3"/>
  <c r="BU14" i="3"/>
  <c r="BU15" i="3"/>
  <c r="BU16" i="3"/>
  <c r="BU17" i="3"/>
  <c r="BU18" i="3"/>
  <c r="BU19" i="3"/>
  <c r="BU20" i="3"/>
  <c r="BU21" i="3"/>
  <c r="BU22" i="3"/>
  <c r="BT6" i="3"/>
  <c r="BT7" i="3"/>
  <c r="BT11" i="3"/>
  <c r="BT23" i="3" s="1"/>
  <c r="BT12" i="3"/>
  <c r="BT13" i="3"/>
  <c r="BT14" i="3"/>
  <c r="BT15" i="3"/>
  <c r="BT16" i="3"/>
  <c r="BT17" i="3"/>
  <c r="BT18" i="3"/>
  <c r="BT19" i="3"/>
  <c r="BT20" i="3"/>
  <c r="BT21" i="3"/>
  <c r="BT22" i="3"/>
  <c r="BS6" i="3"/>
  <c r="BS7" i="3"/>
  <c r="BS11" i="3"/>
  <c r="BS23" i="3" s="1"/>
  <c r="BS12" i="3"/>
  <c r="BS13" i="3"/>
  <c r="BS14" i="3"/>
  <c r="BS15" i="3"/>
  <c r="BS16" i="3"/>
  <c r="BS17" i="3"/>
  <c r="BS18" i="3"/>
  <c r="BS19" i="3"/>
  <c r="BS20" i="3"/>
  <c r="BS21" i="3"/>
  <c r="BS22" i="3"/>
  <c r="BR6" i="3"/>
  <c r="BR7" i="3"/>
  <c r="BR11" i="3"/>
  <c r="BR23" i="3" s="1"/>
  <c r="BR12" i="3"/>
  <c r="BR13" i="3"/>
  <c r="BR14" i="3"/>
  <c r="BR15" i="3"/>
  <c r="BR16" i="3"/>
  <c r="BR17" i="3"/>
  <c r="BR18" i="3"/>
  <c r="BR19" i="3"/>
  <c r="BR20" i="3"/>
  <c r="BR21" i="3"/>
  <c r="BR22" i="3"/>
  <c r="BQ6" i="3"/>
  <c r="BQ7" i="3"/>
  <c r="BQ11" i="3"/>
  <c r="BQ23" i="3" s="1"/>
  <c r="BQ12" i="3"/>
  <c r="BQ13" i="3"/>
  <c r="BQ14" i="3"/>
  <c r="BQ15" i="3"/>
  <c r="BQ16" i="3"/>
  <c r="BQ17" i="3"/>
  <c r="BQ18" i="3"/>
  <c r="BQ19" i="3"/>
  <c r="BQ20" i="3"/>
  <c r="BQ21" i="3"/>
  <c r="BQ22" i="3"/>
  <c r="BP6" i="3"/>
  <c r="BP7" i="3"/>
  <c r="BP11" i="3"/>
  <c r="BP23" i="3" s="1"/>
  <c r="BP12" i="3"/>
  <c r="BP13" i="3"/>
  <c r="BP14" i="3"/>
  <c r="BP15" i="3"/>
  <c r="BP16" i="3"/>
  <c r="BP17" i="3"/>
  <c r="BP18" i="3"/>
  <c r="BP19" i="3"/>
  <c r="BP20" i="3"/>
  <c r="BP21" i="3"/>
  <c r="BP22" i="3"/>
  <c r="BO6" i="3"/>
  <c r="BO7" i="3"/>
  <c r="BO11" i="3"/>
  <c r="BO23" i="3" s="1"/>
  <c r="BO12" i="3"/>
  <c r="BO13" i="3"/>
  <c r="BO14" i="3"/>
  <c r="BO15" i="3"/>
  <c r="BO16" i="3"/>
  <c r="BO17" i="3"/>
  <c r="BO18" i="3"/>
  <c r="BO19" i="3"/>
  <c r="BO20" i="3"/>
  <c r="BO21" i="3"/>
  <c r="BO22" i="3"/>
  <c r="BN6" i="3"/>
  <c r="BN7" i="3"/>
  <c r="BN11" i="3"/>
  <c r="BN23" i="3" s="1"/>
  <c r="BN12" i="3"/>
  <c r="BN13" i="3"/>
  <c r="BN14" i="3"/>
  <c r="BN15" i="3"/>
  <c r="BN16" i="3"/>
  <c r="BN17" i="3"/>
  <c r="BN18" i="3"/>
  <c r="BN19" i="3"/>
  <c r="BN20" i="3"/>
  <c r="BN21" i="3"/>
  <c r="BN22" i="3"/>
  <c r="BM6" i="3"/>
  <c r="BM7" i="3"/>
  <c r="BM11" i="3"/>
  <c r="BM23" i="3" s="1"/>
  <c r="BM12" i="3"/>
  <c r="BM13" i="3"/>
  <c r="BM14" i="3"/>
  <c r="BM15" i="3"/>
  <c r="BM16" i="3"/>
  <c r="BM17" i="3"/>
  <c r="BM18" i="3"/>
  <c r="BM19" i="3"/>
  <c r="BM20" i="3"/>
  <c r="BM21" i="3"/>
  <c r="BM22" i="3"/>
  <c r="BL6" i="3"/>
  <c r="BL7" i="3"/>
  <c r="BL11" i="3"/>
  <c r="BL23" i="3" s="1"/>
  <c r="BL12" i="3"/>
  <c r="BL13" i="3"/>
  <c r="BL14" i="3"/>
  <c r="BL15" i="3"/>
  <c r="BL16" i="3"/>
  <c r="BL17" i="3"/>
  <c r="BL18" i="3"/>
  <c r="BL19" i="3"/>
  <c r="BL20" i="3"/>
  <c r="BL21" i="3"/>
  <c r="BL22" i="3"/>
  <c r="BK6" i="3"/>
  <c r="BK7" i="3"/>
  <c r="BK11" i="3"/>
  <c r="BK23" i="3" s="1"/>
  <c r="BK12" i="3"/>
  <c r="BK13" i="3"/>
  <c r="BK14" i="3"/>
  <c r="BK15" i="3"/>
  <c r="BK16" i="3"/>
  <c r="BK17" i="3"/>
  <c r="BK18" i="3"/>
  <c r="BK19" i="3"/>
  <c r="BK20" i="3"/>
  <c r="BK21" i="3"/>
  <c r="BK22" i="3"/>
  <c r="BJ6" i="3"/>
  <c r="BJ7" i="3"/>
  <c r="BJ11" i="3"/>
  <c r="BJ23" i="3" s="1"/>
  <c r="BJ12" i="3"/>
  <c r="BJ13" i="3"/>
  <c r="BJ14" i="3"/>
  <c r="BJ15" i="3"/>
  <c r="BJ16" i="3"/>
  <c r="BJ17" i="3"/>
  <c r="BJ18" i="3"/>
  <c r="BJ19" i="3"/>
  <c r="BJ20" i="3"/>
  <c r="BJ21" i="3"/>
  <c r="BJ22" i="3"/>
  <c r="BI6" i="3"/>
  <c r="BI7" i="3"/>
  <c r="BI11" i="3"/>
  <c r="BI23" i="3" s="1"/>
  <c r="BI12" i="3"/>
  <c r="BI13" i="3"/>
  <c r="BI14" i="3"/>
  <c r="BI15" i="3"/>
  <c r="BI16" i="3"/>
  <c r="BI17" i="3"/>
  <c r="BI18" i="3"/>
  <c r="BI19" i="3"/>
  <c r="BI20" i="3"/>
  <c r="BI21" i="3"/>
  <c r="BI22" i="3"/>
  <c r="BH6" i="3"/>
  <c r="BH7" i="3"/>
  <c r="BH11" i="3"/>
  <c r="BH23" i="3" s="1"/>
  <c r="BH12" i="3"/>
  <c r="BH13" i="3"/>
  <c r="BH14" i="3"/>
  <c r="BH15" i="3"/>
  <c r="BH16" i="3"/>
  <c r="BH17" i="3"/>
  <c r="BH18" i="3"/>
  <c r="BH19" i="3"/>
  <c r="BH20" i="3"/>
  <c r="BH21" i="3"/>
  <c r="BH22" i="3"/>
  <c r="BG6" i="3"/>
  <c r="BG7" i="3"/>
  <c r="BG11" i="3"/>
  <c r="BG23" i="3" s="1"/>
  <c r="BG12" i="3"/>
  <c r="BG13" i="3"/>
  <c r="BG14" i="3"/>
  <c r="BG15" i="3"/>
  <c r="BG16" i="3"/>
  <c r="BG17" i="3"/>
  <c r="BG18" i="3"/>
  <c r="BG19" i="3"/>
  <c r="BG20" i="3"/>
  <c r="BG21" i="3"/>
  <c r="BG22" i="3"/>
  <c r="BF6" i="3"/>
  <c r="BF7" i="3"/>
  <c r="BF11" i="3"/>
  <c r="BF23" i="3" s="1"/>
  <c r="BF12" i="3"/>
  <c r="BF13" i="3"/>
  <c r="BF14" i="3"/>
  <c r="BF15" i="3"/>
  <c r="BF16" i="3"/>
  <c r="BF17" i="3"/>
  <c r="BF18" i="3"/>
  <c r="BF19" i="3"/>
  <c r="BF20" i="3"/>
  <c r="BF21" i="3"/>
  <c r="BF22" i="3"/>
  <c r="BE6" i="3"/>
  <c r="BE7" i="3"/>
  <c r="BE11" i="3"/>
  <c r="BE23" i="3" s="1"/>
  <c r="BE12" i="3"/>
  <c r="BE13" i="3"/>
  <c r="BE14" i="3"/>
  <c r="BE15" i="3"/>
  <c r="BE16" i="3"/>
  <c r="BE17" i="3"/>
  <c r="BE18" i="3"/>
  <c r="BE19" i="3"/>
  <c r="BE20" i="3"/>
  <c r="BE21" i="3"/>
  <c r="BE22" i="3"/>
  <c r="BD6" i="3"/>
  <c r="BD7" i="3"/>
  <c r="BD11" i="3"/>
  <c r="BD23" i="3" s="1"/>
  <c r="BD12" i="3"/>
  <c r="BD13" i="3"/>
  <c r="BD14" i="3"/>
  <c r="BD15" i="3"/>
  <c r="BD16" i="3"/>
  <c r="BD17" i="3"/>
  <c r="BD18" i="3"/>
  <c r="BD19" i="3"/>
  <c r="BD20" i="3"/>
  <c r="BD21" i="3"/>
  <c r="BD22" i="3"/>
  <c r="BC6" i="3"/>
  <c r="BC7" i="3"/>
  <c r="BC11" i="3"/>
  <c r="BC23" i="3" s="1"/>
  <c r="BC12" i="3"/>
  <c r="BC13" i="3"/>
  <c r="BC14" i="3"/>
  <c r="BC15" i="3"/>
  <c r="BC16" i="3"/>
  <c r="BC17" i="3"/>
  <c r="BC18" i="3"/>
  <c r="BC19" i="3"/>
  <c r="BC20" i="3"/>
  <c r="BC21" i="3"/>
  <c r="BC22" i="3"/>
  <c r="BB6" i="3"/>
  <c r="BB7" i="3"/>
  <c r="BB11" i="3"/>
  <c r="BB23" i="3" s="1"/>
  <c r="BB12" i="3"/>
  <c r="BB13" i="3"/>
  <c r="BB14" i="3"/>
  <c r="BB15" i="3"/>
  <c r="BB16" i="3"/>
  <c r="BB17" i="3"/>
  <c r="BB18" i="3"/>
  <c r="BB19" i="3"/>
  <c r="BB20" i="3"/>
  <c r="BB21" i="3"/>
  <c r="BB22" i="3"/>
  <c r="BA6" i="3"/>
  <c r="BA7" i="3"/>
  <c r="BA11" i="3"/>
  <c r="BA23" i="3" s="1"/>
  <c r="BA12" i="3"/>
  <c r="BA13" i="3"/>
  <c r="BA14" i="3"/>
  <c r="BA15" i="3"/>
  <c r="BA16" i="3"/>
  <c r="BA17" i="3"/>
  <c r="BA18" i="3"/>
  <c r="BA19" i="3"/>
  <c r="BA20" i="3"/>
  <c r="BA21" i="3"/>
  <c r="BA22" i="3"/>
  <c r="AZ6" i="3"/>
  <c r="AZ7" i="3"/>
  <c r="AZ11" i="3"/>
  <c r="AZ23" i="3" s="1"/>
  <c r="AZ12" i="3"/>
  <c r="AZ13" i="3"/>
  <c r="AZ14" i="3"/>
  <c r="AZ15" i="3"/>
  <c r="AZ16" i="3"/>
  <c r="AZ17" i="3"/>
  <c r="AZ18" i="3"/>
  <c r="AZ19" i="3"/>
  <c r="AZ20" i="3"/>
  <c r="AZ21" i="3"/>
  <c r="AZ22" i="3"/>
  <c r="AY6" i="3"/>
  <c r="AY7" i="3"/>
  <c r="AY11" i="3"/>
  <c r="AY23" i="3" s="1"/>
  <c r="AY12" i="3"/>
  <c r="AY13" i="3"/>
  <c r="AY14" i="3"/>
  <c r="AY15" i="3"/>
  <c r="AY16" i="3"/>
  <c r="AY17" i="3"/>
  <c r="AY18" i="3"/>
  <c r="AY19" i="3"/>
  <c r="AY20" i="3"/>
  <c r="AY21" i="3"/>
  <c r="AY22" i="3"/>
  <c r="AX6" i="3"/>
  <c r="AX7" i="3"/>
  <c r="AX11" i="3"/>
  <c r="AX23" i="3" s="1"/>
  <c r="AX12" i="3"/>
  <c r="AX13" i="3"/>
  <c r="AX14" i="3"/>
  <c r="AX15" i="3"/>
  <c r="AX16" i="3"/>
  <c r="AX17" i="3"/>
  <c r="AX18" i="3"/>
  <c r="AX19" i="3"/>
  <c r="AX20" i="3"/>
  <c r="AX21" i="3"/>
  <c r="AX22" i="3"/>
  <c r="AW6" i="3"/>
  <c r="AW7" i="3"/>
  <c r="AW11" i="3"/>
  <c r="AW23" i="3" s="1"/>
  <c r="AW12" i="3"/>
  <c r="AW13" i="3"/>
  <c r="AW14" i="3"/>
  <c r="AW15" i="3"/>
  <c r="AW16" i="3"/>
  <c r="AW17" i="3"/>
  <c r="AW18" i="3"/>
  <c r="AW19" i="3"/>
  <c r="AW20" i="3"/>
  <c r="AW21" i="3"/>
  <c r="AW22" i="3"/>
  <c r="AV6" i="3"/>
  <c r="AV7" i="3"/>
  <c r="AV11" i="3"/>
  <c r="AV23" i="3" s="1"/>
  <c r="AV12" i="3"/>
  <c r="AV13" i="3"/>
  <c r="AV14" i="3"/>
  <c r="AV15" i="3"/>
  <c r="AV16" i="3"/>
  <c r="AV17" i="3"/>
  <c r="AV18" i="3"/>
  <c r="AV19" i="3"/>
  <c r="AV20" i="3"/>
  <c r="AV21" i="3"/>
  <c r="AV22" i="3"/>
  <c r="AU6" i="3"/>
  <c r="AU7" i="3"/>
  <c r="AU11" i="3"/>
  <c r="AU23" i="3" s="1"/>
  <c r="AU12" i="3"/>
  <c r="AU13" i="3"/>
  <c r="AU14" i="3"/>
  <c r="AU15" i="3"/>
  <c r="AU16" i="3"/>
  <c r="AU17" i="3"/>
  <c r="AU18" i="3"/>
  <c r="AU19" i="3"/>
  <c r="AU20" i="3"/>
  <c r="AU21" i="3"/>
  <c r="AU22" i="3"/>
  <c r="AT6" i="3"/>
  <c r="AT7" i="3"/>
  <c r="AT11" i="3"/>
  <c r="AT23" i="3" s="1"/>
  <c r="AT12" i="3"/>
  <c r="AT13" i="3"/>
  <c r="AT14" i="3"/>
  <c r="AT15" i="3"/>
  <c r="AT16" i="3"/>
  <c r="AT17" i="3"/>
  <c r="AT18" i="3"/>
  <c r="AT19" i="3"/>
  <c r="AT20" i="3"/>
  <c r="AT21" i="3"/>
  <c r="AT22" i="3"/>
  <c r="AS6" i="3"/>
  <c r="AS7" i="3"/>
  <c r="AS11" i="3"/>
  <c r="AS23" i="3" s="1"/>
  <c r="AS12" i="3"/>
  <c r="AS13" i="3"/>
  <c r="AS14" i="3"/>
  <c r="AS15" i="3"/>
  <c r="AS16" i="3"/>
  <c r="AS17" i="3"/>
  <c r="AS18" i="3"/>
  <c r="AS19" i="3"/>
  <c r="AS20" i="3"/>
  <c r="AS21" i="3"/>
  <c r="AS22" i="3"/>
  <c r="AR6" i="3"/>
  <c r="AR7" i="3"/>
  <c r="AR11" i="3"/>
  <c r="AR23" i="3" s="1"/>
  <c r="AR12" i="3"/>
  <c r="AR13" i="3"/>
  <c r="AR14" i="3"/>
  <c r="AR15" i="3"/>
  <c r="AR16" i="3"/>
  <c r="AR17" i="3"/>
  <c r="AR18" i="3"/>
  <c r="AR19" i="3"/>
  <c r="AR20" i="3"/>
  <c r="AR21" i="3"/>
  <c r="AR22" i="3"/>
  <c r="AQ6" i="3"/>
  <c r="AQ7" i="3"/>
  <c r="AQ11" i="3"/>
  <c r="AQ23" i="3" s="1"/>
  <c r="AQ12" i="3"/>
  <c r="AQ13" i="3"/>
  <c r="AQ14" i="3"/>
  <c r="AQ15" i="3"/>
  <c r="AQ16" i="3"/>
  <c r="AQ17" i="3"/>
  <c r="AQ18" i="3"/>
  <c r="AQ19" i="3"/>
  <c r="AQ20" i="3"/>
  <c r="AQ21" i="3"/>
  <c r="AQ22" i="3"/>
  <c r="AP6" i="3"/>
  <c r="AP7" i="3"/>
  <c r="AP11" i="3"/>
  <c r="AP23" i="3" s="1"/>
  <c r="AP12" i="3"/>
  <c r="AP13" i="3"/>
  <c r="AP14" i="3"/>
  <c r="AP15" i="3"/>
  <c r="AP16" i="3"/>
  <c r="AP17" i="3"/>
  <c r="AP18" i="3"/>
  <c r="AP19" i="3"/>
  <c r="AP20" i="3"/>
  <c r="AP21" i="3"/>
  <c r="AP22" i="3"/>
  <c r="AO6" i="3"/>
  <c r="AO7" i="3"/>
  <c r="AO11" i="3"/>
  <c r="AO12" i="3"/>
  <c r="AO13" i="3"/>
  <c r="AO14" i="3"/>
  <c r="AO15" i="3"/>
  <c r="AO16" i="3"/>
  <c r="AO17" i="3"/>
  <c r="AO18" i="3"/>
  <c r="AO19" i="3"/>
  <c r="AO20" i="3"/>
  <c r="AO21" i="3"/>
  <c r="AO22" i="3"/>
  <c r="AN6" i="3"/>
  <c r="AN7" i="3"/>
  <c r="AN11" i="3"/>
  <c r="AN12" i="3"/>
  <c r="AN13" i="3"/>
  <c r="AN14" i="3"/>
  <c r="AN15" i="3"/>
  <c r="AN16" i="3"/>
  <c r="AN17" i="3"/>
  <c r="AN18" i="3"/>
  <c r="AN19" i="3"/>
  <c r="AN20" i="3"/>
  <c r="AN21" i="3"/>
  <c r="AN22" i="3"/>
  <c r="AM6" i="3"/>
  <c r="AM7" i="3"/>
  <c r="AM11" i="3"/>
  <c r="AM12" i="3"/>
  <c r="AM13" i="3"/>
  <c r="AM14" i="3"/>
  <c r="AM15" i="3"/>
  <c r="AM16" i="3"/>
  <c r="AM17" i="3"/>
  <c r="AM18" i="3"/>
  <c r="AM19" i="3"/>
  <c r="AM20" i="3"/>
  <c r="AM21" i="3"/>
  <c r="AM22" i="3"/>
  <c r="AL6" i="3"/>
  <c r="AL7" i="3"/>
  <c r="AL11" i="3"/>
  <c r="AL12" i="3"/>
  <c r="AL13" i="3"/>
  <c r="AL14" i="3"/>
  <c r="AL15" i="3"/>
  <c r="AL16" i="3"/>
  <c r="AL17" i="3"/>
  <c r="AL18" i="3"/>
  <c r="AL19" i="3"/>
  <c r="AL20" i="3"/>
  <c r="AL21" i="3"/>
  <c r="AL22" i="3"/>
  <c r="AK6" i="3"/>
  <c r="AK7" i="3"/>
  <c r="AK11" i="3"/>
  <c r="AK12" i="3"/>
  <c r="AK13" i="3"/>
  <c r="AK14" i="3"/>
  <c r="AK15" i="3"/>
  <c r="AK16" i="3"/>
  <c r="AK17" i="3"/>
  <c r="AK18" i="3"/>
  <c r="AK19" i="3"/>
  <c r="AK20" i="3"/>
  <c r="AK21" i="3"/>
  <c r="AK22" i="3"/>
  <c r="AJ6" i="3"/>
  <c r="AJ7" i="3"/>
  <c r="AJ11" i="3"/>
  <c r="AJ23" i="3" s="1"/>
  <c r="AJ12" i="3"/>
  <c r="AJ13" i="3"/>
  <c r="AJ14" i="3"/>
  <c r="AJ15" i="3"/>
  <c r="AJ16" i="3"/>
  <c r="AJ17" i="3"/>
  <c r="AJ18" i="3"/>
  <c r="AJ19" i="3"/>
  <c r="AJ20" i="3"/>
  <c r="AJ21" i="3"/>
  <c r="AJ22" i="3"/>
  <c r="AI7" i="3"/>
  <c r="AI11" i="3"/>
  <c r="AI23" i="3" s="1"/>
  <c r="AI12" i="3"/>
  <c r="AI13" i="3"/>
  <c r="AI14" i="3"/>
  <c r="AI15" i="3"/>
  <c r="AI16" i="3"/>
  <c r="AI17" i="3"/>
  <c r="AI18" i="3"/>
  <c r="AI19" i="3"/>
  <c r="AI20" i="3"/>
  <c r="AI21" i="3"/>
  <c r="AI22" i="3"/>
  <c r="AH6" i="3"/>
  <c r="AH7" i="3"/>
  <c r="AH11" i="3"/>
  <c r="AH23" i="3" s="1"/>
  <c r="AH12" i="3"/>
  <c r="AH13" i="3"/>
  <c r="AH14" i="3"/>
  <c r="AH15" i="3"/>
  <c r="AH16" i="3"/>
  <c r="AH17" i="3"/>
  <c r="AH18" i="3"/>
  <c r="AH19" i="3"/>
  <c r="AH20" i="3"/>
  <c r="AH21" i="3"/>
  <c r="AH22" i="3"/>
  <c r="AG6" i="3"/>
  <c r="AG7" i="3"/>
  <c r="AG11" i="3"/>
  <c r="AG23" i="3" s="1"/>
  <c r="AG12" i="3"/>
  <c r="AG13" i="3"/>
  <c r="AG14" i="3"/>
  <c r="AG15" i="3"/>
  <c r="AG16" i="3"/>
  <c r="AG17" i="3"/>
  <c r="AG18" i="3"/>
  <c r="AG19" i="3"/>
  <c r="AG20" i="3"/>
  <c r="AG21" i="3"/>
  <c r="AG22" i="3"/>
  <c r="AF6" i="3"/>
  <c r="AF7" i="3"/>
  <c r="AF11" i="3"/>
  <c r="AF23" i="3" s="1"/>
  <c r="AF12" i="3"/>
  <c r="AF13" i="3"/>
  <c r="AF14" i="3"/>
  <c r="AF15" i="3"/>
  <c r="AF16" i="3"/>
  <c r="AF17" i="3"/>
  <c r="AF18" i="3"/>
  <c r="AF19" i="3"/>
  <c r="AF20" i="3"/>
  <c r="AF21" i="3"/>
  <c r="AF22" i="3"/>
  <c r="AE6" i="3"/>
  <c r="AE7" i="3"/>
  <c r="AE11" i="3"/>
  <c r="AE23" i="3" s="1"/>
  <c r="AE12" i="3"/>
  <c r="AE13" i="3"/>
  <c r="AE14" i="3"/>
  <c r="AE15" i="3"/>
  <c r="AE16" i="3"/>
  <c r="AE17" i="3"/>
  <c r="AE18" i="3"/>
  <c r="AE19" i="3"/>
  <c r="AE20" i="3"/>
  <c r="AE21" i="3"/>
  <c r="AE22" i="3"/>
  <c r="AD6" i="3"/>
  <c r="AD7" i="3"/>
  <c r="AD11" i="3"/>
  <c r="AD23" i="3" s="1"/>
  <c r="AD12" i="3"/>
  <c r="AD13" i="3"/>
  <c r="AD14" i="3"/>
  <c r="AD15" i="3"/>
  <c r="AD16" i="3"/>
  <c r="AD17" i="3"/>
  <c r="AD18" i="3"/>
  <c r="AD19" i="3"/>
  <c r="AD20" i="3"/>
  <c r="AD21" i="3"/>
  <c r="AD22" i="3"/>
  <c r="AC6" i="3"/>
  <c r="AC7" i="3"/>
  <c r="AC11" i="3"/>
  <c r="AC23" i="3" s="1"/>
  <c r="AC12" i="3"/>
  <c r="AC13" i="3"/>
  <c r="AC14" i="3"/>
  <c r="AC15" i="3"/>
  <c r="AC16" i="3"/>
  <c r="AC17" i="3"/>
  <c r="AC18" i="3"/>
  <c r="AC19" i="3"/>
  <c r="AC20" i="3"/>
  <c r="AC21" i="3"/>
  <c r="AC22" i="3"/>
  <c r="AB6" i="3"/>
  <c r="AB7" i="3"/>
  <c r="AB11" i="3"/>
  <c r="AB23" i="3" s="1"/>
  <c r="AB12" i="3"/>
  <c r="AB13" i="3"/>
  <c r="AB14" i="3"/>
  <c r="AB15" i="3"/>
  <c r="AB16" i="3"/>
  <c r="AB17" i="3"/>
  <c r="AB18" i="3"/>
  <c r="AB19" i="3"/>
  <c r="AB20" i="3"/>
  <c r="AB21" i="3"/>
  <c r="AB22" i="3"/>
  <c r="AA6" i="3"/>
  <c r="AA7" i="3"/>
  <c r="AA11" i="3"/>
  <c r="AA23" i="3" s="1"/>
  <c r="AA12" i="3"/>
  <c r="AA13" i="3"/>
  <c r="AA14" i="3"/>
  <c r="AA15" i="3"/>
  <c r="AA16" i="3"/>
  <c r="AA17" i="3"/>
  <c r="AA18" i="3"/>
  <c r="AA19" i="3"/>
  <c r="AA20" i="3"/>
  <c r="AA21" i="3"/>
  <c r="AA22" i="3"/>
  <c r="Z6" i="3"/>
  <c r="Z7" i="3"/>
  <c r="Z11" i="3"/>
  <c r="Z23" i="3" s="1"/>
  <c r="Z12" i="3"/>
  <c r="Z13" i="3"/>
  <c r="Z14" i="3"/>
  <c r="Z15" i="3"/>
  <c r="Z16" i="3"/>
  <c r="Z17" i="3"/>
  <c r="Z18" i="3"/>
  <c r="Z19" i="3"/>
  <c r="Z20" i="3"/>
  <c r="Z21" i="3"/>
  <c r="Z22" i="3"/>
  <c r="Y6" i="3"/>
  <c r="Y7" i="3"/>
  <c r="Y11" i="3"/>
  <c r="Y23" i="3" s="1"/>
  <c r="Y12" i="3"/>
  <c r="Y13" i="3"/>
  <c r="Y14" i="3"/>
  <c r="Y15" i="3"/>
  <c r="Y16" i="3"/>
  <c r="Y17" i="3"/>
  <c r="Y18" i="3"/>
  <c r="Y19" i="3"/>
  <c r="Y20" i="3"/>
  <c r="Y21" i="3"/>
  <c r="Y22" i="3"/>
  <c r="X6" i="3"/>
  <c r="X7" i="3"/>
  <c r="X11" i="3"/>
  <c r="X23" i="3" s="1"/>
  <c r="X12" i="3"/>
  <c r="X13" i="3"/>
  <c r="X14" i="3"/>
  <c r="X15" i="3"/>
  <c r="X16" i="3"/>
  <c r="X17" i="3"/>
  <c r="X18" i="3"/>
  <c r="X19" i="3"/>
  <c r="X20" i="3"/>
  <c r="X21" i="3"/>
  <c r="X22" i="3"/>
  <c r="W6" i="3"/>
  <c r="W7" i="3"/>
  <c r="W11" i="3"/>
  <c r="W23" i="3" s="1"/>
  <c r="W12" i="3"/>
  <c r="W13" i="3"/>
  <c r="W14" i="3"/>
  <c r="W15" i="3"/>
  <c r="W16" i="3"/>
  <c r="W17" i="3"/>
  <c r="W18" i="3"/>
  <c r="W19" i="3"/>
  <c r="W20" i="3"/>
  <c r="W21" i="3"/>
  <c r="W22" i="3"/>
  <c r="V6" i="3"/>
  <c r="V7" i="3"/>
  <c r="V11" i="3"/>
  <c r="V23" i="3" s="1"/>
  <c r="V12" i="3"/>
  <c r="V13" i="3"/>
  <c r="V14" i="3"/>
  <c r="V15" i="3"/>
  <c r="V16" i="3"/>
  <c r="V17" i="3"/>
  <c r="V18" i="3"/>
  <c r="V19" i="3"/>
  <c r="V20" i="3"/>
  <c r="V21" i="3"/>
  <c r="V22" i="3"/>
  <c r="U6" i="3"/>
  <c r="U7" i="3"/>
  <c r="U11" i="3"/>
  <c r="U23" i="3" s="1"/>
  <c r="U12" i="3"/>
  <c r="U13" i="3"/>
  <c r="U14" i="3"/>
  <c r="U15" i="3"/>
  <c r="U16" i="3"/>
  <c r="U17" i="3"/>
  <c r="U18" i="3"/>
  <c r="U19" i="3"/>
  <c r="U20" i="3"/>
  <c r="U21" i="3"/>
  <c r="U22" i="3"/>
  <c r="T6" i="3"/>
  <c r="T7" i="3"/>
  <c r="T11" i="3"/>
  <c r="T23" i="3" s="1"/>
  <c r="T12" i="3"/>
  <c r="T13" i="3"/>
  <c r="T14" i="3"/>
  <c r="T15" i="3"/>
  <c r="T16" i="3"/>
  <c r="T17" i="3"/>
  <c r="T18" i="3"/>
  <c r="T19" i="3"/>
  <c r="T20" i="3"/>
  <c r="T21" i="3"/>
  <c r="T22" i="3"/>
  <c r="S6" i="3"/>
  <c r="S7" i="3"/>
  <c r="S11" i="3"/>
  <c r="S23" i="3" s="1"/>
  <c r="S12" i="3"/>
  <c r="S13" i="3"/>
  <c r="S14" i="3"/>
  <c r="S15" i="3"/>
  <c r="S16" i="3"/>
  <c r="S17" i="3"/>
  <c r="S18" i="3"/>
  <c r="S19" i="3"/>
  <c r="S20" i="3"/>
  <c r="S21" i="3"/>
  <c r="S22" i="3"/>
  <c r="R6" i="3"/>
  <c r="R7" i="3"/>
  <c r="R11" i="3"/>
  <c r="R23" i="3" s="1"/>
  <c r="R12" i="3"/>
  <c r="R13" i="3"/>
  <c r="R14" i="3"/>
  <c r="R15" i="3"/>
  <c r="R16" i="3"/>
  <c r="R17" i="3"/>
  <c r="R18" i="3"/>
  <c r="R19" i="3"/>
  <c r="R20" i="3"/>
  <c r="R21" i="3"/>
  <c r="R22" i="3"/>
  <c r="Q6" i="3"/>
  <c r="Q7" i="3"/>
  <c r="Q11" i="3"/>
  <c r="Q23" i="3" s="1"/>
  <c r="Q12" i="3"/>
  <c r="Q13" i="3"/>
  <c r="Q14" i="3"/>
  <c r="Q15" i="3"/>
  <c r="Q16" i="3"/>
  <c r="Q17" i="3"/>
  <c r="Q18" i="3"/>
  <c r="Q19" i="3"/>
  <c r="Q20" i="3"/>
  <c r="Q21" i="3"/>
  <c r="Q22" i="3"/>
  <c r="P6" i="3"/>
  <c r="P7" i="3"/>
  <c r="P11" i="3"/>
  <c r="P23" i="3" s="1"/>
  <c r="P12" i="3"/>
  <c r="P13" i="3"/>
  <c r="P14" i="3"/>
  <c r="P15" i="3"/>
  <c r="P16" i="3"/>
  <c r="P17" i="3"/>
  <c r="P18" i="3"/>
  <c r="P19" i="3"/>
  <c r="P20" i="3"/>
  <c r="P21" i="3"/>
  <c r="P22" i="3"/>
  <c r="O6" i="3"/>
  <c r="O7" i="3"/>
  <c r="O11" i="3"/>
  <c r="O23" i="3" s="1"/>
  <c r="O12" i="3"/>
  <c r="O13" i="3"/>
  <c r="O14" i="3"/>
  <c r="O15" i="3"/>
  <c r="O16" i="3"/>
  <c r="O17" i="3"/>
  <c r="O18" i="3"/>
  <c r="O19" i="3"/>
  <c r="O20" i="3"/>
  <c r="O21" i="3"/>
  <c r="O22" i="3"/>
  <c r="N6" i="3"/>
  <c r="N7" i="3"/>
  <c r="N11" i="3"/>
  <c r="N23" i="3" s="1"/>
  <c r="N12" i="3"/>
  <c r="N13" i="3"/>
  <c r="N14" i="3"/>
  <c r="N15" i="3"/>
  <c r="N16" i="3"/>
  <c r="N17" i="3"/>
  <c r="N18" i="3"/>
  <c r="N19" i="3"/>
  <c r="N20" i="3"/>
  <c r="N21" i="3"/>
  <c r="N22" i="3"/>
  <c r="M6" i="3"/>
  <c r="M7" i="3"/>
  <c r="M11" i="3"/>
  <c r="M23" i="3" s="1"/>
  <c r="M12" i="3"/>
  <c r="M13" i="3"/>
  <c r="M14" i="3"/>
  <c r="M15" i="3"/>
  <c r="M16" i="3"/>
  <c r="M17" i="3"/>
  <c r="M18" i="3"/>
  <c r="M19" i="3"/>
  <c r="M20" i="3"/>
  <c r="M21" i="3"/>
  <c r="M22" i="3"/>
  <c r="L6" i="3"/>
  <c r="L7" i="3"/>
  <c r="L11" i="3"/>
  <c r="L23" i="3" s="1"/>
  <c r="L12" i="3"/>
  <c r="L13" i="3"/>
  <c r="L14" i="3"/>
  <c r="L15" i="3"/>
  <c r="L16" i="3"/>
  <c r="L17" i="3"/>
  <c r="L18" i="3"/>
  <c r="L19" i="3"/>
  <c r="L20" i="3"/>
  <c r="L21" i="3"/>
  <c r="L22" i="3"/>
  <c r="K6" i="3"/>
  <c r="K7" i="3"/>
  <c r="K11" i="3"/>
  <c r="K23" i="3" s="1"/>
  <c r="K12" i="3"/>
  <c r="K13" i="3"/>
  <c r="K14" i="3"/>
  <c r="K15" i="3"/>
  <c r="K16" i="3"/>
  <c r="K17" i="3"/>
  <c r="K18" i="3"/>
  <c r="K19" i="3"/>
  <c r="K20" i="3"/>
  <c r="K21" i="3"/>
  <c r="K22" i="3"/>
  <c r="J6" i="3"/>
  <c r="J7" i="3"/>
  <c r="J11" i="3"/>
  <c r="J23" i="3" s="1"/>
  <c r="J12" i="3"/>
  <c r="J13" i="3"/>
  <c r="J14" i="3"/>
  <c r="J15" i="3"/>
  <c r="J16" i="3"/>
  <c r="J17" i="3"/>
  <c r="J18" i="3"/>
  <c r="J19" i="3"/>
  <c r="J20" i="3"/>
  <c r="J21" i="3"/>
  <c r="J22" i="3"/>
  <c r="I6" i="3"/>
  <c r="I7" i="3"/>
  <c r="I11" i="3"/>
  <c r="I23" i="3" s="1"/>
  <c r="I12" i="3"/>
  <c r="I13" i="3"/>
  <c r="I14" i="3"/>
  <c r="I15" i="3"/>
  <c r="I16" i="3"/>
  <c r="I17" i="3"/>
  <c r="I18" i="3"/>
  <c r="I19" i="3"/>
  <c r="I20" i="3"/>
  <c r="I21" i="3"/>
  <c r="I22" i="3"/>
  <c r="H6" i="3"/>
  <c r="H7" i="3"/>
  <c r="H11" i="3"/>
  <c r="H23" i="3" s="1"/>
  <c r="H12" i="3"/>
  <c r="H13" i="3"/>
  <c r="H14" i="3"/>
  <c r="H15" i="3"/>
  <c r="H16" i="3"/>
  <c r="H17" i="3"/>
  <c r="H18" i="3"/>
  <c r="H19" i="3"/>
  <c r="H20" i="3"/>
  <c r="H21" i="3"/>
  <c r="H22" i="3"/>
  <c r="G6" i="3"/>
  <c r="G7" i="3"/>
  <c r="G11" i="3"/>
  <c r="G23" i="3" s="1"/>
  <c r="G12" i="3"/>
  <c r="G13" i="3"/>
  <c r="G14" i="3"/>
  <c r="G15" i="3"/>
  <c r="G16" i="3"/>
  <c r="G17" i="3"/>
  <c r="G18" i="3"/>
  <c r="G19" i="3"/>
  <c r="G20" i="3"/>
  <c r="G21" i="3"/>
  <c r="G22" i="3"/>
  <c r="F6" i="3"/>
  <c r="F7" i="3"/>
  <c r="F11" i="3"/>
  <c r="F23" i="3" s="1"/>
  <c r="F12" i="3"/>
  <c r="F13" i="3"/>
  <c r="F14" i="3"/>
  <c r="F15" i="3"/>
  <c r="F16" i="3"/>
  <c r="F17" i="3"/>
  <c r="F18" i="3"/>
  <c r="F19" i="3"/>
  <c r="F20" i="3"/>
  <c r="F21" i="3"/>
  <c r="F22" i="3"/>
  <c r="E6" i="3"/>
  <c r="E7" i="3"/>
  <c r="E11" i="3"/>
  <c r="E23" i="3" s="1"/>
  <c r="E12" i="3"/>
  <c r="E13" i="3"/>
  <c r="E14" i="3"/>
  <c r="E15" i="3"/>
  <c r="E16" i="3"/>
  <c r="E17" i="3"/>
  <c r="E18" i="3"/>
  <c r="E19" i="3"/>
  <c r="E20" i="3"/>
  <c r="E21" i="3"/>
  <c r="E22" i="3"/>
  <c r="D6" i="3"/>
  <c r="D7" i="3"/>
  <c r="D11" i="3"/>
  <c r="D23" i="3" s="1"/>
  <c r="D12" i="3"/>
  <c r="D13" i="3"/>
  <c r="D14" i="3"/>
  <c r="D15" i="3"/>
  <c r="D16" i="3"/>
  <c r="D17" i="3"/>
  <c r="D18" i="3"/>
  <c r="D19" i="3"/>
  <c r="D20" i="3"/>
  <c r="D21" i="3"/>
  <c r="D22" i="3"/>
  <c r="C6" i="3"/>
  <c r="C7" i="3"/>
  <c r="C11" i="3"/>
  <c r="C23" i="3" s="1"/>
  <c r="C12" i="3"/>
  <c r="C13" i="3"/>
  <c r="C14" i="3"/>
  <c r="C15" i="3"/>
  <c r="C16" i="3"/>
  <c r="C17" i="3"/>
  <c r="C18" i="3"/>
  <c r="C19" i="3"/>
  <c r="C20" i="3"/>
  <c r="C21" i="3"/>
  <c r="C22" i="3"/>
  <c r="B7" i="3"/>
  <c r="B11" i="3"/>
  <c r="B12" i="3"/>
  <c r="B13" i="3"/>
  <c r="B14" i="3"/>
  <c r="B15" i="3"/>
  <c r="B16" i="3"/>
  <c r="B17" i="3"/>
  <c r="B18" i="3"/>
  <c r="B19" i="3"/>
  <c r="B20" i="3"/>
  <c r="B21" i="3"/>
  <c r="B22" i="3"/>
  <c r="CZ5" i="3"/>
  <c r="CZ8" i="3" s="1"/>
  <c r="CY5" i="3"/>
  <c r="CY8" i="3" s="1"/>
  <c r="CX5" i="3"/>
  <c r="CX8" i="3" s="1"/>
  <c r="CW5" i="3"/>
  <c r="CW8" i="3" s="1"/>
  <c r="CV5" i="3"/>
  <c r="CV8" i="3" s="1"/>
  <c r="CU5" i="3"/>
  <c r="CU8" i="3" s="1"/>
  <c r="CT5" i="3"/>
  <c r="CT8" i="3" s="1"/>
  <c r="CS5" i="3"/>
  <c r="CS8" i="3" s="1"/>
  <c r="CR5" i="3"/>
  <c r="CR8" i="3" s="1"/>
  <c r="CQ5" i="3"/>
  <c r="CQ8" i="3" s="1"/>
  <c r="CP5" i="3"/>
  <c r="CP8" i="3" s="1"/>
  <c r="CO5" i="3"/>
  <c r="CO8" i="3" s="1"/>
  <c r="CN5" i="3"/>
  <c r="CN8" i="3" s="1"/>
  <c r="CM5" i="3"/>
  <c r="CM8" i="3" s="1"/>
  <c r="CL5" i="3"/>
  <c r="CL8" i="3" s="1"/>
  <c r="CK5" i="3"/>
  <c r="CK8" i="3" s="1"/>
  <c r="CJ5" i="3"/>
  <c r="CJ8" i="3" s="1"/>
  <c r="CI5" i="3"/>
  <c r="CI8" i="3" s="1"/>
  <c r="CH5" i="3"/>
  <c r="CH8" i="3" s="1"/>
  <c r="CG5" i="3"/>
  <c r="CG8" i="3" s="1"/>
  <c r="CF5" i="3"/>
  <c r="CF8" i="3" s="1"/>
  <c r="CE5" i="3"/>
  <c r="CE8" i="3" s="1"/>
  <c r="CD5" i="3"/>
  <c r="CD8" i="3" s="1"/>
  <c r="CC5" i="3"/>
  <c r="CC8" i="3" s="1"/>
  <c r="CB5" i="3"/>
  <c r="CB8" i="3" s="1"/>
  <c r="CA5" i="3"/>
  <c r="CA8" i="3" s="1"/>
  <c r="BZ5" i="3"/>
  <c r="BZ8" i="3" s="1"/>
  <c r="BY5" i="3"/>
  <c r="BY8" i="3" s="1"/>
  <c r="BX5" i="3"/>
  <c r="BX8" i="3" s="1"/>
  <c r="BW5" i="3"/>
  <c r="BW8" i="3" s="1"/>
  <c r="BV5" i="3"/>
  <c r="BV8" i="3" s="1"/>
  <c r="BU5" i="3"/>
  <c r="BU8" i="3" s="1"/>
  <c r="BT5" i="3"/>
  <c r="BT8" i="3" s="1"/>
  <c r="BS5" i="3"/>
  <c r="BS8" i="3" s="1"/>
  <c r="BR5" i="3"/>
  <c r="BR8" i="3" s="1"/>
  <c r="BQ5" i="3"/>
  <c r="BQ8" i="3" s="1"/>
  <c r="BP5" i="3"/>
  <c r="BP8" i="3" s="1"/>
  <c r="BO5" i="3"/>
  <c r="BO8" i="3" s="1"/>
  <c r="BN5" i="3"/>
  <c r="BN8" i="3" s="1"/>
  <c r="BM5" i="3"/>
  <c r="BM8" i="3" s="1"/>
  <c r="BL5" i="3"/>
  <c r="BL8" i="3" s="1"/>
  <c r="BK5" i="3"/>
  <c r="BK8" i="3" s="1"/>
  <c r="BJ5" i="3"/>
  <c r="BJ8" i="3" s="1"/>
  <c r="BI5" i="3"/>
  <c r="BI8" i="3" s="1"/>
  <c r="BH5" i="3"/>
  <c r="BH8" i="3" s="1"/>
  <c r="BG5" i="3"/>
  <c r="BG8" i="3" s="1"/>
  <c r="BF5" i="3"/>
  <c r="BF8" i="3" s="1"/>
  <c r="BE5" i="3"/>
  <c r="BE8" i="3" s="1"/>
  <c r="BD5" i="3"/>
  <c r="BD8" i="3" s="1"/>
  <c r="BC5" i="3"/>
  <c r="BC8" i="3" s="1"/>
  <c r="BB5" i="3"/>
  <c r="BB8" i="3" s="1"/>
  <c r="BA5" i="3"/>
  <c r="BA8" i="3" s="1"/>
  <c r="AZ5" i="3"/>
  <c r="AZ8" i="3" s="1"/>
  <c r="AY5" i="3"/>
  <c r="AY8" i="3" s="1"/>
  <c r="AX5" i="3"/>
  <c r="AX8" i="3" s="1"/>
  <c r="AW5" i="3"/>
  <c r="AW8" i="3" s="1"/>
  <c r="AV5" i="3"/>
  <c r="AV8" i="3" s="1"/>
  <c r="AU5" i="3"/>
  <c r="AU8" i="3" s="1"/>
  <c r="AT5" i="3"/>
  <c r="AT8" i="3" s="1"/>
  <c r="AS5" i="3"/>
  <c r="AS8" i="3" s="1"/>
  <c r="AR5" i="3"/>
  <c r="AR8" i="3" s="1"/>
  <c r="AQ5" i="3"/>
  <c r="AQ8" i="3" s="1"/>
  <c r="AP5" i="3"/>
  <c r="AP8" i="3" s="1"/>
  <c r="AO5" i="3"/>
  <c r="AO8" i="3" s="1"/>
  <c r="AN5" i="3"/>
  <c r="AM5" i="3"/>
  <c r="AL5" i="3"/>
  <c r="AJ5" i="3"/>
  <c r="AJ8" i="3" s="1"/>
  <c r="AI8" i="3"/>
  <c r="AH5" i="3"/>
  <c r="AH8" i="3" s="1"/>
  <c r="AG5" i="3"/>
  <c r="AG8" i="3" s="1"/>
  <c r="AF5" i="3"/>
  <c r="AF8" i="3" s="1"/>
  <c r="AE5" i="3"/>
  <c r="AE8" i="3" s="1"/>
  <c r="AD5" i="3"/>
  <c r="AD8" i="3" s="1"/>
  <c r="AC5" i="3"/>
  <c r="AC8" i="3" s="1"/>
  <c r="AB5" i="3"/>
  <c r="AB8" i="3" s="1"/>
  <c r="AA5" i="3"/>
  <c r="AA8" i="3" s="1"/>
  <c r="Z5" i="3"/>
  <c r="Z8" i="3" s="1"/>
  <c r="Y5" i="3"/>
  <c r="Y8" i="3" s="1"/>
  <c r="X5" i="3"/>
  <c r="X8" i="3" s="1"/>
  <c r="W5" i="3"/>
  <c r="W8" i="3" s="1"/>
  <c r="V5" i="3"/>
  <c r="V8" i="3" s="1"/>
  <c r="U5" i="3"/>
  <c r="U8" i="3" s="1"/>
  <c r="T5" i="3"/>
  <c r="T8" i="3" s="1"/>
  <c r="S5" i="3"/>
  <c r="S8" i="3" s="1"/>
  <c r="R5" i="3"/>
  <c r="R8" i="3" s="1"/>
  <c r="Q5" i="3"/>
  <c r="Q8" i="3" s="1"/>
  <c r="P5" i="3"/>
  <c r="P8" i="3" s="1"/>
  <c r="O5" i="3"/>
  <c r="O8" i="3" s="1"/>
  <c r="N5" i="3"/>
  <c r="N8" i="3" s="1"/>
  <c r="M5" i="3"/>
  <c r="M8" i="3" s="1"/>
  <c r="L5" i="3"/>
  <c r="L8" i="3" s="1"/>
  <c r="K5" i="3"/>
  <c r="K8" i="3" s="1"/>
  <c r="J5" i="3"/>
  <c r="J8" i="3" s="1"/>
  <c r="I5" i="3"/>
  <c r="I8" i="3" s="1"/>
  <c r="H5" i="3"/>
  <c r="H8" i="3" s="1"/>
  <c r="G5" i="3"/>
  <c r="G8" i="3" s="1"/>
  <c r="F5" i="3"/>
  <c r="F8" i="3" s="1"/>
  <c r="E5" i="3"/>
  <c r="E8" i="3" s="1"/>
  <c r="D5" i="3"/>
  <c r="D8" i="3" s="1"/>
  <c r="C5" i="3"/>
  <c r="C8" i="3" s="1"/>
  <c r="AK5" i="3"/>
  <c r="CZ7" i="2"/>
  <c r="CZ8" i="2"/>
  <c r="CZ9" i="2"/>
  <c r="CZ13" i="2"/>
  <c r="CZ18" i="2"/>
  <c r="CZ19" i="2"/>
  <c r="CZ20" i="2"/>
  <c r="CZ21" i="2"/>
  <c r="CZ22" i="2"/>
  <c r="CZ23" i="2"/>
  <c r="CZ24" i="2"/>
  <c r="CZ25" i="2"/>
  <c r="CZ30" i="2"/>
  <c r="CZ40" i="2" s="1"/>
  <c r="CZ31" i="2"/>
  <c r="CZ32" i="2"/>
  <c r="CZ33" i="2"/>
  <c r="CZ34" i="2"/>
  <c r="CZ35" i="2"/>
  <c r="CZ36" i="2"/>
  <c r="CZ37" i="2"/>
  <c r="CZ38" i="2"/>
  <c r="CZ42" i="2"/>
  <c r="CY7" i="2"/>
  <c r="CY8" i="2"/>
  <c r="CY9" i="2"/>
  <c r="CY13" i="2"/>
  <c r="CY18" i="2"/>
  <c r="CY19" i="2"/>
  <c r="CY20" i="2"/>
  <c r="CY21" i="2"/>
  <c r="CY22" i="2"/>
  <c r="CY23" i="2"/>
  <c r="CY24" i="2"/>
  <c r="CY25" i="2"/>
  <c r="CY30" i="2"/>
  <c r="CY40" i="2" s="1"/>
  <c r="CY31" i="2"/>
  <c r="CY32" i="2"/>
  <c r="CY33" i="2"/>
  <c r="CY34" i="2"/>
  <c r="CY35" i="2"/>
  <c r="CY36" i="2"/>
  <c r="CY37" i="2"/>
  <c r="CY38" i="2"/>
  <c r="CY42" i="2"/>
  <c r="CX7" i="2"/>
  <c r="CX8" i="2"/>
  <c r="CX9" i="2"/>
  <c r="CX13" i="2"/>
  <c r="CX18" i="2"/>
  <c r="CX19" i="2"/>
  <c r="CX20" i="2"/>
  <c r="CX21" i="2"/>
  <c r="CX22" i="2"/>
  <c r="CX23" i="2"/>
  <c r="CX24" i="2"/>
  <c r="CX25" i="2"/>
  <c r="CX30" i="2"/>
  <c r="CX40" i="2" s="1"/>
  <c r="CX31" i="2"/>
  <c r="CX32" i="2"/>
  <c r="CX33" i="2"/>
  <c r="CX34" i="2"/>
  <c r="CX35" i="2"/>
  <c r="CX36" i="2"/>
  <c r="CX37" i="2"/>
  <c r="CX38" i="2"/>
  <c r="CX42" i="2"/>
  <c r="CW7" i="2"/>
  <c r="CW8" i="2"/>
  <c r="CW9" i="2"/>
  <c r="CW13" i="2"/>
  <c r="CW18" i="2"/>
  <c r="CW19" i="2"/>
  <c r="CW20" i="2"/>
  <c r="CW21" i="2"/>
  <c r="CW22" i="2"/>
  <c r="CW23" i="2"/>
  <c r="CW24" i="2"/>
  <c r="CW25" i="2"/>
  <c r="CW30" i="2"/>
  <c r="CW40" i="2" s="1"/>
  <c r="CW31" i="2"/>
  <c r="CW32" i="2"/>
  <c r="CW33" i="2"/>
  <c r="CW34" i="2"/>
  <c r="CW35" i="2"/>
  <c r="CW36" i="2"/>
  <c r="CW37" i="2"/>
  <c r="CW38" i="2"/>
  <c r="CW42" i="2"/>
  <c r="CV7" i="2"/>
  <c r="CV8" i="2"/>
  <c r="CV9" i="2"/>
  <c r="CV13" i="2"/>
  <c r="CV18" i="2"/>
  <c r="CV19" i="2"/>
  <c r="CV20" i="2"/>
  <c r="CV21" i="2"/>
  <c r="CV22" i="2"/>
  <c r="CV23" i="2"/>
  <c r="CV24" i="2"/>
  <c r="CV25" i="2"/>
  <c r="CV30" i="2"/>
  <c r="CV40" i="2" s="1"/>
  <c r="CV31" i="2"/>
  <c r="CV32" i="2"/>
  <c r="CV33" i="2"/>
  <c r="CV34" i="2"/>
  <c r="CV35" i="2"/>
  <c r="CV36" i="2"/>
  <c r="CV37" i="2"/>
  <c r="CV38" i="2"/>
  <c r="CV42" i="2"/>
  <c r="CU7" i="2"/>
  <c r="CU8" i="2"/>
  <c r="CU9" i="2"/>
  <c r="CU13" i="2"/>
  <c r="CU18" i="2"/>
  <c r="CU19" i="2"/>
  <c r="CU20" i="2"/>
  <c r="CU21" i="2"/>
  <c r="CU22" i="2"/>
  <c r="CU23" i="2"/>
  <c r="CU24" i="2"/>
  <c r="CU25" i="2"/>
  <c r="CU30" i="2"/>
  <c r="CU40" i="2" s="1"/>
  <c r="CU31" i="2"/>
  <c r="CU32" i="2"/>
  <c r="CU33" i="2"/>
  <c r="CU34" i="2"/>
  <c r="CU35" i="2"/>
  <c r="CU36" i="2"/>
  <c r="CU37" i="2"/>
  <c r="CU38" i="2"/>
  <c r="CU42" i="2"/>
  <c r="CT7" i="2"/>
  <c r="CT8" i="2"/>
  <c r="CT9" i="2"/>
  <c r="CT13" i="2"/>
  <c r="CT18" i="2"/>
  <c r="CT19" i="2"/>
  <c r="CT20" i="2"/>
  <c r="CT21" i="2"/>
  <c r="CT22" i="2"/>
  <c r="CT23" i="2"/>
  <c r="CT24" i="2"/>
  <c r="CT25" i="2"/>
  <c r="CT30" i="2"/>
  <c r="CT40" i="2" s="1"/>
  <c r="CT31" i="2"/>
  <c r="CT32" i="2"/>
  <c r="CT33" i="2"/>
  <c r="CT34" i="2"/>
  <c r="CT35" i="2"/>
  <c r="CT36" i="2"/>
  <c r="CT37" i="2"/>
  <c r="CT38" i="2"/>
  <c r="CT42" i="2"/>
  <c r="CS7" i="2"/>
  <c r="CS8" i="2"/>
  <c r="CS9" i="2"/>
  <c r="CS13" i="2"/>
  <c r="CS18" i="2"/>
  <c r="CS19" i="2"/>
  <c r="CS20" i="2"/>
  <c r="CS21" i="2"/>
  <c r="CS22" i="2"/>
  <c r="CS23" i="2"/>
  <c r="CS24" i="2"/>
  <c r="CS25" i="2"/>
  <c r="CS30" i="2"/>
  <c r="CS40" i="2" s="1"/>
  <c r="CS31" i="2"/>
  <c r="CS32" i="2"/>
  <c r="CS33" i="2"/>
  <c r="CS34" i="2"/>
  <c r="CS35" i="2"/>
  <c r="CS36" i="2"/>
  <c r="CS37" i="2"/>
  <c r="CS38" i="2"/>
  <c r="CS42" i="2"/>
  <c r="CR7" i="2"/>
  <c r="CR8" i="2"/>
  <c r="CR9" i="2"/>
  <c r="CR13" i="2"/>
  <c r="CR18" i="2"/>
  <c r="CR19" i="2"/>
  <c r="CR20" i="2"/>
  <c r="CR21" i="2"/>
  <c r="CR22" i="2"/>
  <c r="CR23" i="2"/>
  <c r="CR24" i="2"/>
  <c r="CR25" i="2"/>
  <c r="CR30" i="2"/>
  <c r="CR40" i="2" s="1"/>
  <c r="CR31" i="2"/>
  <c r="CR32" i="2"/>
  <c r="CR33" i="2"/>
  <c r="CR34" i="2"/>
  <c r="CR35" i="2"/>
  <c r="CR36" i="2"/>
  <c r="CR37" i="2"/>
  <c r="CR38" i="2"/>
  <c r="CR42" i="2"/>
  <c r="CQ7" i="2"/>
  <c r="CQ8" i="2"/>
  <c r="CQ9" i="2"/>
  <c r="CQ13" i="2"/>
  <c r="CQ18" i="2"/>
  <c r="CQ19" i="2"/>
  <c r="CQ20" i="2"/>
  <c r="CQ21" i="2"/>
  <c r="CQ22" i="2"/>
  <c r="CQ23" i="2"/>
  <c r="CQ24" i="2"/>
  <c r="CQ25" i="2"/>
  <c r="CQ30" i="2"/>
  <c r="CQ40" i="2" s="1"/>
  <c r="CQ31" i="2"/>
  <c r="CQ32" i="2"/>
  <c r="CQ33" i="2"/>
  <c r="CQ34" i="2"/>
  <c r="CQ35" i="2"/>
  <c r="CQ36" i="2"/>
  <c r="CQ37" i="2"/>
  <c r="CQ38" i="2"/>
  <c r="CQ42" i="2"/>
  <c r="CP7" i="2"/>
  <c r="CP8" i="2"/>
  <c r="CP9" i="2"/>
  <c r="CP13" i="2"/>
  <c r="CP18" i="2"/>
  <c r="CP19" i="2"/>
  <c r="CP20" i="2"/>
  <c r="CP21" i="2"/>
  <c r="CP22" i="2"/>
  <c r="CP23" i="2"/>
  <c r="CP24" i="2"/>
  <c r="CP25" i="2"/>
  <c r="CP30" i="2"/>
  <c r="CP40" i="2" s="1"/>
  <c r="CP31" i="2"/>
  <c r="CP32" i="2"/>
  <c r="CP33" i="2"/>
  <c r="CP34" i="2"/>
  <c r="CP35" i="2"/>
  <c r="CP36" i="2"/>
  <c r="CP37" i="2"/>
  <c r="CP38" i="2"/>
  <c r="CP42" i="2"/>
  <c r="CO7" i="2"/>
  <c r="CO8" i="2"/>
  <c r="CO9" i="2"/>
  <c r="CO13" i="2"/>
  <c r="CO18" i="2"/>
  <c r="CO19" i="2"/>
  <c r="CO20" i="2"/>
  <c r="CO21" i="2"/>
  <c r="CO22" i="2"/>
  <c r="CO23" i="2"/>
  <c r="CO24" i="2"/>
  <c r="CO25" i="2"/>
  <c r="CO30" i="2"/>
  <c r="CO40" i="2" s="1"/>
  <c r="CO31" i="2"/>
  <c r="CO32" i="2"/>
  <c r="CO33" i="2"/>
  <c r="CO34" i="2"/>
  <c r="CO35" i="2"/>
  <c r="CO36" i="2"/>
  <c r="CO37" i="2"/>
  <c r="CO38" i="2"/>
  <c r="CO42" i="2"/>
  <c r="CN7" i="2"/>
  <c r="CN8" i="2"/>
  <c r="CN9" i="2"/>
  <c r="CN13" i="2"/>
  <c r="CN18" i="2"/>
  <c r="CN19" i="2"/>
  <c r="CN20" i="2"/>
  <c r="CN21" i="2"/>
  <c r="CN22" i="2"/>
  <c r="CN23" i="2"/>
  <c r="CN24" i="2"/>
  <c r="CN25" i="2"/>
  <c r="CN30" i="2"/>
  <c r="CN40" i="2" s="1"/>
  <c r="CN31" i="2"/>
  <c r="CN32" i="2"/>
  <c r="CN33" i="2"/>
  <c r="CN34" i="2"/>
  <c r="CN35" i="2"/>
  <c r="CN36" i="2"/>
  <c r="CN37" i="2"/>
  <c r="CN38" i="2"/>
  <c r="CN42" i="2"/>
  <c r="CM7" i="2"/>
  <c r="CM8" i="2"/>
  <c r="CM9" i="2"/>
  <c r="CM13" i="2"/>
  <c r="CM18" i="2"/>
  <c r="CM19" i="2"/>
  <c r="CM20" i="2"/>
  <c r="CM21" i="2"/>
  <c r="CM22" i="2"/>
  <c r="CM23" i="2"/>
  <c r="CM24" i="2"/>
  <c r="CM25" i="2"/>
  <c r="CM30" i="2"/>
  <c r="CM40" i="2" s="1"/>
  <c r="CM31" i="2"/>
  <c r="CM32" i="2"/>
  <c r="CM33" i="2"/>
  <c r="CM34" i="2"/>
  <c r="CM35" i="2"/>
  <c r="CM36" i="2"/>
  <c r="CM37" i="2"/>
  <c r="CM38" i="2"/>
  <c r="CM42" i="2"/>
  <c r="CL7" i="2"/>
  <c r="CL8" i="2"/>
  <c r="CL9" i="2"/>
  <c r="CL13" i="2"/>
  <c r="CL18" i="2"/>
  <c r="CL19" i="2"/>
  <c r="CL20" i="2"/>
  <c r="CL21" i="2"/>
  <c r="CL22" i="2"/>
  <c r="CL23" i="2"/>
  <c r="CL24" i="2"/>
  <c r="CL25" i="2"/>
  <c r="CL30" i="2"/>
  <c r="CL40" i="2" s="1"/>
  <c r="CL31" i="2"/>
  <c r="CL32" i="2"/>
  <c r="CL33" i="2"/>
  <c r="CL34" i="2"/>
  <c r="CL35" i="2"/>
  <c r="CL36" i="2"/>
  <c r="CL37" i="2"/>
  <c r="CL38" i="2"/>
  <c r="CL42" i="2"/>
  <c r="CK7" i="2"/>
  <c r="CK8" i="2"/>
  <c r="CK9" i="2"/>
  <c r="CK13" i="2"/>
  <c r="CK18" i="2"/>
  <c r="CK19" i="2"/>
  <c r="CK20" i="2"/>
  <c r="CK21" i="2"/>
  <c r="CK22" i="2"/>
  <c r="CK23" i="2"/>
  <c r="CK24" i="2"/>
  <c r="CK25" i="2"/>
  <c r="CK30" i="2"/>
  <c r="CK40" i="2" s="1"/>
  <c r="CK31" i="2"/>
  <c r="CK32" i="2"/>
  <c r="CK33" i="2"/>
  <c r="CK34" i="2"/>
  <c r="CK35" i="2"/>
  <c r="CK36" i="2"/>
  <c r="CK37" i="2"/>
  <c r="CK38" i="2"/>
  <c r="CK42" i="2"/>
  <c r="CJ7" i="2"/>
  <c r="CJ8" i="2"/>
  <c r="CJ9" i="2"/>
  <c r="CJ13" i="2"/>
  <c r="CJ18" i="2"/>
  <c r="CJ19" i="2"/>
  <c r="CJ20" i="2"/>
  <c r="CJ21" i="2"/>
  <c r="CJ22" i="2"/>
  <c r="CJ23" i="2"/>
  <c r="CJ24" i="2"/>
  <c r="CJ25" i="2"/>
  <c r="CJ30" i="2"/>
  <c r="CJ40" i="2" s="1"/>
  <c r="CJ31" i="2"/>
  <c r="CJ32" i="2"/>
  <c r="CJ33" i="2"/>
  <c r="CJ34" i="2"/>
  <c r="CJ35" i="2"/>
  <c r="CJ36" i="2"/>
  <c r="CJ37" i="2"/>
  <c r="CJ38" i="2"/>
  <c r="CJ42" i="2"/>
  <c r="CI7" i="2"/>
  <c r="CI8" i="2"/>
  <c r="CI9" i="2"/>
  <c r="CI13" i="2"/>
  <c r="CI18" i="2"/>
  <c r="CI19" i="2"/>
  <c r="CI20" i="2"/>
  <c r="CI21" i="2"/>
  <c r="CI22" i="2"/>
  <c r="CI23" i="2"/>
  <c r="CI24" i="2"/>
  <c r="CI25" i="2"/>
  <c r="CI30" i="2"/>
  <c r="CI40" i="2" s="1"/>
  <c r="CI31" i="2"/>
  <c r="CI32" i="2"/>
  <c r="CI33" i="2"/>
  <c r="CI34" i="2"/>
  <c r="CI35" i="2"/>
  <c r="CI36" i="2"/>
  <c r="CI37" i="2"/>
  <c r="CI38" i="2"/>
  <c r="CI42" i="2"/>
  <c r="CH7" i="2"/>
  <c r="CH8" i="2"/>
  <c r="CH9" i="2"/>
  <c r="CH13" i="2"/>
  <c r="CH18" i="2"/>
  <c r="CH19" i="2"/>
  <c r="CH20" i="2"/>
  <c r="CH21" i="2"/>
  <c r="CH22" i="2"/>
  <c r="CH23" i="2"/>
  <c r="CH24" i="2"/>
  <c r="CH25" i="2"/>
  <c r="CH30" i="2"/>
  <c r="CH40" i="2" s="1"/>
  <c r="CH31" i="2"/>
  <c r="CH32" i="2"/>
  <c r="CH33" i="2"/>
  <c r="CH34" i="2"/>
  <c r="CH35" i="2"/>
  <c r="CH36" i="2"/>
  <c r="CH37" i="2"/>
  <c r="CH38" i="2"/>
  <c r="CH42" i="2"/>
  <c r="CG7" i="2"/>
  <c r="CG8" i="2"/>
  <c r="CG9" i="2"/>
  <c r="CG13" i="2"/>
  <c r="CG18" i="2"/>
  <c r="CG19" i="2"/>
  <c r="CG20" i="2"/>
  <c r="CG21" i="2"/>
  <c r="CG22" i="2"/>
  <c r="CG23" i="2"/>
  <c r="CG24" i="2"/>
  <c r="CG25" i="2"/>
  <c r="CG30" i="2"/>
  <c r="CG40" i="2" s="1"/>
  <c r="CG31" i="2"/>
  <c r="CG32" i="2"/>
  <c r="CG33" i="2"/>
  <c r="CG34" i="2"/>
  <c r="CG35" i="2"/>
  <c r="CG36" i="2"/>
  <c r="CG37" i="2"/>
  <c r="CG38" i="2"/>
  <c r="CG42" i="2"/>
  <c r="CF7" i="2"/>
  <c r="CF8" i="2"/>
  <c r="CF9" i="2"/>
  <c r="CF13" i="2"/>
  <c r="CF18" i="2"/>
  <c r="CF19" i="2"/>
  <c r="CF20" i="2"/>
  <c r="CF21" i="2"/>
  <c r="CF22" i="2"/>
  <c r="CF23" i="2"/>
  <c r="CF24" i="2"/>
  <c r="CF25" i="2"/>
  <c r="CF30" i="2"/>
  <c r="CF40" i="2" s="1"/>
  <c r="CF31" i="2"/>
  <c r="CF32" i="2"/>
  <c r="CF33" i="2"/>
  <c r="CF34" i="2"/>
  <c r="CF35" i="2"/>
  <c r="CF36" i="2"/>
  <c r="CF37" i="2"/>
  <c r="CF38" i="2"/>
  <c r="CF42" i="2"/>
  <c r="CE7" i="2"/>
  <c r="CE8" i="2"/>
  <c r="CE9" i="2"/>
  <c r="CE13" i="2"/>
  <c r="CE18" i="2"/>
  <c r="CE19" i="2"/>
  <c r="CE20" i="2"/>
  <c r="CE21" i="2"/>
  <c r="CE22" i="2"/>
  <c r="CE23" i="2"/>
  <c r="CE24" i="2"/>
  <c r="CE25" i="2"/>
  <c r="CE30" i="2"/>
  <c r="CE40" i="2" s="1"/>
  <c r="CE31" i="2"/>
  <c r="CE32" i="2"/>
  <c r="CE33" i="2"/>
  <c r="CE34" i="2"/>
  <c r="CE35" i="2"/>
  <c r="CE36" i="2"/>
  <c r="CE37" i="2"/>
  <c r="CE38" i="2"/>
  <c r="CE42" i="2"/>
  <c r="CD7" i="2"/>
  <c r="CD8" i="2"/>
  <c r="CD9" i="2"/>
  <c r="CD13" i="2"/>
  <c r="CD18" i="2"/>
  <c r="CD19" i="2"/>
  <c r="CD20" i="2"/>
  <c r="CD21" i="2"/>
  <c r="CD22" i="2"/>
  <c r="CD23" i="2"/>
  <c r="CD24" i="2"/>
  <c r="CD25" i="2"/>
  <c r="CD30" i="2"/>
  <c r="CD40" i="2" s="1"/>
  <c r="CD31" i="2"/>
  <c r="CD32" i="2"/>
  <c r="CD33" i="2"/>
  <c r="CD34" i="2"/>
  <c r="CD35" i="2"/>
  <c r="CD36" i="2"/>
  <c r="CD37" i="2"/>
  <c r="CD38" i="2"/>
  <c r="CD42" i="2"/>
  <c r="CC7" i="2"/>
  <c r="CC8" i="2"/>
  <c r="CC9" i="2"/>
  <c r="CC13" i="2"/>
  <c r="CC18" i="2"/>
  <c r="CC19" i="2"/>
  <c r="CC20" i="2"/>
  <c r="CC21" i="2"/>
  <c r="CC22" i="2"/>
  <c r="CC23" i="2"/>
  <c r="CC24" i="2"/>
  <c r="CC25" i="2"/>
  <c r="CC30" i="2"/>
  <c r="CC40" i="2" s="1"/>
  <c r="CC31" i="2"/>
  <c r="CC32" i="2"/>
  <c r="CC33" i="2"/>
  <c r="CC34" i="2"/>
  <c r="CC35" i="2"/>
  <c r="CC36" i="2"/>
  <c r="CC37" i="2"/>
  <c r="CC38" i="2"/>
  <c r="CC42" i="2"/>
  <c r="CB7" i="2"/>
  <c r="CB8" i="2"/>
  <c r="CB9" i="2"/>
  <c r="CB13" i="2"/>
  <c r="CB18" i="2"/>
  <c r="CB19" i="2"/>
  <c r="CB20" i="2"/>
  <c r="CB21" i="2"/>
  <c r="CB22" i="2"/>
  <c r="CB23" i="2"/>
  <c r="CB24" i="2"/>
  <c r="CB25" i="2"/>
  <c r="CB30" i="2"/>
  <c r="CB40" i="2" s="1"/>
  <c r="CB31" i="2"/>
  <c r="CB32" i="2"/>
  <c r="CB33" i="2"/>
  <c r="CB34" i="2"/>
  <c r="CB35" i="2"/>
  <c r="CB36" i="2"/>
  <c r="CB37" i="2"/>
  <c r="CB38" i="2"/>
  <c r="CB42" i="2"/>
  <c r="CA7" i="2"/>
  <c r="CA8" i="2"/>
  <c r="CA9" i="2"/>
  <c r="CA13" i="2"/>
  <c r="CA18" i="2"/>
  <c r="CA19" i="2"/>
  <c r="CA20" i="2"/>
  <c r="CA21" i="2"/>
  <c r="CA22" i="2"/>
  <c r="CA23" i="2"/>
  <c r="CA24" i="2"/>
  <c r="CA25" i="2"/>
  <c r="CA30" i="2"/>
  <c r="CA40" i="2" s="1"/>
  <c r="CA31" i="2"/>
  <c r="CA32" i="2"/>
  <c r="CA33" i="2"/>
  <c r="CA34" i="2"/>
  <c r="CA35" i="2"/>
  <c r="CA36" i="2"/>
  <c r="CA37" i="2"/>
  <c r="CA38" i="2"/>
  <c r="CA42" i="2"/>
  <c r="BZ7" i="2"/>
  <c r="BZ8" i="2"/>
  <c r="BZ9" i="2"/>
  <c r="BZ13" i="2"/>
  <c r="BZ18" i="2"/>
  <c r="BZ19" i="2"/>
  <c r="BZ20" i="2"/>
  <c r="BZ21" i="2"/>
  <c r="BZ22" i="2"/>
  <c r="BZ23" i="2"/>
  <c r="BZ24" i="2"/>
  <c r="BZ25" i="2"/>
  <c r="BZ30" i="2"/>
  <c r="BZ40" i="2" s="1"/>
  <c r="BZ31" i="2"/>
  <c r="BZ32" i="2"/>
  <c r="BZ33" i="2"/>
  <c r="BZ34" i="2"/>
  <c r="BZ35" i="2"/>
  <c r="BZ36" i="2"/>
  <c r="BZ37" i="2"/>
  <c r="BZ38" i="2"/>
  <c r="BZ42" i="2"/>
  <c r="BY7" i="2"/>
  <c r="BY8" i="2"/>
  <c r="BY9" i="2"/>
  <c r="BY13" i="2"/>
  <c r="BY18" i="2"/>
  <c r="BY19" i="2"/>
  <c r="BY20" i="2"/>
  <c r="BY21" i="2"/>
  <c r="BY22" i="2"/>
  <c r="BY23" i="2"/>
  <c r="BY24" i="2"/>
  <c r="BY25" i="2"/>
  <c r="BY30" i="2"/>
  <c r="BY40" i="2" s="1"/>
  <c r="BY31" i="2"/>
  <c r="BY32" i="2"/>
  <c r="BY33" i="2"/>
  <c r="BY34" i="2"/>
  <c r="BY35" i="2"/>
  <c r="BY36" i="2"/>
  <c r="BY37" i="2"/>
  <c r="BY38" i="2"/>
  <c r="BY42" i="2"/>
  <c r="BX7" i="2"/>
  <c r="BX8" i="2"/>
  <c r="BX9" i="2"/>
  <c r="BX13" i="2"/>
  <c r="BX18" i="2"/>
  <c r="BX19" i="2"/>
  <c r="BX20" i="2"/>
  <c r="BX21" i="2"/>
  <c r="BX22" i="2"/>
  <c r="BX23" i="2"/>
  <c r="BX24" i="2"/>
  <c r="BX25" i="2"/>
  <c r="BX30" i="2"/>
  <c r="BX40" i="2" s="1"/>
  <c r="BX31" i="2"/>
  <c r="BX32" i="2"/>
  <c r="BX33" i="2"/>
  <c r="BX34" i="2"/>
  <c r="BX35" i="2"/>
  <c r="BX36" i="2"/>
  <c r="BX37" i="2"/>
  <c r="BX38" i="2"/>
  <c r="BX42" i="2"/>
  <c r="BW7" i="2"/>
  <c r="BW8" i="2"/>
  <c r="BW9" i="2"/>
  <c r="BW13" i="2"/>
  <c r="BW18" i="2"/>
  <c r="BW19" i="2"/>
  <c r="BW20" i="2"/>
  <c r="BW21" i="2"/>
  <c r="BW22" i="2"/>
  <c r="BW23" i="2"/>
  <c r="BW24" i="2"/>
  <c r="BW25" i="2"/>
  <c r="BW30" i="2"/>
  <c r="BW40" i="2" s="1"/>
  <c r="BW31" i="2"/>
  <c r="BW32" i="2"/>
  <c r="BW33" i="2"/>
  <c r="BW34" i="2"/>
  <c r="BW35" i="2"/>
  <c r="BW36" i="2"/>
  <c r="BW37" i="2"/>
  <c r="BW38" i="2"/>
  <c r="BW42" i="2"/>
  <c r="BV7" i="2"/>
  <c r="BV8" i="2"/>
  <c r="BV9" i="2"/>
  <c r="BV13" i="2"/>
  <c r="BV18" i="2"/>
  <c r="BV19" i="2"/>
  <c r="BV20" i="2"/>
  <c r="BV21" i="2"/>
  <c r="BV22" i="2"/>
  <c r="BV23" i="2"/>
  <c r="BV24" i="2"/>
  <c r="BV25" i="2"/>
  <c r="BV30" i="2"/>
  <c r="BV40" i="2" s="1"/>
  <c r="BV31" i="2"/>
  <c r="BV32" i="2"/>
  <c r="BV33" i="2"/>
  <c r="BV34" i="2"/>
  <c r="BV35" i="2"/>
  <c r="BV36" i="2"/>
  <c r="BV37" i="2"/>
  <c r="BV38" i="2"/>
  <c r="BV42" i="2"/>
  <c r="BU7" i="2"/>
  <c r="BU8" i="2"/>
  <c r="BU9" i="2"/>
  <c r="BU13" i="2"/>
  <c r="BU18" i="2"/>
  <c r="BU19" i="2"/>
  <c r="BU20" i="2"/>
  <c r="BU21" i="2"/>
  <c r="BU22" i="2"/>
  <c r="BU23" i="2"/>
  <c r="BU24" i="2"/>
  <c r="BU25" i="2"/>
  <c r="BU30" i="2"/>
  <c r="BU40" i="2" s="1"/>
  <c r="BU31" i="2"/>
  <c r="BU32" i="2"/>
  <c r="BU33" i="2"/>
  <c r="BU34" i="2"/>
  <c r="BU35" i="2"/>
  <c r="BU36" i="2"/>
  <c r="BU37" i="2"/>
  <c r="BU38" i="2"/>
  <c r="BU42" i="2"/>
  <c r="BT7" i="2"/>
  <c r="BT8" i="2"/>
  <c r="BT9" i="2"/>
  <c r="BT13" i="2"/>
  <c r="BT18" i="2"/>
  <c r="BT19" i="2"/>
  <c r="BT20" i="2"/>
  <c r="BT21" i="2"/>
  <c r="BT22" i="2"/>
  <c r="BT23" i="2"/>
  <c r="BT24" i="2"/>
  <c r="BT25" i="2"/>
  <c r="BT30" i="2"/>
  <c r="BT40" i="2" s="1"/>
  <c r="BT31" i="2"/>
  <c r="BT32" i="2"/>
  <c r="BT33" i="2"/>
  <c r="BT34" i="2"/>
  <c r="BT35" i="2"/>
  <c r="BT36" i="2"/>
  <c r="BT37" i="2"/>
  <c r="BT38" i="2"/>
  <c r="BT42" i="2"/>
  <c r="BS7" i="2"/>
  <c r="BS8" i="2"/>
  <c r="BS9" i="2"/>
  <c r="BS13" i="2"/>
  <c r="BS18" i="2"/>
  <c r="BS19" i="2"/>
  <c r="BS20" i="2"/>
  <c r="BS21" i="2"/>
  <c r="BS22" i="2"/>
  <c r="BS23" i="2"/>
  <c r="BS24" i="2"/>
  <c r="BS25" i="2"/>
  <c r="BS30" i="2"/>
  <c r="BS40" i="2" s="1"/>
  <c r="BS31" i="2"/>
  <c r="BS32" i="2"/>
  <c r="BS33" i="2"/>
  <c r="BS34" i="2"/>
  <c r="BS35" i="2"/>
  <c r="BS36" i="2"/>
  <c r="BS37" i="2"/>
  <c r="BS38" i="2"/>
  <c r="BS42" i="2"/>
  <c r="BR7" i="2"/>
  <c r="BR8" i="2"/>
  <c r="BR9" i="2"/>
  <c r="BR13" i="2"/>
  <c r="BR18" i="2"/>
  <c r="BR19" i="2"/>
  <c r="BR20" i="2"/>
  <c r="BR21" i="2"/>
  <c r="BR22" i="2"/>
  <c r="BR23" i="2"/>
  <c r="BR24" i="2"/>
  <c r="BR25" i="2"/>
  <c r="BR30" i="2"/>
  <c r="BR40" i="2" s="1"/>
  <c r="BR31" i="2"/>
  <c r="BR32" i="2"/>
  <c r="BR33" i="2"/>
  <c r="BR34" i="2"/>
  <c r="BR35" i="2"/>
  <c r="BR36" i="2"/>
  <c r="BR37" i="2"/>
  <c r="BR38" i="2"/>
  <c r="BR42" i="2"/>
  <c r="BQ7" i="2"/>
  <c r="BQ8" i="2"/>
  <c r="BQ9" i="2"/>
  <c r="BQ13" i="2"/>
  <c r="BQ18" i="2"/>
  <c r="BQ19" i="2"/>
  <c r="BQ20" i="2"/>
  <c r="BQ21" i="2"/>
  <c r="BQ22" i="2"/>
  <c r="BQ23" i="2"/>
  <c r="BQ24" i="2"/>
  <c r="BQ25" i="2"/>
  <c r="BQ30" i="2"/>
  <c r="BQ40" i="2" s="1"/>
  <c r="BQ31" i="2"/>
  <c r="BQ32" i="2"/>
  <c r="BQ33" i="2"/>
  <c r="BQ34" i="2"/>
  <c r="BQ35" i="2"/>
  <c r="BQ36" i="2"/>
  <c r="BQ37" i="2"/>
  <c r="BQ38" i="2"/>
  <c r="BQ42" i="2"/>
  <c r="BP7" i="2"/>
  <c r="BP8" i="2"/>
  <c r="BP9" i="2"/>
  <c r="BP13" i="2"/>
  <c r="BP18" i="2"/>
  <c r="BP19" i="2"/>
  <c r="BP20" i="2"/>
  <c r="BP21" i="2"/>
  <c r="BP22" i="2"/>
  <c r="BP23" i="2"/>
  <c r="BP24" i="2"/>
  <c r="BP25" i="2"/>
  <c r="BP30" i="2"/>
  <c r="BP40" i="2" s="1"/>
  <c r="BP31" i="2"/>
  <c r="BP32" i="2"/>
  <c r="BP33" i="2"/>
  <c r="BP34" i="2"/>
  <c r="BP35" i="2"/>
  <c r="BP36" i="2"/>
  <c r="BP37" i="2"/>
  <c r="BP38" i="2"/>
  <c r="BP42" i="2"/>
  <c r="BO7" i="2"/>
  <c r="BO8" i="2"/>
  <c r="BO9" i="2"/>
  <c r="BO13" i="2"/>
  <c r="BO18" i="2"/>
  <c r="BO19" i="2"/>
  <c r="BO20" i="2"/>
  <c r="BO21" i="2"/>
  <c r="BO22" i="2"/>
  <c r="BO23" i="2"/>
  <c r="BO24" i="2"/>
  <c r="BO25" i="2"/>
  <c r="BO30" i="2"/>
  <c r="BO40" i="2" s="1"/>
  <c r="BO31" i="2"/>
  <c r="BO32" i="2"/>
  <c r="BO33" i="2"/>
  <c r="BO34" i="2"/>
  <c r="BO35" i="2"/>
  <c r="BO36" i="2"/>
  <c r="BO37" i="2"/>
  <c r="BO38" i="2"/>
  <c r="BO42" i="2"/>
  <c r="BN7" i="2"/>
  <c r="BN8" i="2"/>
  <c r="BN9" i="2"/>
  <c r="BN13" i="2"/>
  <c r="BN18" i="2"/>
  <c r="BN19" i="2"/>
  <c r="BN20" i="2"/>
  <c r="BN21" i="2"/>
  <c r="BN22" i="2"/>
  <c r="BN23" i="2"/>
  <c r="BN24" i="2"/>
  <c r="BN25" i="2"/>
  <c r="BN30" i="2"/>
  <c r="BN40" i="2" s="1"/>
  <c r="BN31" i="2"/>
  <c r="BN32" i="2"/>
  <c r="BN33" i="2"/>
  <c r="BN34" i="2"/>
  <c r="BN35" i="2"/>
  <c r="BN36" i="2"/>
  <c r="BN37" i="2"/>
  <c r="BN38" i="2"/>
  <c r="BN42" i="2"/>
  <c r="BM7" i="2"/>
  <c r="BM8" i="2"/>
  <c r="BM9" i="2"/>
  <c r="BM13" i="2"/>
  <c r="BM18" i="2"/>
  <c r="BM19" i="2"/>
  <c r="BM20" i="2"/>
  <c r="BM21" i="2"/>
  <c r="BM22" i="2"/>
  <c r="BM23" i="2"/>
  <c r="BM24" i="2"/>
  <c r="BM25" i="2"/>
  <c r="BM30" i="2"/>
  <c r="BM40" i="2" s="1"/>
  <c r="BM31" i="2"/>
  <c r="BM32" i="2"/>
  <c r="BM33" i="2"/>
  <c r="BM34" i="2"/>
  <c r="BM35" i="2"/>
  <c r="BM36" i="2"/>
  <c r="BM37" i="2"/>
  <c r="BM38" i="2"/>
  <c r="BM42" i="2"/>
  <c r="BL7" i="2"/>
  <c r="BL8" i="2"/>
  <c r="BL9" i="2"/>
  <c r="BL13" i="2"/>
  <c r="BL18" i="2"/>
  <c r="BL19" i="2"/>
  <c r="BL20" i="2"/>
  <c r="BL21" i="2"/>
  <c r="BL22" i="2"/>
  <c r="BL23" i="2"/>
  <c r="BL24" i="2"/>
  <c r="BL25" i="2"/>
  <c r="BL30" i="2"/>
  <c r="BL40" i="2" s="1"/>
  <c r="BL31" i="2"/>
  <c r="BL32" i="2"/>
  <c r="BL33" i="2"/>
  <c r="BL34" i="2"/>
  <c r="BL35" i="2"/>
  <c r="BL36" i="2"/>
  <c r="BL37" i="2"/>
  <c r="BL38" i="2"/>
  <c r="BL42" i="2"/>
  <c r="BK7" i="2"/>
  <c r="BK8" i="2"/>
  <c r="BK9" i="2"/>
  <c r="BK13" i="2"/>
  <c r="BK18" i="2"/>
  <c r="BK19" i="2"/>
  <c r="BK20" i="2"/>
  <c r="BK21" i="2"/>
  <c r="BK22" i="2"/>
  <c r="BK23" i="2"/>
  <c r="BK24" i="2"/>
  <c r="BK25" i="2"/>
  <c r="BK30" i="2"/>
  <c r="BK40" i="2" s="1"/>
  <c r="BK31" i="2"/>
  <c r="BK32" i="2"/>
  <c r="BK33" i="2"/>
  <c r="BK34" i="2"/>
  <c r="BK35" i="2"/>
  <c r="BK36" i="2"/>
  <c r="BK37" i="2"/>
  <c r="BK38" i="2"/>
  <c r="BK42" i="2"/>
  <c r="BJ7" i="2"/>
  <c r="BJ8" i="2"/>
  <c r="BJ9" i="2"/>
  <c r="BJ13" i="2"/>
  <c r="BJ18" i="2"/>
  <c r="BJ19" i="2"/>
  <c r="BJ20" i="2"/>
  <c r="BJ21" i="2"/>
  <c r="BJ22" i="2"/>
  <c r="BJ23" i="2"/>
  <c r="BJ24" i="2"/>
  <c r="BJ25" i="2"/>
  <c r="BJ30" i="2"/>
  <c r="BJ40" i="2" s="1"/>
  <c r="BJ31" i="2"/>
  <c r="BJ32" i="2"/>
  <c r="BJ33" i="2"/>
  <c r="BJ34" i="2"/>
  <c r="BJ35" i="2"/>
  <c r="BJ36" i="2"/>
  <c r="BJ37" i="2"/>
  <c r="BJ38" i="2"/>
  <c r="BJ42" i="2"/>
  <c r="BI7" i="2"/>
  <c r="BI8" i="2"/>
  <c r="BI9" i="2"/>
  <c r="BI13" i="2"/>
  <c r="BI18" i="2"/>
  <c r="BI19" i="2"/>
  <c r="BI20" i="2"/>
  <c r="BI21" i="2"/>
  <c r="BI22" i="2"/>
  <c r="BI23" i="2"/>
  <c r="BI24" i="2"/>
  <c r="BI25" i="2"/>
  <c r="BI30" i="2"/>
  <c r="BI40" i="2" s="1"/>
  <c r="BI31" i="2"/>
  <c r="BI32" i="2"/>
  <c r="BI33" i="2"/>
  <c r="BI34" i="2"/>
  <c r="BI35" i="2"/>
  <c r="BI36" i="2"/>
  <c r="BI37" i="2"/>
  <c r="BI38" i="2"/>
  <c r="BI42" i="2"/>
  <c r="BH7" i="2"/>
  <c r="BH8" i="2"/>
  <c r="BH9" i="2"/>
  <c r="BH13" i="2"/>
  <c r="BH18" i="2"/>
  <c r="BH19" i="2"/>
  <c r="BH20" i="2"/>
  <c r="BH21" i="2"/>
  <c r="BH22" i="2"/>
  <c r="BH23" i="2"/>
  <c r="BH24" i="2"/>
  <c r="BH25" i="2"/>
  <c r="BH30" i="2"/>
  <c r="BH40" i="2" s="1"/>
  <c r="BH31" i="2"/>
  <c r="BH32" i="2"/>
  <c r="BH33" i="2"/>
  <c r="BH34" i="2"/>
  <c r="BH35" i="2"/>
  <c r="BH36" i="2"/>
  <c r="BH37" i="2"/>
  <c r="BH38" i="2"/>
  <c r="BH42" i="2"/>
  <c r="BG7" i="2"/>
  <c r="BG8" i="2"/>
  <c r="BG9" i="2"/>
  <c r="BG13" i="2"/>
  <c r="BG18" i="2"/>
  <c r="BG19" i="2"/>
  <c r="BG20" i="2"/>
  <c r="BG21" i="2"/>
  <c r="BG22" i="2"/>
  <c r="BG23" i="2"/>
  <c r="BG24" i="2"/>
  <c r="BG25" i="2"/>
  <c r="BG30" i="2"/>
  <c r="BG40" i="2" s="1"/>
  <c r="BG31" i="2"/>
  <c r="BG32" i="2"/>
  <c r="BG33" i="2"/>
  <c r="BG34" i="2"/>
  <c r="BG35" i="2"/>
  <c r="BG36" i="2"/>
  <c r="BG37" i="2"/>
  <c r="BG38" i="2"/>
  <c r="BG42" i="2"/>
  <c r="BF7" i="2"/>
  <c r="BF8" i="2"/>
  <c r="BF9" i="2"/>
  <c r="BF13" i="2"/>
  <c r="BF18" i="2"/>
  <c r="BF19" i="2"/>
  <c r="BF20" i="2"/>
  <c r="BF21" i="2"/>
  <c r="BF22" i="2"/>
  <c r="BF23" i="2"/>
  <c r="BF24" i="2"/>
  <c r="BF25" i="2"/>
  <c r="BF30" i="2"/>
  <c r="BF40" i="2" s="1"/>
  <c r="BF31" i="2"/>
  <c r="BF32" i="2"/>
  <c r="BF33" i="2"/>
  <c r="BF34" i="2"/>
  <c r="BF35" i="2"/>
  <c r="BF36" i="2"/>
  <c r="BF37" i="2"/>
  <c r="BF38" i="2"/>
  <c r="BF42" i="2"/>
  <c r="BE7" i="2"/>
  <c r="BE8" i="2"/>
  <c r="BE9" i="2"/>
  <c r="BE13" i="2"/>
  <c r="BE18" i="2"/>
  <c r="BE19" i="2"/>
  <c r="BE20" i="2"/>
  <c r="BE21" i="2"/>
  <c r="BE22" i="2"/>
  <c r="BE23" i="2"/>
  <c r="BE24" i="2"/>
  <c r="BE25" i="2"/>
  <c r="BE30" i="2"/>
  <c r="BE40" i="2" s="1"/>
  <c r="BE31" i="2"/>
  <c r="BE32" i="2"/>
  <c r="BE33" i="2"/>
  <c r="BE34" i="2"/>
  <c r="BE35" i="2"/>
  <c r="BE36" i="2"/>
  <c r="BE37" i="2"/>
  <c r="BE38" i="2"/>
  <c r="BE42" i="2"/>
  <c r="BD7" i="2"/>
  <c r="BD8" i="2"/>
  <c r="BD9" i="2"/>
  <c r="BD13" i="2"/>
  <c r="BD18" i="2"/>
  <c r="BD19" i="2"/>
  <c r="BD20" i="2"/>
  <c r="BD21" i="2"/>
  <c r="BD22" i="2"/>
  <c r="BD23" i="2"/>
  <c r="BD24" i="2"/>
  <c r="BD25" i="2"/>
  <c r="BD30" i="2"/>
  <c r="BD40" i="2" s="1"/>
  <c r="BD31" i="2"/>
  <c r="BD32" i="2"/>
  <c r="BD33" i="2"/>
  <c r="BD34" i="2"/>
  <c r="BD35" i="2"/>
  <c r="BD36" i="2"/>
  <c r="BD37" i="2"/>
  <c r="BD38" i="2"/>
  <c r="BD42" i="2"/>
  <c r="BC7" i="2"/>
  <c r="BC8" i="2"/>
  <c r="BC9" i="2"/>
  <c r="BC13" i="2"/>
  <c r="BC18" i="2"/>
  <c r="BC19" i="2"/>
  <c r="BC20" i="2"/>
  <c r="BC21" i="2"/>
  <c r="BC22" i="2"/>
  <c r="BC23" i="2"/>
  <c r="BC24" i="2"/>
  <c r="BC25" i="2"/>
  <c r="BC30" i="2"/>
  <c r="BC40" i="2" s="1"/>
  <c r="BC31" i="2"/>
  <c r="BC32" i="2"/>
  <c r="BC33" i="2"/>
  <c r="BC34" i="2"/>
  <c r="BC35" i="2"/>
  <c r="BC36" i="2"/>
  <c r="BC37" i="2"/>
  <c r="BC38" i="2"/>
  <c r="BC42" i="2"/>
  <c r="BB7" i="2"/>
  <c r="BB8" i="2"/>
  <c r="BB9" i="2"/>
  <c r="BB13" i="2"/>
  <c r="BB18" i="2"/>
  <c r="BB19" i="2"/>
  <c r="BB20" i="2"/>
  <c r="BB21" i="2"/>
  <c r="BB22" i="2"/>
  <c r="BB23" i="2"/>
  <c r="BB24" i="2"/>
  <c r="BB25" i="2"/>
  <c r="BB30" i="2"/>
  <c r="BB40" i="2" s="1"/>
  <c r="BB31" i="2"/>
  <c r="BB32" i="2"/>
  <c r="BB33" i="2"/>
  <c r="BB34" i="2"/>
  <c r="BB35" i="2"/>
  <c r="BB36" i="2"/>
  <c r="BB37" i="2"/>
  <c r="BB38" i="2"/>
  <c r="BB42" i="2"/>
  <c r="BA7" i="2"/>
  <c r="BA8" i="2"/>
  <c r="BA9" i="2"/>
  <c r="BA13" i="2"/>
  <c r="BA18" i="2"/>
  <c r="BA19" i="2"/>
  <c r="BA20" i="2"/>
  <c r="BA21" i="2"/>
  <c r="BA22" i="2"/>
  <c r="BA23" i="2"/>
  <c r="BA24" i="2"/>
  <c r="BA25" i="2"/>
  <c r="BA30" i="2"/>
  <c r="BA40" i="2" s="1"/>
  <c r="BA31" i="2"/>
  <c r="BA32" i="2"/>
  <c r="BA33" i="2"/>
  <c r="BA34" i="2"/>
  <c r="BA35" i="2"/>
  <c r="BA36" i="2"/>
  <c r="BA37" i="2"/>
  <c r="BA38" i="2"/>
  <c r="BA42" i="2"/>
  <c r="AZ7" i="2"/>
  <c r="AZ8" i="2"/>
  <c r="AZ9" i="2"/>
  <c r="AZ13" i="2"/>
  <c r="AZ18" i="2"/>
  <c r="AZ19" i="2"/>
  <c r="AZ20" i="2"/>
  <c r="AZ21" i="2"/>
  <c r="AZ22" i="2"/>
  <c r="AZ23" i="2"/>
  <c r="AZ24" i="2"/>
  <c r="AZ25" i="2"/>
  <c r="AZ30" i="2"/>
  <c r="AZ40" i="2" s="1"/>
  <c r="AZ31" i="2"/>
  <c r="AZ32" i="2"/>
  <c r="AZ33" i="2"/>
  <c r="AZ34" i="2"/>
  <c r="AZ35" i="2"/>
  <c r="AZ36" i="2"/>
  <c r="AZ37" i="2"/>
  <c r="AZ38" i="2"/>
  <c r="AZ42" i="2"/>
  <c r="AY7" i="2"/>
  <c r="AY8" i="2"/>
  <c r="AY9" i="2"/>
  <c r="AY13" i="2"/>
  <c r="AY18" i="2"/>
  <c r="AY19" i="2"/>
  <c r="AY20" i="2"/>
  <c r="AY21" i="2"/>
  <c r="AY22" i="2"/>
  <c r="AY23" i="2"/>
  <c r="AY24" i="2"/>
  <c r="AY25" i="2"/>
  <c r="AY30" i="2"/>
  <c r="AY40" i="2" s="1"/>
  <c r="AY31" i="2"/>
  <c r="AY32" i="2"/>
  <c r="AY33" i="2"/>
  <c r="AY34" i="2"/>
  <c r="AY35" i="2"/>
  <c r="AY36" i="2"/>
  <c r="AY37" i="2"/>
  <c r="AY38" i="2"/>
  <c r="AY42" i="2"/>
  <c r="AX7" i="2"/>
  <c r="AX8" i="2"/>
  <c r="AX9" i="2"/>
  <c r="AX13" i="2"/>
  <c r="AX18" i="2"/>
  <c r="AX19" i="2"/>
  <c r="AX20" i="2"/>
  <c r="AX21" i="2"/>
  <c r="AX22" i="2"/>
  <c r="AX23" i="2"/>
  <c r="AX24" i="2"/>
  <c r="AX25" i="2"/>
  <c r="AX30" i="2"/>
  <c r="AX40" i="2" s="1"/>
  <c r="AX31" i="2"/>
  <c r="AX32" i="2"/>
  <c r="AX33" i="2"/>
  <c r="AX34" i="2"/>
  <c r="AX35" i="2"/>
  <c r="AX36" i="2"/>
  <c r="AX37" i="2"/>
  <c r="AX38" i="2"/>
  <c r="AX42" i="2"/>
  <c r="AW7" i="2"/>
  <c r="AW8" i="2"/>
  <c r="AW9" i="2"/>
  <c r="AW13" i="2"/>
  <c r="AW18" i="2"/>
  <c r="AW19" i="2"/>
  <c r="AW20" i="2"/>
  <c r="AW21" i="2"/>
  <c r="AW22" i="2"/>
  <c r="AW23" i="2"/>
  <c r="AW24" i="2"/>
  <c r="AW25" i="2"/>
  <c r="AW30" i="2"/>
  <c r="AW40" i="2" s="1"/>
  <c r="AW31" i="2"/>
  <c r="AW32" i="2"/>
  <c r="AW33" i="2"/>
  <c r="AW34" i="2"/>
  <c r="AW35" i="2"/>
  <c r="AW36" i="2"/>
  <c r="AW37" i="2"/>
  <c r="AW38" i="2"/>
  <c r="AW42" i="2"/>
  <c r="AV7" i="2"/>
  <c r="AV8" i="2"/>
  <c r="AV9" i="2"/>
  <c r="AV13" i="2"/>
  <c r="AV18" i="2"/>
  <c r="AV19" i="2"/>
  <c r="AV20" i="2"/>
  <c r="AV21" i="2"/>
  <c r="AV22" i="2"/>
  <c r="AV23" i="2"/>
  <c r="AV24" i="2"/>
  <c r="AV25" i="2"/>
  <c r="AV30" i="2"/>
  <c r="AV40" i="2" s="1"/>
  <c r="AV31" i="2"/>
  <c r="AV32" i="2"/>
  <c r="AV33" i="2"/>
  <c r="AV34" i="2"/>
  <c r="AV35" i="2"/>
  <c r="AV36" i="2"/>
  <c r="AV37" i="2"/>
  <c r="AV38" i="2"/>
  <c r="AV42" i="2"/>
  <c r="AU7" i="2"/>
  <c r="AU8" i="2"/>
  <c r="AU9" i="2"/>
  <c r="AU13" i="2"/>
  <c r="AU18" i="2"/>
  <c r="AU19" i="2"/>
  <c r="AU20" i="2"/>
  <c r="AU21" i="2"/>
  <c r="AU22" i="2"/>
  <c r="AU23" i="2"/>
  <c r="AU24" i="2"/>
  <c r="AU25" i="2"/>
  <c r="AU30" i="2"/>
  <c r="AU40" i="2" s="1"/>
  <c r="AU31" i="2"/>
  <c r="AU32" i="2"/>
  <c r="AU33" i="2"/>
  <c r="AU34" i="2"/>
  <c r="AU35" i="2"/>
  <c r="AU36" i="2"/>
  <c r="AU37" i="2"/>
  <c r="AU38" i="2"/>
  <c r="AU42" i="2"/>
  <c r="AT7" i="2"/>
  <c r="AT8" i="2"/>
  <c r="AT9" i="2"/>
  <c r="AT13" i="2"/>
  <c r="AT18" i="2"/>
  <c r="AT19" i="2"/>
  <c r="AT20" i="2"/>
  <c r="AT21" i="2"/>
  <c r="AT22" i="2"/>
  <c r="AT23" i="2"/>
  <c r="AT24" i="2"/>
  <c r="AT25" i="2"/>
  <c r="AT30" i="2"/>
  <c r="AT40" i="2" s="1"/>
  <c r="AT31" i="2"/>
  <c r="AT32" i="2"/>
  <c r="AT33" i="2"/>
  <c r="AT34" i="2"/>
  <c r="AT35" i="2"/>
  <c r="AT36" i="2"/>
  <c r="AT37" i="2"/>
  <c r="AT38" i="2"/>
  <c r="AT42" i="2"/>
  <c r="AS7" i="2"/>
  <c r="AS8" i="2"/>
  <c r="AS9" i="2"/>
  <c r="AS13" i="2"/>
  <c r="AS18" i="2"/>
  <c r="AS19" i="2"/>
  <c r="AS20" i="2"/>
  <c r="AS21" i="2"/>
  <c r="AS22" i="2"/>
  <c r="AS23" i="2"/>
  <c r="AS24" i="2"/>
  <c r="AS25" i="2"/>
  <c r="AS30" i="2"/>
  <c r="AS40" i="2" s="1"/>
  <c r="AS31" i="2"/>
  <c r="AS32" i="2"/>
  <c r="AS33" i="2"/>
  <c r="AS34" i="2"/>
  <c r="AS35" i="2"/>
  <c r="AS36" i="2"/>
  <c r="AS37" i="2"/>
  <c r="AS38" i="2"/>
  <c r="AS42" i="2"/>
  <c r="AR7" i="2"/>
  <c r="AR8" i="2"/>
  <c r="AR9" i="2"/>
  <c r="AR13" i="2"/>
  <c r="AR18" i="2"/>
  <c r="AR19" i="2"/>
  <c r="AR20" i="2"/>
  <c r="AR21" i="2"/>
  <c r="AR22" i="2"/>
  <c r="AR23" i="2"/>
  <c r="AR24" i="2"/>
  <c r="AR25" i="2"/>
  <c r="AR30" i="2"/>
  <c r="AR40" i="2" s="1"/>
  <c r="AR31" i="2"/>
  <c r="AR32" i="2"/>
  <c r="AR33" i="2"/>
  <c r="AR34" i="2"/>
  <c r="AR35" i="2"/>
  <c r="AR36" i="2"/>
  <c r="AR37" i="2"/>
  <c r="AR38" i="2"/>
  <c r="AR42" i="2"/>
  <c r="AQ7" i="2"/>
  <c r="AQ8" i="2"/>
  <c r="AQ9" i="2"/>
  <c r="AQ13" i="2"/>
  <c r="AQ18" i="2"/>
  <c r="AQ19" i="2"/>
  <c r="AQ20" i="2"/>
  <c r="AQ21" i="2"/>
  <c r="AQ22" i="2"/>
  <c r="AQ23" i="2"/>
  <c r="AQ24" i="2"/>
  <c r="AQ25" i="2"/>
  <c r="AQ30" i="2"/>
  <c r="AQ40" i="2" s="1"/>
  <c r="AQ31" i="2"/>
  <c r="AQ32" i="2"/>
  <c r="AQ33" i="2"/>
  <c r="AQ34" i="2"/>
  <c r="AQ35" i="2"/>
  <c r="AQ36" i="2"/>
  <c r="AQ37" i="2"/>
  <c r="AQ38" i="2"/>
  <c r="AQ42" i="2"/>
  <c r="AP7" i="2"/>
  <c r="AP8" i="2"/>
  <c r="AP9" i="2"/>
  <c r="AP13" i="2"/>
  <c r="AP18" i="2"/>
  <c r="AP19" i="2"/>
  <c r="AP20" i="2"/>
  <c r="AP21" i="2"/>
  <c r="AP22" i="2"/>
  <c r="AP23" i="2"/>
  <c r="AP24" i="2"/>
  <c r="AP25" i="2"/>
  <c r="AP30" i="2"/>
  <c r="AP40" i="2" s="1"/>
  <c r="AP31" i="2"/>
  <c r="AP32" i="2"/>
  <c r="AP33" i="2"/>
  <c r="AP34" i="2"/>
  <c r="AP35" i="2"/>
  <c r="AP36" i="2"/>
  <c r="AP37" i="2"/>
  <c r="AP38" i="2"/>
  <c r="AP42" i="2"/>
  <c r="AO7" i="2"/>
  <c r="AO8" i="2"/>
  <c r="AO9" i="2"/>
  <c r="AO13" i="2"/>
  <c r="AO18" i="2"/>
  <c r="AO19" i="2"/>
  <c r="AO20" i="2"/>
  <c r="AO21" i="2"/>
  <c r="AO22" i="2"/>
  <c r="AO23" i="2"/>
  <c r="AO24" i="2"/>
  <c r="AO25" i="2"/>
  <c r="AO30" i="2"/>
  <c r="AO31" i="2"/>
  <c r="AO32" i="2"/>
  <c r="AO33" i="2"/>
  <c r="AO34" i="2"/>
  <c r="AO35" i="2"/>
  <c r="AO36" i="2"/>
  <c r="AO37" i="2"/>
  <c r="AO38" i="2"/>
  <c r="AO42" i="2"/>
  <c r="AN7" i="2"/>
  <c r="AN8" i="2"/>
  <c r="AN9" i="2"/>
  <c r="AN13" i="2"/>
  <c r="AN18" i="2"/>
  <c r="AN19" i="2"/>
  <c r="AN20" i="2"/>
  <c r="AN21" i="2"/>
  <c r="AN22" i="2"/>
  <c r="AN23" i="2"/>
  <c r="AN24" i="2"/>
  <c r="AN25" i="2"/>
  <c r="AN30" i="2"/>
  <c r="AN31" i="2"/>
  <c r="AN32" i="2"/>
  <c r="AN33" i="2"/>
  <c r="AN34" i="2"/>
  <c r="AN35" i="2"/>
  <c r="AN36" i="2"/>
  <c r="AN37" i="2"/>
  <c r="AN38" i="2"/>
  <c r="AN42" i="2"/>
  <c r="AM7" i="2"/>
  <c r="AM8" i="2"/>
  <c r="AM9" i="2"/>
  <c r="AM13" i="2"/>
  <c r="AM18" i="2"/>
  <c r="AM19" i="2"/>
  <c r="AM20" i="2"/>
  <c r="AM21" i="2"/>
  <c r="AM22" i="2"/>
  <c r="AM23" i="2"/>
  <c r="AM24" i="2"/>
  <c r="AM25" i="2"/>
  <c r="AM30" i="2"/>
  <c r="AM31" i="2"/>
  <c r="AM32" i="2"/>
  <c r="AM33" i="2"/>
  <c r="AM34" i="2"/>
  <c r="AM35" i="2"/>
  <c r="AM36" i="2"/>
  <c r="AM37" i="2"/>
  <c r="AM38" i="2"/>
  <c r="AM42" i="2"/>
  <c r="AL7" i="2"/>
  <c r="AL8" i="2"/>
  <c r="AL9" i="2"/>
  <c r="AL13" i="2"/>
  <c r="AL18" i="2"/>
  <c r="AL19" i="2"/>
  <c r="AL20" i="2"/>
  <c r="AL21" i="2"/>
  <c r="AL22" i="2"/>
  <c r="AL23" i="2"/>
  <c r="AL24" i="2"/>
  <c r="AL25" i="2"/>
  <c r="AL30" i="2"/>
  <c r="AL31" i="2"/>
  <c r="AL32" i="2"/>
  <c r="AL33" i="2"/>
  <c r="AL34" i="2"/>
  <c r="AL35" i="2"/>
  <c r="AL36" i="2"/>
  <c r="AL37" i="2"/>
  <c r="AL38" i="2"/>
  <c r="AL42" i="2"/>
  <c r="AK7" i="2"/>
  <c r="AK8" i="2"/>
  <c r="AK9" i="2"/>
  <c r="AK13" i="2"/>
  <c r="AK18" i="2"/>
  <c r="AK19" i="2"/>
  <c r="AK20" i="2"/>
  <c r="AK21" i="2"/>
  <c r="AK22" i="2"/>
  <c r="AK23" i="2"/>
  <c r="AK24" i="2"/>
  <c r="AK25" i="2"/>
  <c r="AK30" i="2"/>
  <c r="AK31" i="2"/>
  <c r="AK32" i="2"/>
  <c r="AK33" i="2"/>
  <c r="AK34" i="2"/>
  <c r="AK35" i="2"/>
  <c r="AK36" i="2"/>
  <c r="AK37" i="2"/>
  <c r="AK38" i="2"/>
  <c r="AK42" i="2"/>
  <c r="AJ7" i="2"/>
  <c r="AJ8" i="2"/>
  <c r="AJ9" i="2"/>
  <c r="AJ13" i="2"/>
  <c r="AJ18" i="2"/>
  <c r="AJ19" i="2"/>
  <c r="AJ20" i="2"/>
  <c r="AJ21" i="2"/>
  <c r="AJ22" i="2"/>
  <c r="AJ23" i="2"/>
  <c r="AJ24" i="2"/>
  <c r="AJ25" i="2"/>
  <c r="AJ30" i="2"/>
  <c r="AJ40" i="2" s="1"/>
  <c r="AJ31" i="2"/>
  <c r="AJ32" i="2"/>
  <c r="AJ33" i="2"/>
  <c r="AJ34" i="2"/>
  <c r="AJ35" i="2"/>
  <c r="AJ36" i="2"/>
  <c r="AJ37" i="2"/>
  <c r="AJ38" i="2"/>
  <c r="AJ42" i="2"/>
  <c r="AI7" i="2"/>
  <c r="AI8" i="2"/>
  <c r="AI9" i="2"/>
  <c r="AI13" i="2"/>
  <c r="AI18" i="2"/>
  <c r="AI19" i="2"/>
  <c r="AI20" i="2"/>
  <c r="AI21" i="2"/>
  <c r="AI22" i="2"/>
  <c r="AI23" i="2"/>
  <c r="AI24" i="2"/>
  <c r="AI25" i="2"/>
  <c r="AI30" i="2"/>
  <c r="AI40" i="2" s="1"/>
  <c r="AI31" i="2"/>
  <c r="AI32" i="2"/>
  <c r="AI33" i="2"/>
  <c r="AI34" i="2"/>
  <c r="AI35" i="2"/>
  <c r="AI36" i="2"/>
  <c r="AI37" i="2"/>
  <c r="AI38" i="2"/>
  <c r="AI42" i="2"/>
  <c r="AH7" i="2"/>
  <c r="AH8" i="2"/>
  <c r="AH9" i="2"/>
  <c r="AH13" i="2"/>
  <c r="AH18" i="2"/>
  <c r="AH19" i="2"/>
  <c r="AH20" i="2"/>
  <c r="AH21" i="2"/>
  <c r="AH22" i="2"/>
  <c r="AH23" i="2"/>
  <c r="AH24" i="2"/>
  <c r="AH25" i="2"/>
  <c r="AH30" i="2"/>
  <c r="AH40" i="2" s="1"/>
  <c r="AH31" i="2"/>
  <c r="AH32" i="2"/>
  <c r="AH33" i="2"/>
  <c r="AH34" i="2"/>
  <c r="AH35" i="2"/>
  <c r="AH36" i="2"/>
  <c r="AH37" i="2"/>
  <c r="AH38" i="2"/>
  <c r="AH42" i="2"/>
  <c r="AG7" i="2"/>
  <c r="AG8" i="2"/>
  <c r="AG9" i="2"/>
  <c r="AG13" i="2"/>
  <c r="AG18" i="2"/>
  <c r="AG19" i="2"/>
  <c r="AG20" i="2"/>
  <c r="AG21" i="2"/>
  <c r="AG22" i="2"/>
  <c r="AG23" i="2"/>
  <c r="AG24" i="2"/>
  <c r="AG25" i="2"/>
  <c r="AG30" i="2"/>
  <c r="AG40" i="2" s="1"/>
  <c r="AG31" i="2"/>
  <c r="AG32" i="2"/>
  <c r="AG33" i="2"/>
  <c r="AG34" i="2"/>
  <c r="AG35" i="2"/>
  <c r="AG36" i="2"/>
  <c r="AG37" i="2"/>
  <c r="AG38" i="2"/>
  <c r="AG42" i="2"/>
  <c r="AF7" i="2"/>
  <c r="AF8" i="2"/>
  <c r="AF9" i="2"/>
  <c r="AF13" i="2"/>
  <c r="AF18" i="2"/>
  <c r="AF19" i="2"/>
  <c r="AF20" i="2"/>
  <c r="AF21" i="2"/>
  <c r="AF22" i="2"/>
  <c r="AF23" i="2"/>
  <c r="AF24" i="2"/>
  <c r="AF25" i="2"/>
  <c r="AF30" i="2"/>
  <c r="AF40" i="2" s="1"/>
  <c r="AF31" i="2"/>
  <c r="AF32" i="2"/>
  <c r="AF33" i="2"/>
  <c r="AF34" i="2"/>
  <c r="AF35" i="2"/>
  <c r="AF36" i="2"/>
  <c r="AF37" i="2"/>
  <c r="AF38" i="2"/>
  <c r="AF42" i="2"/>
  <c r="AE7" i="2"/>
  <c r="AE8" i="2"/>
  <c r="AE9" i="2"/>
  <c r="AE13" i="2"/>
  <c r="AE18" i="2"/>
  <c r="AE19" i="2"/>
  <c r="AE20" i="2"/>
  <c r="AE21" i="2"/>
  <c r="AE22" i="2"/>
  <c r="AE23" i="2"/>
  <c r="AE24" i="2"/>
  <c r="AE25" i="2"/>
  <c r="AE30" i="2"/>
  <c r="AE40" i="2" s="1"/>
  <c r="AE31" i="2"/>
  <c r="AE32" i="2"/>
  <c r="AE33" i="2"/>
  <c r="AE34" i="2"/>
  <c r="AE35" i="2"/>
  <c r="AE36" i="2"/>
  <c r="AE37" i="2"/>
  <c r="AE38" i="2"/>
  <c r="AE42" i="2"/>
  <c r="AD7" i="2"/>
  <c r="AD8" i="2"/>
  <c r="AD9" i="2"/>
  <c r="AD13" i="2"/>
  <c r="AD18" i="2"/>
  <c r="AD19" i="2"/>
  <c r="AD20" i="2"/>
  <c r="AD21" i="2"/>
  <c r="AD22" i="2"/>
  <c r="AD23" i="2"/>
  <c r="AD24" i="2"/>
  <c r="AD25" i="2"/>
  <c r="AD30" i="2"/>
  <c r="AD40" i="2" s="1"/>
  <c r="AD31" i="2"/>
  <c r="AD32" i="2"/>
  <c r="AD33" i="2"/>
  <c r="AD34" i="2"/>
  <c r="AD35" i="2"/>
  <c r="AD36" i="2"/>
  <c r="AD37" i="2"/>
  <c r="AD38" i="2"/>
  <c r="AD42" i="2"/>
  <c r="AC7" i="2"/>
  <c r="AC8" i="2"/>
  <c r="AC9" i="2"/>
  <c r="AC13" i="2"/>
  <c r="AC18" i="2"/>
  <c r="AC19" i="2"/>
  <c r="AC20" i="2"/>
  <c r="AC21" i="2"/>
  <c r="AC22" i="2"/>
  <c r="AC23" i="2"/>
  <c r="AC24" i="2"/>
  <c r="AC25" i="2"/>
  <c r="AC30" i="2"/>
  <c r="AC40" i="2" s="1"/>
  <c r="AC31" i="2"/>
  <c r="AC32" i="2"/>
  <c r="AC33" i="2"/>
  <c r="AC34" i="2"/>
  <c r="AC35" i="2"/>
  <c r="AC36" i="2"/>
  <c r="AC37" i="2"/>
  <c r="AC38" i="2"/>
  <c r="AC42" i="2"/>
  <c r="AB7" i="2"/>
  <c r="AB8" i="2"/>
  <c r="AB9" i="2"/>
  <c r="AB13" i="2"/>
  <c r="AB18" i="2"/>
  <c r="AB19" i="2"/>
  <c r="AB20" i="2"/>
  <c r="AB21" i="2"/>
  <c r="AB22" i="2"/>
  <c r="AB23" i="2"/>
  <c r="AB24" i="2"/>
  <c r="AB25" i="2"/>
  <c r="AB30" i="2"/>
  <c r="AB40" i="2" s="1"/>
  <c r="AB31" i="2"/>
  <c r="AB32" i="2"/>
  <c r="AB33" i="2"/>
  <c r="AB34" i="2"/>
  <c r="AB35" i="2"/>
  <c r="AB36" i="2"/>
  <c r="AB37" i="2"/>
  <c r="AB38" i="2"/>
  <c r="AB42" i="2"/>
  <c r="AA7" i="2"/>
  <c r="AA8" i="2"/>
  <c r="AA9" i="2"/>
  <c r="AA13" i="2"/>
  <c r="AA18" i="2"/>
  <c r="AA19" i="2"/>
  <c r="AA20" i="2"/>
  <c r="AA21" i="2"/>
  <c r="AA22" i="2"/>
  <c r="AA23" i="2"/>
  <c r="AA24" i="2"/>
  <c r="AA25" i="2"/>
  <c r="AA30" i="2"/>
  <c r="AA40" i="2" s="1"/>
  <c r="AA31" i="2"/>
  <c r="AA32" i="2"/>
  <c r="AA33" i="2"/>
  <c r="AA34" i="2"/>
  <c r="AA35" i="2"/>
  <c r="AA36" i="2"/>
  <c r="AA37" i="2"/>
  <c r="AA38" i="2"/>
  <c r="AA42" i="2"/>
  <c r="Z7" i="2"/>
  <c r="Z8" i="2"/>
  <c r="Z9" i="2"/>
  <c r="Z13" i="2"/>
  <c r="Z18" i="2"/>
  <c r="Z19" i="2"/>
  <c r="Z20" i="2"/>
  <c r="Z21" i="2"/>
  <c r="Z22" i="2"/>
  <c r="Z23" i="2"/>
  <c r="Z24" i="2"/>
  <c r="Z25" i="2"/>
  <c r="Z30" i="2"/>
  <c r="Z40" i="2" s="1"/>
  <c r="Z31" i="2"/>
  <c r="Z32" i="2"/>
  <c r="Z33" i="2"/>
  <c r="Z34" i="2"/>
  <c r="Z35" i="2"/>
  <c r="Z36" i="2"/>
  <c r="Z37" i="2"/>
  <c r="Z38" i="2"/>
  <c r="Z42" i="2"/>
  <c r="Y7" i="2"/>
  <c r="Y8" i="2"/>
  <c r="Y9" i="2"/>
  <c r="Y13" i="2"/>
  <c r="Y18" i="2"/>
  <c r="Y19" i="2"/>
  <c r="Y20" i="2"/>
  <c r="Y21" i="2"/>
  <c r="Y22" i="2"/>
  <c r="Y23" i="2"/>
  <c r="Y24" i="2"/>
  <c r="Y25" i="2"/>
  <c r="Y30" i="2"/>
  <c r="Y40" i="2" s="1"/>
  <c r="Y31" i="2"/>
  <c r="Y32" i="2"/>
  <c r="Y33" i="2"/>
  <c r="Y34" i="2"/>
  <c r="Y35" i="2"/>
  <c r="Y36" i="2"/>
  <c r="Y37" i="2"/>
  <c r="Y38" i="2"/>
  <c r="Y42" i="2"/>
  <c r="X7" i="2"/>
  <c r="X8" i="2"/>
  <c r="X9" i="2"/>
  <c r="X13" i="2"/>
  <c r="X18" i="2"/>
  <c r="X19" i="2"/>
  <c r="X20" i="2"/>
  <c r="X21" i="2"/>
  <c r="X22" i="2"/>
  <c r="X23" i="2"/>
  <c r="X24" i="2"/>
  <c r="X25" i="2"/>
  <c r="X30" i="2"/>
  <c r="X40" i="2" s="1"/>
  <c r="X31" i="2"/>
  <c r="X32" i="2"/>
  <c r="X33" i="2"/>
  <c r="X34" i="2"/>
  <c r="X35" i="2"/>
  <c r="X36" i="2"/>
  <c r="X37" i="2"/>
  <c r="X38" i="2"/>
  <c r="X42" i="2"/>
  <c r="W7" i="2"/>
  <c r="W8" i="2"/>
  <c r="W9" i="2"/>
  <c r="W13" i="2"/>
  <c r="W18" i="2"/>
  <c r="W19" i="2"/>
  <c r="W20" i="2"/>
  <c r="W21" i="2"/>
  <c r="W22" i="2"/>
  <c r="W23" i="2"/>
  <c r="W24" i="2"/>
  <c r="W25" i="2"/>
  <c r="W30" i="2"/>
  <c r="W40" i="2" s="1"/>
  <c r="W31" i="2"/>
  <c r="W32" i="2"/>
  <c r="W33" i="2"/>
  <c r="W34" i="2"/>
  <c r="W35" i="2"/>
  <c r="W36" i="2"/>
  <c r="W37" i="2"/>
  <c r="W38" i="2"/>
  <c r="W42" i="2"/>
  <c r="V7" i="2"/>
  <c r="V8" i="2"/>
  <c r="V9" i="2"/>
  <c r="V13" i="2"/>
  <c r="V18" i="2"/>
  <c r="V19" i="2"/>
  <c r="V20" i="2"/>
  <c r="V21" i="2"/>
  <c r="V22" i="2"/>
  <c r="V23" i="2"/>
  <c r="V24" i="2"/>
  <c r="V25" i="2"/>
  <c r="V30" i="2"/>
  <c r="V40" i="2" s="1"/>
  <c r="V31" i="2"/>
  <c r="V32" i="2"/>
  <c r="V33" i="2"/>
  <c r="V34" i="2"/>
  <c r="V35" i="2"/>
  <c r="V36" i="2"/>
  <c r="V37" i="2"/>
  <c r="V38" i="2"/>
  <c r="V42" i="2"/>
  <c r="U7" i="2"/>
  <c r="U8" i="2"/>
  <c r="U9" i="2"/>
  <c r="U13" i="2"/>
  <c r="U18" i="2"/>
  <c r="U19" i="2"/>
  <c r="U20" i="2"/>
  <c r="U21" i="2"/>
  <c r="U22" i="2"/>
  <c r="U23" i="2"/>
  <c r="U24" i="2"/>
  <c r="U25" i="2"/>
  <c r="U30" i="2"/>
  <c r="U40" i="2" s="1"/>
  <c r="U31" i="2"/>
  <c r="U32" i="2"/>
  <c r="U33" i="2"/>
  <c r="U34" i="2"/>
  <c r="U35" i="2"/>
  <c r="U36" i="2"/>
  <c r="U37" i="2"/>
  <c r="U38" i="2"/>
  <c r="U42" i="2"/>
  <c r="T7" i="2"/>
  <c r="T8" i="2"/>
  <c r="T9" i="2"/>
  <c r="T13" i="2"/>
  <c r="T18" i="2"/>
  <c r="T19" i="2"/>
  <c r="T20" i="2"/>
  <c r="T21" i="2"/>
  <c r="T22" i="2"/>
  <c r="T23" i="2"/>
  <c r="T24" i="2"/>
  <c r="T25" i="2"/>
  <c r="T30" i="2"/>
  <c r="T40" i="2" s="1"/>
  <c r="T31" i="2"/>
  <c r="T32" i="2"/>
  <c r="T33" i="2"/>
  <c r="T34" i="2"/>
  <c r="T35" i="2"/>
  <c r="T36" i="2"/>
  <c r="T37" i="2"/>
  <c r="T38" i="2"/>
  <c r="T42" i="2"/>
  <c r="S7" i="2"/>
  <c r="S8" i="2"/>
  <c r="S9" i="2"/>
  <c r="S13" i="2"/>
  <c r="S18" i="2"/>
  <c r="S19" i="2"/>
  <c r="S20" i="2"/>
  <c r="S21" i="2"/>
  <c r="S22" i="2"/>
  <c r="S23" i="2"/>
  <c r="S24" i="2"/>
  <c r="S25" i="2"/>
  <c r="S30" i="2"/>
  <c r="S40" i="2" s="1"/>
  <c r="S31" i="2"/>
  <c r="S32" i="2"/>
  <c r="S33" i="2"/>
  <c r="S34" i="2"/>
  <c r="S35" i="2"/>
  <c r="S36" i="2"/>
  <c r="S37" i="2"/>
  <c r="S38" i="2"/>
  <c r="S42" i="2"/>
  <c r="R7" i="2"/>
  <c r="R8" i="2"/>
  <c r="R9" i="2"/>
  <c r="R13" i="2"/>
  <c r="R18" i="2"/>
  <c r="R19" i="2"/>
  <c r="R20" i="2"/>
  <c r="R21" i="2"/>
  <c r="R22" i="2"/>
  <c r="R23" i="2"/>
  <c r="R24" i="2"/>
  <c r="R25" i="2"/>
  <c r="R30" i="2"/>
  <c r="R40" i="2" s="1"/>
  <c r="R31" i="2"/>
  <c r="R32" i="2"/>
  <c r="R33" i="2"/>
  <c r="R34" i="2"/>
  <c r="R35" i="2"/>
  <c r="R36" i="2"/>
  <c r="R37" i="2"/>
  <c r="R38" i="2"/>
  <c r="R42" i="2"/>
  <c r="Q7" i="2"/>
  <c r="Q8" i="2"/>
  <c r="Q9" i="2"/>
  <c r="Q13" i="2"/>
  <c r="Q18" i="2"/>
  <c r="Q19" i="2"/>
  <c r="Q20" i="2"/>
  <c r="Q21" i="2"/>
  <c r="Q22" i="2"/>
  <c r="Q23" i="2"/>
  <c r="Q24" i="2"/>
  <c r="Q25" i="2"/>
  <c r="Q30" i="2"/>
  <c r="Q40" i="2" s="1"/>
  <c r="Q31" i="2"/>
  <c r="Q32" i="2"/>
  <c r="Q33" i="2"/>
  <c r="Q34" i="2"/>
  <c r="Q35" i="2"/>
  <c r="Q36" i="2"/>
  <c r="Q37" i="2"/>
  <c r="Q38" i="2"/>
  <c r="Q42" i="2"/>
  <c r="P7" i="2"/>
  <c r="P8" i="2"/>
  <c r="P9" i="2"/>
  <c r="P13" i="2"/>
  <c r="P18" i="2"/>
  <c r="P19" i="2"/>
  <c r="P20" i="2"/>
  <c r="P21" i="2"/>
  <c r="P22" i="2"/>
  <c r="P23" i="2"/>
  <c r="P24" i="2"/>
  <c r="P25" i="2"/>
  <c r="P30" i="2"/>
  <c r="P40" i="2" s="1"/>
  <c r="P31" i="2"/>
  <c r="P32" i="2"/>
  <c r="P33" i="2"/>
  <c r="P34" i="2"/>
  <c r="P35" i="2"/>
  <c r="P36" i="2"/>
  <c r="P37" i="2"/>
  <c r="P38" i="2"/>
  <c r="P42" i="2"/>
  <c r="O7" i="2"/>
  <c r="O8" i="2"/>
  <c r="O9" i="2"/>
  <c r="O13" i="2"/>
  <c r="O18" i="2"/>
  <c r="O19" i="2"/>
  <c r="O20" i="2"/>
  <c r="O21" i="2"/>
  <c r="O22" i="2"/>
  <c r="O23" i="2"/>
  <c r="O24" i="2"/>
  <c r="O25" i="2"/>
  <c r="O30" i="2"/>
  <c r="O40" i="2" s="1"/>
  <c r="O31" i="2"/>
  <c r="O32" i="2"/>
  <c r="O33" i="2"/>
  <c r="O34" i="2"/>
  <c r="O35" i="2"/>
  <c r="O36" i="2"/>
  <c r="O37" i="2"/>
  <c r="O38" i="2"/>
  <c r="O42" i="2"/>
  <c r="N7" i="2"/>
  <c r="N8" i="2"/>
  <c r="N9" i="2"/>
  <c r="N13" i="2"/>
  <c r="N18" i="2"/>
  <c r="N19" i="2"/>
  <c r="N20" i="2"/>
  <c r="N21" i="2"/>
  <c r="N22" i="2"/>
  <c r="N23" i="2"/>
  <c r="N24" i="2"/>
  <c r="N25" i="2"/>
  <c r="N30" i="2"/>
  <c r="N40" i="2" s="1"/>
  <c r="N31" i="2"/>
  <c r="N32" i="2"/>
  <c r="N33" i="2"/>
  <c r="N34" i="2"/>
  <c r="N35" i="2"/>
  <c r="N36" i="2"/>
  <c r="N37" i="2"/>
  <c r="N38" i="2"/>
  <c r="N42" i="2"/>
  <c r="M7" i="2"/>
  <c r="M8" i="2"/>
  <c r="M9" i="2"/>
  <c r="M13" i="2"/>
  <c r="M18" i="2"/>
  <c r="M19" i="2"/>
  <c r="M20" i="2"/>
  <c r="M21" i="2"/>
  <c r="M22" i="2"/>
  <c r="M23" i="2"/>
  <c r="M24" i="2"/>
  <c r="M25" i="2"/>
  <c r="M30" i="2"/>
  <c r="M40" i="2" s="1"/>
  <c r="M31" i="2"/>
  <c r="M32" i="2"/>
  <c r="M33" i="2"/>
  <c r="M34" i="2"/>
  <c r="M35" i="2"/>
  <c r="M36" i="2"/>
  <c r="M37" i="2"/>
  <c r="M38" i="2"/>
  <c r="M42" i="2"/>
  <c r="L7" i="2"/>
  <c r="L8" i="2"/>
  <c r="L9" i="2"/>
  <c r="L13" i="2"/>
  <c r="L18" i="2"/>
  <c r="L19" i="2"/>
  <c r="L20" i="2"/>
  <c r="L21" i="2"/>
  <c r="L22" i="2"/>
  <c r="L23" i="2"/>
  <c r="L24" i="2"/>
  <c r="L25" i="2"/>
  <c r="L30" i="2"/>
  <c r="L40" i="2" s="1"/>
  <c r="L31" i="2"/>
  <c r="L32" i="2"/>
  <c r="L33" i="2"/>
  <c r="L34" i="2"/>
  <c r="L35" i="2"/>
  <c r="L36" i="2"/>
  <c r="L37" i="2"/>
  <c r="L38" i="2"/>
  <c r="L42" i="2"/>
  <c r="K7" i="2"/>
  <c r="K8" i="2"/>
  <c r="K9" i="2"/>
  <c r="K13" i="2"/>
  <c r="K18" i="2"/>
  <c r="K19" i="2"/>
  <c r="K20" i="2"/>
  <c r="K21" i="2"/>
  <c r="K22" i="2"/>
  <c r="K23" i="2"/>
  <c r="K24" i="2"/>
  <c r="K25" i="2"/>
  <c r="K30" i="2"/>
  <c r="K40" i="2" s="1"/>
  <c r="K31" i="2"/>
  <c r="K32" i="2"/>
  <c r="K33" i="2"/>
  <c r="K34" i="2"/>
  <c r="K35" i="2"/>
  <c r="K36" i="2"/>
  <c r="K37" i="2"/>
  <c r="K38" i="2"/>
  <c r="K42" i="2"/>
  <c r="J7" i="2"/>
  <c r="J8" i="2"/>
  <c r="J9" i="2"/>
  <c r="J13" i="2"/>
  <c r="J18" i="2"/>
  <c r="J19" i="2"/>
  <c r="J20" i="2"/>
  <c r="J21" i="2"/>
  <c r="J22" i="2"/>
  <c r="J23" i="2"/>
  <c r="J24" i="2"/>
  <c r="J25" i="2"/>
  <c r="J30" i="2"/>
  <c r="J40" i="2" s="1"/>
  <c r="J31" i="2"/>
  <c r="J32" i="2"/>
  <c r="J33" i="2"/>
  <c r="J34" i="2"/>
  <c r="J35" i="2"/>
  <c r="J36" i="2"/>
  <c r="J37" i="2"/>
  <c r="J38" i="2"/>
  <c r="J42" i="2"/>
  <c r="I7" i="2"/>
  <c r="I8" i="2"/>
  <c r="I9" i="2"/>
  <c r="I13" i="2"/>
  <c r="I18" i="2"/>
  <c r="I19" i="2"/>
  <c r="I20" i="2"/>
  <c r="I21" i="2"/>
  <c r="I22" i="2"/>
  <c r="I23" i="2"/>
  <c r="I24" i="2"/>
  <c r="I25" i="2"/>
  <c r="I30" i="2"/>
  <c r="I40" i="2" s="1"/>
  <c r="I31" i="2"/>
  <c r="I32" i="2"/>
  <c r="I33" i="2"/>
  <c r="I34" i="2"/>
  <c r="I35" i="2"/>
  <c r="I36" i="2"/>
  <c r="I37" i="2"/>
  <c r="I38" i="2"/>
  <c r="I42" i="2"/>
  <c r="H7" i="2"/>
  <c r="H8" i="2"/>
  <c r="H9" i="2"/>
  <c r="H13" i="2"/>
  <c r="H18" i="2"/>
  <c r="H19" i="2"/>
  <c r="H20" i="2"/>
  <c r="H21" i="2"/>
  <c r="H22" i="2"/>
  <c r="H23" i="2"/>
  <c r="H24" i="2"/>
  <c r="H25" i="2"/>
  <c r="H30" i="2"/>
  <c r="H40" i="2" s="1"/>
  <c r="H31" i="2"/>
  <c r="H32" i="2"/>
  <c r="H33" i="2"/>
  <c r="H34" i="2"/>
  <c r="H35" i="2"/>
  <c r="H36" i="2"/>
  <c r="H37" i="2"/>
  <c r="H38" i="2"/>
  <c r="H42" i="2"/>
  <c r="G7" i="2"/>
  <c r="G8" i="2"/>
  <c r="G9" i="2"/>
  <c r="G13" i="2"/>
  <c r="G18" i="2"/>
  <c r="G19" i="2"/>
  <c r="G20" i="2"/>
  <c r="G21" i="2"/>
  <c r="G22" i="2"/>
  <c r="G23" i="2"/>
  <c r="G24" i="2"/>
  <c r="G25" i="2"/>
  <c r="G30" i="2"/>
  <c r="G40" i="2" s="1"/>
  <c r="G31" i="2"/>
  <c r="G32" i="2"/>
  <c r="G33" i="2"/>
  <c r="G34" i="2"/>
  <c r="G35" i="2"/>
  <c r="G36" i="2"/>
  <c r="G37" i="2"/>
  <c r="G38" i="2"/>
  <c r="G42" i="2"/>
  <c r="F7" i="2"/>
  <c r="F8" i="2"/>
  <c r="F9" i="2"/>
  <c r="F13" i="2"/>
  <c r="F18" i="2"/>
  <c r="F19" i="2"/>
  <c r="F20" i="2"/>
  <c r="F21" i="2"/>
  <c r="F22" i="2"/>
  <c r="F23" i="2"/>
  <c r="F24" i="2"/>
  <c r="F25" i="2"/>
  <c r="F30" i="2"/>
  <c r="F40" i="2" s="1"/>
  <c r="F31" i="2"/>
  <c r="F32" i="2"/>
  <c r="F33" i="2"/>
  <c r="F34" i="2"/>
  <c r="F35" i="2"/>
  <c r="F36" i="2"/>
  <c r="F37" i="2"/>
  <c r="F38" i="2"/>
  <c r="F42" i="2"/>
  <c r="E7" i="2"/>
  <c r="E8" i="2"/>
  <c r="E9" i="2"/>
  <c r="E13" i="2"/>
  <c r="E18" i="2"/>
  <c r="E19" i="2"/>
  <c r="E20" i="2"/>
  <c r="E21" i="2"/>
  <c r="E22" i="2"/>
  <c r="E23" i="2"/>
  <c r="E24" i="2"/>
  <c r="E25" i="2"/>
  <c r="E30" i="2"/>
  <c r="E40" i="2" s="1"/>
  <c r="E31" i="2"/>
  <c r="E32" i="2"/>
  <c r="E33" i="2"/>
  <c r="E34" i="2"/>
  <c r="E35" i="2"/>
  <c r="E36" i="2"/>
  <c r="E37" i="2"/>
  <c r="E38" i="2"/>
  <c r="E42" i="2"/>
  <c r="D7" i="2"/>
  <c r="D8" i="2"/>
  <c r="D9" i="2"/>
  <c r="D13" i="2"/>
  <c r="D18" i="2"/>
  <c r="D19" i="2"/>
  <c r="D20" i="2"/>
  <c r="D21" i="2"/>
  <c r="D22" i="2"/>
  <c r="D23" i="2"/>
  <c r="D24" i="2"/>
  <c r="D25" i="2"/>
  <c r="D30" i="2"/>
  <c r="D40" i="2" s="1"/>
  <c r="D31" i="2"/>
  <c r="D32" i="2"/>
  <c r="D33" i="2"/>
  <c r="D34" i="2"/>
  <c r="D35" i="2"/>
  <c r="D36" i="2"/>
  <c r="D37" i="2"/>
  <c r="D38" i="2"/>
  <c r="D42" i="2"/>
  <c r="C7" i="2"/>
  <c r="C8" i="2"/>
  <c r="C9" i="2"/>
  <c r="C13" i="2"/>
  <c r="C18" i="2"/>
  <c r="C19" i="2"/>
  <c r="C20" i="2"/>
  <c r="C21" i="2"/>
  <c r="C22" i="2"/>
  <c r="C23" i="2"/>
  <c r="C24" i="2"/>
  <c r="C25" i="2"/>
  <c r="C30" i="2"/>
  <c r="C40" i="2" s="1"/>
  <c r="C31" i="2"/>
  <c r="C32" i="2"/>
  <c r="C33" i="2"/>
  <c r="C34" i="2"/>
  <c r="C35" i="2"/>
  <c r="C36" i="2"/>
  <c r="C37" i="2"/>
  <c r="C38" i="2"/>
  <c r="C42" i="2"/>
  <c r="B7" i="2"/>
  <c r="B8" i="2"/>
  <c r="B9" i="2"/>
  <c r="B13" i="2"/>
  <c r="B18" i="2"/>
  <c r="B19" i="2"/>
  <c r="B20" i="2"/>
  <c r="B21" i="2"/>
  <c r="B22" i="2"/>
  <c r="B23" i="2"/>
  <c r="B24" i="2"/>
  <c r="B25" i="2"/>
  <c r="B30" i="2"/>
  <c r="B31" i="2"/>
  <c r="B32" i="2"/>
  <c r="B33" i="2"/>
  <c r="B34" i="2"/>
  <c r="B35" i="2"/>
  <c r="B36" i="2"/>
  <c r="B37" i="2"/>
  <c r="B38" i="2"/>
  <c r="B42" i="2"/>
  <c r="CZ6" i="2"/>
  <c r="CZ11" i="2" s="1"/>
  <c r="CZ15" i="2" s="1"/>
  <c r="CY6" i="2"/>
  <c r="CY11" i="2" s="1"/>
  <c r="CY15" i="2" s="1"/>
  <c r="CX6" i="2"/>
  <c r="CX11" i="2" s="1"/>
  <c r="CX15" i="2" s="1"/>
  <c r="CX27" i="2" s="1"/>
  <c r="CW6" i="2"/>
  <c r="CW11" i="2" s="1"/>
  <c r="CW15" i="2" s="1"/>
  <c r="CV6" i="2"/>
  <c r="CV11" i="2" s="1"/>
  <c r="CV15" i="2" s="1"/>
  <c r="CU6" i="2"/>
  <c r="CU11" i="2" s="1"/>
  <c r="CU15" i="2" s="1"/>
  <c r="CT6" i="2"/>
  <c r="CT11" i="2" s="1"/>
  <c r="CT15" i="2" s="1"/>
  <c r="CT27" i="2" s="1"/>
  <c r="CS6" i="2"/>
  <c r="CS11" i="2" s="1"/>
  <c r="CS15" i="2" s="1"/>
  <c r="CR6" i="2"/>
  <c r="CR11" i="2" s="1"/>
  <c r="CR15" i="2" s="1"/>
  <c r="CQ6" i="2"/>
  <c r="CQ11" i="2" s="1"/>
  <c r="CQ15" i="2" s="1"/>
  <c r="CP6" i="2"/>
  <c r="CP11" i="2" s="1"/>
  <c r="CP15" i="2" s="1"/>
  <c r="CP27" i="2" s="1"/>
  <c r="CO6" i="2"/>
  <c r="CO11" i="2" s="1"/>
  <c r="CO15" i="2" s="1"/>
  <c r="CN6" i="2"/>
  <c r="CN11" i="2" s="1"/>
  <c r="CN15" i="2" s="1"/>
  <c r="CM6" i="2"/>
  <c r="CM11" i="2" s="1"/>
  <c r="CM15" i="2" s="1"/>
  <c r="CL6" i="2"/>
  <c r="CL11" i="2" s="1"/>
  <c r="CL15" i="2" s="1"/>
  <c r="CL27" i="2" s="1"/>
  <c r="CK6" i="2"/>
  <c r="CK11" i="2" s="1"/>
  <c r="CK15" i="2" s="1"/>
  <c r="CJ6" i="2"/>
  <c r="CJ11" i="2" s="1"/>
  <c r="CJ15" i="2" s="1"/>
  <c r="CI6" i="2"/>
  <c r="CI11" i="2" s="1"/>
  <c r="CI15" i="2" s="1"/>
  <c r="CH6" i="2"/>
  <c r="CH11" i="2" s="1"/>
  <c r="CH15" i="2" s="1"/>
  <c r="CH27" i="2" s="1"/>
  <c r="CG6" i="2"/>
  <c r="CG11" i="2" s="1"/>
  <c r="CG15" i="2" s="1"/>
  <c r="CF6" i="2"/>
  <c r="CF11" i="2" s="1"/>
  <c r="CF15" i="2" s="1"/>
  <c r="CE6" i="2"/>
  <c r="CE11" i="2" s="1"/>
  <c r="CE15" i="2" s="1"/>
  <c r="CD6" i="2"/>
  <c r="CD11" i="2" s="1"/>
  <c r="CD15" i="2" s="1"/>
  <c r="CD27" i="2" s="1"/>
  <c r="CC6" i="2"/>
  <c r="CC11" i="2" s="1"/>
  <c r="CC15" i="2" s="1"/>
  <c r="CB6" i="2"/>
  <c r="CB11" i="2" s="1"/>
  <c r="CB15" i="2" s="1"/>
  <c r="CA6" i="2"/>
  <c r="CA11" i="2" s="1"/>
  <c r="CA15" i="2" s="1"/>
  <c r="BZ6" i="2"/>
  <c r="BZ11" i="2" s="1"/>
  <c r="BZ15" i="2" s="1"/>
  <c r="BZ27" i="2" s="1"/>
  <c r="BY6" i="2"/>
  <c r="BY11" i="2" s="1"/>
  <c r="BY15" i="2" s="1"/>
  <c r="BX6" i="2"/>
  <c r="BX11" i="2" s="1"/>
  <c r="BX15" i="2" s="1"/>
  <c r="BW6" i="2"/>
  <c r="BW11" i="2" s="1"/>
  <c r="BW15" i="2" s="1"/>
  <c r="BV6" i="2"/>
  <c r="BV11" i="2" s="1"/>
  <c r="BV15" i="2" s="1"/>
  <c r="BV27" i="2" s="1"/>
  <c r="BU6" i="2"/>
  <c r="BU11" i="2" s="1"/>
  <c r="BU15" i="2" s="1"/>
  <c r="BT6" i="2"/>
  <c r="BT11" i="2" s="1"/>
  <c r="BT15" i="2" s="1"/>
  <c r="BS6" i="2"/>
  <c r="BS11" i="2" s="1"/>
  <c r="BS15" i="2" s="1"/>
  <c r="BR6" i="2"/>
  <c r="BR11" i="2" s="1"/>
  <c r="BR15" i="2" s="1"/>
  <c r="BR27" i="2" s="1"/>
  <c r="BQ6" i="2"/>
  <c r="BQ11" i="2" s="1"/>
  <c r="BQ15" i="2" s="1"/>
  <c r="BP6" i="2"/>
  <c r="BP11" i="2" s="1"/>
  <c r="BP15" i="2" s="1"/>
  <c r="BO6" i="2"/>
  <c r="BO11" i="2" s="1"/>
  <c r="BO15" i="2" s="1"/>
  <c r="BN6" i="2"/>
  <c r="BN11" i="2" s="1"/>
  <c r="BN15" i="2" s="1"/>
  <c r="BN27" i="2" s="1"/>
  <c r="BM6" i="2"/>
  <c r="BM11" i="2" s="1"/>
  <c r="BM15" i="2" s="1"/>
  <c r="BL6" i="2"/>
  <c r="BL11" i="2" s="1"/>
  <c r="BL15" i="2" s="1"/>
  <c r="BK6" i="2"/>
  <c r="BK11" i="2" s="1"/>
  <c r="BK15" i="2" s="1"/>
  <c r="BJ6" i="2"/>
  <c r="BJ11" i="2" s="1"/>
  <c r="BJ15" i="2" s="1"/>
  <c r="BJ27" i="2" s="1"/>
  <c r="BI6" i="2"/>
  <c r="BI11" i="2" s="1"/>
  <c r="BI15" i="2" s="1"/>
  <c r="BH6" i="2"/>
  <c r="BH11" i="2" s="1"/>
  <c r="BH15" i="2" s="1"/>
  <c r="BG6" i="2"/>
  <c r="BG11" i="2" s="1"/>
  <c r="BG15" i="2" s="1"/>
  <c r="BF6" i="2"/>
  <c r="BF11" i="2" s="1"/>
  <c r="BF15" i="2" s="1"/>
  <c r="BF27" i="2" s="1"/>
  <c r="BE6" i="2"/>
  <c r="BE11" i="2" s="1"/>
  <c r="BE15" i="2" s="1"/>
  <c r="BD6" i="2"/>
  <c r="BD11" i="2" s="1"/>
  <c r="BD15" i="2" s="1"/>
  <c r="BC6" i="2"/>
  <c r="BC11" i="2" s="1"/>
  <c r="BC15" i="2" s="1"/>
  <c r="BB6" i="2"/>
  <c r="BB11" i="2" s="1"/>
  <c r="BB15" i="2" s="1"/>
  <c r="BB27" i="2" s="1"/>
  <c r="BA6" i="2"/>
  <c r="BA11" i="2" s="1"/>
  <c r="BA15" i="2" s="1"/>
  <c r="AZ6" i="2"/>
  <c r="AZ11" i="2" s="1"/>
  <c r="AZ15" i="2" s="1"/>
  <c r="AY6" i="2"/>
  <c r="AY11" i="2" s="1"/>
  <c r="AY15" i="2" s="1"/>
  <c r="AX6" i="2"/>
  <c r="AX11" i="2" s="1"/>
  <c r="AX15" i="2" s="1"/>
  <c r="AX27" i="2" s="1"/>
  <c r="AW6" i="2"/>
  <c r="AW11" i="2" s="1"/>
  <c r="AW15" i="2" s="1"/>
  <c r="AV6" i="2"/>
  <c r="AV11" i="2" s="1"/>
  <c r="AV15" i="2" s="1"/>
  <c r="AU6" i="2"/>
  <c r="AU11" i="2" s="1"/>
  <c r="AU15" i="2" s="1"/>
  <c r="AT6" i="2"/>
  <c r="AT11" i="2" s="1"/>
  <c r="AT15" i="2" s="1"/>
  <c r="AT27" i="2" s="1"/>
  <c r="AS6" i="2"/>
  <c r="AS11" i="2" s="1"/>
  <c r="AS15" i="2" s="1"/>
  <c r="AR6" i="2"/>
  <c r="AR11" i="2" s="1"/>
  <c r="AR15" i="2" s="1"/>
  <c r="AQ6" i="2"/>
  <c r="AQ11" i="2" s="1"/>
  <c r="AQ15" i="2" s="1"/>
  <c r="AP6" i="2"/>
  <c r="AP11" i="2" s="1"/>
  <c r="AP15" i="2" s="1"/>
  <c r="AP27" i="2" s="1"/>
  <c r="AO6" i="2"/>
  <c r="AN6" i="2"/>
  <c r="AM6" i="2"/>
  <c r="AJ6" i="2"/>
  <c r="AJ11" i="2" s="1"/>
  <c r="AJ15" i="2" s="1"/>
  <c r="AJ27" i="2" s="1"/>
  <c r="AI6" i="2"/>
  <c r="AI11" i="2" s="1"/>
  <c r="AI15" i="2" s="1"/>
  <c r="AH6" i="2"/>
  <c r="AH11" i="2" s="1"/>
  <c r="AH15" i="2" s="1"/>
  <c r="AG6" i="2"/>
  <c r="AG11" i="2" s="1"/>
  <c r="AG15" i="2" s="1"/>
  <c r="AF6" i="2"/>
  <c r="AF11" i="2" s="1"/>
  <c r="AF15" i="2" s="1"/>
  <c r="AF27" i="2" s="1"/>
  <c r="AE6" i="2"/>
  <c r="AE11" i="2" s="1"/>
  <c r="AE15" i="2" s="1"/>
  <c r="AD6" i="2"/>
  <c r="AD11" i="2" s="1"/>
  <c r="AD15" i="2" s="1"/>
  <c r="AC6" i="2"/>
  <c r="AC11" i="2" s="1"/>
  <c r="AC15" i="2" s="1"/>
  <c r="AB6" i="2"/>
  <c r="AB11" i="2" s="1"/>
  <c r="AB15" i="2" s="1"/>
  <c r="AB27" i="2" s="1"/>
  <c r="AA6" i="2"/>
  <c r="AA11" i="2" s="1"/>
  <c r="AA15" i="2" s="1"/>
  <c r="Z6" i="2"/>
  <c r="Z11" i="2" s="1"/>
  <c r="Z15" i="2" s="1"/>
  <c r="Y6" i="2"/>
  <c r="Y11" i="2" s="1"/>
  <c r="Y15" i="2" s="1"/>
  <c r="X6" i="2"/>
  <c r="X11" i="2" s="1"/>
  <c r="X15" i="2" s="1"/>
  <c r="X27" i="2" s="1"/>
  <c r="W6" i="2"/>
  <c r="W11" i="2" s="1"/>
  <c r="W15" i="2" s="1"/>
  <c r="V6" i="2"/>
  <c r="V11" i="2" s="1"/>
  <c r="V15" i="2" s="1"/>
  <c r="U6" i="2"/>
  <c r="U11" i="2" s="1"/>
  <c r="U15" i="2" s="1"/>
  <c r="T6" i="2"/>
  <c r="T11" i="2" s="1"/>
  <c r="T15" i="2" s="1"/>
  <c r="S6" i="2"/>
  <c r="S11" i="2" s="1"/>
  <c r="S15" i="2" s="1"/>
  <c r="R6" i="2"/>
  <c r="R11" i="2" s="1"/>
  <c r="R15" i="2" s="1"/>
  <c r="Q6" i="2"/>
  <c r="Q11" i="2" s="1"/>
  <c r="Q15" i="2" s="1"/>
  <c r="P6" i="2"/>
  <c r="P11" i="2" s="1"/>
  <c r="P15" i="2" s="1"/>
  <c r="P27" i="2" s="1"/>
  <c r="O6" i="2"/>
  <c r="O11" i="2" s="1"/>
  <c r="O15" i="2" s="1"/>
  <c r="N6" i="2"/>
  <c r="N11" i="2" s="1"/>
  <c r="N15" i="2" s="1"/>
  <c r="M6" i="2"/>
  <c r="M11" i="2" s="1"/>
  <c r="M15" i="2" s="1"/>
  <c r="L6" i="2"/>
  <c r="L11" i="2" s="1"/>
  <c r="L15" i="2" s="1"/>
  <c r="L27" i="2" s="1"/>
  <c r="K6" i="2"/>
  <c r="K11" i="2" s="1"/>
  <c r="K15" i="2" s="1"/>
  <c r="J6" i="2"/>
  <c r="J11" i="2" s="1"/>
  <c r="J15" i="2" s="1"/>
  <c r="I6" i="2"/>
  <c r="I11" i="2" s="1"/>
  <c r="I15" i="2" s="1"/>
  <c r="AL6" i="2"/>
  <c r="AK6" i="2"/>
  <c r="H6" i="2"/>
  <c r="H11" i="2" s="1"/>
  <c r="H15" i="2" s="1"/>
  <c r="G6" i="2"/>
  <c r="G11" i="2" s="1"/>
  <c r="G15" i="2" s="1"/>
  <c r="F6" i="2"/>
  <c r="F11" i="2" s="1"/>
  <c r="F15" i="2" s="1"/>
  <c r="F27" i="2" s="1"/>
  <c r="E6" i="2"/>
  <c r="E11" i="2" s="1"/>
  <c r="E15" i="2" s="1"/>
  <c r="D6" i="2"/>
  <c r="C6" i="2"/>
  <c r="C11" i="2" s="1"/>
  <c r="C15" i="2" s="1"/>
  <c r="B6" i="2"/>
  <c r="AO23" i="3" l="1"/>
  <c r="AO11" i="2"/>
  <c r="AO15" i="2" s="1"/>
  <c r="AO27" i="2" s="1"/>
  <c r="AO40" i="2"/>
  <c r="AN8" i="3"/>
  <c r="AN23" i="3"/>
  <c r="AN40" i="2"/>
  <c r="AN11" i="2"/>
  <c r="AN15" i="2" s="1"/>
  <c r="AN27" i="2" s="1"/>
  <c r="B11" i="2"/>
  <c r="B15" i="2" s="1"/>
  <c r="B27" i="2" s="1"/>
  <c r="B40" i="2"/>
  <c r="B44" i="2" s="1"/>
  <c r="B8" i="3"/>
  <c r="B23" i="3"/>
  <c r="D11" i="2"/>
  <c r="D15" i="2" s="1"/>
  <c r="D27" i="2" s="1"/>
  <c r="T27" i="2"/>
  <c r="AV27" i="3"/>
  <c r="AZ27" i="3"/>
  <c r="BD27" i="3"/>
  <c r="BH27" i="3"/>
  <c r="BL27" i="3"/>
  <c r="BP27" i="3"/>
  <c r="BT27" i="3"/>
  <c r="BX27" i="3"/>
  <c r="CB27" i="3"/>
  <c r="CF27" i="3"/>
  <c r="CJ27" i="3"/>
  <c r="CN27" i="3"/>
  <c r="CR27" i="3"/>
  <c r="CV27" i="3"/>
  <c r="CZ27" i="3"/>
  <c r="BY27" i="3"/>
  <c r="CC27" i="3"/>
  <c r="CG27" i="3"/>
  <c r="CK27" i="3"/>
  <c r="CO27" i="3"/>
  <c r="CS27" i="3"/>
  <c r="CW27" i="3"/>
  <c r="AW27" i="3"/>
  <c r="BA27" i="3"/>
  <c r="BE27" i="3"/>
  <c r="BI27" i="3"/>
  <c r="BM27" i="3"/>
  <c r="BQ27" i="3"/>
  <c r="BU27" i="3"/>
  <c r="AK23" i="3"/>
  <c r="AK8" i="3"/>
  <c r="AM8" i="3"/>
  <c r="AY27" i="3"/>
  <c r="BG27" i="3"/>
  <c r="BO27" i="3"/>
  <c r="CE27" i="3"/>
  <c r="CU27" i="3"/>
  <c r="AM23" i="3"/>
  <c r="AM11" i="2"/>
  <c r="AM15" i="2" s="1"/>
  <c r="AM27" i="2" s="1"/>
  <c r="BW27" i="3"/>
  <c r="AL23" i="3"/>
  <c r="AT27" i="3"/>
  <c r="BB27" i="3"/>
  <c r="BJ27" i="3"/>
  <c r="BR27" i="3"/>
  <c r="BZ27" i="3"/>
  <c r="CH27" i="3"/>
  <c r="CP27" i="3"/>
  <c r="CX27" i="3"/>
  <c r="CM27" i="3"/>
  <c r="AL8" i="3"/>
  <c r="AU27" i="3"/>
  <c r="BC27" i="3"/>
  <c r="BK27" i="3"/>
  <c r="BS27" i="3"/>
  <c r="CA27" i="3"/>
  <c r="CI27" i="3"/>
  <c r="CQ27" i="3"/>
  <c r="CY27" i="3"/>
  <c r="AX27" i="3"/>
  <c r="BF27" i="3"/>
  <c r="BN27" i="3"/>
  <c r="BV27" i="3"/>
  <c r="CD27" i="3"/>
  <c r="CL27" i="3"/>
  <c r="CT27" i="3"/>
  <c r="AM40" i="2"/>
  <c r="AL11" i="2"/>
  <c r="AL15" i="2" s="1"/>
  <c r="AL27" i="2" s="1"/>
  <c r="AL40" i="2"/>
  <c r="AD27" i="2"/>
  <c r="AH27" i="2"/>
  <c r="AR27" i="2"/>
  <c r="AV27" i="2"/>
  <c r="AZ27" i="2"/>
  <c r="BD27" i="2"/>
  <c r="BH27" i="2"/>
  <c r="BL27" i="2"/>
  <c r="BP27" i="2"/>
  <c r="BT27" i="2"/>
  <c r="BX27" i="2"/>
  <c r="CB27" i="2"/>
  <c r="CF27" i="2"/>
  <c r="CJ27" i="2"/>
  <c r="CN27" i="2"/>
  <c r="CR27" i="2"/>
  <c r="CV27" i="2"/>
  <c r="CZ27" i="2"/>
  <c r="BY27" i="2"/>
  <c r="AK40" i="2"/>
  <c r="E27" i="2"/>
  <c r="AK11" i="2"/>
  <c r="AK15" i="2" s="1"/>
  <c r="AK27" i="2" s="1"/>
  <c r="O27" i="2"/>
  <c r="W27" i="2"/>
  <c r="AE27" i="2"/>
  <c r="AI27" i="2"/>
  <c r="AS27" i="2"/>
  <c r="AW27" i="2"/>
  <c r="BA27" i="2"/>
  <c r="BE27" i="2"/>
  <c r="BI27" i="2"/>
  <c r="BM27" i="2"/>
  <c r="BQ27" i="2"/>
  <c r="BU27" i="2"/>
  <c r="CC27" i="2"/>
  <c r="CG27" i="2"/>
  <c r="CK27" i="2"/>
  <c r="CO27" i="2"/>
  <c r="CW27" i="2"/>
  <c r="C27" i="2"/>
  <c r="G27" i="2"/>
  <c r="I27" i="2"/>
  <c r="M27" i="2"/>
  <c r="Y27" i="2"/>
  <c r="AC27" i="2"/>
  <c r="AQ27" i="2"/>
  <c r="AU27" i="2"/>
  <c r="AY27" i="2"/>
  <c r="BC27" i="2"/>
  <c r="BG27" i="2"/>
  <c r="BK27" i="2"/>
  <c r="BO27" i="2"/>
  <c r="BS27" i="2"/>
  <c r="BW27" i="2"/>
  <c r="CA27" i="2"/>
  <c r="CE27" i="2"/>
  <c r="CI27" i="2"/>
  <c r="CM27" i="2"/>
  <c r="CQ27" i="2"/>
  <c r="CU27" i="2"/>
  <c r="CY27" i="2"/>
  <c r="H27" i="2"/>
  <c r="J27" i="2"/>
  <c r="N27" i="2"/>
  <c r="R27" i="2"/>
  <c r="Z27" i="2"/>
  <c r="S27" i="2"/>
  <c r="U27" i="2"/>
  <c r="Q27" i="2"/>
  <c r="AG27" i="2"/>
  <c r="K27" i="2"/>
  <c r="AA27" i="2"/>
  <c r="CS27" i="2"/>
  <c r="V27" i="2"/>
  <c r="BG44" i="2"/>
  <c r="BH44" i="2"/>
  <c r="BI44" i="2"/>
  <c r="BK44" i="2"/>
  <c r="BL44" i="2"/>
  <c r="BM44" i="2"/>
  <c r="BO44" i="2"/>
  <c r="BP44" i="2"/>
  <c r="BQ44" i="2"/>
  <c r="BS44" i="2"/>
  <c r="BT44" i="2"/>
  <c r="BU44" i="2"/>
  <c r="BW44" i="2"/>
  <c r="BX44" i="2"/>
  <c r="BY44" i="2"/>
  <c r="CA44" i="2"/>
  <c r="CB44" i="2"/>
  <c r="CC44" i="2"/>
  <c r="CE44" i="2"/>
  <c r="CF44" i="2"/>
  <c r="CG44" i="2"/>
  <c r="CI44" i="2"/>
  <c r="CJ44" i="2"/>
  <c r="CK44" i="2"/>
  <c r="CM44" i="2"/>
  <c r="CN44" i="2"/>
  <c r="CO44" i="2"/>
  <c r="CQ44" i="2"/>
  <c r="CR44" i="2"/>
  <c r="CS44" i="2"/>
  <c r="CU44" i="2"/>
  <c r="CV44" i="2"/>
  <c r="CW44" i="2"/>
  <c r="CY44" i="2"/>
  <c r="CZ44" i="2"/>
  <c r="BF44" i="2"/>
  <c r="BJ44" i="2"/>
  <c r="BN44" i="2"/>
  <c r="BR44" i="2"/>
  <c r="BV44" i="2"/>
  <c r="BZ44" i="2"/>
  <c r="CD44" i="2"/>
  <c r="CH44" i="2"/>
  <c r="CL44" i="2"/>
  <c r="CP44" i="2"/>
  <c r="CT44" i="2"/>
  <c r="CX44" i="2"/>
  <c r="C2" i="3" l="1"/>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B2" i="2"/>
  <c r="C2" i="2"/>
  <c r="B6" i="10"/>
  <c r="F3" i="10" l="1"/>
  <c r="AR44" i="2" l="1"/>
  <c r="AV44" i="2"/>
  <c r="AZ44" i="2"/>
  <c r="BD44" i="2"/>
  <c r="AN44" i="2"/>
  <c r="AP44" i="2"/>
  <c r="AT44" i="2"/>
  <c r="AX44" i="2"/>
  <c r="BB44" i="2"/>
  <c r="AQ44" i="2"/>
  <c r="AM44" i="2"/>
  <c r="AO44" i="2"/>
  <c r="AS44" i="2"/>
  <c r="AU44" i="2"/>
  <c r="AW44" i="2"/>
  <c r="AY44" i="2"/>
  <c r="BA44" i="2"/>
  <c r="BC44" i="2"/>
  <c r="BE44" i="2"/>
  <c r="D44" i="2"/>
  <c r="F44" i="2"/>
  <c r="N44" i="2"/>
  <c r="T44" i="2"/>
  <c r="X44" i="2"/>
  <c r="Z44" i="2"/>
  <c r="AD44" i="2"/>
  <c r="H44" i="2"/>
  <c r="J44" i="2"/>
  <c r="L44" i="2"/>
  <c r="P44" i="2"/>
  <c r="R44" i="2"/>
  <c r="V44" i="2"/>
  <c r="AB44" i="2"/>
  <c r="AF44" i="2"/>
  <c r="AH44" i="2"/>
  <c r="AJ44" i="2"/>
  <c r="AL44" i="2"/>
  <c r="E44" i="2"/>
  <c r="G44" i="2"/>
  <c r="I44" i="2"/>
  <c r="K44" i="2"/>
  <c r="M44" i="2"/>
  <c r="O44" i="2"/>
  <c r="Q44" i="2"/>
  <c r="S44" i="2"/>
  <c r="U44" i="2"/>
  <c r="W44" i="2"/>
  <c r="Y44" i="2"/>
  <c r="AA44" i="2"/>
  <c r="AC44" i="2"/>
  <c r="AE44" i="2"/>
  <c r="AG44" i="2"/>
  <c r="AI44" i="2"/>
  <c r="AK44" i="2"/>
  <c r="R27" i="3" l="1"/>
  <c r="E27" i="10" s="1"/>
  <c r="F27" i="10" s="1"/>
  <c r="K27" i="3" l="1"/>
  <c r="E20" i="10" s="1"/>
  <c r="F20" i="10" s="1"/>
  <c r="L27" i="3"/>
  <c r="E21" i="10" s="1"/>
  <c r="F21" i="10" s="1"/>
  <c r="M27" i="3"/>
  <c r="E22" i="10" s="1"/>
  <c r="F22" i="10" s="1"/>
  <c r="N27" i="3"/>
  <c r="E23" i="10" s="1"/>
  <c r="F23" i="10" s="1"/>
  <c r="O27" i="3"/>
  <c r="E24" i="10" s="1"/>
  <c r="F24" i="10" s="1"/>
  <c r="P27" i="3"/>
  <c r="E25" i="10" s="1"/>
  <c r="F25" i="10" s="1"/>
  <c r="Q27" i="3"/>
  <c r="E26" i="10" s="1"/>
  <c r="F26" i="10" s="1"/>
  <c r="S27" i="3"/>
  <c r="E28" i="10" s="1"/>
  <c r="F28" i="10" s="1"/>
  <c r="T27" i="3"/>
  <c r="E29" i="10" s="1"/>
  <c r="F29" i="10" s="1"/>
  <c r="U27" i="3"/>
  <c r="E30" i="10" s="1"/>
  <c r="F30" i="10" s="1"/>
  <c r="V27" i="3"/>
  <c r="E31" i="10" s="1"/>
  <c r="F31" i="10" s="1"/>
  <c r="W27" i="3"/>
  <c r="E32" i="10" s="1"/>
  <c r="F32" i="10" s="1"/>
  <c r="X27" i="3"/>
  <c r="E33" i="10" s="1"/>
  <c r="F33" i="10" s="1"/>
  <c r="Y27" i="3"/>
  <c r="E34" i="10" s="1"/>
  <c r="F34" i="10" s="1"/>
  <c r="Z27" i="3"/>
  <c r="E35" i="10" s="1"/>
  <c r="F35" i="10" s="1"/>
  <c r="AA27" i="3"/>
  <c r="E36" i="10" s="1"/>
  <c r="F36" i="10" s="1"/>
  <c r="AB27" i="3"/>
  <c r="E37" i="10" s="1"/>
  <c r="F37" i="10" s="1"/>
  <c r="AC27" i="3"/>
  <c r="E38" i="10" s="1"/>
  <c r="F38" i="10" s="1"/>
  <c r="AD27" i="3"/>
  <c r="E39" i="10" s="1"/>
  <c r="F39" i="10" s="1"/>
  <c r="AE27" i="3"/>
  <c r="E40" i="10" s="1"/>
  <c r="F40" i="10" s="1"/>
  <c r="AF27" i="3"/>
  <c r="E41" i="10" s="1"/>
  <c r="F41" i="10" s="1"/>
  <c r="AG27" i="3"/>
  <c r="E42" i="10" s="1"/>
  <c r="F42" i="10" s="1"/>
  <c r="AH27" i="3"/>
  <c r="E43" i="10" s="1"/>
  <c r="F43" i="10" s="1"/>
  <c r="AI27" i="3"/>
  <c r="E44" i="10" s="1"/>
  <c r="F44" i="10" s="1"/>
  <c r="AJ27" i="3"/>
  <c r="E45" i="10" s="1"/>
  <c r="F45" i="10" s="1"/>
  <c r="AK27" i="3"/>
  <c r="E46" i="10" s="1"/>
  <c r="F46" i="10" s="1"/>
  <c r="AL27" i="3"/>
  <c r="E47" i="10" s="1"/>
  <c r="F47" i="10" s="1"/>
  <c r="AM27" i="3"/>
  <c r="AN27" i="3"/>
  <c r="AO27" i="3"/>
  <c r="E50" i="10" s="1"/>
  <c r="F50" i="10" s="1"/>
  <c r="AP27" i="3"/>
  <c r="AQ27" i="3"/>
  <c r="AR27" i="3"/>
  <c r="AS27" i="3"/>
  <c r="D27" i="3"/>
  <c r="E13" i="10" s="1"/>
  <c r="F13" i="10" s="1"/>
  <c r="E27" i="3"/>
  <c r="E14" i="10" s="1"/>
  <c r="F14" i="10" s="1"/>
  <c r="F27" i="3"/>
  <c r="E15" i="10" s="1"/>
  <c r="F15" i="10" s="1"/>
  <c r="G27" i="3"/>
  <c r="E16" i="10" s="1"/>
  <c r="F16" i="10" s="1"/>
  <c r="H27" i="3"/>
  <c r="E17" i="10" s="1"/>
  <c r="F17" i="10" s="1"/>
  <c r="I27" i="3"/>
  <c r="E18" i="10" s="1"/>
  <c r="F18" i="10" s="1"/>
  <c r="J27" i="3"/>
  <c r="E19" i="10" s="1"/>
  <c r="F19" i="10" s="1"/>
  <c r="B27" i="3"/>
  <c r="E11" i="10" s="1"/>
  <c r="F11" i="10" s="1"/>
  <c r="E48" i="10" l="1"/>
  <c r="F48" i="10" s="1"/>
  <c r="E49" i="10"/>
  <c r="F49" i="10" s="1"/>
  <c r="C27" i="3"/>
  <c r="E12" i="10" s="1"/>
  <c r="F12" i="10" s="1"/>
  <c r="F8" i="10" s="1"/>
  <c r="E8" i="10" l="1"/>
  <c r="C44" i="2"/>
</calcChain>
</file>

<file path=xl/sharedStrings.xml><?xml version="1.0" encoding="utf-8"?>
<sst xmlns="http://schemas.openxmlformats.org/spreadsheetml/2006/main" count="1253" uniqueCount="246">
  <si>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</si>
  <si>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</si>
  <si>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</si>
  <si>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</si>
  <si>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</si>
  <si>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</si>
  <si>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</si>
  <si>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</si>
  <si>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</si>
  <si>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</si>
  <si>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</si>
  <si>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</si>
  <si>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</si>
  <si>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</si>
  <si>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</si>
  <si>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</si>
  <si>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</si>
  <si>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</si>
  <si>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</si>
  <si>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</si>
  <si>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</si>
  <si>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</si>
  <si>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</si>
  <si>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</si>
  <si>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</si>
  <si>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</si>
  <si>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</si>
  <si>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</si>
  <si>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</si>
  <si>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</si>
  <si>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</si>
  <si>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</si>
  <si>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</si>
  <si>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</si>
  <si>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</si>
  <si>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</si>
  <si>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</si>
  <si>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</si>
  <si>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</si>
  <si>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</si>
  <si>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</si>
  <si>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</si>
  <si>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</si>
  <si>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</si>
  <si>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</si>
  <si>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</si>
  <si>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</si>
  <si>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</si>
  <si>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</si>
  <si>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</si>
  <si>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</si>
  <si>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</si>
  <si>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</si>
  <si>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</si>
  <si>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</si>
  <si>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</si>
  <si>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</si>
  <si>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</si>
  <si>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</si>
  <si>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</si>
  <si>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</si>
  <si>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</si>
  <si>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</si>
  <si>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</si>
  <si>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</si>
  <si>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</si>
  <si>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</si>
  <si>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</si>
  <si>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</si>
  <si>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</si>
  <si>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</si>
  <si>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</si>
  <si>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</si>
  <si>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</si>
  <si>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</si>
  <si>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</si>
  <si>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</si>
  <si>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</si>
  <si>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</si>
  <si>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</si>
  <si>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</si>
  <si>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</si>
  <si>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</si>
  <si>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</si>
  <si>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</si>
  <si>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</si>
  <si>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</si>
  <si>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</si>
  <si>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</si>
  <si>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</si>
  <si>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</si>
  <si>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</si>
  <si>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</si>
  <si>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</si>
  <si>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</si>
  <si>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</si>
  <si>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</si>
  <si>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</si>
  <si>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</si>
  <si>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</si>
  <si>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</si>
  <si>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</si>
  <si>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</si>
  <si>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</si>
  <si>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</si>
  <si>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</si>
  <si>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</si>
  <si>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</si>
  <si>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</si>
  <si>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</si>
  <si>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</si>
  <si>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</si>
  <si>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</si>
  <si>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</si>
  <si>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</si>
  <si>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</si>
  <si>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</si>
  <si>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</si>
  <si>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</si>
  <si>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</si>
  <si>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</si>
  <si>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</si>
  <si>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</si>
  <si>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</si>
  <si>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</si>
  <si>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</si>
  <si>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</si>
  <si>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</si>
  <si>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</si>
  <si>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</si>
  <si>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</si>
  <si>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</si>
  <si>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</si>
  <si>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</si>
  <si>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</si>
  <si>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</si>
  <si>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</si>
  <si>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</si>
  <si>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</si>
  <si>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</si>
  <si>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</si>
  <si>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</si>
  <si>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</si>
  <si>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</si>
  <si>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</si>
  <si>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</si>
  <si>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</si>
  <si>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</si>
  <si>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</si>
  <si>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</si>
  <si>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</si>
  <si>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</si>
  <si>
    <t>70416</t>
  </si>
  <si>
    <t>test_project</t>
  </si>
  <si>
    <t>2017</t>
  </si>
  <si>
    <t>Investment in Real Estate - At Cost</t>
  </si>
  <si>
    <t>Liabilities</t>
  </si>
  <si>
    <t>Other Assets</t>
  </si>
  <si>
    <t>Partners' Capital</t>
  </si>
  <si>
    <t>70444</t>
  </si>
  <si>
    <t>PK image access test</t>
  </si>
  <si>
    <t>70446</t>
  </si>
  <si>
    <t>pk investors report testing</t>
  </si>
  <si>
    <t>70340</t>
  </si>
  <si>
    <t>Park View at Catonsville</t>
  </si>
  <si>
    <t>Operations/Asset Management</t>
  </si>
  <si>
    <t>70341</t>
  </si>
  <si>
    <t>Park View at South Pantops</t>
  </si>
  <si>
    <t>70342</t>
  </si>
  <si>
    <t>Park View at Tyler Run</t>
  </si>
  <si>
    <t>70343</t>
  </si>
  <si>
    <t>Park View at Manchester Heights</t>
  </si>
  <si>
    <t>70344</t>
  </si>
  <si>
    <t>Park View at Naaman's Creek</t>
  </si>
  <si>
    <t>70345</t>
  </si>
  <si>
    <t>York Commons</t>
  </si>
  <si>
    <t>70346</t>
  </si>
  <si>
    <t>Park View at Oak Crest</t>
  </si>
  <si>
    <t>70347</t>
  </si>
  <si>
    <t>Park View at Cheltenham</t>
  </si>
  <si>
    <t>70348</t>
  </si>
  <si>
    <t>Park View at Bethlehem</t>
  </si>
  <si>
    <t>70349</t>
  </si>
  <si>
    <t>Westbrook Commons</t>
  </si>
  <si>
    <t>70350</t>
  </si>
  <si>
    <t>Park View at Easton</t>
  </si>
  <si>
    <t>70352</t>
  </si>
  <si>
    <t>Somerset Commons</t>
  </si>
  <si>
    <t>70354</t>
  </si>
  <si>
    <t>Park View at Laurel I</t>
  </si>
  <si>
    <t>70357</t>
  </si>
  <si>
    <t>Park View at Emerson</t>
  </si>
  <si>
    <t>70358</t>
  </si>
  <si>
    <t>Park View at Ellicott City II</t>
  </si>
  <si>
    <t>70361</t>
  </si>
  <si>
    <t>Hickory Ridge</t>
  </si>
  <si>
    <t>Pending Business Committee Approval</t>
  </si>
  <si>
    <t>70362</t>
  </si>
  <si>
    <t>Park View at Snowden River</t>
  </si>
  <si>
    <t>70363</t>
  </si>
  <si>
    <t>Park View at Columbia</t>
  </si>
  <si>
    <t>70364</t>
  </si>
  <si>
    <t>Woodbridge Commons</t>
  </si>
  <si>
    <t>70365</t>
  </si>
  <si>
    <t>Park View at Bel Air</t>
  </si>
  <si>
    <t>70366</t>
  </si>
  <si>
    <t>Park View at Box Hill</t>
  </si>
  <si>
    <t>70367</t>
  </si>
  <si>
    <t>College Parkway Place</t>
  </si>
  <si>
    <t>70368</t>
  </si>
  <si>
    <t>Park View at Furnace Branch</t>
  </si>
  <si>
    <t>70369</t>
  </si>
  <si>
    <t>Park View at Severna Park</t>
  </si>
  <si>
    <t>70370</t>
  </si>
  <si>
    <t>Ashland Commons</t>
  </si>
  <si>
    <t>70371</t>
  </si>
  <si>
    <t>Park View at Fullerton</t>
  </si>
  <si>
    <t>70372</t>
  </si>
  <si>
    <t>Park View at Ashland Terrace</t>
  </si>
  <si>
    <t>70373</t>
  </si>
  <si>
    <t>Park View at Coldspring</t>
  </si>
  <si>
    <t>Loan Closing/Construction</t>
  </si>
  <si>
    <t>70374</t>
  </si>
  <si>
    <t>Park View at Taylor</t>
  </si>
  <si>
    <t>Pre-Development</t>
  </si>
  <si>
    <t>70375</t>
  </si>
  <si>
    <t>Park View at Woodlawn</t>
  </si>
  <si>
    <t>70376</t>
  </si>
  <si>
    <t>Park View at Miramar Landing</t>
  </si>
  <si>
    <t>70377</t>
  </si>
  <si>
    <t>Park View at Randallstown</t>
  </si>
  <si>
    <t>70378</t>
  </si>
  <si>
    <t>Park View at Rosedale</t>
  </si>
  <si>
    <t>70379</t>
  </si>
  <si>
    <t>Park View at Towson</t>
  </si>
  <si>
    <t>70381</t>
  </si>
  <si>
    <t>Highland Commons</t>
  </si>
  <si>
    <t>Financial Close-out/Lease-up</t>
  </si>
  <si>
    <t>Operating Expense</t>
  </si>
  <si>
    <t>Revenue</t>
  </si>
  <si>
    <t>Interest Income</t>
  </si>
  <si>
    <t>Other Income</t>
  </si>
  <si>
    <t>Rental Income</t>
  </si>
  <si>
    <t>pk test auto create record</t>
  </si>
  <si>
    <t>70301</t>
  </si>
  <si>
    <t>Gibbons Apartments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</si>
</sst>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7">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4" fontId="2" fillId="0" borderId="1" xfId="0" applyNumberFormat="1" applyFont="1" applyFill="1" applyBorder="1" applyAlignment="1">
      <alignment horizontal="center" vertical="center" wrapText="1"/>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3" fillId="0" borderId="0" xfId="0" applyNumberFormat="1" applyFont="1" applyAlignment="1">
      <alignment wrapText="1"/>
    </xf>
    <xf numFmtId="0" fontId="4" fillId="0" borderId="0" xfId="1" applyNumberFormat="1" applyFont="1" applyAlignment="1">
      <alignment horizontal="left" indent="1"/>
    </xf>
    <xf numFmtId="42" fontId="6" fillId="0" borderId="0" xfId="1" applyNumberFormat="1" applyFont="1"/>
    <xf numFmtId="41" fontId="16" fillId="0" borderId="0" xfId="0" applyNumberFormat="1" applyFont="1"/>
    <xf numFmtId="41" fontId="16" fillId="0" borderId="0" xfId="0" applyNumberFormat="1" applyFont="1" applyAlignment="1">
      <alignment wrapText="1"/>
    </xf>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3" fillId="0" borderId="0" xfId="0" applyFont="1" applyAlignment="1">
      <alignment horizontal="center" vertical="center"/>
    </xf>
    <xf numFmtId="166"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3" fillId="0" borderId="0" xfId="0" applyFont="1" applyAlignment="1">
      <alignment horizontal="left" vertical="center"/>
    </xf>
  </cellXfs>
  <cellStyles count="5">
    <cellStyle name="Comma" xfId="3" builtinId="3"/>
    <cellStyle name="Currency" xfId="1" builtinId="4"/>
    <cellStyle name="Normal" xfId="0" builtinId="0"/>
    <cellStyle name="Normal_Project Ownership Percentages and Losses"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xdr:row>
          <xdr:rowOff>152400</xdr:rowOff>
        </xdr:from>
        <xdr:to>
          <xdr:col>3</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workbookViewId="0">
      <selection activeCell="D19" sqref="D19"/>
    </sheetView>
  </sheetViews>
  <sheetFormatPr defaultRowHeight="15" x14ac:dyDescent="0.25"/>
  <sheetData>
    <row r="1" spans="1:2" x14ac:dyDescent="0.25">
      <c r="A1" s="13" t="s">
        <v>51</v>
      </c>
    </row>
    <row r="2" spans="1:2" x14ac:dyDescent="0.25">
      <c r="A2" t="s">
        <v>52</v>
      </c>
    </row>
    <row r="4" spans="1:2" x14ac:dyDescent="0.25">
      <c r="A4" s="14" t="s">
        <v>53</v>
      </c>
    </row>
    <row r="5" spans="1:2" x14ac:dyDescent="0.25">
      <c r="A5" s="14" t="s">
        <v>54</v>
      </c>
    </row>
    <row r="6" spans="1:2" x14ac:dyDescent="0.25">
      <c r="A6" s="14" t="s">
        <v>55</v>
      </c>
    </row>
    <row r="7" spans="1:2" x14ac:dyDescent="0.25">
      <c r="A7" s="14" t="s">
        <v>56</v>
      </c>
    </row>
    <row r="8" spans="1:2" x14ac:dyDescent="0.25">
      <c r="A8" s="14" t="s">
        <v>57</v>
      </c>
    </row>
    <row r="9" spans="1:2" x14ac:dyDescent="0.25">
      <c r="A9" s="14" t="s">
        <v>58</v>
      </c>
    </row>
    <row r="11" spans="1:2" x14ac:dyDescent="0.25">
      <c r="A11" s="15">
        <v>1</v>
      </c>
      <c r="B11" s="14" t="s">
        <v>59</v>
      </c>
    </row>
    <row r="12" spans="1:2" x14ac:dyDescent="0.25">
      <c r="A12" s="15">
        <v>2</v>
      </c>
      <c r="B12" s="14" t="s">
        <v>60</v>
      </c>
    </row>
    <row r="13" spans="1:2" x14ac:dyDescent="0.25">
      <c r="A13" s="15">
        <v>3</v>
      </c>
      <c r="B13" s="14" t="s">
        <v>61</v>
      </c>
    </row>
    <row r="14" spans="1:2" x14ac:dyDescent="0.25">
      <c r="A14" s="15">
        <v>4</v>
      </c>
      <c r="B14" s="14" t="s">
        <v>62</v>
      </c>
    </row>
    <row r="15" spans="1:2" x14ac:dyDescent="0.25">
      <c r="A15" s="15">
        <v>5</v>
      </c>
      <c r="B15" s="14" t="s">
        <v>63</v>
      </c>
    </row>
    <row r="16" spans="1:2" x14ac:dyDescent="0.25">
      <c r="A16" s="15">
        <v>6</v>
      </c>
      <c r="B16" s="14" t="s">
        <v>64</v>
      </c>
    </row>
    <row r="17" spans="1:2" x14ac:dyDescent="0.25">
      <c r="A17" s="15">
        <v>7</v>
      </c>
      <c r="B17" t="s">
        <v>65</v>
      </c>
    </row>
    <row r="18" spans="1:2" x14ac:dyDescent="0.25">
      <c r="A18" s="15">
        <v>8</v>
      </c>
      <c r="B18" s="14" t="s">
        <v>66</v>
      </c>
    </row>
    <row r="20" spans="1:2" x14ac:dyDescent="0.25">
      <c r="A20" s="13" t="s">
        <v>67</v>
      </c>
    </row>
    <row r="21" spans="1:2" x14ac:dyDescent="0.25">
      <c r="A21" s="15">
        <v>1</v>
      </c>
      <c r="B21" t="s">
        <v>68</v>
      </c>
    </row>
    <row r="22" spans="1:2" x14ac:dyDescent="0.25">
      <c r="A22" s="15">
        <v>2</v>
      </c>
      <c r="B22" s="14" t="s">
        <v>69</v>
      </c>
    </row>
    <row r="23" spans="1:2" x14ac:dyDescent="0.25">
      <c r="A23" s="15">
        <v>3</v>
      </c>
      <c r="B23" t="s">
        <v>70</v>
      </c>
    </row>
    <row r="24" spans="1:2" x14ac:dyDescent="0.25">
      <c r="A24" s="15">
        <v>4</v>
      </c>
      <c r="B24" s="14" t="s">
        <v>71</v>
      </c>
    </row>
    <row r="25" spans="1:2" x14ac:dyDescent="0.25">
      <c r="A25" s="15">
        <v>5</v>
      </c>
      <c r="B25" s="14" t="s">
        <v>72</v>
      </c>
    </row>
    <row r="26" spans="1:2" x14ac:dyDescent="0.25">
      <c r="A26" s="15">
        <v>6</v>
      </c>
      <c r="B26" s="14" t="s">
        <v>73</v>
      </c>
    </row>
    <row r="27" spans="1:2" x14ac:dyDescent="0.25">
      <c r="A27" s="15">
        <v>7</v>
      </c>
      <c r="B27" s="14" t="s">
        <v>74</v>
      </c>
    </row>
    <row r="28" spans="1:2" x14ac:dyDescent="0.25">
      <c r="A28" s="15">
        <v>8</v>
      </c>
      <c r="B28" t="s">
        <v>75</v>
      </c>
    </row>
    <row r="29" spans="1:2" x14ac:dyDescent="0.25">
      <c r="A29" s="15">
        <v>9</v>
      </c>
      <c r="B29" s="14" t="s">
        <v>76</v>
      </c>
    </row>
    <row r="30" spans="1:2" x14ac:dyDescent="0.25">
      <c r="A30" s="15">
        <v>10</v>
      </c>
      <c r="B30" s="14" t="s">
        <v>77</v>
      </c>
    </row>
    <row r="31" spans="1:2" x14ac:dyDescent="0.25">
      <c r="A31" s="15">
        <v>11</v>
      </c>
      <c r="B31" t="s">
        <v>78</v>
      </c>
    </row>
    <row r="32" spans="1:2" x14ac:dyDescent="0.25">
      <c r="A32" s="15">
        <v>12</v>
      </c>
      <c r="B32" s="14" t="s">
        <v>79</v>
      </c>
    </row>
    <row r="33" spans="1:2" x14ac:dyDescent="0.25">
      <c r="A33" s="15">
        <v>13</v>
      </c>
      <c r="B33" s="14" t="s">
        <v>80</v>
      </c>
    </row>
    <row r="35" spans="1:2" x14ac:dyDescent="0.25">
      <c r="A35" t="s">
        <v>81</v>
      </c>
    </row>
    <row r="36" spans="1:2" x14ac:dyDescent="0.25">
      <c r="A36" t="s">
        <v>82</v>
      </c>
    </row>
    <row r="37" spans="1:2" x14ac:dyDescent="0.25">
      <c r="A37" t="s">
        <v>83</v>
      </c>
    </row>
    <row r="38" spans="1:2" x14ac:dyDescent="0.25">
      <c r="B38" t="s">
        <v>84</v>
      </c>
    </row>
    <row r="39" spans="1:2" x14ac:dyDescent="0.25">
      <c r="B39" t="s">
        <v>85</v>
      </c>
    </row>
    <row r="40" spans="1:2" x14ac:dyDescent="0.25">
      <c r="A40" t="s">
        <v>86</v>
      </c>
    </row>
    <row r="41" spans="1:2" x14ac:dyDescent="0.25">
      <c r="A41" t="s">
        <v>87</v>
      </c>
    </row>
    <row r="42" spans="1:2" x14ac:dyDescent="0.25">
      <c r="A42" t="s">
        <v>88</v>
      </c>
    </row>
    <row r="43" spans="1:2" x14ac:dyDescent="0.25">
      <c r="A43" t="s">
        <v>89</v>
      </c>
    </row>
    <row r="44" spans="1:2" x14ac:dyDescent="0.25">
      <c r="A44" t="s">
        <v>90</v>
      </c>
    </row>
    <row r="46" spans="1:2" x14ac:dyDescent="0.25">
      <c r="A46" t="s">
        <v>91</v>
      </c>
    </row>
    <row r="47" spans="1:2" x14ac:dyDescent="0.25">
      <c r="A47" t="s">
        <v>92</v>
      </c>
    </row>
    <row r="48" spans="1:2" x14ac:dyDescent="0.25">
      <c r="A48" t="s">
        <v>93</v>
      </c>
    </row>
    <row r="49" spans="1:2" x14ac:dyDescent="0.25">
      <c r="A49" t="s">
        <v>94</v>
      </c>
    </row>
    <row r="50" spans="1:2" x14ac:dyDescent="0.25">
      <c r="B50" t="s">
        <v>95</v>
      </c>
    </row>
    <row r="51" spans="1:2" x14ac:dyDescent="0.25">
      <c r="A51" t="s">
        <v>86</v>
      </c>
    </row>
    <row r="52" spans="1:2" x14ac:dyDescent="0.25">
      <c r="A52" t="s">
        <v>87</v>
      </c>
    </row>
    <row r="53" spans="1:2" x14ac:dyDescent="0.25">
      <c r="A53" t="s">
        <v>88</v>
      </c>
    </row>
    <row r="54" spans="1:2" x14ac:dyDescent="0.25">
      <c r="A54" t="s">
        <v>89</v>
      </c>
    </row>
    <row r="55" spans="1:2" x14ac:dyDescent="0.25">
      <c r="A55" t="s">
        <v>90</v>
      </c>
    </row>
    <row r="58" spans="1:2" s="13" customFormat="1" ht="12.75" x14ac:dyDescent="0.2">
      <c r="A58" s="13" t="s">
        <v>96</v>
      </c>
    </row>
    <row r="59" spans="1:2" x14ac:dyDescent="0.25">
      <c r="A59" t="s">
        <v>97</v>
      </c>
    </row>
    <row r="60" spans="1:2" x14ac:dyDescent="0.25">
      <c r="A60" s="14" t="s">
        <v>98</v>
      </c>
    </row>
    <row r="61" spans="1:2" x14ac:dyDescent="0.25">
      <c r="A61" s="14" t="s">
        <v>99</v>
      </c>
    </row>
    <row r="62" spans="1:2" x14ac:dyDescent="0.25">
      <c r="A62" t="s">
        <v>100</v>
      </c>
    </row>
    <row r="63" spans="1:2" x14ac:dyDescent="0.25">
      <c r="A63" t="s">
        <v>101</v>
      </c>
    </row>
    <row r="64" spans="1:2" x14ac:dyDescent="0.25">
      <c r="B64" t="s">
        <v>102</v>
      </c>
    </row>
    <row r="65" spans="1:3" x14ac:dyDescent="0.25">
      <c r="B65" t="s">
        <v>103</v>
      </c>
    </row>
    <row r="66" spans="1:3" x14ac:dyDescent="0.25">
      <c r="B66" t="s">
        <v>104</v>
      </c>
    </row>
    <row r="67" spans="1:3" x14ac:dyDescent="0.25">
      <c r="B67" t="s">
        <v>105</v>
      </c>
    </row>
    <row r="68" spans="1:3" x14ac:dyDescent="0.25">
      <c r="C68" t="s">
        <v>106</v>
      </c>
    </row>
    <row r="69" spans="1:3" x14ac:dyDescent="0.25">
      <c r="A69" t="s">
        <v>107</v>
      </c>
    </row>
    <row r="70" spans="1:3" x14ac:dyDescent="0.25">
      <c r="C70" t="s">
        <v>108</v>
      </c>
    </row>
    <row r="71" spans="1:3" x14ac:dyDescent="0.25">
      <c r="B71" t="s">
        <v>109</v>
      </c>
    </row>
    <row r="72" spans="1:3" x14ac:dyDescent="0.25">
      <c r="B72" t="s">
        <v>110</v>
      </c>
    </row>
    <row r="73" spans="1:3" x14ac:dyDescent="0.25">
      <c r="A73" t="s">
        <v>111</v>
      </c>
    </row>
    <row r="75" spans="1:3" x14ac:dyDescent="0.25">
      <c r="A75" t="s">
        <v>112</v>
      </c>
    </row>
    <row r="76" spans="1:3" x14ac:dyDescent="0.25">
      <c r="A76" t="s">
        <v>100</v>
      </c>
    </row>
    <row r="77" spans="1:3" x14ac:dyDescent="0.25">
      <c r="A77" t="s">
        <v>113</v>
      </c>
    </row>
    <row r="78" spans="1:3" x14ac:dyDescent="0.25">
      <c r="B78" t="s">
        <v>114</v>
      </c>
    </row>
    <row r="79" spans="1:3" x14ac:dyDescent="0.25">
      <c r="B79" t="s">
        <v>115</v>
      </c>
    </row>
    <row r="80" spans="1:3" x14ac:dyDescent="0.25">
      <c r="B80" t="s">
        <v>116</v>
      </c>
    </row>
    <row r="81" spans="1:3" x14ac:dyDescent="0.25">
      <c r="B81" t="s">
        <v>117</v>
      </c>
    </row>
    <row r="82" spans="1:3" x14ac:dyDescent="0.25">
      <c r="B82" t="s">
        <v>118</v>
      </c>
    </row>
    <row r="83" spans="1:3" x14ac:dyDescent="0.25">
      <c r="B83" t="s">
        <v>119</v>
      </c>
    </row>
    <row r="85" spans="1:3" x14ac:dyDescent="0.25">
      <c r="A85" t="s">
        <v>101</v>
      </c>
    </row>
    <row r="86" spans="1:3" x14ac:dyDescent="0.25">
      <c r="B86" t="s">
        <v>102</v>
      </c>
    </row>
    <row r="87" spans="1:3" x14ac:dyDescent="0.25">
      <c r="B87" t="s">
        <v>103</v>
      </c>
    </row>
    <row r="88" spans="1:3" x14ac:dyDescent="0.25">
      <c r="B88" t="s">
        <v>104</v>
      </c>
    </row>
    <row r="89" spans="1:3" x14ac:dyDescent="0.25">
      <c r="B89" t="s">
        <v>105</v>
      </c>
    </row>
    <row r="90" spans="1:3" x14ac:dyDescent="0.25">
      <c r="C90" t="s">
        <v>106</v>
      </c>
    </row>
    <row r="91" spans="1:3" x14ac:dyDescent="0.25">
      <c r="A91" t="s">
        <v>107</v>
      </c>
    </row>
    <row r="92" spans="1:3" x14ac:dyDescent="0.25">
      <c r="C92" t="s">
        <v>108</v>
      </c>
    </row>
    <row r="93" spans="1:3" x14ac:dyDescent="0.25">
      <c r="B93" t="s">
        <v>109</v>
      </c>
    </row>
    <row r="94" spans="1:3" x14ac:dyDescent="0.25">
      <c r="B94" t="s">
        <v>110</v>
      </c>
    </row>
    <row r="95" spans="1:3" x14ac:dyDescent="0.25">
      <c r="A95" t="s">
        <v>111</v>
      </c>
    </row>
    <row r="97" spans="1:2" x14ac:dyDescent="0.25">
      <c r="A97" s="13" t="s">
        <v>120</v>
      </c>
    </row>
    <row r="98" spans="1:2" x14ac:dyDescent="0.25">
      <c r="A98" t="s">
        <v>121</v>
      </c>
    </row>
    <row r="99" spans="1:2" x14ac:dyDescent="0.25">
      <c r="A99" t="s">
        <v>122</v>
      </c>
    </row>
    <row r="100" spans="1:2" x14ac:dyDescent="0.25">
      <c r="A100" t="s">
        <v>123</v>
      </c>
    </row>
    <row r="101" spans="1:2" x14ac:dyDescent="0.25">
      <c r="A101" t="s">
        <v>124</v>
      </c>
    </row>
    <row r="103" spans="1:2" x14ac:dyDescent="0.25">
      <c r="A103" s="13" t="s">
        <v>125</v>
      </c>
    </row>
    <row r="104" spans="1:2" x14ac:dyDescent="0.25">
      <c r="A104" s="14" t="s">
        <v>126</v>
      </c>
    </row>
    <row r="105" spans="1:2" x14ac:dyDescent="0.25">
      <c r="A105" s="14" t="s">
        <v>127</v>
      </c>
    </row>
    <row r="106" spans="1:2" x14ac:dyDescent="0.25">
      <c r="A106" s="14" t="s">
        <v>128</v>
      </c>
    </row>
    <row r="107" spans="1:2" x14ac:dyDescent="0.25">
      <c r="A107" s="14" t="s">
        <v>129</v>
      </c>
    </row>
    <row r="108" spans="1:2" x14ac:dyDescent="0.25">
      <c r="B108" s="14" t="s">
        <v>130</v>
      </c>
    </row>
    <row r="109" spans="1:2" x14ac:dyDescent="0.25">
      <c r="B109" s="14" t="s">
        <v>131</v>
      </c>
    </row>
    <row r="110" spans="1:2" x14ac:dyDescent="0.25">
      <c r="B110" s="14" t="s">
        <v>132</v>
      </c>
    </row>
    <row r="111" spans="1:2" x14ac:dyDescent="0.25">
      <c r="B111" s="14" t="s">
        <v>133</v>
      </c>
    </row>
    <row r="112" spans="1:2" x14ac:dyDescent="0.25">
      <c r="A112" s="14" t="s">
        <v>134</v>
      </c>
    </row>
    <row r="113" spans="1:2" x14ac:dyDescent="0.25">
      <c r="A113" s="14" t="s">
        <v>135</v>
      </c>
    </row>
    <row r="114" spans="1:2" x14ac:dyDescent="0.25">
      <c r="A114" s="14" t="s">
        <v>136</v>
      </c>
    </row>
    <row r="115" spans="1:2" x14ac:dyDescent="0.25">
      <c r="A115" s="16" t="s">
        <v>137</v>
      </c>
    </row>
    <row r="116" spans="1:2" x14ac:dyDescent="0.25">
      <c r="B116" s="14" t="s">
        <v>138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filterMode="1"/>
  <dimension ref="A1:I50"/>
  <sheetViews>
    <sheetView topLeftCell="A16" zoomScale="90" zoomScaleNormal="90" workbookViewId="0">
      <selection activeCell="E19" sqref="E19"/>
    </sheetView>
  </sheetViews>
  <sheetFormatPr defaultRowHeight="15" x14ac:dyDescent="0.25"/>
  <cols>
    <col min="1" max="1" width="15.140625" customWidth="1"/>
    <col min="2" max="2" width="53.28515625" customWidth="1"/>
    <col min="3" max="3" width="17.85546875" customWidth="1"/>
    <col min="4" max="4" width="19" customWidth="1"/>
    <col min="5" max="5" width="27.7109375" customWidth="1"/>
    <col min="6" max="6" width="32.7109375" customWidth="1"/>
    <col min="8" max="8" width="11.85546875" bestFit="1" customWidth="1"/>
  </cols>
  <sheetData>
    <row r="1" spans="1:9" ht="18" x14ac:dyDescent="0.25">
      <c r="A1" s="20"/>
      <c r="B1" s="20"/>
      <c r="C1" s="21" t="s">
        <v>143</v>
      </c>
      <c r="D1" s="22"/>
      <c r="E1" s="40"/>
      <c r="F1" s="40"/>
      <c r="G1" s="23"/>
      <c r="H1" s="23"/>
      <c r="I1" s="24"/>
    </row>
    <row r="2" spans="1:9" ht="18" x14ac:dyDescent="0.25">
      <c r="A2" s="20"/>
      <c r="B2" s="20"/>
      <c r="C2" s="21"/>
      <c r="D2" s="22"/>
      <c r="E2" s="40"/>
      <c r="F2" s="40"/>
      <c r="G2" s="23"/>
      <c r="H2" s="23"/>
      <c r="I2" s="24"/>
    </row>
    <row r="3" spans="1:9" x14ac:dyDescent="0.25">
      <c r="A3" s="25">
        <v>2</v>
      </c>
      <c r="B3" s="26" t="s">
        <v>0</v>
      </c>
      <c r="C3" s="27"/>
      <c r="D3" s="28"/>
      <c r="E3" s="29" t="s">
        <v>142</v>
      </c>
      <c r="F3" s="30">
        <f ca="1">NOW()</f>
        <v>43139.728981250002</v>
      </c>
    </row>
    <row r="4" spans="1:9" x14ac:dyDescent="0.25">
      <c r="A4" s="25">
        <v>2017</v>
      </c>
      <c r="B4" s="26" t="s">
        <v>1</v>
      </c>
      <c r="C4" s="27"/>
      <c r="D4" s="28"/>
      <c r="E4" s="40"/>
      <c r="F4" s="40"/>
      <c r="G4" s="23"/>
      <c r="H4" s="23"/>
      <c r="I4" s="24"/>
    </row>
    <row r="5" spans="1:9" x14ac:dyDescent="0.25">
      <c r="A5" s="31"/>
      <c r="B5" s="32"/>
      <c r="C5" s="27"/>
      <c r="D5" s="28"/>
      <c r="E5" s="40"/>
      <c r="F5" s="40"/>
      <c r="G5" s="23"/>
      <c r="H5" s="23"/>
      <c r="I5" s="24"/>
    </row>
    <row r="6" spans="1:9" ht="15.75" thickBot="1" x14ac:dyDescent="0.3">
      <c r="A6" s="33" t="s">
        <v>2</v>
      </c>
      <c r="B6" s="34">
        <f>SUBTOTAL(2,A11:A2501)</f>
        <v>40</v>
      </c>
      <c r="C6" s="35" t="s">
        <v>3</v>
      </c>
      <c r="D6" s="36"/>
      <c r="E6" s="41"/>
      <c r="F6" s="41"/>
      <c r="G6" s="37"/>
      <c r="H6" s="37"/>
      <c r="I6" s="38"/>
    </row>
    <row r="7" spans="1:9" ht="15.75" thickTop="1" x14ac:dyDescent="0.25">
      <c r="A7" s="39"/>
      <c r="B7" s="32"/>
      <c r="C7" s="27"/>
      <c r="D7" s="28"/>
      <c r="E7" s="40"/>
      <c r="F7" s="40"/>
      <c r="G7" s="23"/>
      <c r="H7" s="23"/>
      <c r="I7" s="24"/>
    </row>
    <row r="8" spans="1:9" ht="15.75" thickBot="1" x14ac:dyDescent="0.3">
      <c r="E8" s="38" t="e">
        <f>SUBTOTAL(9,E11:E2500)</f>
        <v>#N/A</v>
      </c>
      <c r="F8" s="62" t="e">
        <f>SUBTOTAL(9,F11:F2500)</f>
        <v>#N/A</v>
      </c>
    </row>
    <row r="9" spans="1:9" ht="15.75" thickTop="1" x14ac:dyDescent="0.25">
      <c r="C9" s="10"/>
      <c r="E9" s="6"/>
      <c r="F9" s="6"/>
    </row>
    <row r="10" spans="1:9" ht="43.5" customHeight="1" x14ac:dyDescent="0.25">
      <c r="A10" s="17" t="s">
        <v>139</v>
      </c>
      <c r="B10" s="17" t="s">
        <v>140</v>
      </c>
      <c r="C10" s="18" t="s">
        <v>38</v>
      </c>
      <c r="D10" s="19" t="s">
        <v>141</v>
      </c>
      <c r="E10" s="42" t="s">
        <v>5</v>
      </c>
      <c r="F10" s="42" t="s">
        <v>151</v>
      </c>
    </row>
    <row r="11" spans="1:9" x14ac:dyDescent="0.25">
      <c r="A11" s="63">
        <v>70301</v>
      </c>
      <c r="B11" s="66" t="s">
        <v>245</v>
      </c>
      <c r="C11" s="64">
        <v>0.9998999999999999</v>
      </c>
      <c r="D11" s="63" t="s">
        <v>221</v>
      </c>
      <c r="E11" s="65">
        <f>INDEX(IncStmt!$B$2:AS$27,MATCH("NET INCOME / LOSS",IncStmt!$A$2:$A$27,0),MATCH(Main!A11,IncStmt!$B$1:$AS$1,0))</f>
        <v>-2578</v>
      </c>
      <c r="F11" s="65">
        <f>IF(ISTEXT(E11),E11,E11*C11)</f>
        <v>-2577.7421999999997</v>
      </c>
    </row>
    <row r="12" spans="1:9" x14ac:dyDescent="0.25">
      <c r="A12" s="63">
        <v>70340</v>
      </c>
      <c r="B12" s="66" t="s">
        <v>164</v>
      </c>
      <c r="C12" s="64">
        <v>1E-4</v>
      </c>
      <c r="D12" s="63" t="s">
        <v>165</v>
      </c>
      <c r="E12" s="65" t="e">
        <f>INDEX(IncStmt!$B$2:AS$27,MATCH("NET INCOME / LOSS",IncStmt!$A$2:$A$27,0),MATCH(Main!A12,IncStmt!$B$1:$AS$1,0))</f>
        <v>#N/A</v>
      </c>
      <c r="F12" s="65" t="e">
        <f t="shared" ref="F12:F50" si="0">IF(ISTEXT(E12),E12,E12*C12)</f>
        <v>#N/A</v>
      </c>
    </row>
    <row r="13" spans="1:9" x14ac:dyDescent="0.25">
      <c r="A13" s="63">
        <v>70341</v>
      </c>
      <c r="B13" s="66" t="s">
        <v>167</v>
      </c>
      <c r="C13" s="64">
        <v>8.5000000000000006E-5</v>
      </c>
      <c r="D13" s="63" t="s">
        <v>165</v>
      </c>
      <c r="E13" s="65" t="e">
        <f>INDEX(IncStmt!$B$2:AS$27,MATCH("NET INCOME / LOSS",IncStmt!$A$2:$A$27,0),MATCH(Main!A13,IncStmt!$B$1:$AS$1,0))</f>
        <v>#N/A</v>
      </c>
      <c r="F13" s="65" t="e">
        <f t="shared" si="0"/>
        <v>#N/A</v>
      </c>
    </row>
    <row r="14" spans="1:9" x14ac:dyDescent="0.25">
      <c r="A14" s="63">
        <v>70342</v>
      </c>
      <c r="B14" s="66" t="s">
        <v>169</v>
      </c>
      <c r="C14" s="64">
        <v>0.9998999999999999</v>
      </c>
      <c r="D14" s="63" t="s">
        <v>165</v>
      </c>
      <c r="E14" s="65" t="e">
        <f>INDEX(IncStmt!$B$2:AS$27,MATCH("NET INCOME / LOSS",IncStmt!$A$2:$A$27,0),MATCH(Main!A14,IncStmt!$B$1:$AS$1,0))</f>
        <v>#N/A</v>
      </c>
      <c r="F14" s="65" t="e">
        <f t="shared" si="0"/>
        <v>#N/A</v>
      </c>
    </row>
    <row r="15" spans="1:9" x14ac:dyDescent="0.25">
      <c r="A15" s="63">
        <v>70343</v>
      </c>
      <c r="B15" s="66" t="s">
        <v>171</v>
      </c>
      <c r="C15" s="64">
        <v>0.9998999999999999</v>
      </c>
      <c r="D15" s="63" t="s">
        <v>165</v>
      </c>
      <c r="E15" s="65" t="e">
        <f>INDEX(IncStmt!$B$2:AS$27,MATCH("NET INCOME / LOSS",IncStmt!$A$2:$A$27,0),MATCH(Main!A15,IncStmt!$B$1:$AS$1,0))</f>
        <v>#N/A</v>
      </c>
      <c r="F15" s="65" t="e">
        <f t="shared" si="0"/>
        <v>#N/A</v>
      </c>
    </row>
    <row r="16" spans="1:9" x14ac:dyDescent="0.25">
      <c r="A16" s="63">
        <v>70344</v>
      </c>
      <c r="B16" s="66" t="s">
        <v>173</v>
      </c>
      <c r="C16" s="64">
        <v>0.9998999999999999</v>
      </c>
      <c r="D16" s="63" t="s">
        <v>165</v>
      </c>
      <c r="E16" s="65" t="e">
        <f>INDEX(IncStmt!$B$2:AS$27,MATCH("NET INCOME / LOSS",IncStmt!$A$2:$A$27,0),MATCH(Main!A16,IncStmt!$B$1:$AS$1,0))</f>
        <v>#N/A</v>
      </c>
      <c r="F16" s="65" t="e">
        <f t="shared" si="0"/>
        <v>#N/A</v>
      </c>
    </row>
    <row r="17" spans="1:6" x14ac:dyDescent="0.25">
      <c r="A17" s="63">
        <v>70345</v>
      </c>
      <c r="B17" s="66" t="s">
        <v>175</v>
      </c>
      <c r="C17" s="64">
        <v>7.0000000000000007E-5</v>
      </c>
      <c r="D17" s="63" t="s">
        <v>165</v>
      </c>
      <c r="E17" s="65" t="e">
        <f>INDEX(IncStmt!$B$2:AS$27,MATCH("NET INCOME / LOSS",IncStmt!$A$2:$A$27,0),MATCH(Main!A17,IncStmt!$B$1:$AS$1,0))</f>
        <v>#N/A</v>
      </c>
      <c r="F17" s="65" t="e">
        <f t="shared" si="0"/>
        <v>#N/A</v>
      </c>
    </row>
    <row r="18" spans="1:6" x14ac:dyDescent="0.25">
      <c r="A18" s="63">
        <v>70346</v>
      </c>
      <c r="B18" s="66" t="s">
        <v>177</v>
      </c>
      <c r="C18" s="64">
        <v>0.9998999999999999</v>
      </c>
      <c r="D18" s="63" t="s">
        <v>165</v>
      </c>
      <c r="E18" s="65" t="e">
        <f>INDEX(IncStmt!$B$2:AS$27,MATCH("NET INCOME / LOSS",IncStmt!$A$2:$A$27,0),MATCH(Main!A18,IncStmt!$B$1:$AS$1,0))</f>
        <v>#N/A</v>
      </c>
      <c r="F18" s="65" t="e">
        <f t="shared" si="0"/>
        <v>#N/A</v>
      </c>
    </row>
    <row r="19" spans="1:6" x14ac:dyDescent="0.25">
      <c r="A19" s="63">
        <v>70347</v>
      </c>
      <c r="B19" s="66" t="s">
        <v>179</v>
      </c>
      <c r="C19" s="64">
        <v>7.0000000000000007E-5</v>
      </c>
      <c r="D19" s="63" t="s">
        <v>165</v>
      </c>
      <c r="E19" s="65" t="e">
        <f>INDEX(IncStmt!$B$2:AS$27,MATCH("NET INCOME / LOSS",IncStmt!$A$2:$A$27,0),MATCH(Main!A19,IncStmt!$B$1:$AS$1,0))</f>
        <v>#N/A</v>
      </c>
      <c r="F19" s="65" t="e">
        <f t="shared" si="0"/>
        <v>#N/A</v>
      </c>
    </row>
    <row r="20" spans="1:6" x14ac:dyDescent="0.25">
      <c r="A20" s="63">
        <v>70348</v>
      </c>
      <c r="B20" s="66" t="s">
        <v>181</v>
      </c>
      <c r="C20" s="64">
        <v>0.9998999999999999</v>
      </c>
      <c r="D20" s="63" t="s">
        <v>165</v>
      </c>
      <c r="E20" s="65" t="e">
        <f>INDEX(IncStmt!$B$2:AS$27,MATCH("NET INCOME / LOSS",IncStmt!$A$2:$A$27,0),MATCH(Main!A20,IncStmt!$B$1:$AS$1,0))</f>
        <v>#N/A</v>
      </c>
      <c r="F20" s="65" t="e">
        <f t="shared" si="0"/>
        <v>#N/A</v>
      </c>
    </row>
    <row r="21" spans="1:6" x14ac:dyDescent="0.25">
      <c r="A21" s="63">
        <v>70349</v>
      </c>
      <c r="B21" s="66" t="s">
        <v>183</v>
      </c>
      <c r="C21" s="64">
        <v>1E-4</v>
      </c>
      <c r="D21" s="63" t="s">
        <v>165</v>
      </c>
      <c r="E21" s="65" t="e">
        <f>INDEX(IncStmt!$B$2:AS$27,MATCH("NET INCOME / LOSS",IncStmt!$A$2:$A$27,0),MATCH(Main!A21,IncStmt!$B$1:$AS$1,0))</f>
        <v>#N/A</v>
      </c>
      <c r="F21" s="65" t="e">
        <f t="shared" si="0"/>
        <v>#N/A</v>
      </c>
    </row>
    <row r="22" spans="1:6" x14ac:dyDescent="0.25">
      <c r="A22" s="63">
        <v>70350</v>
      </c>
      <c r="B22" s="66" t="s">
        <v>185</v>
      </c>
      <c r="C22" s="64">
        <v>0.9998999999999999</v>
      </c>
      <c r="D22" s="63" t="s">
        <v>165</v>
      </c>
      <c r="E22" s="65" t="e">
        <f>INDEX(IncStmt!$B$2:AS$27,MATCH("NET INCOME / LOSS",IncStmt!$A$2:$A$27,0),MATCH(Main!A22,IncStmt!$B$1:$AS$1,0))</f>
        <v>#N/A</v>
      </c>
      <c r="F22" s="65" t="e">
        <f t="shared" si="0"/>
        <v>#N/A</v>
      </c>
    </row>
    <row r="23" spans="1:6" x14ac:dyDescent="0.25">
      <c r="A23" s="63">
        <v>70352</v>
      </c>
      <c r="B23" s="66" t="s">
        <v>187</v>
      </c>
      <c r="C23" s="64">
        <v>0.9998999999999999</v>
      </c>
      <c r="D23" s="63" t="s">
        <v>165</v>
      </c>
      <c r="E23" s="65" t="e">
        <f>INDEX(IncStmt!$B$2:AS$27,MATCH("NET INCOME / LOSS",IncStmt!$A$2:$A$27,0),MATCH(Main!A23,IncStmt!$B$1:$AS$1,0))</f>
        <v>#N/A</v>
      </c>
      <c r="F23" s="65" t="e">
        <f t="shared" si="0"/>
        <v>#N/A</v>
      </c>
    </row>
    <row r="24" spans="1:6" x14ac:dyDescent="0.25">
      <c r="A24" s="63">
        <v>70354</v>
      </c>
      <c r="B24" s="66" t="s">
        <v>189</v>
      </c>
      <c r="C24" s="64">
        <v>9.001E-5</v>
      </c>
      <c r="D24" s="63" t="s">
        <v>165</v>
      </c>
      <c r="E24" s="65" t="e">
        <f>INDEX(IncStmt!$B$2:AS$27,MATCH("NET INCOME / LOSS",IncStmt!$A$2:$A$27,0),MATCH(Main!A24,IncStmt!$B$1:$AS$1,0))</f>
        <v>#N/A</v>
      </c>
      <c r="F24" s="65" t="e">
        <f t="shared" si="0"/>
        <v>#N/A</v>
      </c>
    </row>
    <row r="25" spans="1:6" x14ac:dyDescent="0.25">
      <c r="A25" s="63">
        <v>70357</v>
      </c>
      <c r="B25" s="66" t="s">
        <v>191</v>
      </c>
      <c r="C25" s="64">
        <v>9.001E-5</v>
      </c>
      <c r="D25" s="63" t="s">
        <v>165</v>
      </c>
      <c r="E25" s="65" t="e">
        <f>INDEX(IncStmt!$B$2:AS$27,MATCH("NET INCOME / LOSS",IncStmt!$A$2:$A$27,0),MATCH(Main!A25,IncStmt!$B$1:$AS$1,0))</f>
        <v>#N/A</v>
      </c>
      <c r="F25" s="65" t="e">
        <f t="shared" si="0"/>
        <v>#N/A</v>
      </c>
    </row>
    <row r="26" spans="1:6" x14ac:dyDescent="0.25">
      <c r="A26" s="63">
        <v>70358</v>
      </c>
      <c r="B26" s="66" t="s">
        <v>193</v>
      </c>
      <c r="C26" s="64">
        <v>0.9998999999999999</v>
      </c>
      <c r="D26" s="63" t="s">
        <v>165</v>
      </c>
      <c r="E26" s="65" t="e">
        <f>INDEX(IncStmt!$B$2:AS$27,MATCH("NET INCOME / LOSS",IncStmt!$A$2:$A$27,0),MATCH(Main!A26,IncStmt!$B$1:$AS$1,0))</f>
        <v>#N/A</v>
      </c>
      <c r="F26" s="65" t="e">
        <f t="shared" si="0"/>
        <v>#N/A</v>
      </c>
    </row>
    <row r="27" spans="1:6" x14ac:dyDescent="0.25">
      <c r="A27" s="63">
        <v>70361</v>
      </c>
      <c r="B27" s="66" t="s">
        <v>195</v>
      </c>
      <c r="C27" s="64">
        <v>0.9998999999999999</v>
      </c>
      <c r="D27" s="63" t="s">
        <v>196</v>
      </c>
      <c r="E27" s="65" t="e">
        <f>INDEX(IncStmt!$B$2:AS$27,MATCH("NET INCOME / LOSS",IncStmt!$A$2:$A$27,0),MATCH(Main!A27,IncStmt!$B$1:$AS$1,0))</f>
        <v>#N/A</v>
      </c>
      <c r="F27" s="65" t="e">
        <f t="shared" si="0"/>
        <v>#N/A</v>
      </c>
    </row>
    <row r="28" spans="1:6" x14ac:dyDescent="0.25">
      <c r="A28" s="63">
        <v>70362</v>
      </c>
      <c r="B28" s="66" t="s">
        <v>198</v>
      </c>
      <c r="C28" s="64">
        <v>1E-4</v>
      </c>
      <c r="D28" s="63" t="s">
        <v>165</v>
      </c>
      <c r="E28" s="65" t="e">
        <f>INDEX(IncStmt!$B$2:AS$27,MATCH("NET INCOME / LOSS",IncStmt!$A$2:$A$27,0),MATCH(Main!A28,IncStmt!$B$1:$AS$1,0))</f>
        <v>#N/A</v>
      </c>
      <c r="F28" s="65" t="e">
        <f t="shared" si="0"/>
        <v>#N/A</v>
      </c>
    </row>
    <row r="29" spans="1:6" x14ac:dyDescent="0.25">
      <c r="A29" s="63">
        <v>70363</v>
      </c>
      <c r="B29" s="66" t="s">
        <v>200</v>
      </c>
      <c r="C29" s="64">
        <v>9.1000000000000003E-5</v>
      </c>
      <c r="D29" s="63" t="s">
        <v>165</v>
      </c>
      <c r="E29" s="65" t="e">
        <f>INDEX(IncStmt!$B$2:AS$27,MATCH("NET INCOME / LOSS",IncStmt!$A$2:$A$27,0),MATCH(Main!A29,IncStmt!$B$1:$AS$1,0))</f>
        <v>#N/A</v>
      </c>
      <c r="F29" s="65" t="e">
        <f t="shared" si="0"/>
        <v>#N/A</v>
      </c>
    </row>
    <row r="30" spans="1:6" x14ac:dyDescent="0.25">
      <c r="A30" s="63">
        <v>70364</v>
      </c>
      <c r="B30" s="66" t="s">
        <v>202</v>
      </c>
      <c r="C30" s="64">
        <v>0.9998999999999999</v>
      </c>
      <c r="D30" s="63" t="s">
        <v>165</v>
      </c>
      <c r="E30" s="65" t="e">
        <f>INDEX(IncStmt!$B$2:AS$27,MATCH("NET INCOME / LOSS",IncStmt!$A$2:$A$27,0),MATCH(Main!A30,IncStmt!$B$1:$AS$1,0))</f>
        <v>#N/A</v>
      </c>
      <c r="F30" s="65" t="e">
        <f t="shared" si="0"/>
        <v>#N/A</v>
      </c>
    </row>
    <row r="31" spans="1:6" x14ac:dyDescent="0.25">
      <c r="A31" s="63">
        <v>70365</v>
      </c>
      <c r="B31" s="66" t="s">
        <v>204</v>
      </c>
      <c r="C31" s="64">
        <v>0.9998999999999999</v>
      </c>
      <c r="D31" s="63" t="s">
        <v>165</v>
      </c>
      <c r="E31" s="65" t="e">
        <f>INDEX(IncStmt!$B$2:AS$27,MATCH("NET INCOME / LOSS",IncStmt!$A$2:$A$27,0),MATCH(Main!A31,IncStmt!$B$1:$AS$1,0))</f>
        <v>#N/A</v>
      </c>
      <c r="F31" s="65" t="e">
        <f t="shared" si="0"/>
        <v>#N/A</v>
      </c>
    </row>
    <row r="32" spans="1:6" x14ac:dyDescent="0.25">
      <c r="A32" s="63">
        <v>70366</v>
      </c>
      <c r="B32" s="66" t="s">
        <v>206</v>
      </c>
      <c r="C32" s="64">
        <v>0.9998999999999999</v>
      </c>
      <c r="D32" s="63" t="s">
        <v>165</v>
      </c>
      <c r="E32" s="65" t="e">
        <f>INDEX(IncStmt!$B$2:AS$27,MATCH("NET INCOME / LOSS",IncStmt!$A$2:$A$27,0),MATCH(Main!A32,IncStmt!$B$1:$AS$1,0))</f>
        <v>#N/A</v>
      </c>
      <c r="F32" s="65" t="e">
        <f t="shared" si="0"/>
        <v>#N/A</v>
      </c>
    </row>
    <row r="33" spans="1:6" x14ac:dyDescent="0.25">
      <c r="A33" s="63">
        <v>70367</v>
      </c>
      <c r="B33" s="66" t="s">
        <v>208</v>
      </c>
      <c r="C33" s="64">
        <v>0.9998999999999999</v>
      </c>
      <c r="D33" s="63" t="s">
        <v>165</v>
      </c>
      <c r="E33" s="65" t="e">
        <f>INDEX(IncStmt!$B$2:AS$27,MATCH("NET INCOME / LOSS",IncStmt!$A$2:$A$27,0),MATCH(Main!A33,IncStmt!$B$1:$AS$1,0))</f>
        <v>#N/A</v>
      </c>
      <c r="F33" s="65" t="e">
        <f t="shared" si="0"/>
        <v>#N/A</v>
      </c>
    </row>
    <row r="34" spans="1:6" x14ac:dyDescent="0.25">
      <c r="A34" s="63">
        <v>70368</v>
      </c>
      <c r="B34" s="66" t="s">
        <v>210</v>
      </c>
      <c r="C34" s="64">
        <v>0.9998999999999999</v>
      </c>
      <c r="D34" s="63" t="s">
        <v>165</v>
      </c>
      <c r="E34" s="65" t="e">
        <f>INDEX(IncStmt!$B$2:AS$27,MATCH("NET INCOME / LOSS",IncStmt!$A$2:$A$27,0),MATCH(Main!A34,IncStmt!$B$1:$AS$1,0))</f>
        <v>#N/A</v>
      </c>
      <c r="F34" s="65" t="e">
        <f t="shared" si="0"/>
        <v>#N/A</v>
      </c>
    </row>
    <row r="35" spans="1:6" x14ac:dyDescent="0.25">
      <c r="A35" s="63">
        <v>70369</v>
      </c>
      <c r="B35" s="66" t="s">
        <v>212</v>
      </c>
      <c r="C35" s="64">
        <v>9.001E-5</v>
      </c>
      <c r="D35" s="63" t="s">
        <v>165</v>
      </c>
      <c r="E35" s="65" t="e">
        <f>INDEX(IncStmt!$B$2:AS$27,MATCH("NET INCOME / LOSS",IncStmt!$A$2:$A$27,0),MATCH(Main!A35,IncStmt!$B$1:$AS$1,0))</f>
        <v>#N/A</v>
      </c>
      <c r="F35" s="65" t="e">
        <f t="shared" si="0"/>
        <v>#N/A</v>
      </c>
    </row>
    <row r="36" spans="1:6" x14ac:dyDescent="0.25">
      <c r="A36" s="63">
        <v>70370</v>
      </c>
      <c r="B36" s="66" t="s">
        <v>214</v>
      </c>
      <c r="C36" s="64">
        <v>1E-4</v>
      </c>
      <c r="D36" s="63" t="s">
        <v>165</v>
      </c>
      <c r="E36" s="65" t="e">
        <f>INDEX(IncStmt!$B$2:AS$27,MATCH("NET INCOME / LOSS",IncStmt!$A$2:$A$27,0),MATCH(Main!A36,IncStmt!$B$1:$AS$1,0))</f>
        <v>#N/A</v>
      </c>
      <c r="F36" s="65" t="e">
        <f t="shared" si="0"/>
        <v>#N/A</v>
      </c>
    </row>
    <row r="37" spans="1:6" x14ac:dyDescent="0.25">
      <c r="A37" s="63">
        <v>70371</v>
      </c>
      <c r="B37" s="66" t="s">
        <v>216</v>
      </c>
      <c r="C37" s="64">
        <v>1E-4</v>
      </c>
      <c r="D37" s="63" t="s">
        <v>165</v>
      </c>
      <c r="E37" s="65" t="e">
        <f>INDEX(IncStmt!$B$2:AS$27,MATCH("NET INCOME / LOSS",IncStmt!$A$2:$A$27,0),MATCH(Main!A37,IncStmt!$B$1:$AS$1,0))</f>
        <v>#N/A</v>
      </c>
      <c r="F37" s="65" t="e">
        <f t="shared" si="0"/>
        <v>#N/A</v>
      </c>
    </row>
    <row r="38" spans="1:6" x14ac:dyDescent="0.25">
      <c r="A38" s="63">
        <v>70372</v>
      </c>
      <c r="B38" s="66" t="s">
        <v>218</v>
      </c>
      <c r="C38" s="64">
        <v>1E-4</v>
      </c>
      <c r="D38" s="63" t="s">
        <v>165</v>
      </c>
      <c r="E38" s="65" t="e">
        <f>INDEX(IncStmt!$B$2:AS$27,MATCH("NET INCOME / LOSS",IncStmt!$A$2:$A$27,0),MATCH(Main!A38,IncStmt!$B$1:$AS$1,0))</f>
        <v>#N/A</v>
      </c>
      <c r="F38" s="65" t="e">
        <f t="shared" si="0"/>
        <v>#N/A</v>
      </c>
    </row>
    <row r="39" spans="1:6" x14ac:dyDescent="0.25">
      <c r="A39" s="63">
        <v>70373</v>
      </c>
      <c r="B39" s="66" t="s">
        <v>220</v>
      </c>
      <c r="C39" s="64">
        <v>0.9998999999999999</v>
      </c>
      <c r="D39" s="63" t="s">
        <v>221</v>
      </c>
      <c r="E39" s="65" t="e">
        <f>INDEX(IncStmt!$B$2:AS$27,MATCH("NET INCOME / LOSS",IncStmt!$A$2:$A$27,0),MATCH(Main!A39,IncStmt!$B$1:$AS$1,0))</f>
        <v>#N/A</v>
      </c>
      <c r="F39" s="65" t="e">
        <f t="shared" si="0"/>
        <v>#N/A</v>
      </c>
    </row>
    <row r="40" spans="1:6" x14ac:dyDescent="0.25">
      <c r="A40" s="63">
        <v>70374</v>
      </c>
      <c r="B40" s="66" t="s">
        <v>223</v>
      </c>
      <c r="C40" s="64">
        <v>0.9998999999999999</v>
      </c>
      <c r="D40" s="63" t="s">
        <v>224</v>
      </c>
      <c r="E40" s="65" t="e">
        <f>INDEX(IncStmt!$B$2:AS$27,MATCH("NET INCOME / LOSS",IncStmt!$A$2:$A$27,0),MATCH(Main!A40,IncStmt!$B$1:$AS$1,0))</f>
        <v>#N/A</v>
      </c>
      <c r="F40" s="65" t="e">
        <f t="shared" si="0"/>
        <v>#N/A</v>
      </c>
    </row>
    <row r="41" spans="1:6" x14ac:dyDescent="0.25">
      <c r="A41" s="63">
        <v>70375</v>
      </c>
      <c r="B41" s="66" t="s">
        <v>226</v>
      </c>
      <c r="C41" s="64">
        <v>0.9998999999999999</v>
      </c>
      <c r="D41" s="63" t="s">
        <v>224</v>
      </c>
      <c r="E41" s="65" t="e">
        <f>INDEX(IncStmt!$B$2:AS$27,MATCH("NET INCOME / LOSS",IncStmt!$A$2:$A$27,0),MATCH(Main!A41,IncStmt!$B$1:$AS$1,0))</f>
        <v>#N/A</v>
      </c>
      <c r="F41" s="65" t="e">
        <f t="shared" si="0"/>
        <v>#N/A</v>
      </c>
    </row>
    <row r="42" spans="1:6" x14ac:dyDescent="0.25">
      <c r="A42" s="63">
        <v>70376</v>
      </c>
      <c r="B42" s="66" t="s">
        <v>228</v>
      </c>
      <c r="C42" s="64">
        <v>9.4999999999999992E-5</v>
      </c>
      <c r="D42" s="63" t="s">
        <v>165</v>
      </c>
      <c r="E42" s="65" t="e">
        <f>INDEX(IncStmt!$B$2:AS$27,MATCH("NET INCOME / LOSS",IncStmt!$A$2:$A$27,0),MATCH(Main!A42,IncStmt!$B$1:$AS$1,0))</f>
        <v>#N/A</v>
      </c>
      <c r="F42" s="65" t="e">
        <f t="shared" si="0"/>
        <v>#N/A</v>
      </c>
    </row>
    <row r="43" spans="1:6" x14ac:dyDescent="0.25">
      <c r="A43" s="63">
        <v>70377</v>
      </c>
      <c r="B43" s="66" t="s">
        <v>230</v>
      </c>
      <c r="C43" s="64">
        <v>1E-4</v>
      </c>
      <c r="D43" s="63" t="s">
        <v>165</v>
      </c>
      <c r="E43" s="65" t="e">
        <f>INDEX(IncStmt!$B$2:AS$27,MATCH("NET INCOME / LOSS",IncStmt!$A$2:$A$27,0),MATCH(Main!A43,IncStmt!$B$1:$AS$1,0))</f>
        <v>#N/A</v>
      </c>
      <c r="F43" s="65" t="e">
        <f t="shared" si="0"/>
        <v>#N/A</v>
      </c>
    </row>
    <row r="44" spans="1:6" x14ac:dyDescent="0.25">
      <c r="A44" s="63">
        <v>70378</v>
      </c>
      <c r="B44" s="66" t="s">
        <v>232</v>
      </c>
      <c r="C44" s="64">
        <v>1E-4</v>
      </c>
      <c r="D44" s="63" t="s">
        <v>165</v>
      </c>
      <c r="E44" s="65" t="e">
        <f>INDEX(IncStmt!$B$2:AS$27,MATCH("NET INCOME / LOSS",IncStmt!$A$2:$A$27,0),MATCH(Main!A44,IncStmt!$B$1:$AS$1,0))</f>
        <v>#N/A</v>
      </c>
      <c r="F44" s="65" t="e">
        <f t="shared" si="0"/>
        <v>#N/A</v>
      </c>
    </row>
    <row r="45" spans="1:6" x14ac:dyDescent="0.25">
      <c r="A45" s="63">
        <v>70379</v>
      </c>
      <c r="B45" s="66" t="s">
        <v>234</v>
      </c>
      <c r="C45" s="64">
        <v>9.4000000000000008E-5</v>
      </c>
      <c r="D45" s="63" t="s">
        <v>165</v>
      </c>
      <c r="E45" s="65" t="e">
        <f>INDEX(IncStmt!$B$2:AS$27,MATCH("NET INCOME / LOSS",IncStmt!$A$2:$A$27,0),MATCH(Main!A45,IncStmt!$B$1:$AS$1,0))</f>
        <v>#N/A</v>
      </c>
      <c r="F45" s="65" t="e">
        <f t="shared" si="0"/>
        <v>#N/A</v>
      </c>
    </row>
    <row r="46" spans="1:6" x14ac:dyDescent="0.25">
      <c r="A46" s="63">
        <v>70381</v>
      </c>
      <c r="B46" s="66" t="s">
        <v>236</v>
      </c>
      <c r="C46" s="64">
        <v>9.2499999999999999E-5</v>
      </c>
      <c r="D46" s="63" t="s">
        <v>165</v>
      </c>
      <c r="E46" s="65" t="e">
        <f>INDEX(IncStmt!$B$2:AS$27,MATCH("NET INCOME / LOSS",IncStmt!$A$2:$A$27,0),MATCH(Main!A46,IncStmt!$B$1:$AS$1,0))</f>
        <v>#N/A</v>
      </c>
      <c r="F46" s="65" t="e">
        <f t="shared" si="0"/>
        <v>#N/A</v>
      </c>
    </row>
    <row r="47" spans="1:6" x14ac:dyDescent="0.25">
      <c r="A47" s="63">
        <v>70416</v>
      </c>
      <c r="B47" s="66" t="s">
        <v>153</v>
      </c>
      <c r="C47" s="64">
        <v>1E-3</v>
      </c>
      <c r="D47" s="63" t="s">
        <v>237</v>
      </c>
      <c r="E47" s="65">
        <f>INDEX(IncStmt!$B$2:AS$27,MATCH("NET INCOME / LOSS",IncStmt!$A$2:$A$27,0),MATCH(Main!A47,IncStmt!$B$1:$AS$1,0))</f>
        <v>597</v>
      </c>
      <c r="F47" s="65">
        <f t="shared" si="0"/>
        <v>0.59699999999999998</v>
      </c>
    </row>
    <row r="48" spans="1:6" x14ac:dyDescent="0.25">
      <c r="A48" s="63">
        <v>70444</v>
      </c>
      <c r="B48" s="66" t="s">
        <v>160</v>
      </c>
      <c r="C48" s="64">
        <v>0.12</v>
      </c>
      <c r="D48" s="63" t="s">
        <v>224</v>
      </c>
      <c r="E48" s="65">
        <f>INDEX(IncStmt!$B$2:AS$27,MATCH("NET INCOME / LOSS",IncStmt!$A$2:$A$27,0),MATCH(Main!A48,IncStmt!$B$1:$AS$1,0))</f>
        <v>-1400</v>
      </c>
      <c r="F48" s="65">
        <f t="shared" si="0"/>
        <v>-168</v>
      </c>
    </row>
    <row r="49" spans="1:6" x14ac:dyDescent="0.25">
      <c r="A49" s="63">
        <v>70444</v>
      </c>
      <c r="B49" s="66" t="s">
        <v>160</v>
      </c>
      <c r="C49" s="64">
        <v>1.1000000000000001E-3</v>
      </c>
      <c r="D49" s="63" t="s">
        <v>224</v>
      </c>
      <c r="E49" s="65">
        <f>INDEX(IncStmt!$B$2:AS$27,MATCH("NET INCOME / LOSS",IncStmt!$A$2:$A$27,0),MATCH(Main!A49,IncStmt!$B$1:$AS$1,0))</f>
        <v>-1400</v>
      </c>
      <c r="F49" s="65">
        <f t="shared" si="0"/>
        <v>-1.54</v>
      </c>
    </row>
    <row r="50" spans="1:6" x14ac:dyDescent="0.25">
      <c r="A50" s="63">
        <v>70446</v>
      </c>
      <c r="B50" s="66" t="s">
        <v>162</v>
      </c>
      <c r="C50" s="64">
        <v>1.23E-2</v>
      </c>
      <c r="D50" s="63" t="s">
        <v>224</v>
      </c>
      <c r="E50" s="65">
        <f>INDEX(IncStmt!$B$2:AS$27,MATCH("NET INCOME / LOSS",IncStmt!$A$2:$A$27,0),MATCH(Main!A50,IncStmt!$B$1:$AS$1,0))</f>
        <v>-2000</v>
      </c>
      <c r="F50" s="65">
        <f t="shared" si="0"/>
        <v>-24.6</v>
      </c>
    </row>
  </sheetData>
  <autoFilter ref="A10:F10">
    <filterColumn colId="0">
      <filters>
        <filter val="Project ID"/>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3</xdr:col>
                    <xdr:colOff>47625</xdr:colOff>
                    <xdr:row>1</xdr:row>
                    <xdr:rowOff>152400</xdr:rowOff>
                  </from>
                  <to>
                    <xdr:col>3</xdr:col>
                    <xdr:colOff>1200150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D41"/>
  <sheetViews>
    <sheetView workbookViewId="0">
      <selection activeCell="A2" sqref="A2:D41"/>
    </sheetView>
  </sheetViews>
  <sheetFormatPr defaultRowHeight="15" x14ac:dyDescent="0.25"/>
  <sheetData>
    <row r="2" spans="1:4" x14ac:dyDescent="0.25">
      <c r="A2" t="s">
        <v>244</v>
      </c>
      <c r="B2" t="s">
        <v>245</v>
      </c>
      <c r="C2">
        <v>99.99</v>
      </c>
      <c r="D2" t="s">
        <v>221</v>
      </c>
    </row>
    <row r="3" spans="1:4" x14ac:dyDescent="0.25">
      <c r="A3" t="s">
        <v>163</v>
      </c>
      <c r="B3" t="s">
        <v>164</v>
      </c>
      <c r="C3">
        <v>0.01</v>
      </c>
      <c r="D3" t="s">
        <v>165</v>
      </c>
    </row>
    <row r="4" spans="1:4" x14ac:dyDescent="0.25">
      <c r="A4" t="s">
        <v>166</v>
      </c>
      <c r="B4" t="s">
        <v>167</v>
      </c>
      <c r="C4">
        <v>8.5000000000000006E-3</v>
      </c>
      <c r="D4" t="s">
        <v>165</v>
      </c>
    </row>
    <row r="5" spans="1:4" x14ac:dyDescent="0.25">
      <c r="A5" t="s">
        <v>168</v>
      </c>
      <c r="B5" t="s">
        <v>169</v>
      </c>
      <c r="C5">
        <v>99.99</v>
      </c>
      <c r="D5" t="s">
        <v>165</v>
      </c>
    </row>
    <row r="6" spans="1:4" x14ac:dyDescent="0.25">
      <c r="A6" t="s">
        <v>170</v>
      </c>
      <c r="B6" t="s">
        <v>171</v>
      </c>
      <c r="C6">
        <v>99.99</v>
      </c>
      <c r="D6" t="s">
        <v>165</v>
      </c>
    </row>
    <row r="7" spans="1:4" x14ac:dyDescent="0.25">
      <c r="A7" t="s">
        <v>172</v>
      </c>
      <c r="B7" t="s">
        <v>173</v>
      </c>
      <c r="C7">
        <v>99.99</v>
      </c>
      <c r="D7" t="s">
        <v>165</v>
      </c>
    </row>
    <row r="8" spans="1:4" x14ac:dyDescent="0.25">
      <c r="A8" t="s">
        <v>174</v>
      </c>
      <c r="B8" t="s">
        <v>175</v>
      </c>
      <c r="C8">
        <v>7.0000000000000001E-3</v>
      </c>
      <c r="D8" t="s">
        <v>165</v>
      </c>
    </row>
    <row r="9" spans="1:4" x14ac:dyDescent="0.25">
      <c r="A9" t="s">
        <v>176</v>
      </c>
      <c r="B9" t="s">
        <v>177</v>
      </c>
      <c r="C9">
        <v>99.99</v>
      </c>
      <c r="D9" t="s">
        <v>165</v>
      </c>
    </row>
    <row r="10" spans="1:4" x14ac:dyDescent="0.25">
      <c r="A10" t="s">
        <v>178</v>
      </c>
      <c r="B10" t="s">
        <v>179</v>
      </c>
      <c r="C10">
        <v>7.0000000000000001E-3</v>
      </c>
      <c r="D10" t="s">
        <v>165</v>
      </c>
    </row>
    <row r="11" spans="1:4" x14ac:dyDescent="0.25">
      <c r="A11" t="s">
        <v>180</v>
      </c>
      <c r="B11" t="s">
        <v>181</v>
      </c>
      <c r="C11">
        <v>99.99</v>
      </c>
      <c r="D11" t="s">
        <v>165</v>
      </c>
    </row>
    <row r="12" spans="1:4" x14ac:dyDescent="0.25">
      <c r="A12" t="s">
        <v>182</v>
      </c>
      <c r="B12" t="s">
        <v>183</v>
      </c>
      <c r="C12">
        <v>0.01</v>
      </c>
      <c r="D12" t="s">
        <v>165</v>
      </c>
    </row>
    <row r="13" spans="1:4" x14ac:dyDescent="0.25">
      <c r="A13" t="s">
        <v>184</v>
      </c>
      <c r="B13" t="s">
        <v>185</v>
      </c>
      <c r="C13">
        <v>99.99</v>
      </c>
      <c r="D13" t="s">
        <v>165</v>
      </c>
    </row>
    <row r="14" spans="1:4" x14ac:dyDescent="0.25">
      <c r="A14" t="s">
        <v>186</v>
      </c>
      <c r="B14" t="s">
        <v>187</v>
      </c>
      <c r="C14">
        <v>99.99</v>
      </c>
      <c r="D14" t="s">
        <v>165</v>
      </c>
    </row>
    <row r="15" spans="1:4" x14ac:dyDescent="0.25">
      <c r="A15" t="s">
        <v>188</v>
      </c>
      <c r="B15" t="s">
        <v>189</v>
      </c>
      <c r="C15">
        <v>9.0010000000000003E-3</v>
      </c>
      <c r="D15" t="s">
        <v>165</v>
      </c>
    </row>
    <row r="16" spans="1:4" x14ac:dyDescent="0.25">
      <c r="A16" t="s">
        <v>190</v>
      </c>
      <c r="B16" t="s">
        <v>191</v>
      </c>
      <c r="C16">
        <v>9.0010000000000003E-3</v>
      </c>
      <c r="D16" t="s">
        <v>165</v>
      </c>
    </row>
    <row r="17" spans="1:4" x14ac:dyDescent="0.25">
      <c r="A17" t="s">
        <v>192</v>
      </c>
      <c r="B17" t="s">
        <v>193</v>
      </c>
      <c r="C17">
        <v>99.99</v>
      </c>
      <c r="D17" t="s">
        <v>165</v>
      </c>
    </row>
    <row r="18" spans="1:4" x14ac:dyDescent="0.25">
      <c r="A18" t="s">
        <v>194</v>
      </c>
      <c r="B18" t="s">
        <v>195</v>
      </c>
      <c r="C18">
        <v>99.99</v>
      </c>
      <c r="D18" t="s">
        <v>196</v>
      </c>
    </row>
    <row r="19" spans="1:4" x14ac:dyDescent="0.25">
      <c r="A19" t="s">
        <v>197</v>
      </c>
      <c r="B19" t="s">
        <v>198</v>
      </c>
      <c r="C19">
        <v>0.01</v>
      </c>
      <c r="D19" t="s">
        <v>165</v>
      </c>
    </row>
    <row r="20" spans="1:4" x14ac:dyDescent="0.25">
      <c r="A20" t="s">
        <v>199</v>
      </c>
      <c r="B20" t="s">
        <v>200</v>
      </c>
      <c r="C20">
        <v>9.1000000000000004E-3</v>
      </c>
      <c r="D20" t="s">
        <v>165</v>
      </c>
    </row>
    <row r="21" spans="1:4" x14ac:dyDescent="0.25">
      <c r="A21" t="s">
        <v>201</v>
      </c>
      <c r="B21" t="s">
        <v>202</v>
      </c>
      <c r="C21">
        <v>99.99</v>
      </c>
      <c r="D21" t="s">
        <v>165</v>
      </c>
    </row>
    <row r="22" spans="1:4" x14ac:dyDescent="0.25">
      <c r="A22" t="s">
        <v>203</v>
      </c>
      <c r="B22" t="s">
        <v>204</v>
      </c>
      <c r="C22">
        <v>99.99</v>
      </c>
      <c r="D22" t="s">
        <v>165</v>
      </c>
    </row>
    <row r="23" spans="1:4" x14ac:dyDescent="0.25">
      <c r="A23" t="s">
        <v>205</v>
      </c>
      <c r="B23" t="s">
        <v>206</v>
      </c>
      <c r="C23">
        <v>99.99</v>
      </c>
      <c r="D23" t="s">
        <v>165</v>
      </c>
    </row>
    <row r="24" spans="1:4" x14ac:dyDescent="0.25">
      <c r="A24" t="s">
        <v>207</v>
      </c>
      <c r="B24" t="s">
        <v>208</v>
      </c>
      <c r="C24">
        <v>99.99</v>
      </c>
      <c r="D24" t="s">
        <v>165</v>
      </c>
    </row>
    <row r="25" spans="1:4" x14ac:dyDescent="0.25">
      <c r="A25" t="s">
        <v>209</v>
      </c>
      <c r="B25" t="s">
        <v>210</v>
      </c>
      <c r="C25">
        <v>99.99</v>
      </c>
      <c r="D25" t="s">
        <v>165</v>
      </c>
    </row>
    <row r="26" spans="1:4" x14ac:dyDescent="0.25">
      <c r="A26" t="s">
        <v>211</v>
      </c>
      <c r="B26" t="s">
        <v>212</v>
      </c>
      <c r="C26">
        <v>9.0010000000000003E-3</v>
      </c>
      <c r="D26" t="s">
        <v>165</v>
      </c>
    </row>
    <row r="27" spans="1:4" x14ac:dyDescent="0.25">
      <c r="A27" t="s">
        <v>213</v>
      </c>
      <c r="B27" t="s">
        <v>214</v>
      </c>
      <c r="C27">
        <v>0.01</v>
      </c>
      <c r="D27" t="s">
        <v>165</v>
      </c>
    </row>
    <row r="28" spans="1:4" x14ac:dyDescent="0.25">
      <c r="A28" t="s">
        <v>215</v>
      </c>
      <c r="B28" t="s">
        <v>216</v>
      </c>
      <c r="C28">
        <v>0.01</v>
      </c>
      <c r="D28" t="s">
        <v>165</v>
      </c>
    </row>
    <row r="29" spans="1:4" x14ac:dyDescent="0.25">
      <c r="A29" t="s">
        <v>217</v>
      </c>
      <c r="B29" t="s">
        <v>218</v>
      </c>
      <c r="C29">
        <v>0.01</v>
      </c>
      <c r="D29" t="s">
        <v>165</v>
      </c>
    </row>
    <row r="30" spans="1:4" x14ac:dyDescent="0.25">
      <c r="A30" t="s">
        <v>219</v>
      </c>
      <c r="B30" t="s">
        <v>220</v>
      </c>
      <c r="C30">
        <v>99.99</v>
      </c>
      <c r="D30" t="s">
        <v>221</v>
      </c>
    </row>
    <row r="31" spans="1:4" x14ac:dyDescent="0.25">
      <c r="A31" t="s">
        <v>222</v>
      </c>
      <c r="B31" t="s">
        <v>223</v>
      </c>
      <c r="C31">
        <v>99.99</v>
      </c>
      <c r="D31" t="s">
        <v>224</v>
      </c>
    </row>
    <row r="32" spans="1:4" x14ac:dyDescent="0.25">
      <c r="A32" t="s">
        <v>225</v>
      </c>
      <c r="B32" t="s">
        <v>226</v>
      </c>
      <c r="C32">
        <v>99.99</v>
      </c>
      <c r="D32" t="s">
        <v>224</v>
      </c>
    </row>
    <row r="33" spans="1:4" x14ac:dyDescent="0.25">
      <c r="A33" t="s">
        <v>227</v>
      </c>
      <c r="B33" t="s">
        <v>228</v>
      </c>
      <c r="C33">
        <v>9.4999999999999998E-3</v>
      </c>
      <c r="D33" t="s">
        <v>165</v>
      </c>
    </row>
    <row r="34" spans="1:4" x14ac:dyDescent="0.25">
      <c r="A34" t="s">
        <v>229</v>
      </c>
      <c r="B34" t="s">
        <v>230</v>
      </c>
      <c r="C34">
        <v>0.01</v>
      </c>
      <c r="D34" t="s">
        <v>165</v>
      </c>
    </row>
    <row r="35" spans="1:4" x14ac:dyDescent="0.25">
      <c r="A35" t="s">
        <v>231</v>
      </c>
      <c r="B35" t="s">
        <v>232</v>
      </c>
      <c r="C35">
        <v>0.01</v>
      </c>
      <c r="D35" t="s">
        <v>165</v>
      </c>
    </row>
    <row r="36" spans="1:4" x14ac:dyDescent="0.25">
      <c r="A36" t="s">
        <v>233</v>
      </c>
      <c r="B36" t="s">
        <v>234</v>
      </c>
      <c r="C36">
        <v>9.4000000000000004E-3</v>
      </c>
      <c r="D36" t="s">
        <v>165</v>
      </c>
    </row>
    <row r="37" spans="1:4" x14ac:dyDescent="0.25">
      <c r="A37" t="s">
        <v>235</v>
      </c>
      <c r="B37" t="s">
        <v>236</v>
      </c>
      <c r="C37">
        <v>9.2499999999999995E-3</v>
      </c>
      <c r="D37" t="s">
        <v>165</v>
      </c>
    </row>
    <row r="38" spans="1:4" x14ac:dyDescent="0.25">
      <c r="A38" t="s">
        <v>152</v>
      </c>
      <c r="B38" t="s">
        <v>153</v>
      </c>
      <c r="C38">
        <v>0.1</v>
      </c>
      <c r="D38" t="s">
        <v>237</v>
      </c>
    </row>
    <row r="39" spans="1:4" x14ac:dyDescent="0.25">
      <c r="A39" t="s">
        <v>159</v>
      </c>
      <c r="B39" t="s">
        <v>160</v>
      </c>
      <c r="C39">
        <v>12</v>
      </c>
      <c r="D39" t="s">
        <v>224</v>
      </c>
    </row>
    <row r="40" spans="1:4" x14ac:dyDescent="0.25">
      <c r="A40" t="s">
        <v>159</v>
      </c>
      <c r="B40" t="s">
        <v>160</v>
      </c>
      <c r="C40">
        <v>0.11</v>
      </c>
      <c r="D40" t="s">
        <v>224</v>
      </c>
    </row>
    <row r="41" spans="1:4" x14ac:dyDescent="0.25">
      <c r="A41" t="s">
        <v>161</v>
      </c>
      <c r="B41" t="s">
        <v>162</v>
      </c>
      <c r="C41">
        <v>1.23</v>
      </c>
      <c r="D41" t="s">
        <v>224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Z50"/>
  <sheetViews>
    <sheetView topLeftCell="A2" zoomScale="75" zoomScaleNormal="75" workbookViewId="0">
      <selection activeCell="B45" sqref="B45"/>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B1" s="7">
        <v>70301</v>
      </c>
      <c r="C1" s="7">
        <v>70340</v>
      </c>
      <c r="D1" s="7">
        <v>70341</v>
      </c>
      <c r="E1" s="7">
        <v>70342</v>
      </c>
      <c r="F1" s="7">
        <v>70343</v>
      </c>
      <c r="G1" s="7">
        <v>70344</v>
      </c>
      <c r="H1" s="7">
        <v>70345</v>
      </c>
      <c r="I1" s="7">
        <v>70346</v>
      </c>
      <c r="J1" s="7">
        <v>70347</v>
      </c>
      <c r="K1" s="7">
        <v>70348</v>
      </c>
      <c r="L1" s="7">
        <v>70349</v>
      </c>
      <c r="M1" s="7">
        <v>70350</v>
      </c>
      <c r="N1" s="7">
        <v>70352</v>
      </c>
      <c r="O1" s="11">
        <v>70354</v>
      </c>
      <c r="P1" s="12">
        <v>70357</v>
      </c>
      <c r="Q1" s="11">
        <v>70358</v>
      </c>
      <c r="R1" s="7">
        <v>70361</v>
      </c>
      <c r="S1" s="7">
        <v>70362</v>
      </c>
      <c r="T1" s="7">
        <v>70363</v>
      </c>
      <c r="U1" s="7">
        <v>70364</v>
      </c>
      <c r="V1" s="7">
        <v>70365</v>
      </c>
      <c r="W1" s="7">
        <v>70366</v>
      </c>
      <c r="X1" s="7">
        <v>70367</v>
      </c>
      <c r="Y1" s="7">
        <v>70368</v>
      </c>
      <c r="Z1" s="7">
        <v>70369</v>
      </c>
      <c r="AA1" s="11">
        <v>70370</v>
      </c>
      <c r="AB1" s="12">
        <v>70371</v>
      </c>
      <c r="AC1" s="11">
        <v>70372</v>
      </c>
      <c r="AD1" s="11">
        <v>70373</v>
      </c>
      <c r="AE1" s="11">
        <v>70374</v>
      </c>
      <c r="AF1" s="11">
        <v>70375</v>
      </c>
      <c r="AG1" s="11">
        <v>70376</v>
      </c>
      <c r="AH1" s="11">
        <v>70377</v>
      </c>
      <c r="AI1" s="11">
        <v>70378</v>
      </c>
      <c r="AJ1" s="11">
        <v>70379</v>
      </c>
      <c r="AK1" s="11">
        <v>70381</v>
      </c>
      <c r="AL1" s="11">
        <v>70416</v>
      </c>
      <c r="AM1" s="11">
        <v>70444</v>
      </c>
      <c r="AN1" s="11">
        <v>70444</v>
      </c>
      <c r="AO1" s="11">
        <v>70446</v>
      </c>
      <c r="CP1" s="8"/>
    </row>
    <row r="2" spans="1:104" s="9" customFormat="1" ht="99.75" customHeight="1" x14ac:dyDescent="0.25">
      <c r="B2" s="53" t="str">
        <f>VLOOKUP(B$1,Main!$A$10:$B$2501,2,FALSE)</f>
        <v>Gibbons Apartments</v>
      </c>
      <c r="C2" s="53" t="str">
        <f>VLOOKUP(C$1,Main!$A$10:$B$2501,2,FALSE)</f>
        <v>Park View at Catonsville</v>
      </c>
      <c r="D2" s="53" t="str">
        <f>VLOOKUP(D$1,Main!$A$10:$B$2501,2,FALSE)</f>
        <v>Park View at South Pantops</v>
      </c>
      <c r="E2" s="53" t="str">
        <f>VLOOKUP(E$1,Main!$A$10:$B$2501,2,FALSE)</f>
        <v>Park View at Tyler Run</v>
      </c>
      <c r="F2" s="53" t="str">
        <f>VLOOKUP(F$1,Main!$A$10:$B$2501,2,FALSE)</f>
        <v>Park View at Manchester Heights</v>
      </c>
      <c r="G2" s="53" t="str">
        <f>VLOOKUP(G$1,Main!$A$10:$B$2501,2,FALSE)</f>
        <v>Park View at Naaman's Creek</v>
      </c>
      <c r="H2" s="53" t="str">
        <f>VLOOKUP(H$1,Main!$A$10:$B$2501,2,FALSE)</f>
        <v>York Commons</v>
      </c>
      <c r="I2" s="53" t="str">
        <f>VLOOKUP(I$1,Main!$A$10:$B$2501,2,FALSE)</f>
        <v>Park View at Oak Crest</v>
      </c>
      <c r="J2" s="53" t="str">
        <f>VLOOKUP(J$1,Main!$A$10:$B$2501,2,FALSE)</f>
        <v>Park View at Cheltenham</v>
      </c>
      <c r="K2" s="53" t="str">
        <f>VLOOKUP(K$1,Main!$A$10:$B$2501,2,FALSE)</f>
        <v>Park View at Bethlehem</v>
      </c>
      <c r="L2" s="53" t="str">
        <f>VLOOKUP(L$1,Main!$A$10:$B$2501,2,FALSE)</f>
        <v>Westbrook Commons</v>
      </c>
      <c r="M2" s="53" t="str">
        <f>VLOOKUP(M$1,Main!$A$10:$B$2501,2,FALSE)</f>
        <v>Park View at Easton</v>
      </c>
      <c r="N2" s="53" t="str">
        <f>VLOOKUP(N$1,Main!$A$10:$B$2501,2,FALSE)</f>
        <v>Somerset Commons</v>
      </c>
      <c r="O2" s="53" t="str">
        <f>VLOOKUP(O$1,Main!$A$10:$B$2501,2,FALSE)</f>
        <v>Park View at Laurel I</v>
      </c>
      <c r="P2" s="53" t="str">
        <f>VLOOKUP(P$1,Main!$A$10:$B$2501,2,FALSE)</f>
        <v>Park View at Emerson</v>
      </c>
      <c r="Q2" s="53" t="str">
        <f>VLOOKUP(Q$1,Main!$A$10:$B$2501,2,FALSE)</f>
        <v>Park View at Ellicott City II</v>
      </c>
      <c r="R2" s="53" t="str">
        <f>VLOOKUP(R$1,Main!$A$10:$B$2501,2,FALSE)</f>
        <v>Hickory Ridge</v>
      </c>
      <c r="S2" s="53" t="str">
        <f>VLOOKUP(S$1,Main!$A$10:$B$2501,2,FALSE)</f>
        <v>Park View at Snowden River</v>
      </c>
      <c r="T2" s="53" t="str">
        <f>VLOOKUP(T$1,Main!$A$10:$B$2501,2,FALSE)</f>
        <v>Park View at Columbia</v>
      </c>
      <c r="U2" s="53" t="str">
        <f>VLOOKUP(U$1,Main!$A$10:$B$2501,2,FALSE)</f>
        <v>Woodbridge Commons</v>
      </c>
      <c r="V2" s="53" t="str">
        <f>VLOOKUP(V$1,Main!$A$10:$B$2501,2,FALSE)</f>
        <v>Park View at Bel Air</v>
      </c>
      <c r="W2" s="53" t="str">
        <f>VLOOKUP(W$1,Main!$A$10:$B$2501,2,FALSE)</f>
        <v>Park View at Box Hill</v>
      </c>
      <c r="X2" s="53" t="str">
        <f>VLOOKUP(X$1,Main!$A$10:$B$2501,2,FALSE)</f>
        <v>College Parkway Place</v>
      </c>
      <c r="Y2" s="53" t="str">
        <f>VLOOKUP(Y$1,Main!$A$10:$B$2501,2,FALSE)</f>
        <v>Park View at Furnace Branch</v>
      </c>
      <c r="Z2" s="53" t="str">
        <f>VLOOKUP(Z$1,Main!$A$10:$B$2501,2,FALSE)</f>
        <v>Park View at Severna Park</v>
      </c>
      <c r="AA2" s="53" t="str">
        <f>VLOOKUP(AA$1,Main!$A$10:$B$2501,2,FALSE)</f>
        <v>Ashland Commons</v>
      </c>
      <c r="AB2" s="53" t="str">
        <f>VLOOKUP(AB$1,Main!$A$10:$B$2501,2,FALSE)</f>
        <v>Park View at Fullerton</v>
      </c>
      <c r="AC2" s="53" t="str">
        <f>VLOOKUP(AC$1,Main!$A$10:$B$2501,2,FALSE)</f>
        <v>Park View at Ashland Terrace</v>
      </c>
      <c r="AD2" s="53" t="str">
        <f>VLOOKUP(AD$1,Main!$A$10:$B$2501,2,FALSE)</f>
        <v>Park View at Coldspring</v>
      </c>
      <c r="AE2" s="53" t="str">
        <f>VLOOKUP(AE$1,Main!$A$10:$B$2501,2,FALSE)</f>
        <v>Park View at Taylor</v>
      </c>
      <c r="AF2" s="53" t="str">
        <f>VLOOKUP(AF$1,Main!$A$10:$B$2501,2,FALSE)</f>
        <v>Park View at Woodlawn</v>
      </c>
      <c r="AG2" s="53" t="str">
        <f>VLOOKUP(AG$1,Main!$A$10:$B$2501,2,FALSE)</f>
        <v>Park View at Miramar Landing</v>
      </c>
      <c r="AH2" s="53" t="str">
        <f>VLOOKUP(AH$1,Main!$A$10:$B$2501,2,FALSE)</f>
        <v>Park View at Randallstown</v>
      </c>
      <c r="AI2" s="53" t="str">
        <f>VLOOKUP(AI$1,Main!$A$10:$B$2501,2,FALSE)</f>
        <v>Park View at Rosedale</v>
      </c>
      <c r="AJ2" s="53" t="str">
        <f>VLOOKUP(AJ$1,Main!$A$10:$B$2501,2,FALSE)</f>
        <v>Park View at Towson</v>
      </c>
      <c r="AK2" s="53" t="str">
        <f>VLOOKUP(AK$1,Main!$A$10:$B$2501,2,FALSE)</f>
        <v>Highland Commons</v>
      </c>
      <c r="AL2" s="53" t="str">
        <f>VLOOKUP(AL$1,Main!$A$10:$B$2501,2,FALSE)</f>
        <v>test_project</v>
      </c>
      <c r="AM2" s="53" t="str">
        <f>VLOOKUP(AM$1,Main!$A$10:$B$2501,2,FALSE)</f>
        <v>PK image access test</v>
      </c>
      <c r="AN2" s="53" t="str">
        <f>VLOOKUP(AN$1,Main!$A$10:$B$2501,2,FALSE)</f>
        <v>PK image access test</v>
      </c>
      <c r="AO2" s="53" t="str">
        <f>VLOOKUP(AO$1,Main!$A$10:$B$2501,2,FALSE)</f>
        <v>pk investors report testing</v>
      </c>
      <c r="AP2" s="53" t="e">
        <f>VLOOKUP(AP$1,Main!$A$10:$B$2501,2,FALSE)</f>
        <v>#N/A</v>
      </c>
      <c r="AQ2" s="53" t="e">
        <f>VLOOKUP(AQ$1,Main!$A$10:$B$2501,2,FALSE)</f>
        <v>#N/A</v>
      </c>
      <c r="AR2" s="53" t="e">
        <f>VLOOKUP(AR$1,Main!$A$10:$B$2501,2,FALSE)</f>
        <v>#N/A</v>
      </c>
      <c r="AS2" s="53" t="e">
        <f>VLOOKUP(AS$1,Main!$A$10:$B$2501,2,FALSE)</f>
        <v>#N/A</v>
      </c>
      <c r="AT2" s="53" t="e">
        <f>VLOOKUP(AT$1,Main!$A$10:$B$2501,2,FALSE)</f>
        <v>#N/A</v>
      </c>
      <c r="AU2" s="53" t="e">
        <f>VLOOKUP(AU$1,Main!$A$10:$B$2501,2,FALSE)</f>
        <v>#N/A</v>
      </c>
      <c r="AV2" s="53" t="e">
        <f>VLOOKUP(AV$1,Main!$A$10:$B$2501,2,FALSE)</f>
        <v>#N/A</v>
      </c>
      <c r="AW2" s="53" t="e">
        <f>VLOOKUP(AW$1,Main!$A$10:$B$2501,2,FALSE)</f>
        <v>#N/A</v>
      </c>
      <c r="AX2" s="53" t="e">
        <f>VLOOKUP(AX$1,Main!$A$10:$B$2501,2,FALSE)</f>
        <v>#N/A</v>
      </c>
      <c r="AY2" s="53" t="e">
        <f>VLOOKUP(AY$1,Main!$A$10:$B$2501,2,FALSE)</f>
        <v>#N/A</v>
      </c>
      <c r="AZ2" s="53" t="e">
        <f>VLOOKUP(AZ$1,Main!$A$10:$B$2501,2,FALSE)</f>
        <v>#N/A</v>
      </c>
      <c r="BA2" s="53" t="e">
        <f>VLOOKUP(BA$1,Main!$A$10:$B$2501,2,FALSE)</f>
        <v>#N/A</v>
      </c>
      <c r="BB2" s="53" t="e">
        <f>VLOOKUP(BB$1,Main!$A$10:$B$2501,2,FALSE)</f>
        <v>#N/A</v>
      </c>
      <c r="BC2" s="53" t="e">
        <f>VLOOKUP(BC$1,Main!$A$10:$B$2501,2,FALSE)</f>
        <v>#N/A</v>
      </c>
      <c r="BD2" s="53" t="e">
        <f>VLOOKUP(BD$1,Main!$A$10:$B$2501,2,FALSE)</f>
        <v>#N/A</v>
      </c>
      <c r="BE2" s="53" t="e">
        <f>VLOOKUP(BE$1,Main!$A$10:$B$2501,2,FALSE)</f>
        <v>#N/A</v>
      </c>
      <c r="BF2" s="53" t="e">
        <f>VLOOKUP(BF$1,Main!$A$10:$B$2501,2,FALSE)</f>
        <v>#N/A</v>
      </c>
      <c r="BG2" s="53" t="e">
        <f>VLOOKUP(BG$1,Main!$A$10:$B$2501,2,FALSE)</f>
        <v>#N/A</v>
      </c>
      <c r="BH2" s="53" t="e">
        <f>VLOOKUP(BH$1,Main!$A$10:$B$2501,2,FALSE)</f>
        <v>#N/A</v>
      </c>
      <c r="BI2" s="53" t="e">
        <f>VLOOKUP(BI$1,Main!$A$10:$B$2501,2,FALSE)</f>
        <v>#N/A</v>
      </c>
      <c r="BJ2" s="53" t="e">
        <f>VLOOKUP(BJ$1,Main!$A$10:$B$2501,2,FALSE)</f>
        <v>#N/A</v>
      </c>
      <c r="BK2" s="53" t="e">
        <f>VLOOKUP(BK$1,Main!$A$10:$B$2501,2,FALSE)</f>
        <v>#N/A</v>
      </c>
      <c r="BL2" s="53" t="e">
        <f>VLOOKUP(BL$1,Main!$A$10:$B$2501,2,FALSE)</f>
        <v>#N/A</v>
      </c>
      <c r="BM2" s="53" t="e">
        <f>VLOOKUP(BM$1,Main!$A$10:$B$2501,2,FALSE)</f>
        <v>#N/A</v>
      </c>
      <c r="BN2" s="53" t="e">
        <f>VLOOKUP(BN$1,Main!$A$10:$B$2501,2,FALSE)</f>
        <v>#N/A</v>
      </c>
      <c r="BO2" s="53" t="e">
        <f>VLOOKUP(BO$1,Main!$A$10:$B$2501,2,FALSE)</f>
        <v>#N/A</v>
      </c>
      <c r="BP2" s="53" t="e">
        <f>VLOOKUP(BP$1,Main!$A$10:$B$2501,2,FALSE)</f>
        <v>#N/A</v>
      </c>
      <c r="BQ2" s="53" t="e">
        <f>VLOOKUP(BQ$1,Main!$A$10:$B$2501,2,FALSE)</f>
        <v>#N/A</v>
      </c>
      <c r="BR2" s="53" t="e">
        <f>VLOOKUP(BR$1,Main!$A$10:$B$2501,2,FALSE)</f>
        <v>#N/A</v>
      </c>
      <c r="BS2" s="53" t="e">
        <f>VLOOKUP(BS$1,Main!$A$10:$B$2501,2,FALSE)</f>
        <v>#N/A</v>
      </c>
      <c r="BT2" s="53" t="e">
        <f>VLOOKUP(BT$1,Main!$A$10:$B$2501,2,FALSE)</f>
        <v>#N/A</v>
      </c>
      <c r="BU2" s="53" t="e">
        <f>VLOOKUP(BU$1,Main!$A$10:$B$2501,2,FALSE)</f>
        <v>#N/A</v>
      </c>
      <c r="BV2" s="53" t="e">
        <f>VLOOKUP(BV$1,Main!$A$10:$B$2501,2,FALSE)</f>
        <v>#N/A</v>
      </c>
      <c r="BW2" s="53" t="e">
        <f>VLOOKUP(BW$1,Main!$A$10:$B$2501,2,FALSE)</f>
        <v>#N/A</v>
      </c>
      <c r="BX2" s="53" t="e">
        <f>VLOOKUP(BX$1,Main!$A$10:$B$2501,2,FALSE)</f>
        <v>#N/A</v>
      </c>
      <c r="BY2" s="53" t="e">
        <f>VLOOKUP(BY$1,Main!$A$10:$B$2501,2,FALSE)</f>
        <v>#N/A</v>
      </c>
      <c r="BZ2" s="53" t="e">
        <f>VLOOKUP(BZ$1,Main!$A$10:$B$2501,2,FALSE)</f>
        <v>#N/A</v>
      </c>
      <c r="CA2" s="53" t="e">
        <f>VLOOKUP(CA$1,Main!$A$10:$B$2501,2,FALSE)</f>
        <v>#N/A</v>
      </c>
      <c r="CB2" s="53" t="e">
        <f>VLOOKUP(CB$1,Main!$A$10:$B$2501,2,FALSE)</f>
        <v>#N/A</v>
      </c>
      <c r="CC2" s="53" t="e">
        <f>VLOOKUP(CC$1,Main!$A$10:$B$2501,2,FALSE)</f>
        <v>#N/A</v>
      </c>
      <c r="CD2" s="53" t="e">
        <f>VLOOKUP(CD$1,Main!$A$10:$B$2501,2,FALSE)</f>
        <v>#N/A</v>
      </c>
      <c r="CE2" s="53" t="e">
        <f>VLOOKUP(CE$1,Main!$A$10:$B$2501,2,FALSE)</f>
        <v>#N/A</v>
      </c>
      <c r="CF2" s="53" t="e">
        <f>VLOOKUP(CF$1,Main!$A$10:$B$2501,2,FALSE)</f>
        <v>#N/A</v>
      </c>
      <c r="CG2" s="53" t="e">
        <f>VLOOKUP(CG$1,Main!$A$10:$B$2501,2,FALSE)</f>
        <v>#N/A</v>
      </c>
      <c r="CH2" s="53" t="e">
        <f>VLOOKUP(CH$1,Main!$A$10:$B$2501,2,FALSE)</f>
        <v>#N/A</v>
      </c>
      <c r="CI2" s="53" t="e">
        <f>VLOOKUP(CI$1,Main!$A$10:$B$2501,2,FALSE)</f>
        <v>#N/A</v>
      </c>
      <c r="CJ2" s="53" t="e">
        <f>VLOOKUP(CJ$1,Main!$A$10:$B$2501,2,FALSE)</f>
        <v>#N/A</v>
      </c>
      <c r="CK2" s="53" t="e">
        <f>VLOOKUP(CK$1,Main!$A$10:$B$2501,2,FALSE)</f>
        <v>#N/A</v>
      </c>
      <c r="CL2" s="53" t="e">
        <f>VLOOKUP(CL$1,Main!$A$10:$B$2501,2,FALSE)</f>
        <v>#N/A</v>
      </c>
      <c r="CM2" s="53" t="e">
        <f>VLOOKUP(CM$1,Main!$A$10:$B$2501,2,FALSE)</f>
        <v>#N/A</v>
      </c>
      <c r="CN2" s="53" t="e">
        <f>VLOOKUP(CN$1,Main!$A$10:$B$2501,2,FALSE)</f>
        <v>#N/A</v>
      </c>
      <c r="CO2" s="53" t="e">
        <f>VLOOKUP(CO$1,Main!$A$10:$B$2501,2,FALSE)</f>
        <v>#N/A</v>
      </c>
      <c r="CP2" s="53" t="e">
        <f>VLOOKUP(CP$1,Main!$A$10:$B$2501,2,FALSE)</f>
        <v>#N/A</v>
      </c>
      <c r="CQ2" s="53" t="e">
        <f>VLOOKUP(CQ$1,Main!$A$10:$B$2501,2,FALSE)</f>
        <v>#N/A</v>
      </c>
      <c r="CR2" s="53" t="e">
        <f>VLOOKUP(CR$1,Main!$A$10:$B$2501,2,FALSE)</f>
        <v>#N/A</v>
      </c>
      <c r="CS2" s="53" t="e">
        <f>VLOOKUP(CS$1,Main!$A$10:$B$2501,2,FALSE)</f>
        <v>#N/A</v>
      </c>
      <c r="CT2" s="53" t="e">
        <f>VLOOKUP(CT$1,Main!$A$10:$B$2501,2,FALSE)</f>
        <v>#N/A</v>
      </c>
      <c r="CU2" s="53" t="e">
        <f>VLOOKUP(CU$1,Main!$A$10:$B$2501,2,FALSE)</f>
        <v>#N/A</v>
      </c>
      <c r="CV2" s="53" t="e">
        <f>VLOOKUP(CV$1,Main!$A$10:$B$2501,2,FALSE)</f>
        <v>#N/A</v>
      </c>
      <c r="CW2" s="53" t="e">
        <f>VLOOKUP(CW$1,Main!$A$10:$B$2501,2,FALSE)</f>
        <v>#N/A</v>
      </c>
      <c r="CX2" s="53" t="e">
        <f>VLOOKUP(CX$1,Main!$A$10:$B$2501,2,FALSE)</f>
        <v>#N/A</v>
      </c>
      <c r="CY2" s="53" t="e">
        <f>VLOOKUP(CY$1,Main!$A$10:$B$2501,2,FALSE)</f>
        <v>#N/A</v>
      </c>
      <c r="CZ2" s="53" t="e">
        <f>VLOOKUP(CZ$1,Main!$A$10:$B$2501,2,FALSE)</f>
        <v>#N/A</v>
      </c>
    </row>
    <row r="4" spans="1:104" x14ac:dyDescent="0.2">
      <c r="A4" s="2" t="s">
        <v>17</v>
      </c>
      <c r="B4" s="46"/>
      <c r="C4" s="46"/>
      <c r="D4" s="46"/>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row>
    <row r="5" spans="1:104" s="46" customFormat="1" x14ac:dyDescent="0.2">
      <c r="A5" s="3"/>
    </row>
    <row r="6" spans="1:104" s="49" customFormat="1" x14ac:dyDescent="0.2">
      <c r="A6" s="55" t="s">
        <v>16</v>
      </c>
      <c r="B6" s="45" t="e">
        <f>INDEX('BalSht Data'!H$1:H$2999,MATCH(B$1,'BalSht Data'!A$2:A$2051,0)+MATCH(A6,'BalSht Data'!G$2:G$2051,0))</f>
        <v>#N/A</v>
      </c>
      <c r="C6" s="45" t="e">
        <f>INDEX('BalSht Data'!H$1:H$2999,MATCH(C$1,'BalSht Data'!A$2:A$2051,0)+MATCH(A6,'BalSht Data'!G$2:G$2051,0))</f>
        <v>#N/A</v>
      </c>
      <c r="D6" s="45" t="e">
        <f>INDEX('BalSht Data'!H$1:H$2999,MATCH(D$1,'BalSht Data'!A$2:A$2051,0)+MATCH(A6,'BalSht Data'!G$2:G$2051,0))</f>
        <v>#N/A</v>
      </c>
      <c r="E6" s="45" t="e">
        <f>INDEX('BalSht Data'!H$1:H$2999,MATCH(E$1,'BalSht Data'!A$2:A$2051,0)+MATCH(A6,'BalSht Data'!G$2:G$2051,0))</f>
        <v>#N/A</v>
      </c>
      <c r="F6" s="45" t="e">
        <f>INDEX('BalSht Data'!H$1:H$2999,MATCH(F$1,'BalSht Data'!A$2:A$2051,0)+MATCH(A6,'BalSht Data'!G$2:G$2051,0))</f>
        <v>#N/A</v>
      </c>
      <c r="G6" s="45" t="e">
        <f>INDEX('BalSht Data'!H$1:H$2999,MATCH(G$1,'BalSht Data'!A$2:A$2051,0)+MATCH(A6,'BalSht Data'!G$2:G$2051,0))</f>
        <v>#N/A</v>
      </c>
      <c r="H6" s="45" t="e">
        <f>INDEX('BalSht Data'!H$1:H$2999,MATCH(H$1,'BalSht Data'!A$2:A$2051,0)+MATCH(A6,'BalSht Data'!G$2:G$2051,0))</f>
        <v>#N/A</v>
      </c>
      <c r="I6" s="45" t="e">
        <f>INDEX('BalSht Data'!H$1:H$2999,MATCH(I$1,'BalSht Data'!A$2:A$2051,0)+MATCH(A6,'BalSht Data'!G$2:G$2051,0))</f>
        <v>#N/A</v>
      </c>
      <c r="J6" s="45" t="e">
        <f>INDEX('BalSht Data'!H$1:H$2999,MATCH(J$1,'BalSht Data'!A$2:A$2051,0)+MATCH(A6,'BalSht Data'!G$2:G$2051,0))</f>
        <v>#N/A</v>
      </c>
      <c r="K6" s="45" t="e">
        <f>INDEX('BalSht Data'!H$1:H$2999,MATCH(K$1,'BalSht Data'!A$2:A$2051,0)+MATCH(A6,'BalSht Data'!G$2:G$2051,0))</f>
        <v>#N/A</v>
      </c>
      <c r="L6" s="45" t="e">
        <f>INDEX('BalSht Data'!H$1:H$2999,MATCH(L$1,'BalSht Data'!A$2:A$2051,0)+MATCH(A6,'BalSht Data'!G$2:G$2051,0))</f>
        <v>#N/A</v>
      </c>
      <c r="M6" s="45" t="e">
        <f>INDEX('BalSht Data'!H$1:H$2999,MATCH(M$1,'BalSht Data'!A$2:A$2051,0)+MATCH(A6,'BalSht Data'!G$2:G$2051,0))</f>
        <v>#N/A</v>
      </c>
      <c r="N6" s="45" t="e">
        <f>INDEX('BalSht Data'!H$1:H$2999,MATCH(N$1,'BalSht Data'!A$2:A$2051,0)+MATCH(A6,'BalSht Data'!G$2:G$2051,0))</f>
        <v>#N/A</v>
      </c>
      <c r="O6" s="45" t="e">
        <f>INDEX('BalSht Data'!H$1:H$2999,MATCH(O$1,'BalSht Data'!A$2:A$2051,0)+MATCH(A6,'BalSht Data'!G$2:G$2051,0))</f>
        <v>#N/A</v>
      </c>
      <c r="P6" s="45" t="e">
        <f>INDEX('BalSht Data'!H$1:H$2999,MATCH(P$1,'BalSht Data'!A$2:A$2051,0)+MATCH(A6,'BalSht Data'!G$2:G$2051,0))</f>
        <v>#N/A</v>
      </c>
      <c r="Q6" s="45" t="e">
        <f>INDEX('BalSht Data'!H$1:H$2999,MATCH(Q$1,'BalSht Data'!A$2:A$2051,0)+MATCH(A6,'BalSht Data'!G$2:G$2051,0))</f>
        <v>#N/A</v>
      </c>
      <c r="R6" s="45" t="e">
        <f>INDEX('BalSht Data'!H$1:H$2999,MATCH(R$1,'BalSht Data'!A$2:A$2051,0)+MATCH(A6,'BalSht Data'!G$2:G$2051,0))</f>
        <v>#N/A</v>
      </c>
      <c r="S6" s="45" t="e">
        <f>INDEX('BalSht Data'!H$1:H$2999,MATCH(S$1,'BalSht Data'!A$2:A$2051,0)+MATCH(A6,'BalSht Data'!G$2:G$2051,0))</f>
        <v>#N/A</v>
      </c>
      <c r="T6" s="45" t="e">
        <f>INDEX('BalSht Data'!H$1:H$2999,MATCH(T$1,'BalSht Data'!A$2:A$2051,0)+MATCH(A6,'BalSht Data'!G$2:G$2051,0))</f>
        <v>#N/A</v>
      </c>
      <c r="U6" s="45" t="e">
        <f>INDEX('BalSht Data'!H$1:H$2999,MATCH(U$1,'BalSht Data'!A$2:A$2051,0)+MATCH(A6,'BalSht Data'!G$2:G$2051,0))</f>
        <v>#N/A</v>
      </c>
      <c r="V6" s="45" t="e">
        <f>INDEX('BalSht Data'!H$1:H$2999,MATCH(V$1,'BalSht Data'!A$2:A$2051,0)+MATCH(A6,'BalSht Data'!G$2:G$2051,0))</f>
        <v>#N/A</v>
      </c>
      <c r="W6" s="45" t="e">
        <f>INDEX('BalSht Data'!H$1:H$2999,MATCH(W$1,'BalSht Data'!A$2:A$2051,0)+MATCH(A6,'BalSht Data'!G$2:G$2051,0))</f>
        <v>#N/A</v>
      </c>
      <c r="X6" s="45" t="e">
        <f>INDEX('BalSht Data'!H$1:H$2999,MATCH(X$1,'BalSht Data'!A$2:A$2051,0)+MATCH(A6,'BalSht Data'!G$2:G$2051,0))</f>
        <v>#N/A</v>
      </c>
      <c r="Y6" s="45" t="e">
        <f>INDEX('BalSht Data'!H$1:H$2999,MATCH(Y$1,'BalSht Data'!A$2:A$2051,0)+MATCH(A6,'BalSht Data'!G$2:G$2051,0))</f>
        <v>#N/A</v>
      </c>
      <c r="Z6" s="45" t="e">
        <f>INDEX('BalSht Data'!H$1:H$2999,MATCH(Z$1,'BalSht Data'!A$2:A$2051,0)+MATCH(A6,'BalSht Data'!G$2:G$2051,0))</f>
        <v>#N/A</v>
      </c>
      <c r="AA6" s="45" t="e">
        <f>INDEX('BalSht Data'!H$1:H$2999,MATCH(AA$1,'BalSht Data'!A$2:A$2051,0)+MATCH(A6,'BalSht Data'!G$2:G$2051,0))</f>
        <v>#N/A</v>
      </c>
      <c r="AB6" s="45" t="e">
        <f>INDEX('BalSht Data'!H$1:H$2999,MATCH(AB$1,'BalSht Data'!A$2:A$2051,0)+MATCH(A6,'BalSht Data'!G$2:G$2051,0))</f>
        <v>#N/A</v>
      </c>
      <c r="AC6" s="45" t="e">
        <f>INDEX('BalSht Data'!H$1:H$2999,MATCH(AC$1,'BalSht Data'!A$2:A$2051,0)+MATCH(A6,'BalSht Data'!G$2:G$2051,0))</f>
        <v>#N/A</v>
      </c>
      <c r="AD6" s="45" t="e">
        <f>INDEX('BalSht Data'!H$1:H$2999,MATCH(AD$1,'BalSht Data'!A$2:A$2051,0)+MATCH(A6,'BalSht Data'!G$2:G$2051,0))</f>
        <v>#N/A</v>
      </c>
      <c r="AE6" s="45" t="e">
        <f>INDEX('BalSht Data'!H$1:H$2999,MATCH(AE$1,'BalSht Data'!A$2:A$2051,0)+MATCH(A6,'BalSht Data'!G$2:G$2051,0))</f>
        <v>#N/A</v>
      </c>
      <c r="AF6" s="45" t="e">
        <f>INDEX('BalSht Data'!H$1:H$2999,MATCH(AF$1,'BalSht Data'!A$2:A$2051,0)+MATCH(A6,'BalSht Data'!G$2:G$2051,0))</f>
        <v>#N/A</v>
      </c>
      <c r="AG6" s="45" t="e">
        <f>INDEX('BalSht Data'!H$1:H$2999,MATCH(AG$1,'BalSht Data'!A$2:A$2051,0)+MATCH(A6,'BalSht Data'!G$2:G$2051,0))</f>
        <v>#N/A</v>
      </c>
      <c r="AH6" s="45" t="e">
        <f>INDEX('BalSht Data'!H$1:H$2999,MATCH(AH$1,'BalSht Data'!A$2:A$2051,0)+MATCH(A6,'BalSht Data'!G$2:G$2051,0))</f>
        <v>#N/A</v>
      </c>
      <c r="AI6" s="45" t="e">
        <f>INDEX('BalSht Data'!H$1:H$2999,MATCH(AI$1,'BalSht Data'!A$2:A$2051,0)+MATCH(A6,'BalSht Data'!G$2:G$2051,0))</f>
        <v>#N/A</v>
      </c>
      <c r="AJ6" s="45" t="e">
        <f>INDEX('BalSht Data'!H$1:H$2999,MATCH(AJ$1,'BalSht Data'!A$2:A$2051,0)+MATCH(A6,'BalSht Data'!G$2:G$2051,0))</f>
        <v>#N/A</v>
      </c>
      <c r="AK6" s="45" t="e">
        <f>INDEX('BalSht Data'!H$1:H$2999,MATCH(AK$1,'BalSht Data'!A$2:A$2051,0)+MATCH(A6,'BalSht Data'!G$2:G$2051,0))</f>
        <v>#N/A</v>
      </c>
      <c r="AL6" s="45">
        <f>INDEX('BalSht Data'!H$1:H$2999,MATCH(AL$1,'BalSht Data'!A$2:A$2051,0)+MATCH(A6,'BalSht Data'!G$2:G$2051,0))</f>
        <v>0</v>
      </c>
      <c r="AM6" s="45">
        <f>INDEX('BalSht Data'!H$1:H$2999,MATCH(AM$1,'BalSht Data'!A$2:A$2051,0)+MATCH(A6,'BalSht Data'!G$2:G$2051,0))</f>
        <v>0</v>
      </c>
      <c r="AN6" s="45">
        <f>INDEX('BalSht Data'!H$1:H$2999,MATCH(AN$1,'BalSht Data'!A$2:A$2051,0)+MATCH(A6,'BalSht Data'!G$2:G$2051,0))</f>
        <v>0</v>
      </c>
      <c r="AO6" s="45">
        <f>INDEX('BalSht Data'!H$1:H$2999,MATCH(AO$1,'BalSht Data'!A$2:A$2051,0)+MATCH(A6,'BalSht Data'!G$2:G$2051,0))</f>
        <v>0</v>
      </c>
      <c r="AP6" s="45" t="e">
        <f>INDEX('BalSht Data'!H$1:H$2999,MATCH(AP$1,'BalSht Data'!A$2:A$2051,0)+MATCH(A6,'BalSht Data'!G$2:G$2051,0))</f>
        <v>#N/A</v>
      </c>
      <c r="AQ6" s="45" t="e">
        <f>INDEX('BalSht Data'!H$1:H$2999,MATCH(AQ$1,'BalSht Data'!A$2:A$2051,0)+MATCH(A6,'BalSht Data'!G$2:G$2051,0))</f>
        <v>#N/A</v>
      </c>
      <c r="AR6" s="45" t="e">
        <f>INDEX('BalSht Data'!H$1:H$2999,MATCH(AR$1,'BalSht Data'!A$2:A$2051,0)+MATCH(A6,'BalSht Data'!G$2:G$2051,0))</f>
        <v>#N/A</v>
      </c>
      <c r="AS6" s="45" t="e">
        <f>INDEX('BalSht Data'!H$1:H$2999,MATCH(AS$1,'BalSht Data'!A$2:A$2051,0)+MATCH(A6,'BalSht Data'!G$2:G$2051,0))</f>
        <v>#N/A</v>
      </c>
      <c r="AT6" s="45" t="e">
        <f>INDEX('BalSht Data'!H$1:H$2999,MATCH(AT$1,'BalSht Data'!A$2:A$2051,0)+MATCH(A6,'BalSht Data'!G$2:G$2051,0))</f>
        <v>#N/A</v>
      </c>
      <c r="AU6" s="45" t="e">
        <f>INDEX('BalSht Data'!H$1:H$2999,MATCH(AU$1,'BalSht Data'!A$2:A$2051,0)+MATCH(A6,'BalSht Data'!G$2:G$2051,0))</f>
        <v>#N/A</v>
      </c>
      <c r="AV6" s="45" t="e">
        <f>INDEX('BalSht Data'!H$1:H$2999,MATCH(AV$1,'BalSht Data'!A$2:A$2051,0)+MATCH(A6,'BalSht Data'!G$2:G$2051,0))</f>
        <v>#N/A</v>
      </c>
      <c r="AW6" s="45" t="e">
        <f>INDEX('BalSht Data'!H$1:H$2999,MATCH(AW$1,'BalSht Data'!A$2:A$2051,0)+MATCH(A6,'BalSht Data'!G$2:G$2051,0))</f>
        <v>#N/A</v>
      </c>
      <c r="AX6" s="45" t="e">
        <f>INDEX('BalSht Data'!H$1:H$2999,MATCH(AX$1,'BalSht Data'!A$2:A$2051,0)+MATCH(A6,'BalSht Data'!G$2:G$2051,0))</f>
        <v>#N/A</v>
      </c>
      <c r="AY6" s="45" t="e">
        <f>INDEX('BalSht Data'!H$1:H$2999,MATCH(AY$1,'BalSht Data'!A$2:A$2051,0)+MATCH(A6,'BalSht Data'!G$2:G$2051,0))</f>
        <v>#N/A</v>
      </c>
      <c r="AZ6" s="45" t="e">
        <f>INDEX('BalSht Data'!H$1:H$2999,MATCH(AZ$1,'BalSht Data'!A$2:A$2051,0)+MATCH(A6,'BalSht Data'!G$2:G$2051,0))</f>
        <v>#N/A</v>
      </c>
      <c r="BA6" s="45" t="e">
        <f>INDEX('BalSht Data'!H$1:H$2999,MATCH(BA$1,'BalSht Data'!A$2:A$2051,0)+MATCH(A6,'BalSht Data'!G$2:G$2051,0))</f>
        <v>#N/A</v>
      </c>
      <c r="BB6" s="45" t="e">
        <f>INDEX('BalSht Data'!H$1:H$2999,MATCH(BB$1,'BalSht Data'!A$2:A$2051,0)+MATCH(A6,'BalSht Data'!G$2:G$2051,0))</f>
        <v>#N/A</v>
      </c>
      <c r="BC6" s="45" t="e">
        <f>INDEX('BalSht Data'!H$1:H$2999,MATCH(BC$1,'BalSht Data'!A$2:A$2051,0)+MATCH(A6,'BalSht Data'!G$2:G$2051,0))</f>
        <v>#N/A</v>
      </c>
      <c r="BD6" s="45" t="e">
        <f>INDEX('BalSht Data'!H$1:H$2999,MATCH(BD$1,'BalSht Data'!A$2:A$2051,0)+MATCH(A6,'BalSht Data'!G$2:G$2051,0))</f>
        <v>#N/A</v>
      </c>
      <c r="BE6" s="45" t="e">
        <f>INDEX('BalSht Data'!H$1:H$2999,MATCH(BE$1,'BalSht Data'!A$2:A$2051,0)+MATCH(A6,'BalSht Data'!G$2:G$2051,0))</f>
        <v>#N/A</v>
      </c>
      <c r="BF6" s="45" t="e">
        <f>INDEX('BalSht Data'!H$1:H$2999,MATCH(BF$1,'BalSht Data'!A$2:A$2051,0)+MATCH(A6,'BalSht Data'!G$2:G$2051,0))</f>
        <v>#N/A</v>
      </c>
      <c r="BG6" s="45" t="e">
        <f>INDEX('BalSht Data'!H$1:H$2999,MATCH(BG$1,'BalSht Data'!A$2:A$2051,0)+MATCH(A6,'BalSht Data'!G$2:G$2051,0))</f>
        <v>#N/A</v>
      </c>
      <c r="BH6" s="45" t="e">
        <f>INDEX('BalSht Data'!H$1:H$2999,MATCH(BH$1,'BalSht Data'!A$2:A$2051,0)+MATCH(A6,'BalSht Data'!G$2:G$2051,0))</f>
        <v>#N/A</v>
      </c>
      <c r="BI6" s="45" t="e">
        <f>INDEX('BalSht Data'!H$1:H$2999,MATCH(BI$1,'BalSht Data'!A$2:A$2051,0)+MATCH(A6,'BalSht Data'!G$2:G$2051,0))</f>
        <v>#N/A</v>
      </c>
      <c r="BJ6" s="45" t="e">
        <f>INDEX('BalSht Data'!H$1:H$2999,MATCH(BJ$1,'BalSht Data'!A$2:A$2051,0)+MATCH(A6,'BalSht Data'!G$2:G$2051,0))</f>
        <v>#N/A</v>
      </c>
      <c r="BK6" s="45" t="e">
        <f>INDEX('BalSht Data'!H$1:H$2999,MATCH(BK$1,'BalSht Data'!A$2:A$2051,0)+MATCH(A6,'BalSht Data'!G$2:G$2051,0))</f>
        <v>#N/A</v>
      </c>
      <c r="BL6" s="45" t="e">
        <f>INDEX('BalSht Data'!H$1:H$2999,MATCH(BL$1,'BalSht Data'!A$2:A$2051,0)+MATCH(A6,'BalSht Data'!G$2:G$2051,0))</f>
        <v>#N/A</v>
      </c>
      <c r="BM6" s="45" t="e">
        <f>INDEX('BalSht Data'!H$1:H$2999,MATCH(BM$1,'BalSht Data'!A$2:A$2051,0)+MATCH(A6,'BalSht Data'!G$2:G$2051,0))</f>
        <v>#N/A</v>
      </c>
      <c r="BN6" s="45" t="e">
        <f>INDEX('BalSht Data'!H$1:H$2999,MATCH(BN$1,'BalSht Data'!A$2:A$2051,0)+MATCH(A6,'BalSht Data'!G$2:G$2051,0))</f>
        <v>#N/A</v>
      </c>
      <c r="BO6" s="45" t="e">
        <f>INDEX('BalSht Data'!H$1:H$2999,MATCH(BO$1,'BalSht Data'!A$2:A$2051,0)+MATCH(A6,'BalSht Data'!G$2:G$2051,0))</f>
        <v>#N/A</v>
      </c>
      <c r="BP6" s="45" t="e">
        <f>INDEX('BalSht Data'!H$1:H$2999,MATCH(BP$1,'BalSht Data'!A$2:A$2051,0)+MATCH(A6,'BalSht Data'!G$2:G$2051,0))</f>
        <v>#N/A</v>
      </c>
      <c r="BQ6" s="45" t="e">
        <f>INDEX('BalSht Data'!H$1:H$2999,MATCH(BQ$1,'BalSht Data'!A$2:A$2051,0)+MATCH(A6,'BalSht Data'!G$2:G$2051,0))</f>
        <v>#N/A</v>
      </c>
      <c r="BR6" s="45" t="e">
        <f>INDEX('BalSht Data'!H$1:H$2999,MATCH(BR$1,'BalSht Data'!A$2:A$2051,0)+MATCH(A6,'BalSht Data'!G$2:G$2051,0))</f>
        <v>#N/A</v>
      </c>
      <c r="BS6" s="45" t="e">
        <f>INDEX('BalSht Data'!H$1:H$2999,MATCH(BS$1,'BalSht Data'!A$2:A$2051,0)+MATCH(A6,'BalSht Data'!G$2:G$2051,0))</f>
        <v>#N/A</v>
      </c>
      <c r="BT6" s="45" t="e">
        <f>INDEX('BalSht Data'!H$1:H$2999,MATCH(BT$1,'BalSht Data'!A$2:A$2051,0)+MATCH(A6,'BalSht Data'!G$2:G$2051,0))</f>
        <v>#N/A</v>
      </c>
      <c r="BU6" s="45" t="e">
        <f>INDEX('BalSht Data'!H$1:H$2999,MATCH(BU$1,'BalSht Data'!A$2:A$2051,0)+MATCH(A6,'BalSht Data'!G$2:G$2051,0))</f>
        <v>#N/A</v>
      </c>
      <c r="BV6" s="45" t="e">
        <f>INDEX('BalSht Data'!H$1:H$2999,MATCH(BV$1,'BalSht Data'!A$2:A$2051,0)+MATCH(A6,'BalSht Data'!G$2:G$2051,0))</f>
        <v>#N/A</v>
      </c>
      <c r="BW6" s="45" t="e">
        <f>INDEX('BalSht Data'!H$1:H$2999,MATCH(BW$1,'BalSht Data'!A$2:A$2051,0)+MATCH(A6,'BalSht Data'!G$2:G$2051,0))</f>
        <v>#N/A</v>
      </c>
      <c r="BX6" s="45" t="e">
        <f>INDEX('BalSht Data'!H$1:H$2999,MATCH(BX$1,'BalSht Data'!A$2:A$2051,0)+MATCH(A6,'BalSht Data'!G$2:G$2051,0))</f>
        <v>#N/A</v>
      </c>
      <c r="BY6" s="45" t="e">
        <f>INDEX('BalSht Data'!H$1:H$2999,MATCH(BY$1,'BalSht Data'!A$2:A$2051,0)+MATCH(A6,'BalSht Data'!G$2:G$2051,0))</f>
        <v>#N/A</v>
      </c>
      <c r="BZ6" s="45" t="e">
        <f>INDEX('BalSht Data'!H$1:H$2999,MATCH(BZ$1,'BalSht Data'!A$2:A$2051,0)+MATCH(A6,'BalSht Data'!G$2:G$2051,0))</f>
        <v>#N/A</v>
      </c>
      <c r="CA6" s="45" t="e">
        <f>INDEX('BalSht Data'!H$1:H$2999,MATCH(CA$1,'BalSht Data'!A$2:A$2051,0)+MATCH(A6,'BalSht Data'!G$2:G$2051,0))</f>
        <v>#N/A</v>
      </c>
      <c r="CB6" s="45" t="e">
        <f>INDEX('BalSht Data'!H$1:H$2999,MATCH(CB$1,'BalSht Data'!A$2:A$2051,0)+MATCH(A6,'BalSht Data'!G$2:G$2051,0))</f>
        <v>#N/A</v>
      </c>
      <c r="CC6" s="45" t="e">
        <f>INDEX('BalSht Data'!H$1:H$2999,MATCH(CC$1,'BalSht Data'!A$2:A$2051,0)+MATCH(A6,'BalSht Data'!G$2:G$2051,0))</f>
        <v>#N/A</v>
      </c>
      <c r="CD6" s="45" t="e">
        <f>INDEX('BalSht Data'!H$1:H$2999,MATCH(CD$1,'BalSht Data'!A$2:A$2051,0)+MATCH(A6,'BalSht Data'!G$2:G$2051,0))</f>
        <v>#N/A</v>
      </c>
      <c r="CE6" s="45" t="e">
        <f>INDEX('BalSht Data'!H$1:H$2999,MATCH(CE$1,'BalSht Data'!A$2:A$2051,0)+MATCH(A6,'BalSht Data'!G$2:G$2051,0))</f>
        <v>#N/A</v>
      </c>
      <c r="CF6" s="45" t="e">
        <f>INDEX('BalSht Data'!H$1:H$2999,MATCH(CF$1,'BalSht Data'!A$2:A$2051,0)+MATCH(A6,'BalSht Data'!G$2:G$2051,0))</f>
        <v>#N/A</v>
      </c>
      <c r="CG6" s="45" t="e">
        <f>INDEX('BalSht Data'!H$1:H$2999,MATCH(CG$1,'BalSht Data'!A$2:A$2051,0)+MATCH(A6,'BalSht Data'!G$2:G$2051,0))</f>
        <v>#N/A</v>
      </c>
      <c r="CH6" s="45" t="e">
        <f>INDEX('BalSht Data'!H$1:H$2999,MATCH(CH$1,'BalSht Data'!A$2:A$2051,0)+MATCH(A6,'BalSht Data'!G$2:G$2051,0))</f>
        <v>#N/A</v>
      </c>
      <c r="CI6" s="45" t="e">
        <f>INDEX('BalSht Data'!H$1:H$2999,MATCH(CI$1,'BalSht Data'!A$2:A$2051,0)+MATCH(A6,'BalSht Data'!G$2:G$2051,0))</f>
        <v>#N/A</v>
      </c>
      <c r="CJ6" s="45" t="e">
        <f>INDEX('BalSht Data'!H$1:H$2999,MATCH(CJ$1,'BalSht Data'!A$2:A$2051,0)+MATCH(A6,'BalSht Data'!G$2:G$2051,0))</f>
        <v>#N/A</v>
      </c>
      <c r="CK6" s="45" t="e">
        <f>INDEX('BalSht Data'!H$1:H$2999,MATCH(CK$1,'BalSht Data'!A$2:A$2051,0)+MATCH(A6,'BalSht Data'!G$2:G$2051,0))</f>
        <v>#N/A</v>
      </c>
      <c r="CL6" s="45" t="e">
        <f>INDEX('BalSht Data'!H$1:H$2999,MATCH(CL$1,'BalSht Data'!A$2:A$2051,0)+MATCH(A6,'BalSht Data'!G$2:G$2051,0))</f>
        <v>#N/A</v>
      </c>
      <c r="CM6" s="45" t="e">
        <f>INDEX('BalSht Data'!H$1:H$2999,MATCH(CM$1,'BalSht Data'!A$2:A$2051,0)+MATCH(A6,'BalSht Data'!G$2:G$2051,0))</f>
        <v>#N/A</v>
      </c>
      <c r="CN6" s="45" t="e">
        <f>INDEX('BalSht Data'!H$1:H$2999,MATCH(CN$1,'BalSht Data'!A$2:A$2051,0)+MATCH(A6,'BalSht Data'!G$2:G$2051,0))</f>
        <v>#N/A</v>
      </c>
      <c r="CO6" s="45" t="e">
        <f>INDEX('BalSht Data'!H$1:H$2999,MATCH(CO$1,'BalSht Data'!A$2:A$2051,0)+MATCH(A6,'BalSht Data'!G$2:G$2051,0))</f>
        <v>#N/A</v>
      </c>
      <c r="CP6" s="45" t="e">
        <f>INDEX('BalSht Data'!H$1:H$2999,MATCH(CP$1,'BalSht Data'!A$2:A$2051,0)+MATCH(A6,'BalSht Data'!G$2:G$2051,0))</f>
        <v>#N/A</v>
      </c>
      <c r="CQ6" s="45" t="e">
        <f>INDEX('BalSht Data'!H$1:H$2999,MATCH(CQ$1,'BalSht Data'!A$2:A$2051,0)+MATCH(A6,'BalSht Data'!G$2:G$2051,0))</f>
        <v>#N/A</v>
      </c>
      <c r="CR6" s="45" t="e">
        <f>INDEX('BalSht Data'!H$1:H$2999,MATCH(CR$1,'BalSht Data'!A$2:A$2051,0)+MATCH(A6,'BalSht Data'!G$2:G$2051,0))</f>
        <v>#N/A</v>
      </c>
      <c r="CS6" s="45" t="e">
        <f>INDEX('BalSht Data'!H$1:H$2999,MATCH(CS$1,'BalSht Data'!A$2:A$2051,0)+MATCH(A6,'BalSht Data'!G$2:G$2051,0))</f>
        <v>#N/A</v>
      </c>
      <c r="CT6" s="45" t="e">
        <f>INDEX('BalSht Data'!H$1:H$2999,MATCH(CT$1,'BalSht Data'!A$2:A$2051,0)+MATCH(A6,'BalSht Data'!G$2:G$2051,0))</f>
        <v>#N/A</v>
      </c>
      <c r="CU6" s="45" t="e">
        <f>INDEX('BalSht Data'!H$1:H$2999,MATCH(CU$1,'BalSht Data'!A$2:A$2051,0)+MATCH(A6,'BalSht Data'!G$2:G$2051,0))</f>
        <v>#N/A</v>
      </c>
      <c r="CV6" s="45" t="e">
        <f>INDEX('BalSht Data'!H$1:H$2999,MATCH(CV$1,'BalSht Data'!A$2:A$2051,0)+MATCH(A6,'BalSht Data'!G$2:G$2051,0))</f>
        <v>#N/A</v>
      </c>
      <c r="CW6" s="45" t="e">
        <f>INDEX('BalSht Data'!H$1:H$2999,MATCH(CW$1,'BalSht Data'!A$2:A$2051,0)+MATCH(A6,'BalSht Data'!G$2:G$2051,0))</f>
        <v>#N/A</v>
      </c>
      <c r="CX6" s="45" t="e">
        <f>INDEX('BalSht Data'!H$1:H$2999,MATCH(CX$1,'BalSht Data'!A$2:A$2051,0)+MATCH(A6,'BalSht Data'!G$2:G$2051,0))</f>
        <v>#N/A</v>
      </c>
      <c r="CY6" s="45" t="e">
        <f>INDEX('BalSht Data'!H$1:H$2999,MATCH(CY$1,'BalSht Data'!A$2:A$2051,0)+MATCH(A6,'BalSht Data'!G$2:G$2051,0))</f>
        <v>#N/A</v>
      </c>
      <c r="CZ6" s="45" t="e">
        <f>INDEX('BalSht Data'!H$1:H$2999,MATCH(CZ$1,'BalSht Data'!A$2:A$2051,0)+MATCH(A6,'BalSht Data'!G$2:G$2051,0))</f>
        <v>#N/A</v>
      </c>
    </row>
    <row r="7" spans="1:104" s="46" customFormat="1" x14ac:dyDescent="0.2">
      <c r="A7" s="5" t="s">
        <v>13</v>
      </c>
      <c r="B7" s="49" t="e">
        <f>INDEX('BalSht Data'!H$1:H$2999,MATCH(B$1,'BalSht Data'!A$2:A$2051,0)+MATCH(A7,'BalSht Data'!G$2:G$2051,0))</f>
        <v>#N/A</v>
      </c>
      <c r="C7" s="49" t="e">
        <f>INDEX('BalSht Data'!H$1:H$2999,MATCH(C$1,'BalSht Data'!A$2:A$2051,0)+MATCH(A7,'BalSht Data'!G$2:G$2051,0))</f>
        <v>#N/A</v>
      </c>
      <c r="D7" s="49" t="e">
        <f>INDEX('BalSht Data'!H$1:H$2999,MATCH(D$1,'BalSht Data'!A$2:A$2051,0)+MATCH(A7,'BalSht Data'!G$2:G$2051,0))</f>
        <v>#N/A</v>
      </c>
      <c r="E7" s="49" t="e">
        <f>INDEX('BalSht Data'!H$1:H$2999,MATCH(E$1,'BalSht Data'!A$2:A$2051,0)+MATCH(A7,'BalSht Data'!G$2:G$2051,0))</f>
        <v>#N/A</v>
      </c>
      <c r="F7" s="49" t="e">
        <f>INDEX('BalSht Data'!H$1:H$2999,MATCH(F$1,'BalSht Data'!A$2:A$2051,0)+MATCH(A7,'BalSht Data'!G$2:G$2051,0))</f>
        <v>#N/A</v>
      </c>
      <c r="G7" s="49" t="e">
        <f>INDEX('BalSht Data'!H$1:H$2999,MATCH(G$1,'BalSht Data'!A$2:A$2051,0)+MATCH(A7,'BalSht Data'!G$2:G$2051,0))</f>
        <v>#N/A</v>
      </c>
      <c r="H7" s="49" t="e">
        <f>INDEX('BalSht Data'!H$1:H$2999,MATCH(H$1,'BalSht Data'!A$2:A$2051,0)+MATCH(A7,'BalSht Data'!G$2:G$2051,0))</f>
        <v>#N/A</v>
      </c>
      <c r="I7" s="49" t="e">
        <f>INDEX('BalSht Data'!H$1:H$2999,MATCH(I$1,'BalSht Data'!A$2:A$2051,0)+MATCH(A7,'BalSht Data'!G$2:G$2051,0))</f>
        <v>#N/A</v>
      </c>
      <c r="J7" s="49" t="e">
        <f>INDEX('BalSht Data'!H$1:H$2999,MATCH(J$1,'BalSht Data'!A$2:A$2051,0)+MATCH(A7,'BalSht Data'!G$2:G$2051,0))</f>
        <v>#N/A</v>
      </c>
      <c r="K7" s="49" t="e">
        <f>INDEX('BalSht Data'!H$1:H$2999,MATCH(K$1,'BalSht Data'!A$2:A$2051,0)+MATCH(A7,'BalSht Data'!G$2:G$2051,0))</f>
        <v>#N/A</v>
      </c>
      <c r="L7" s="49" t="e">
        <f>INDEX('BalSht Data'!H$1:H$2999,MATCH(L$1,'BalSht Data'!A$2:A$2051,0)+MATCH(A7,'BalSht Data'!G$2:G$2051,0))</f>
        <v>#N/A</v>
      </c>
      <c r="M7" s="49" t="e">
        <f>INDEX('BalSht Data'!H$1:H$2999,MATCH(M$1,'BalSht Data'!A$2:A$2051,0)+MATCH(A7,'BalSht Data'!G$2:G$2051,0))</f>
        <v>#N/A</v>
      </c>
      <c r="N7" s="49" t="e">
        <f>INDEX('BalSht Data'!H$1:H$2999,MATCH(N$1,'BalSht Data'!A$2:A$2051,0)+MATCH(A7,'BalSht Data'!G$2:G$2051,0))</f>
        <v>#N/A</v>
      </c>
      <c r="O7" s="49" t="e">
        <f>INDEX('BalSht Data'!H$1:H$2999,MATCH(O$1,'BalSht Data'!A$2:A$2051,0)+MATCH(A7,'BalSht Data'!G$2:G$2051,0))</f>
        <v>#N/A</v>
      </c>
      <c r="P7" s="49" t="e">
        <f>INDEX('BalSht Data'!H$1:H$2999,MATCH(P$1,'BalSht Data'!A$2:A$2051,0)+MATCH(A7,'BalSht Data'!G$2:G$2051,0))</f>
        <v>#N/A</v>
      </c>
      <c r="Q7" s="49" t="e">
        <f>INDEX('BalSht Data'!H$1:H$2999,MATCH(Q$1,'BalSht Data'!A$2:A$2051,0)+MATCH(A7,'BalSht Data'!G$2:G$2051,0))</f>
        <v>#N/A</v>
      </c>
      <c r="R7" s="49" t="e">
        <f>INDEX('BalSht Data'!H$1:H$2999,MATCH(R$1,'BalSht Data'!A$2:A$2051,0)+MATCH(A7,'BalSht Data'!G$2:G$2051,0))</f>
        <v>#N/A</v>
      </c>
      <c r="S7" s="49" t="e">
        <f>INDEX('BalSht Data'!H$1:H$2999,MATCH(S$1,'BalSht Data'!A$2:A$2051,0)+MATCH(A7,'BalSht Data'!G$2:G$2051,0))</f>
        <v>#N/A</v>
      </c>
      <c r="T7" s="49" t="e">
        <f>INDEX('BalSht Data'!H$1:H$2999,MATCH(T$1,'BalSht Data'!A$2:A$2051,0)+MATCH(A7,'BalSht Data'!G$2:G$2051,0))</f>
        <v>#N/A</v>
      </c>
      <c r="U7" s="49" t="e">
        <f>INDEX('BalSht Data'!H$1:H$2999,MATCH(U$1,'BalSht Data'!A$2:A$2051,0)+MATCH(A7,'BalSht Data'!G$2:G$2051,0))</f>
        <v>#N/A</v>
      </c>
      <c r="V7" s="49" t="e">
        <f>INDEX('BalSht Data'!H$1:H$2999,MATCH(V$1,'BalSht Data'!A$2:A$2051,0)+MATCH(A7,'BalSht Data'!G$2:G$2051,0))</f>
        <v>#N/A</v>
      </c>
      <c r="W7" s="49" t="e">
        <f>INDEX('BalSht Data'!H$1:H$2999,MATCH(W$1,'BalSht Data'!A$2:A$2051,0)+MATCH(A7,'BalSht Data'!G$2:G$2051,0))</f>
        <v>#N/A</v>
      </c>
      <c r="X7" s="49" t="e">
        <f>INDEX('BalSht Data'!H$1:H$2999,MATCH(X$1,'BalSht Data'!A$2:A$2051,0)+MATCH(A7,'BalSht Data'!G$2:G$2051,0))</f>
        <v>#N/A</v>
      </c>
      <c r="Y7" s="49" t="e">
        <f>INDEX('BalSht Data'!H$1:H$2999,MATCH(Y$1,'BalSht Data'!A$2:A$2051,0)+MATCH(A7,'BalSht Data'!G$2:G$2051,0))</f>
        <v>#N/A</v>
      </c>
      <c r="Z7" s="49" t="e">
        <f>INDEX('BalSht Data'!H$1:H$2999,MATCH(Z$1,'BalSht Data'!A$2:A$2051,0)+MATCH(A7,'BalSht Data'!G$2:G$2051,0))</f>
        <v>#N/A</v>
      </c>
      <c r="AA7" s="49" t="e">
        <f>INDEX('BalSht Data'!H$1:H$2999,MATCH(AA$1,'BalSht Data'!A$2:A$2051,0)+MATCH(A7,'BalSht Data'!G$2:G$2051,0))</f>
        <v>#N/A</v>
      </c>
      <c r="AB7" s="49" t="e">
        <f>INDEX('BalSht Data'!H$1:H$2999,MATCH(AB$1,'BalSht Data'!A$2:A$2051,0)+MATCH(A7,'BalSht Data'!G$2:G$2051,0))</f>
        <v>#N/A</v>
      </c>
      <c r="AC7" s="49" t="e">
        <f>INDEX('BalSht Data'!H$1:H$2999,MATCH(AC$1,'BalSht Data'!A$2:A$2051,0)+MATCH(A7,'BalSht Data'!G$2:G$2051,0))</f>
        <v>#N/A</v>
      </c>
      <c r="AD7" s="49" t="e">
        <f>INDEX('BalSht Data'!H$1:H$2999,MATCH(AD$1,'BalSht Data'!A$2:A$2051,0)+MATCH(A7,'BalSht Data'!G$2:G$2051,0))</f>
        <v>#N/A</v>
      </c>
      <c r="AE7" s="49" t="e">
        <f>INDEX('BalSht Data'!H$1:H$2999,MATCH(AE$1,'BalSht Data'!A$2:A$2051,0)+MATCH(A7,'BalSht Data'!G$2:G$2051,0))</f>
        <v>#N/A</v>
      </c>
      <c r="AF7" s="49" t="e">
        <f>INDEX('BalSht Data'!H$1:H$2999,MATCH(AF$1,'BalSht Data'!A$2:A$2051,0)+MATCH(A7,'BalSht Data'!G$2:G$2051,0))</f>
        <v>#N/A</v>
      </c>
      <c r="AG7" s="49" t="e">
        <f>INDEX('BalSht Data'!H$1:H$2999,MATCH(AG$1,'BalSht Data'!A$2:A$2051,0)+MATCH(A7,'BalSht Data'!G$2:G$2051,0))</f>
        <v>#N/A</v>
      </c>
      <c r="AH7" s="49" t="e">
        <f>INDEX('BalSht Data'!H$1:H$2999,MATCH(AH$1,'BalSht Data'!A$2:A$2051,0)+MATCH(A7,'BalSht Data'!G$2:G$2051,0))</f>
        <v>#N/A</v>
      </c>
      <c r="AI7" s="49" t="e">
        <f>INDEX('BalSht Data'!H$1:H$2999,MATCH(AI$1,'BalSht Data'!A$2:A$2051,0)+MATCH(A7,'BalSht Data'!G$2:G$2051,0))</f>
        <v>#N/A</v>
      </c>
      <c r="AJ7" s="49" t="e">
        <f>INDEX('BalSht Data'!H$1:H$2999,MATCH(AJ$1,'BalSht Data'!A$2:A$2051,0)+MATCH(A7,'BalSht Data'!G$2:G$2051,0))</f>
        <v>#N/A</v>
      </c>
      <c r="AK7" s="49" t="e">
        <f>INDEX('BalSht Data'!H$1:H$2999,MATCH(AK$1,'BalSht Data'!A$2:A$2051,0)+MATCH(A7,'BalSht Data'!G$2:G$2051,0))</f>
        <v>#N/A</v>
      </c>
      <c r="AL7" s="49">
        <f>INDEX('BalSht Data'!H$1:H$2999,MATCH(AL$1,'BalSht Data'!A$2:A$2051,0)+MATCH(A7,'BalSht Data'!G$2:G$2051,0))</f>
        <v>0</v>
      </c>
      <c r="AM7" s="49">
        <f>INDEX('BalSht Data'!H$1:H$2999,MATCH(AM$1,'BalSht Data'!A$2:A$2051,0)+MATCH(A7,'BalSht Data'!G$2:G$2051,0))</f>
        <v>0</v>
      </c>
      <c r="AN7" s="49">
        <f>INDEX('BalSht Data'!H$1:H$2999,MATCH(AN$1,'BalSht Data'!A$2:A$2051,0)+MATCH(A7,'BalSht Data'!G$2:G$2051,0))</f>
        <v>0</v>
      </c>
      <c r="AO7" s="49">
        <f>INDEX('BalSht Data'!H$1:H$2999,MATCH(AO$1,'BalSht Data'!A$2:A$2051,0)+MATCH(A7,'BalSht Data'!G$2:G$2051,0))</f>
        <v>0</v>
      </c>
      <c r="AP7" s="49" t="e">
        <f>INDEX('BalSht Data'!H$1:H$2999,MATCH(AP$1,'BalSht Data'!A$2:A$2051,0)+MATCH(A7,'BalSht Data'!G$2:G$2051,0))</f>
        <v>#N/A</v>
      </c>
      <c r="AQ7" s="49" t="e">
        <f>INDEX('BalSht Data'!H$1:H$2999,MATCH(AQ$1,'BalSht Data'!A$2:A$2051,0)+MATCH(A7,'BalSht Data'!G$2:G$2051,0))</f>
        <v>#N/A</v>
      </c>
      <c r="AR7" s="49" t="e">
        <f>INDEX('BalSht Data'!H$1:H$2999,MATCH(AR$1,'BalSht Data'!A$2:A$2051,0)+MATCH(A7,'BalSht Data'!G$2:G$2051,0))</f>
        <v>#N/A</v>
      </c>
      <c r="AS7" s="49" t="e">
        <f>INDEX('BalSht Data'!H$1:H$2999,MATCH(AS$1,'BalSht Data'!A$2:A$2051,0)+MATCH(A7,'BalSht Data'!G$2:G$2051,0))</f>
        <v>#N/A</v>
      </c>
      <c r="AT7" s="49" t="e">
        <f>INDEX('BalSht Data'!H$1:H$2999,MATCH(AT$1,'BalSht Data'!A$2:A$2051,0)+MATCH(A7,'BalSht Data'!G$2:G$2051,0))</f>
        <v>#N/A</v>
      </c>
      <c r="AU7" s="49" t="e">
        <f>INDEX('BalSht Data'!H$1:H$2999,MATCH(AU$1,'BalSht Data'!A$2:A$2051,0)+MATCH(A7,'BalSht Data'!G$2:G$2051,0))</f>
        <v>#N/A</v>
      </c>
      <c r="AV7" s="49" t="e">
        <f>INDEX('BalSht Data'!H$1:H$2999,MATCH(AV$1,'BalSht Data'!A$2:A$2051,0)+MATCH(A7,'BalSht Data'!G$2:G$2051,0))</f>
        <v>#N/A</v>
      </c>
      <c r="AW7" s="49" t="e">
        <f>INDEX('BalSht Data'!H$1:H$2999,MATCH(AW$1,'BalSht Data'!A$2:A$2051,0)+MATCH(A7,'BalSht Data'!G$2:G$2051,0))</f>
        <v>#N/A</v>
      </c>
      <c r="AX7" s="49" t="e">
        <f>INDEX('BalSht Data'!H$1:H$2999,MATCH(AX$1,'BalSht Data'!A$2:A$2051,0)+MATCH(A7,'BalSht Data'!G$2:G$2051,0))</f>
        <v>#N/A</v>
      </c>
      <c r="AY7" s="49" t="e">
        <f>INDEX('BalSht Data'!H$1:H$2999,MATCH(AY$1,'BalSht Data'!A$2:A$2051,0)+MATCH(A7,'BalSht Data'!G$2:G$2051,0))</f>
        <v>#N/A</v>
      </c>
      <c r="AZ7" s="49" t="e">
        <f>INDEX('BalSht Data'!H$1:H$2999,MATCH(AZ$1,'BalSht Data'!A$2:A$2051,0)+MATCH(A7,'BalSht Data'!G$2:G$2051,0))</f>
        <v>#N/A</v>
      </c>
      <c r="BA7" s="49" t="e">
        <f>INDEX('BalSht Data'!H$1:H$2999,MATCH(BA$1,'BalSht Data'!A$2:A$2051,0)+MATCH(A7,'BalSht Data'!G$2:G$2051,0))</f>
        <v>#N/A</v>
      </c>
      <c r="BB7" s="49" t="e">
        <f>INDEX('BalSht Data'!H$1:H$2999,MATCH(BB$1,'BalSht Data'!A$2:A$2051,0)+MATCH(A7,'BalSht Data'!G$2:G$2051,0))</f>
        <v>#N/A</v>
      </c>
      <c r="BC7" s="49" t="e">
        <f>INDEX('BalSht Data'!H$1:H$2999,MATCH(BC$1,'BalSht Data'!A$2:A$2051,0)+MATCH(A7,'BalSht Data'!G$2:G$2051,0))</f>
        <v>#N/A</v>
      </c>
      <c r="BD7" s="49" t="e">
        <f>INDEX('BalSht Data'!H$1:H$2999,MATCH(BD$1,'BalSht Data'!A$2:A$2051,0)+MATCH(A7,'BalSht Data'!G$2:G$2051,0))</f>
        <v>#N/A</v>
      </c>
      <c r="BE7" s="49" t="e">
        <f>INDEX('BalSht Data'!H$1:H$2999,MATCH(BE$1,'BalSht Data'!A$2:A$2051,0)+MATCH(A7,'BalSht Data'!G$2:G$2051,0))</f>
        <v>#N/A</v>
      </c>
      <c r="BF7" s="49" t="e">
        <f>INDEX('BalSht Data'!H$1:H$2999,MATCH(BF$1,'BalSht Data'!A$2:A$2051,0)+MATCH(A7,'BalSht Data'!G$2:G$2051,0))</f>
        <v>#N/A</v>
      </c>
      <c r="BG7" s="49" t="e">
        <f>INDEX('BalSht Data'!H$1:H$2999,MATCH(BG$1,'BalSht Data'!A$2:A$2051,0)+MATCH(A7,'BalSht Data'!G$2:G$2051,0))</f>
        <v>#N/A</v>
      </c>
      <c r="BH7" s="49" t="e">
        <f>INDEX('BalSht Data'!H$1:H$2999,MATCH(BH$1,'BalSht Data'!A$2:A$2051,0)+MATCH(A7,'BalSht Data'!G$2:G$2051,0))</f>
        <v>#N/A</v>
      </c>
      <c r="BI7" s="49" t="e">
        <f>INDEX('BalSht Data'!H$1:H$2999,MATCH(BI$1,'BalSht Data'!A$2:A$2051,0)+MATCH(A7,'BalSht Data'!G$2:G$2051,0))</f>
        <v>#N/A</v>
      </c>
      <c r="BJ7" s="49" t="e">
        <f>INDEX('BalSht Data'!H$1:H$2999,MATCH(BJ$1,'BalSht Data'!A$2:A$2051,0)+MATCH(A7,'BalSht Data'!G$2:G$2051,0))</f>
        <v>#N/A</v>
      </c>
      <c r="BK7" s="49" t="e">
        <f>INDEX('BalSht Data'!H$1:H$2999,MATCH(BK$1,'BalSht Data'!A$2:A$2051,0)+MATCH(A7,'BalSht Data'!G$2:G$2051,0))</f>
        <v>#N/A</v>
      </c>
      <c r="BL7" s="49" t="e">
        <f>INDEX('BalSht Data'!H$1:H$2999,MATCH(BL$1,'BalSht Data'!A$2:A$2051,0)+MATCH(A7,'BalSht Data'!G$2:G$2051,0))</f>
        <v>#N/A</v>
      </c>
      <c r="BM7" s="49" t="e">
        <f>INDEX('BalSht Data'!H$1:H$2999,MATCH(BM$1,'BalSht Data'!A$2:A$2051,0)+MATCH(A7,'BalSht Data'!G$2:G$2051,0))</f>
        <v>#N/A</v>
      </c>
      <c r="BN7" s="49" t="e">
        <f>INDEX('BalSht Data'!H$1:H$2999,MATCH(BN$1,'BalSht Data'!A$2:A$2051,0)+MATCH(A7,'BalSht Data'!G$2:G$2051,0))</f>
        <v>#N/A</v>
      </c>
      <c r="BO7" s="49" t="e">
        <f>INDEX('BalSht Data'!H$1:H$2999,MATCH(BO$1,'BalSht Data'!A$2:A$2051,0)+MATCH(A7,'BalSht Data'!G$2:G$2051,0))</f>
        <v>#N/A</v>
      </c>
      <c r="BP7" s="49" t="e">
        <f>INDEX('BalSht Data'!H$1:H$2999,MATCH(BP$1,'BalSht Data'!A$2:A$2051,0)+MATCH(A7,'BalSht Data'!G$2:G$2051,0))</f>
        <v>#N/A</v>
      </c>
      <c r="BQ7" s="49" t="e">
        <f>INDEX('BalSht Data'!H$1:H$2999,MATCH(BQ$1,'BalSht Data'!A$2:A$2051,0)+MATCH(A7,'BalSht Data'!G$2:G$2051,0))</f>
        <v>#N/A</v>
      </c>
      <c r="BR7" s="49" t="e">
        <f>INDEX('BalSht Data'!H$1:H$2999,MATCH(BR$1,'BalSht Data'!A$2:A$2051,0)+MATCH(A7,'BalSht Data'!G$2:G$2051,0))</f>
        <v>#N/A</v>
      </c>
      <c r="BS7" s="49" t="e">
        <f>INDEX('BalSht Data'!H$1:H$2999,MATCH(BS$1,'BalSht Data'!A$2:A$2051,0)+MATCH(A7,'BalSht Data'!G$2:G$2051,0))</f>
        <v>#N/A</v>
      </c>
      <c r="BT7" s="49" t="e">
        <f>INDEX('BalSht Data'!H$1:H$2999,MATCH(BT$1,'BalSht Data'!A$2:A$2051,0)+MATCH(A7,'BalSht Data'!G$2:G$2051,0))</f>
        <v>#N/A</v>
      </c>
      <c r="BU7" s="49" t="e">
        <f>INDEX('BalSht Data'!H$1:H$2999,MATCH(BU$1,'BalSht Data'!A$2:A$2051,0)+MATCH(A7,'BalSht Data'!G$2:G$2051,0))</f>
        <v>#N/A</v>
      </c>
      <c r="BV7" s="49" t="e">
        <f>INDEX('BalSht Data'!H$1:H$2999,MATCH(BV$1,'BalSht Data'!A$2:A$2051,0)+MATCH(A7,'BalSht Data'!G$2:G$2051,0))</f>
        <v>#N/A</v>
      </c>
      <c r="BW7" s="49" t="e">
        <f>INDEX('BalSht Data'!H$1:H$2999,MATCH(BW$1,'BalSht Data'!A$2:A$2051,0)+MATCH(A7,'BalSht Data'!G$2:G$2051,0))</f>
        <v>#N/A</v>
      </c>
      <c r="BX7" s="49" t="e">
        <f>INDEX('BalSht Data'!H$1:H$2999,MATCH(BX$1,'BalSht Data'!A$2:A$2051,0)+MATCH(A7,'BalSht Data'!G$2:G$2051,0))</f>
        <v>#N/A</v>
      </c>
      <c r="BY7" s="49" t="e">
        <f>INDEX('BalSht Data'!H$1:H$2999,MATCH(BY$1,'BalSht Data'!A$2:A$2051,0)+MATCH(A7,'BalSht Data'!G$2:G$2051,0))</f>
        <v>#N/A</v>
      </c>
      <c r="BZ7" s="49" t="e">
        <f>INDEX('BalSht Data'!H$1:H$2999,MATCH(BZ$1,'BalSht Data'!A$2:A$2051,0)+MATCH(A7,'BalSht Data'!G$2:G$2051,0))</f>
        <v>#N/A</v>
      </c>
      <c r="CA7" s="49" t="e">
        <f>INDEX('BalSht Data'!H$1:H$2999,MATCH(CA$1,'BalSht Data'!A$2:A$2051,0)+MATCH(A7,'BalSht Data'!G$2:G$2051,0))</f>
        <v>#N/A</v>
      </c>
      <c r="CB7" s="49" t="e">
        <f>INDEX('BalSht Data'!H$1:H$2999,MATCH(CB$1,'BalSht Data'!A$2:A$2051,0)+MATCH(A7,'BalSht Data'!G$2:G$2051,0))</f>
        <v>#N/A</v>
      </c>
      <c r="CC7" s="49" t="e">
        <f>INDEX('BalSht Data'!H$1:H$2999,MATCH(CC$1,'BalSht Data'!A$2:A$2051,0)+MATCH(A7,'BalSht Data'!G$2:G$2051,0))</f>
        <v>#N/A</v>
      </c>
      <c r="CD7" s="49" t="e">
        <f>INDEX('BalSht Data'!H$1:H$2999,MATCH(CD$1,'BalSht Data'!A$2:A$2051,0)+MATCH(A7,'BalSht Data'!G$2:G$2051,0))</f>
        <v>#N/A</v>
      </c>
      <c r="CE7" s="49" t="e">
        <f>INDEX('BalSht Data'!H$1:H$2999,MATCH(CE$1,'BalSht Data'!A$2:A$2051,0)+MATCH(A7,'BalSht Data'!G$2:G$2051,0))</f>
        <v>#N/A</v>
      </c>
      <c r="CF7" s="49" t="e">
        <f>INDEX('BalSht Data'!H$1:H$2999,MATCH(CF$1,'BalSht Data'!A$2:A$2051,0)+MATCH(A7,'BalSht Data'!G$2:G$2051,0))</f>
        <v>#N/A</v>
      </c>
      <c r="CG7" s="49" t="e">
        <f>INDEX('BalSht Data'!H$1:H$2999,MATCH(CG$1,'BalSht Data'!A$2:A$2051,0)+MATCH(A7,'BalSht Data'!G$2:G$2051,0))</f>
        <v>#N/A</v>
      </c>
      <c r="CH7" s="49" t="e">
        <f>INDEX('BalSht Data'!H$1:H$2999,MATCH(CH$1,'BalSht Data'!A$2:A$2051,0)+MATCH(A7,'BalSht Data'!G$2:G$2051,0))</f>
        <v>#N/A</v>
      </c>
      <c r="CI7" s="49" t="e">
        <f>INDEX('BalSht Data'!H$1:H$2999,MATCH(CI$1,'BalSht Data'!A$2:A$2051,0)+MATCH(A7,'BalSht Data'!G$2:G$2051,0))</f>
        <v>#N/A</v>
      </c>
      <c r="CJ7" s="49" t="e">
        <f>INDEX('BalSht Data'!H$1:H$2999,MATCH(CJ$1,'BalSht Data'!A$2:A$2051,0)+MATCH(A7,'BalSht Data'!G$2:G$2051,0))</f>
        <v>#N/A</v>
      </c>
      <c r="CK7" s="49" t="e">
        <f>INDEX('BalSht Data'!H$1:H$2999,MATCH(CK$1,'BalSht Data'!A$2:A$2051,0)+MATCH(A7,'BalSht Data'!G$2:G$2051,0))</f>
        <v>#N/A</v>
      </c>
      <c r="CL7" s="49" t="e">
        <f>INDEX('BalSht Data'!H$1:H$2999,MATCH(CL$1,'BalSht Data'!A$2:A$2051,0)+MATCH(A7,'BalSht Data'!G$2:G$2051,0))</f>
        <v>#N/A</v>
      </c>
      <c r="CM7" s="49" t="e">
        <f>INDEX('BalSht Data'!H$1:H$2999,MATCH(CM$1,'BalSht Data'!A$2:A$2051,0)+MATCH(A7,'BalSht Data'!G$2:G$2051,0))</f>
        <v>#N/A</v>
      </c>
      <c r="CN7" s="49" t="e">
        <f>INDEX('BalSht Data'!H$1:H$2999,MATCH(CN$1,'BalSht Data'!A$2:A$2051,0)+MATCH(A7,'BalSht Data'!G$2:G$2051,0))</f>
        <v>#N/A</v>
      </c>
      <c r="CO7" s="49" t="e">
        <f>INDEX('BalSht Data'!H$1:H$2999,MATCH(CO$1,'BalSht Data'!A$2:A$2051,0)+MATCH(A7,'BalSht Data'!G$2:G$2051,0))</f>
        <v>#N/A</v>
      </c>
      <c r="CP7" s="49" t="e">
        <f>INDEX('BalSht Data'!H$1:H$2999,MATCH(CP$1,'BalSht Data'!A$2:A$2051,0)+MATCH(A7,'BalSht Data'!G$2:G$2051,0))</f>
        <v>#N/A</v>
      </c>
      <c r="CQ7" s="49" t="e">
        <f>INDEX('BalSht Data'!H$1:H$2999,MATCH(CQ$1,'BalSht Data'!A$2:A$2051,0)+MATCH(A7,'BalSht Data'!G$2:G$2051,0))</f>
        <v>#N/A</v>
      </c>
      <c r="CR7" s="49" t="e">
        <f>INDEX('BalSht Data'!H$1:H$2999,MATCH(CR$1,'BalSht Data'!A$2:A$2051,0)+MATCH(A7,'BalSht Data'!G$2:G$2051,0))</f>
        <v>#N/A</v>
      </c>
      <c r="CS7" s="49" t="e">
        <f>INDEX('BalSht Data'!H$1:H$2999,MATCH(CS$1,'BalSht Data'!A$2:A$2051,0)+MATCH(A7,'BalSht Data'!G$2:G$2051,0))</f>
        <v>#N/A</v>
      </c>
      <c r="CT7" s="49" t="e">
        <f>INDEX('BalSht Data'!H$1:H$2999,MATCH(CT$1,'BalSht Data'!A$2:A$2051,0)+MATCH(A7,'BalSht Data'!G$2:G$2051,0))</f>
        <v>#N/A</v>
      </c>
      <c r="CU7" s="49" t="e">
        <f>INDEX('BalSht Data'!H$1:H$2999,MATCH(CU$1,'BalSht Data'!A$2:A$2051,0)+MATCH(A7,'BalSht Data'!G$2:G$2051,0))</f>
        <v>#N/A</v>
      </c>
      <c r="CV7" s="49" t="e">
        <f>INDEX('BalSht Data'!H$1:H$2999,MATCH(CV$1,'BalSht Data'!A$2:A$2051,0)+MATCH(A7,'BalSht Data'!G$2:G$2051,0))</f>
        <v>#N/A</v>
      </c>
      <c r="CW7" s="49" t="e">
        <f>INDEX('BalSht Data'!H$1:H$2999,MATCH(CW$1,'BalSht Data'!A$2:A$2051,0)+MATCH(A7,'BalSht Data'!G$2:G$2051,0))</f>
        <v>#N/A</v>
      </c>
      <c r="CX7" s="49" t="e">
        <f>INDEX('BalSht Data'!H$1:H$2999,MATCH(CX$1,'BalSht Data'!A$2:A$2051,0)+MATCH(A7,'BalSht Data'!G$2:G$2051,0))</f>
        <v>#N/A</v>
      </c>
      <c r="CY7" s="49" t="e">
        <f>INDEX('BalSht Data'!H$1:H$2999,MATCH(CY$1,'BalSht Data'!A$2:A$2051,0)+MATCH(A7,'BalSht Data'!G$2:G$2051,0))</f>
        <v>#N/A</v>
      </c>
      <c r="CZ7" s="49" t="e">
        <f>INDEX('BalSht Data'!H$1:H$2999,MATCH(CZ$1,'BalSht Data'!A$2:A$2051,0)+MATCH(A7,'BalSht Data'!G$2:G$2051,0))</f>
        <v>#N/A</v>
      </c>
    </row>
    <row r="8" spans="1:104" s="46" customFormat="1" x14ac:dyDescent="0.2">
      <c r="A8" s="5" t="s">
        <v>15</v>
      </c>
      <c r="B8" s="49" t="e">
        <f>INDEX('BalSht Data'!H$1:H$2999,MATCH(B$1,'BalSht Data'!A$2:A$2051,0)+MATCH(A8,'BalSht Data'!G$2:G$2051,0))</f>
        <v>#N/A</v>
      </c>
      <c r="C8" s="49" t="e">
        <f>INDEX('BalSht Data'!H$1:H$2999,MATCH(C$1,'BalSht Data'!A$2:A$2051,0)+MATCH(A8,'BalSht Data'!G$2:G$2051,0))</f>
        <v>#N/A</v>
      </c>
      <c r="D8" s="49" t="e">
        <f>INDEX('BalSht Data'!H$1:H$2999,MATCH(D$1,'BalSht Data'!A$2:A$2051,0)+MATCH(A8,'BalSht Data'!G$2:G$2051,0))</f>
        <v>#N/A</v>
      </c>
      <c r="E8" s="49" t="e">
        <f>INDEX('BalSht Data'!H$1:H$2999,MATCH(E$1,'BalSht Data'!A$2:A$2051,0)+MATCH(A8,'BalSht Data'!G$2:G$2051,0))</f>
        <v>#N/A</v>
      </c>
      <c r="F8" s="49" t="e">
        <f>INDEX('BalSht Data'!H$1:H$2999,MATCH(F$1,'BalSht Data'!A$2:A$2051,0)+MATCH(A8,'BalSht Data'!G$2:G$2051,0))</f>
        <v>#N/A</v>
      </c>
      <c r="G8" s="49" t="e">
        <f>INDEX('BalSht Data'!H$1:H$2999,MATCH(G$1,'BalSht Data'!A$2:A$2051,0)+MATCH(A8,'BalSht Data'!G$2:G$2051,0))</f>
        <v>#N/A</v>
      </c>
      <c r="H8" s="49" t="e">
        <f>INDEX('BalSht Data'!H$1:H$2999,MATCH(H$1,'BalSht Data'!A$2:A$2051,0)+MATCH(A8,'BalSht Data'!G$2:G$2051,0))</f>
        <v>#N/A</v>
      </c>
      <c r="I8" s="49" t="e">
        <f>INDEX('BalSht Data'!H$1:H$2999,MATCH(I$1,'BalSht Data'!A$2:A$2051,0)+MATCH(A8,'BalSht Data'!G$2:G$2051,0))</f>
        <v>#N/A</v>
      </c>
      <c r="J8" s="49" t="e">
        <f>INDEX('BalSht Data'!H$1:H$2999,MATCH(J$1,'BalSht Data'!A$2:A$2051,0)+MATCH(A8,'BalSht Data'!G$2:G$2051,0))</f>
        <v>#N/A</v>
      </c>
      <c r="K8" s="49" t="e">
        <f>INDEX('BalSht Data'!H$1:H$2999,MATCH(K$1,'BalSht Data'!A$2:A$2051,0)+MATCH(A8,'BalSht Data'!G$2:G$2051,0))</f>
        <v>#N/A</v>
      </c>
      <c r="L8" s="49" t="e">
        <f>INDEX('BalSht Data'!H$1:H$2999,MATCH(L$1,'BalSht Data'!A$2:A$2051,0)+MATCH(A8,'BalSht Data'!G$2:G$2051,0))</f>
        <v>#N/A</v>
      </c>
      <c r="M8" s="49" t="e">
        <f>INDEX('BalSht Data'!H$1:H$2999,MATCH(M$1,'BalSht Data'!A$2:A$2051,0)+MATCH(A8,'BalSht Data'!G$2:G$2051,0))</f>
        <v>#N/A</v>
      </c>
      <c r="N8" s="49" t="e">
        <f>INDEX('BalSht Data'!H$1:H$2999,MATCH(N$1,'BalSht Data'!A$2:A$2051,0)+MATCH(A8,'BalSht Data'!G$2:G$2051,0))</f>
        <v>#N/A</v>
      </c>
      <c r="O8" s="49" t="e">
        <f>INDEX('BalSht Data'!H$1:H$2999,MATCH(O$1,'BalSht Data'!A$2:A$2051,0)+MATCH(A8,'BalSht Data'!G$2:G$2051,0))</f>
        <v>#N/A</v>
      </c>
      <c r="P8" s="49" t="e">
        <f>INDEX('BalSht Data'!H$1:H$2999,MATCH(P$1,'BalSht Data'!A$2:A$2051,0)+MATCH(A8,'BalSht Data'!G$2:G$2051,0))</f>
        <v>#N/A</v>
      </c>
      <c r="Q8" s="49" t="e">
        <f>INDEX('BalSht Data'!H$1:H$2999,MATCH(Q$1,'BalSht Data'!A$2:A$2051,0)+MATCH(A8,'BalSht Data'!G$2:G$2051,0))</f>
        <v>#N/A</v>
      </c>
      <c r="R8" s="49" t="e">
        <f>INDEX('BalSht Data'!H$1:H$2999,MATCH(R$1,'BalSht Data'!A$2:A$2051,0)+MATCH(A8,'BalSht Data'!G$2:G$2051,0))</f>
        <v>#N/A</v>
      </c>
      <c r="S8" s="49" t="e">
        <f>INDEX('BalSht Data'!H$1:H$2999,MATCH(S$1,'BalSht Data'!A$2:A$2051,0)+MATCH(A8,'BalSht Data'!G$2:G$2051,0))</f>
        <v>#N/A</v>
      </c>
      <c r="T8" s="49" t="e">
        <f>INDEX('BalSht Data'!H$1:H$2999,MATCH(T$1,'BalSht Data'!A$2:A$2051,0)+MATCH(A8,'BalSht Data'!G$2:G$2051,0))</f>
        <v>#N/A</v>
      </c>
      <c r="U8" s="49" t="e">
        <f>INDEX('BalSht Data'!H$1:H$2999,MATCH(U$1,'BalSht Data'!A$2:A$2051,0)+MATCH(A8,'BalSht Data'!G$2:G$2051,0))</f>
        <v>#N/A</v>
      </c>
      <c r="V8" s="49" t="e">
        <f>INDEX('BalSht Data'!H$1:H$2999,MATCH(V$1,'BalSht Data'!A$2:A$2051,0)+MATCH(A8,'BalSht Data'!G$2:G$2051,0))</f>
        <v>#N/A</v>
      </c>
      <c r="W8" s="49" t="e">
        <f>INDEX('BalSht Data'!H$1:H$2999,MATCH(W$1,'BalSht Data'!A$2:A$2051,0)+MATCH(A8,'BalSht Data'!G$2:G$2051,0))</f>
        <v>#N/A</v>
      </c>
      <c r="X8" s="49" t="e">
        <f>INDEX('BalSht Data'!H$1:H$2999,MATCH(X$1,'BalSht Data'!A$2:A$2051,0)+MATCH(A8,'BalSht Data'!G$2:G$2051,0))</f>
        <v>#N/A</v>
      </c>
      <c r="Y8" s="49" t="e">
        <f>INDEX('BalSht Data'!H$1:H$2999,MATCH(Y$1,'BalSht Data'!A$2:A$2051,0)+MATCH(A8,'BalSht Data'!G$2:G$2051,0))</f>
        <v>#N/A</v>
      </c>
      <c r="Z8" s="49" t="e">
        <f>INDEX('BalSht Data'!H$1:H$2999,MATCH(Z$1,'BalSht Data'!A$2:A$2051,0)+MATCH(A8,'BalSht Data'!G$2:G$2051,0))</f>
        <v>#N/A</v>
      </c>
      <c r="AA8" s="49" t="e">
        <f>INDEX('BalSht Data'!H$1:H$2999,MATCH(AA$1,'BalSht Data'!A$2:A$2051,0)+MATCH(A8,'BalSht Data'!G$2:G$2051,0))</f>
        <v>#N/A</v>
      </c>
      <c r="AB8" s="49" t="e">
        <f>INDEX('BalSht Data'!H$1:H$2999,MATCH(AB$1,'BalSht Data'!A$2:A$2051,0)+MATCH(A8,'BalSht Data'!G$2:G$2051,0))</f>
        <v>#N/A</v>
      </c>
      <c r="AC8" s="49" t="e">
        <f>INDEX('BalSht Data'!H$1:H$2999,MATCH(AC$1,'BalSht Data'!A$2:A$2051,0)+MATCH(A8,'BalSht Data'!G$2:G$2051,0))</f>
        <v>#N/A</v>
      </c>
      <c r="AD8" s="49" t="e">
        <f>INDEX('BalSht Data'!H$1:H$2999,MATCH(AD$1,'BalSht Data'!A$2:A$2051,0)+MATCH(A8,'BalSht Data'!G$2:G$2051,0))</f>
        <v>#N/A</v>
      </c>
      <c r="AE8" s="49" t="e">
        <f>INDEX('BalSht Data'!H$1:H$2999,MATCH(AE$1,'BalSht Data'!A$2:A$2051,0)+MATCH(A8,'BalSht Data'!G$2:G$2051,0))</f>
        <v>#N/A</v>
      </c>
      <c r="AF8" s="49" t="e">
        <f>INDEX('BalSht Data'!H$1:H$2999,MATCH(AF$1,'BalSht Data'!A$2:A$2051,0)+MATCH(A8,'BalSht Data'!G$2:G$2051,0))</f>
        <v>#N/A</v>
      </c>
      <c r="AG8" s="49" t="e">
        <f>INDEX('BalSht Data'!H$1:H$2999,MATCH(AG$1,'BalSht Data'!A$2:A$2051,0)+MATCH(A8,'BalSht Data'!G$2:G$2051,0))</f>
        <v>#N/A</v>
      </c>
      <c r="AH8" s="49" t="e">
        <f>INDEX('BalSht Data'!H$1:H$2999,MATCH(AH$1,'BalSht Data'!A$2:A$2051,0)+MATCH(A8,'BalSht Data'!G$2:G$2051,0))</f>
        <v>#N/A</v>
      </c>
      <c r="AI8" s="49" t="e">
        <f>INDEX('BalSht Data'!H$1:H$2999,MATCH(AI$1,'BalSht Data'!A$2:A$2051,0)+MATCH(A8,'BalSht Data'!G$2:G$2051,0))</f>
        <v>#N/A</v>
      </c>
      <c r="AJ8" s="49" t="e">
        <f>INDEX('BalSht Data'!H$1:H$2999,MATCH(AJ$1,'BalSht Data'!A$2:A$2051,0)+MATCH(A8,'BalSht Data'!G$2:G$2051,0))</f>
        <v>#N/A</v>
      </c>
      <c r="AK8" s="49" t="e">
        <f>INDEX('BalSht Data'!H$1:H$2999,MATCH(AK$1,'BalSht Data'!A$2:A$2051,0)+MATCH(A8,'BalSht Data'!G$2:G$2051,0))</f>
        <v>#N/A</v>
      </c>
      <c r="AL8" s="49">
        <f>INDEX('BalSht Data'!H$1:H$2999,MATCH(AL$1,'BalSht Data'!A$2:A$2051,0)+MATCH(A8,'BalSht Data'!G$2:G$2051,0))</f>
        <v>0</v>
      </c>
      <c r="AM8" s="49">
        <f>INDEX('BalSht Data'!H$1:H$2999,MATCH(AM$1,'BalSht Data'!A$2:A$2051,0)+MATCH(A8,'BalSht Data'!G$2:G$2051,0))</f>
        <v>0</v>
      </c>
      <c r="AN8" s="49">
        <f>INDEX('BalSht Data'!H$1:H$2999,MATCH(AN$1,'BalSht Data'!A$2:A$2051,0)+MATCH(A8,'BalSht Data'!G$2:G$2051,0))</f>
        <v>0</v>
      </c>
      <c r="AO8" s="49">
        <f>INDEX('BalSht Data'!H$1:H$2999,MATCH(AO$1,'BalSht Data'!A$2:A$2051,0)+MATCH(A8,'BalSht Data'!G$2:G$2051,0))</f>
        <v>0</v>
      </c>
      <c r="AP8" s="49" t="e">
        <f>INDEX('BalSht Data'!H$1:H$2999,MATCH(AP$1,'BalSht Data'!A$2:A$2051,0)+MATCH(A8,'BalSht Data'!G$2:G$2051,0))</f>
        <v>#N/A</v>
      </c>
      <c r="AQ8" s="49" t="e">
        <f>INDEX('BalSht Data'!H$1:H$2999,MATCH(AQ$1,'BalSht Data'!A$2:A$2051,0)+MATCH(A8,'BalSht Data'!G$2:G$2051,0))</f>
        <v>#N/A</v>
      </c>
      <c r="AR8" s="49" t="e">
        <f>INDEX('BalSht Data'!H$1:H$2999,MATCH(AR$1,'BalSht Data'!A$2:A$2051,0)+MATCH(A8,'BalSht Data'!G$2:G$2051,0))</f>
        <v>#N/A</v>
      </c>
      <c r="AS8" s="49" t="e">
        <f>INDEX('BalSht Data'!H$1:H$2999,MATCH(AS$1,'BalSht Data'!A$2:A$2051,0)+MATCH(A8,'BalSht Data'!G$2:G$2051,0))</f>
        <v>#N/A</v>
      </c>
      <c r="AT8" s="49" t="e">
        <f>INDEX('BalSht Data'!H$1:H$2999,MATCH(AT$1,'BalSht Data'!A$2:A$2051,0)+MATCH(A8,'BalSht Data'!G$2:G$2051,0))</f>
        <v>#N/A</v>
      </c>
      <c r="AU8" s="49" t="e">
        <f>INDEX('BalSht Data'!H$1:H$2999,MATCH(AU$1,'BalSht Data'!A$2:A$2051,0)+MATCH(A8,'BalSht Data'!G$2:G$2051,0))</f>
        <v>#N/A</v>
      </c>
      <c r="AV8" s="49" t="e">
        <f>INDEX('BalSht Data'!H$1:H$2999,MATCH(AV$1,'BalSht Data'!A$2:A$2051,0)+MATCH(A8,'BalSht Data'!G$2:G$2051,0))</f>
        <v>#N/A</v>
      </c>
      <c r="AW8" s="49" t="e">
        <f>INDEX('BalSht Data'!H$1:H$2999,MATCH(AW$1,'BalSht Data'!A$2:A$2051,0)+MATCH(A8,'BalSht Data'!G$2:G$2051,0))</f>
        <v>#N/A</v>
      </c>
      <c r="AX8" s="49" t="e">
        <f>INDEX('BalSht Data'!H$1:H$2999,MATCH(AX$1,'BalSht Data'!A$2:A$2051,0)+MATCH(A8,'BalSht Data'!G$2:G$2051,0))</f>
        <v>#N/A</v>
      </c>
      <c r="AY8" s="49" t="e">
        <f>INDEX('BalSht Data'!H$1:H$2999,MATCH(AY$1,'BalSht Data'!A$2:A$2051,0)+MATCH(A8,'BalSht Data'!G$2:G$2051,0))</f>
        <v>#N/A</v>
      </c>
      <c r="AZ8" s="49" t="e">
        <f>INDEX('BalSht Data'!H$1:H$2999,MATCH(AZ$1,'BalSht Data'!A$2:A$2051,0)+MATCH(A8,'BalSht Data'!G$2:G$2051,0))</f>
        <v>#N/A</v>
      </c>
      <c r="BA8" s="49" t="e">
        <f>INDEX('BalSht Data'!H$1:H$2999,MATCH(BA$1,'BalSht Data'!A$2:A$2051,0)+MATCH(A8,'BalSht Data'!G$2:G$2051,0))</f>
        <v>#N/A</v>
      </c>
      <c r="BB8" s="49" t="e">
        <f>INDEX('BalSht Data'!H$1:H$2999,MATCH(BB$1,'BalSht Data'!A$2:A$2051,0)+MATCH(A8,'BalSht Data'!G$2:G$2051,0))</f>
        <v>#N/A</v>
      </c>
      <c r="BC8" s="49" t="e">
        <f>INDEX('BalSht Data'!H$1:H$2999,MATCH(BC$1,'BalSht Data'!A$2:A$2051,0)+MATCH(A8,'BalSht Data'!G$2:G$2051,0))</f>
        <v>#N/A</v>
      </c>
      <c r="BD8" s="49" t="e">
        <f>INDEX('BalSht Data'!H$1:H$2999,MATCH(BD$1,'BalSht Data'!A$2:A$2051,0)+MATCH(A8,'BalSht Data'!G$2:G$2051,0))</f>
        <v>#N/A</v>
      </c>
      <c r="BE8" s="49" t="e">
        <f>INDEX('BalSht Data'!H$1:H$2999,MATCH(BE$1,'BalSht Data'!A$2:A$2051,0)+MATCH(A8,'BalSht Data'!G$2:G$2051,0))</f>
        <v>#N/A</v>
      </c>
      <c r="BF8" s="49" t="e">
        <f>INDEX('BalSht Data'!H$1:H$2999,MATCH(BF$1,'BalSht Data'!A$2:A$2051,0)+MATCH(A8,'BalSht Data'!G$2:G$2051,0))</f>
        <v>#N/A</v>
      </c>
      <c r="BG8" s="49" t="e">
        <f>INDEX('BalSht Data'!H$1:H$2999,MATCH(BG$1,'BalSht Data'!A$2:A$2051,0)+MATCH(A8,'BalSht Data'!G$2:G$2051,0))</f>
        <v>#N/A</v>
      </c>
      <c r="BH8" s="49" t="e">
        <f>INDEX('BalSht Data'!H$1:H$2999,MATCH(BH$1,'BalSht Data'!A$2:A$2051,0)+MATCH(A8,'BalSht Data'!G$2:G$2051,0))</f>
        <v>#N/A</v>
      </c>
      <c r="BI8" s="49" t="e">
        <f>INDEX('BalSht Data'!H$1:H$2999,MATCH(BI$1,'BalSht Data'!A$2:A$2051,0)+MATCH(A8,'BalSht Data'!G$2:G$2051,0))</f>
        <v>#N/A</v>
      </c>
      <c r="BJ8" s="49" t="e">
        <f>INDEX('BalSht Data'!H$1:H$2999,MATCH(BJ$1,'BalSht Data'!A$2:A$2051,0)+MATCH(A8,'BalSht Data'!G$2:G$2051,0))</f>
        <v>#N/A</v>
      </c>
      <c r="BK8" s="49" t="e">
        <f>INDEX('BalSht Data'!H$1:H$2999,MATCH(BK$1,'BalSht Data'!A$2:A$2051,0)+MATCH(A8,'BalSht Data'!G$2:G$2051,0))</f>
        <v>#N/A</v>
      </c>
      <c r="BL8" s="49" t="e">
        <f>INDEX('BalSht Data'!H$1:H$2999,MATCH(BL$1,'BalSht Data'!A$2:A$2051,0)+MATCH(A8,'BalSht Data'!G$2:G$2051,0))</f>
        <v>#N/A</v>
      </c>
      <c r="BM8" s="49" t="e">
        <f>INDEX('BalSht Data'!H$1:H$2999,MATCH(BM$1,'BalSht Data'!A$2:A$2051,0)+MATCH(A8,'BalSht Data'!G$2:G$2051,0))</f>
        <v>#N/A</v>
      </c>
      <c r="BN8" s="49" t="e">
        <f>INDEX('BalSht Data'!H$1:H$2999,MATCH(BN$1,'BalSht Data'!A$2:A$2051,0)+MATCH(A8,'BalSht Data'!G$2:G$2051,0))</f>
        <v>#N/A</v>
      </c>
      <c r="BO8" s="49" t="e">
        <f>INDEX('BalSht Data'!H$1:H$2999,MATCH(BO$1,'BalSht Data'!A$2:A$2051,0)+MATCH(A8,'BalSht Data'!G$2:G$2051,0))</f>
        <v>#N/A</v>
      </c>
      <c r="BP8" s="49" t="e">
        <f>INDEX('BalSht Data'!H$1:H$2999,MATCH(BP$1,'BalSht Data'!A$2:A$2051,0)+MATCH(A8,'BalSht Data'!G$2:G$2051,0))</f>
        <v>#N/A</v>
      </c>
      <c r="BQ8" s="49" t="e">
        <f>INDEX('BalSht Data'!H$1:H$2999,MATCH(BQ$1,'BalSht Data'!A$2:A$2051,0)+MATCH(A8,'BalSht Data'!G$2:G$2051,0))</f>
        <v>#N/A</v>
      </c>
      <c r="BR8" s="49" t="e">
        <f>INDEX('BalSht Data'!H$1:H$2999,MATCH(BR$1,'BalSht Data'!A$2:A$2051,0)+MATCH(A8,'BalSht Data'!G$2:G$2051,0))</f>
        <v>#N/A</v>
      </c>
      <c r="BS8" s="49" t="e">
        <f>INDEX('BalSht Data'!H$1:H$2999,MATCH(BS$1,'BalSht Data'!A$2:A$2051,0)+MATCH(A8,'BalSht Data'!G$2:G$2051,0))</f>
        <v>#N/A</v>
      </c>
      <c r="BT8" s="49" t="e">
        <f>INDEX('BalSht Data'!H$1:H$2999,MATCH(BT$1,'BalSht Data'!A$2:A$2051,0)+MATCH(A8,'BalSht Data'!G$2:G$2051,0))</f>
        <v>#N/A</v>
      </c>
      <c r="BU8" s="49" t="e">
        <f>INDEX('BalSht Data'!H$1:H$2999,MATCH(BU$1,'BalSht Data'!A$2:A$2051,0)+MATCH(A8,'BalSht Data'!G$2:G$2051,0))</f>
        <v>#N/A</v>
      </c>
      <c r="BV8" s="49" t="e">
        <f>INDEX('BalSht Data'!H$1:H$2999,MATCH(BV$1,'BalSht Data'!A$2:A$2051,0)+MATCH(A8,'BalSht Data'!G$2:G$2051,0))</f>
        <v>#N/A</v>
      </c>
      <c r="BW8" s="49" t="e">
        <f>INDEX('BalSht Data'!H$1:H$2999,MATCH(BW$1,'BalSht Data'!A$2:A$2051,0)+MATCH(A8,'BalSht Data'!G$2:G$2051,0))</f>
        <v>#N/A</v>
      </c>
      <c r="BX8" s="49" t="e">
        <f>INDEX('BalSht Data'!H$1:H$2999,MATCH(BX$1,'BalSht Data'!A$2:A$2051,0)+MATCH(A8,'BalSht Data'!G$2:G$2051,0))</f>
        <v>#N/A</v>
      </c>
      <c r="BY8" s="49" t="e">
        <f>INDEX('BalSht Data'!H$1:H$2999,MATCH(BY$1,'BalSht Data'!A$2:A$2051,0)+MATCH(A8,'BalSht Data'!G$2:G$2051,0))</f>
        <v>#N/A</v>
      </c>
      <c r="BZ8" s="49" t="e">
        <f>INDEX('BalSht Data'!H$1:H$2999,MATCH(BZ$1,'BalSht Data'!A$2:A$2051,0)+MATCH(A8,'BalSht Data'!G$2:G$2051,0))</f>
        <v>#N/A</v>
      </c>
      <c r="CA8" s="49" t="e">
        <f>INDEX('BalSht Data'!H$1:H$2999,MATCH(CA$1,'BalSht Data'!A$2:A$2051,0)+MATCH(A8,'BalSht Data'!G$2:G$2051,0))</f>
        <v>#N/A</v>
      </c>
      <c r="CB8" s="49" t="e">
        <f>INDEX('BalSht Data'!H$1:H$2999,MATCH(CB$1,'BalSht Data'!A$2:A$2051,0)+MATCH(A8,'BalSht Data'!G$2:G$2051,0))</f>
        <v>#N/A</v>
      </c>
      <c r="CC8" s="49" t="e">
        <f>INDEX('BalSht Data'!H$1:H$2999,MATCH(CC$1,'BalSht Data'!A$2:A$2051,0)+MATCH(A8,'BalSht Data'!G$2:G$2051,0))</f>
        <v>#N/A</v>
      </c>
      <c r="CD8" s="49" t="e">
        <f>INDEX('BalSht Data'!H$1:H$2999,MATCH(CD$1,'BalSht Data'!A$2:A$2051,0)+MATCH(A8,'BalSht Data'!G$2:G$2051,0))</f>
        <v>#N/A</v>
      </c>
      <c r="CE8" s="49" t="e">
        <f>INDEX('BalSht Data'!H$1:H$2999,MATCH(CE$1,'BalSht Data'!A$2:A$2051,0)+MATCH(A8,'BalSht Data'!G$2:G$2051,0))</f>
        <v>#N/A</v>
      </c>
      <c r="CF8" s="49" t="e">
        <f>INDEX('BalSht Data'!H$1:H$2999,MATCH(CF$1,'BalSht Data'!A$2:A$2051,0)+MATCH(A8,'BalSht Data'!G$2:G$2051,0))</f>
        <v>#N/A</v>
      </c>
      <c r="CG8" s="49" t="e">
        <f>INDEX('BalSht Data'!H$1:H$2999,MATCH(CG$1,'BalSht Data'!A$2:A$2051,0)+MATCH(A8,'BalSht Data'!G$2:G$2051,0))</f>
        <v>#N/A</v>
      </c>
      <c r="CH8" s="49" t="e">
        <f>INDEX('BalSht Data'!H$1:H$2999,MATCH(CH$1,'BalSht Data'!A$2:A$2051,0)+MATCH(A8,'BalSht Data'!G$2:G$2051,0))</f>
        <v>#N/A</v>
      </c>
      <c r="CI8" s="49" t="e">
        <f>INDEX('BalSht Data'!H$1:H$2999,MATCH(CI$1,'BalSht Data'!A$2:A$2051,0)+MATCH(A8,'BalSht Data'!G$2:G$2051,0))</f>
        <v>#N/A</v>
      </c>
      <c r="CJ8" s="49" t="e">
        <f>INDEX('BalSht Data'!H$1:H$2999,MATCH(CJ$1,'BalSht Data'!A$2:A$2051,0)+MATCH(A8,'BalSht Data'!G$2:G$2051,0))</f>
        <v>#N/A</v>
      </c>
      <c r="CK8" s="49" t="e">
        <f>INDEX('BalSht Data'!H$1:H$2999,MATCH(CK$1,'BalSht Data'!A$2:A$2051,0)+MATCH(A8,'BalSht Data'!G$2:G$2051,0))</f>
        <v>#N/A</v>
      </c>
      <c r="CL8" s="49" t="e">
        <f>INDEX('BalSht Data'!H$1:H$2999,MATCH(CL$1,'BalSht Data'!A$2:A$2051,0)+MATCH(A8,'BalSht Data'!G$2:G$2051,0))</f>
        <v>#N/A</v>
      </c>
      <c r="CM8" s="49" t="e">
        <f>INDEX('BalSht Data'!H$1:H$2999,MATCH(CM$1,'BalSht Data'!A$2:A$2051,0)+MATCH(A8,'BalSht Data'!G$2:G$2051,0))</f>
        <v>#N/A</v>
      </c>
      <c r="CN8" s="49" t="e">
        <f>INDEX('BalSht Data'!H$1:H$2999,MATCH(CN$1,'BalSht Data'!A$2:A$2051,0)+MATCH(A8,'BalSht Data'!G$2:G$2051,0))</f>
        <v>#N/A</v>
      </c>
      <c r="CO8" s="49" t="e">
        <f>INDEX('BalSht Data'!H$1:H$2999,MATCH(CO$1,'BalSht Data'!A$2:A$2051,0)+MATCH(A8,'BalSht Data'!G$2:G$2051,0))</f>
        <v>#N/A</v>
      </c>
      <c r="CP8" s="49" t="e">
        <f>INDEX('BalSht Data'!H$1:H$2999,MATCH(CP$1,'BalSht Data'!A$2:A$2051,0)+MATCH(A8,'BalSht Data'!G$2:G$2051,0))</f>
        <v>#N/A</v>
      </c>
      <c r="CQ8" s="49" t="e">
        <f>INDEX('BalSht Data'!H$1:H$2999,MATCH(CQ$1,'BalSht Data'!A$2:A$2051,0)+MATCH(A8,'BalSht Data'!G$2:G$2051,0))</f>
        <v>#N/A</v>
      </c>
      <c r="CR8" s="49" t="e">
        <f>INDEX('BalSht Data'!H$1:H$2999,MATCH(CR$1,'BalSht Data'!A$2:A$2051,0)+MATCH(A8,'BalSht Data'!G$2:G$2051,0))</f>
        <v>#N/A</v>
      </c>
      <c r="CS8" s="49" t="e">
        <f>INDEX('BalSht Data'!H$1:H$2999,MATCH(CS$1,'BalSht Data'!A$2:A$2051,0)+MATCH(A8,'BalSht Data'!G$2:G$2051,0))</f>
        <v>#N/A</v>
      </c>
      <c r="CT8" s="49" t="e">
        <f>INDEX('BalSht Data'!H$1:H$2999,MATCH(CT$1,'BalSht Data'!A$2:A$2051,0)+MATCH(A8,'BalSht Data'!G$2:G$2051,0))</f>
        <v>#N/A</v>
      </c>
      <c r="CU8" s="49" t="e">
        <f>INDEX('BalSht Data'!H$1:H$2999,MATCH(CU$1,'BalSht Data'!A$2:A$2051,0)+MATCH(A8,'BalSht Data'!G$2:G$2051,0))</f>
        <v>#N/A</v>
      </c>
      <c r="CV8" s="49" t="e">
        <f>INDEX('BalSht Data'!H$1:H$2999,MATCH(CV$1,'BalSht Data'!A$2:A$2051,0)+MATCH(A8,'BalSht Data'!G$2:G$2051,0))</f>
        <v>#N/A</v>
      </c>
      <c r="CW8" s="49" t="e">
        <f>INDEX('BalSht Data'!H$1:H$2999,MATCH(CW$1,'BalSht Data'!A$2:A$2051,0)+MATCH(A8,'BalSht Data'!G$2:G$2051,0))</f>
        <v>#N/A</v>
      </c>
      <c r="CX8" s="49" t="e">
        <f>INDEX('BalSht Data'!H$1:H$2999,MATCH(CX$1,'BalSht Data'!A$2:A$2051,0)+MATCH(A8,'BalSht Data'!G$2:G$2051,0))</f>
        <v>#N/A</v>
      </c>
      <c r="CY8" s="49" t="e">
        <f>INDEX('BalSht Data'!H$1:H$2999,MATCH(CY$1,'BalSht Data'!A$2:A$2051,0)+MATCH(A8,'BalSht Data'!G$2:G$2051,0))</f>
        <v>#N/A</v>
      </c>
      <c r="CZ8" s="49" t="e">
        <f>INDEX('BalSht Data'!H$1:H$2999,MATCH(CZ$1,'BalSht Data'!A$2:A$2051,0)+MATCH(A8,'BalSht Data'!G$2:G$2051,0))</f>
        <v>#N/A</v>
      </c>
    </row>
    <row r="9" spans="1:104" s="48" customFormat="1" ht="15" x14ac:dyDescent="0.35">
      <c r="A9" s="5" t="s">
        <v>14</v>
      </c>
      <c r="B9" s="59" t="e">
        <f>INDEX('BalSht Data'!H$1:H$2999,MATCH(B$1,'BalSht Data'!A$2:A$2051,0)+MATCH(A9,'BalSht Data'!G$2:G$2051,0))</f>
        <v>#N/A</v>
      </c>
      <c r="C9" s="59" t="e">
        <f>INDEX('BalSht Data'!H$1:H$2999,MATCH(C$1,'BalSht Data'!A$2:A$2051,0)+MATCH(A9,'BalSht Data'!G$2:G$2051,0))</f>
        <v>#N/A</v>
      </c>
      <c r="D9" s="59" t="e">
        <f>INDEX('BalSht Data'!H$1:H$2999,MATCH(D$1,'BalSht Data'!A$2:A$2051,0)+MATCH(A9,'BalSht Data'!G$2:G$2051,0))</f>
        <v>#N/A</v>
      </c>
      <c r="E9" s="59" t="e">
        <f>INDEX('BalSht Data'!H$1:H$2999,MATCH(E$1,'BalSht Data'!A$2:A$2051,0)+MATCH(A9,'BalSht Data'!G$2:G$2051,0))</f>
        <v>#N/A</v>
      </c>
      <c r="F9" s="59" t="e">
        <f>INDEX('BalSht Data'!H$1:H$2999,MATCH(F$1,'BalSht Data'!A$2:A$2051,0)+MATCH(A9,'BalSht Data'!G$2:G$2051,0))</f>
        <v>#N/A</v>
      </c>
      <c r="G9" s="59" t="e">
        <f>INDEX('BalSht Data'!H$1:H$2999,MATCH(G$1,'BalSht Data'!A$2:A$2051,0)+MATCH(A9,'BalSht Data'!G$2:G$2051,0))</f>
        <v>#N/A</v>
      </c>
      <c r="H9" s="59" t="e">
        <f>INDEX('BalSht Data'!H$1:H$2999,MATCH(H$1,'BalSht Data'!A$2:A$2051,0)+MATCH(A9,'BalSht Data'!G$2:G$2051,0))</f>
        <v>#N/A</v>
      </c>
      <c r="I9" s="59" t="e">
        <f>INDEX('BalSht Data'!H$1:H$2999,MATCH(I$1,'BalSht Data'!A$2:A$2051,0)+MATCH(A9,'BalSht Data'!G$2:G$2051,0))</f>
        <v>#N/A</v>
      </c>
      <c r="J9" s="59" t="e">
        <f>INDEX('BalSht Data'!H$1:H$2999,MATCH(J$1,'BalSht Data'!A$2:A$2051,0)+MATCH(A9,'BalSht Data'!G$2:G$2051,0))</f>
        <v>#N/A</v>
      </c>
      <c r="K9" s="59" t="e">
        <f>INDEX('BalSht Data'!H$1:H$2999,MATCH(K$1,'BalSht Data'!A$2:A$2051,0)+MATCH(A9,'BalSht Data'!G$2:G$2051,0))</f>
        <v>#N/A</v>
      </c>
      <c r="L9" s="59" t="e">
        <f>INDEX('BalSht Data'!H$1:H$2999,MATCH(L$1,'BalSht Data'!A$2:A$2051,0)+MATCH(A9,'BalSht Data'!G$2:G$2051,0))</f>
        <v>#N/A</v>
      </c>
      <c r="M9" s="59" t="e">
        <f>INDEX('BalSht Data'!H$1:H$2999,MATCH(M$1,'BalSht Data'!A$2:A$2051,0)+MATCH(A9,'BalSht Data'!G$2:G$2051,0))</f>
        <v>#N/A</v>
      </c>
      <c r="N9" s="59" t="e">
        <f>INDEX('BalSht Data'!H$1:H$2999,MATCH(N$1,'BalSht Data'!A$2:A$2051,0)+MATCH(A9,'BalSht Data'!G$2:G$2051,0))</f>
        <v>#N/A</v>
      </c>
      <c r="O9" s="59" t="e">
        <f>INDEX('BalSht Data'!H$1:H$2999,MATCH(O$1,'BalSht Data'!A$2:A$2051,0)+MATCH(A9,'BalSht Data'!G$2:G$2051,0))</f>
        <v>#N/A</v>
      </c>
      <c r="P9" s="59" t="e">
        <f>INDEX('BalSht Data'!H$1:H$2999,MATCH(P$1,'BalSht Data'!A$2:A$2051,0)+MATCH(A9,'BalSht Data'!G$2:G$2051,0))</f>
        <v>#N/A</v>
      </c>
      <c r="Q9" s="59" t="e">
        <f>INDEX('BalSht Data'!H$1:H$2999,MATCH(Q$1,'BalSht Data'!A$2:A$2051,0)+MATCH(A9,'BalSht Data'!G$2:G$2051,0))</f>
        <v>#N/A</v>
      </c>
      <c r="R9" s="59" t="e">
        <f>INDEX('BalSht Data'!H$1:H$2999,MATCH(R$1,'BalSht Data'!A$2:A$2051,0)+MATCH(A9,'BalSht Data'!G$2:G$2051,0))</f>
        <v>#N/A</v>
      </c>
      <c r="S9" s="59" t="e">
        <f>INDEX('BalSht Data'!H$1:H$2999,MATCH(S$1,'BalSht Data'!A$2:A$2051,0)+MATCH(A9,'BalSht Data'!G$2:G$2051,0))</f>
        <v>#N/A</v>
      </c>
      <c r="T9" s="59" t="e">
        <f>INDEX('BalSht Data'!H$1:H$2999,MATCH(T$1,'BalSht Data'!A$2:A$2051,0)+MATCH(A9,'BalSht Data'!G$2:G$2051,0))</f>
        <v>#N/A</v>
      </c>
      <c r="U9" s="59" t="e">
        <f>INDEX('BalSht Data'!H$1:H$2999,MATCH(U$1,'BalSht Data'!A$2:A$2051,0)+MATCH(A9,'BalSht Data'!G$2:G$2051,0))</f>
        <v>#N/A</v>
      </c>
      <c r="V9" s="59" t="e">
        <f>INDEX('BalSht Data'!H$1:H$2999,MATCH(V$1,'BalSht Data'!A$2:A$2051,0)+MATCH(A9,'BalSht Data'!G$2:G$2051,0))</f>
        <v>#N/A</v>
      </c>
      <c r="W9" s="59" t="e">
        <f>INDEX('BalSht Data'!H$1:H$2999,MATCH(W$1,'BalSht Data'!A$2:A$2051,0)+MATCH(A9,'BalSht Data'!G$2:G$2051,0))</f>
        <v>#N/A</v>
      </c>
      <c r="X9" s="59" t="e">
        <f>INDEX('BalSht Data'!H$1:H$2999,MATCH(X$1,'BalSht Data'!A$2:A$2051,0)+MATCH(A9,'BalSht Data'!G$2:G$2051,0))</f>
        <v>#N/A</v>
      </c>
      <c r="Y9" s="59" t="e">
        <f>INDEX('BalSht Data'!H$1:H$2999,MATCH(Y$1,'BalSht Data'!A$2:A$2051,0)+MATCH(A9,'BalSht Data'!G$2:G$2051,0))</f>
        <v>#N/A</v>
      </c>
      <c r="Z9" s="59" t="e">
        <f>INDEX('BalSht Data'!H$1:H$2999,MATCH(Z$1,'BalSht Data'!A$2:A$2051,0)+MATCH(A9,'BalSht Data'!G$2:G$2051,0))</f>
        <v>#N/A</v>
      </c>
      <c r="AA9" s="59" t="e">
        <f>INDEX('BalSht Data'!H$1:H$2999,MATCH(AA$1,'BalSht Data'!A$2:A$2051,0)+MATCH(A9,'BalSht Data'!G$2:G$2051,0))</f>
        <v>#N/A</v>
      </c>
      <c r="AB9" s="59" t="e">
        <f>INDEX('BalSht Data'!H$1:H$2999,MATCH(AB$1,'BalSht Data'!A$2:A$2051,0)+MATCH(A9,'BalSht Data'!G$2:G$2051,0))</f>
        <v>#N/A</v>
      </c>
      <c r="AC9" s="59" t="e">
        <f>INDEX('BalSht Data'!H$1:H$2999,MATCH(AC$1,'BalSht Data'!A$2:A$2051,0)+MATCH(A9,'BalSht Data'!G$2:G$2051,0))</f>
        <v>#N/A</v>
      </c>
      <c r="AD9" s="59" t="e">
        <f>INDEX('BalSht Data'!H$1:H$2999,MATCH(AD$1,'BalSht Data'!A$2:A$2051,0)+MATCH(A9,'BalSht Data'!G$2:G$2051,0))</f>
        <v>#N/A</v>
      </c>
      <c r="AE9" s="59" t="e">
        <f>INDEX('BalSht Data'!H$1:H$2999,MATCH(AE$1,'BalSht Data'!A$2:A$2051,0)+MATCH(A9,'BalSht Data'!G$2:G$2051,0))</f>
        <v>#N/A</v>
      </c>
      <c r="AF9" s="59" t="e">
        <f>INDEX('BalSht Data'!H$1:H$2999,MATCH(AF$1,'BalSht Data'!A$2:A$2051,0)+MATCH(A9,'BalSht Data'!G$2:G$2051,0))</f>
        <v>#N/A</v>
      </c>
      <c r="AG9" s="59" t="e">
        <f>INDEX('BalSht Data'!H$1:H$2999,MATCH(AG$1,'BalSht Data'!A$2:A$2051,0)+MATCH(A9,'BalSht Data'!G$2:G$2051,0))</f>
        <v>#N/A</v>
      </c>
      <c r="AH9" s="59" t="e">
        <f>INDEX('BalSht Data'!H$1:H$2999,MATCH(AH$1,'BalSht Data'!A$2:A$2051,0)+MATCH(A9,'BalSht Data'!G$2:G$2051,0))</f>
        <v>#N/A</v>
      </c>
      <c r="AI9" s="59" t="e">
        <f>INDEX('BalSht Data'!H$1:H$2999,MATCH(AI$1,'BalSht Data'!A$2:A$2051,0)+MATCH(A9,'BalSht Data'!G$2:G$2051,0))</f>
        <v>#N/A</v>
      </c>
      <c r="AJ9" s="59" t="e">
        <f>INDEX('BalSht Data'!H$1:H$2999,MATCH(AJ$1,'BalSht Data'!A$2:A$2051,0)+MATCH(A9,'BalSht Data'!G$2:G$2051,0))</f>
        <v>#N/A</v>
      </c>
      <c r="AK9" s="59" t="e">
        <f>INDEX('BalSht Data'!H$1:H$2999,MATCH(AK$1,'BalSht Data'!A$2:A$2051,0)+MATCH(A9,'BalSht Data'!G$2:G$2051,0))</f>
        <v>#N/A</v>
      </c>
      <c r="AL9" s="59">
        <f>INDEX('BalSht Data'!H$1:H$2999,MATCH(AL$1,'BalSht Data'!A$2:A$2051,0)+MATCH(A9,'BalSht Data'!G$2:G$2051,0))</f>
        <v>0</v>
      </c>
      <c r="AM9" s="59">
        <f>INDEX('BalSht Data'!H$1:H$2999,MATCH(AM$1,'BalSht Data'!A$2:A$2051,0)+MATCH(A9,'BalSht Data'!G$2:G$2051,0))</f>
        <v>0</v>
      </c>
      <c r="AN9" s="59">
        <f>INDEX('BalSht Data'!H$1:H$2999,MATCH(AN$1,'BalSht Data'!A$2:A$2051,0)+MATCH(A9,'BalSht Data'!G$2:G$2051,0))</f>
        <v>0</v>
      </c>
      <c r="AO9" s="59">
        <f>INDEX('BalSht Data'!H$1:H$2999,MATCH(AO$1,'BalSht Data'!A$2:A$2051,0)+MATCH(A9,'BalSht Data'!G$2:G$2051,0))</f>
        <v>0</v>
      </c>
      <c r="AP9" s="59" t="e">
        <f>INDEX('BalSht Data'!H$1:H$2999,MATCH(AP$1,'BalSht Data'!A$2:A$2051,0)+MATCH(A9,'BalSht Data'!G$2:G$2051,0))</f>
        <v>#N/A</v>
      </c>
      <c r="AQ9" s="59" t="e">
        <f>INDEX('BalSht Data'!H$1:H$2999,MATCH(AQ$1,'BalSht Data'!A$2:A$2051,0)+MATCH(A9,'BalSht Data'!G$2:G$2051,0))</f>
        <v>#N/A</v>
      </c>
      <c r="AR9" s="59" t="e">
        <f>INDEX('BalSht Data'!H$1:H$2999,MATCH(AR$1,'BalSht Data'!A$2:A$2051,0)+MATCH(A9,'BalSht Data'!G$2:G$2051,0))</f>
        <v>#N/A</v>
      </c>
      <c r="AS9" s="59" t="e">
        <f>INDEX('BalSht Data'!H$1:H$2999,MATCH(AS$1,'BalSht Data'!A$2:A$2051,0)+MATCH(A9,'BalSht Data'!G$2:G$2051,0))</f>
        <v>#N/A</v>
      </c>
      <c r="AT9" s="59" t="e">
        <f>INDEX('BalSht Data'!H$1:H$2999,MATCH(AT$1,'BalSht Data'!A$2:A$2051,0)+MATCH(A9,'BalSht Data'!G$2:G$2051,0))</f>
        <v>#N/A</v>
      </c>
      <c r="AU9" s="59" t="e">
        <f>INDEX('BalSht Data'!H$1:H$2999,MATCH(AU$1,'BalSht Data'!A$2:A$2051,0)+MATCH(A9,'BalSht Data'!G$2:G$2051,0))</f>
        <v>#N/A</v>
      </c>
      <c r="AV9" s="59" t="e">
        <f>INDEX('BalSht Data'!H$1:H$2999,MATCH(AV$1,'BalSht Data'!A$2:A$2051,0)+MATCH(A9,'BalSht Data'!G$2:G$2051,0))</f>
        <v>#N/A</v>
      </c>
      <c r="AW9" s="59" t="e">
        <f>INDEX('BalSht Data'!H$1:H$2999,MATCH(AW$1,'BalSht Data'!A$2:A$2051,0)+MATCH(A9,'BalSht Data'!G$2:G$2051,0))</f>
        <v>#N/A</v>
      </c>
      <c r="AX9" s="59" t="e">
        <f>INDEX('BalSht Data'!H$1:H$2999,MATCH(AX$1,'BalSht Data'!A$2:A$2051,0)+MATCH(A9,'BalSht Data'!G$2:G$2051,0))</f>
        <v>#N/A</v>
      </c>
      <c r="AY9" s="59" t="e">
        <f>INDEX('BalSht Data'!H$1:H$2999,MATCH(AY$1,'BalSht Data'!A$2:A$2051,0)+MATCH(A9,'BalSht Data'!G$2:G$2051,0))</f>
        <v>#N/A</v>
      </c>
      <c r="AZ9" s="59" t="e">
        <f>INDEX('BalSht Data'!H$1:H$2999,MATCH(AZ$1,'BalSht Data'!A$2:A$2051,0)+MATCH(A9,'BalSht Data'!G$2:G$2051,0))</f>
        <v>#N/A</v>
      </c>
      <c r="BA9" s="59" t="e">
        <f>INDEX('BalSht Data'!H$1:H$2999,MATCH(BA$1,'BalSht Data'!A$2:A$2051,0)+MATCH(A9,'BalSht Data'!G$2:G$2051,0))</f>
        <v>#N/A</v>
      </c>
      <c r="BB9" s="59" t="e">
        <f>INDEX('BalSht Data'!H$1:H$2999,MATCH(BB$1,'BalSht Data'!A$2:A$2051,0)+MATCH(A9,'BalSht Data'!G$2:G$2051,0))</f>
        <v>#N/A</v>
      </c>
      <c r="BC9" s="59" t="e">
        <f>INDEX('BalSht Data'!H$1:H$2999,MATCH(BC$1,'BalSht Data'!A$2:A$2051,0)+MATCH(A9,'BalSht Data'!G$2:G$2051,0))</f>
        <v>#N/A</v>
      </c>
      <c r="BD9" s="59" t="e">
        <f>INDEX('BalSht Data'!H$1:H$2999,MATCH(BD$1,'BalSht Data'!A$2:A$2051,0)+MATCH(A9,'BalSht Data'!G$2:G$2051,0))</f>
        <v>#N/A</v>
      </c>
      <c r="BE9" s="59" t="e">
        <f>INDEX('BalSht Data'!H$1:H$2999,MATCH(BE$1,'BalSht Data'!A$2:A$2051,0)+MATCH(A9,'BalSht Data'!G$2:G$2051,0))</f>
        <v>#N/A</v>
      </c>
      <c r="BF9" s="59" t="e">
        <f>INDEX('BalSht Data'!H$1:H$2999,MATCH(BF$1,'BalSht Data'!A$2:A$2051,0)+MATCH(A9,'BalSht Data'!G$2:G$2051,0))</f>
        <v>#N/A</v>
      </c>
      <c r="BG9" s="59" t="e">
        <f>INDEX('BalSht Data'!H$1:H$2999,MATCH(BG$1,'BalSht Data'!A$2:A$2051,0)+MATCH(A9,'BalSht Data'!G$2:G$2051,0))</f>
        <v>#N/A</v>
      </c>
      <c r="BH9" s="59" t="e">
        <f>INDEX('BalSht Data'!H$1:H$2999,MATCH(BH$1,'BalSht Data'!A$2:A$2051,0)+MATCH(A9,'BalSht Data'!G$2:G$2051,0))</f>
        <v>#N/A</v>
      </c>
      <c r="BI9" s="59" t="e">
        <f>INDEX('BalSht Data'!H$1:H$2999,MATCH(BI$1,'BalSht Data'!A$2:A$2051,0)+MATCH(A9,'BalSht Data'!G$2:G$2051,0))</f>
        <v>#N/A</v>
      </c>
      <c r="BJ9" s="59" t="e">
        <f>INDEX('BalSht Data'!H$1:H$2999,MATCH(BJ$1,'BalSht Data'!A$2:A$2051,0)+MATCH(A9,'BalSht Data'!G$2:G$2051,0))</f>
        <v>#N/A</v>
      </c>
      <c r="BK9" s="59" t="e">
        <f>INDEX('BalSht Data'!H$1:H$2999,MATCH(BK$1,'BalSht Data'!A$2:A$2051,0)+MATCH(A9,'BalSht Data'!G$2:G$2051,0))</f>
        <v>#N/A</v>
      </c>
      <c r="BL9" s="59" t="e">
        <f>INDEX('BalSht Data'!H$1:H$2999,MATCH(BL$1,'BalSht Data'!A$2:A$2051,0)+MATCH(A9,'BalSht Data'!G$2:G$2051,0))</f>
        <v>#N/A</v>
      </c>
      <c r="BM9" s="59" t="e">
        <f>INDEX('BalSht Data'!H$1:H$2999,MATCH(BM$1,'BalSht Data'!A$2:A$2051,0)+MATCH(A9,'BalSht Data'!G$2:G$2051,0))</f>
        <v>#N/A</v>
      </c>
      <c r="BN9" s="59" t="e">
        <f>INDEX('BalSht Data'!H$1:H$2999,MATCH(BN$1,'BalSht Data'!A$2:A$2051,0)+MATCH(A9,'BalSht Data'!G$2:G$2051,0))</f>
        <v>#N/A</v>
      </c>
      <c r="BO9" s="59" t="e">
        <f>INDEX('BalSht Data'!H$1:H$2999,MATCH(BO$1,'BalSht Data'!A$2:A$2051,0)+MATCH(A9,'BalSht Data'!G$2:G$2051,0))</f>
        <v>#N/A</v>
      </c>
      <c r="BP9" s="59" t="e">
        <f>INDEX('BalSht Data'!H$1:H$2999,MATCH(BP$1,'BalSht Data'!A$2:A$2051,0)+MATCH(A9,'BalSht Data'!G$2:G$2051,0))</f>
        <v>#N/A</v>
      </c>
      <c r="BQ9" s="59" t="e">
        <f>INDEX('BalSht Data'!H$1:H$2999,MATCH(BQ$1,'BalSht Data'!A$2:A$2051,0)+MATCH(A9,'BalSht Data'!G$2:G$2051,0))</f>
        <v>#N/A</v>
      </c>
      <c r="BR9" s="59" t="e">
        <f>INDEX('BalSht Data'!H$1:H$2999,MATCH(BR$1,'BalSht Data'!A$2:A$2051,0)+MATCH(A9,'BalSht Data'!G$2:G$2051,0))</f>
        <v>#N/A</v>
      </c>
      <c r="BS9" s="59" t="e">
        <f>INDEX('BalSht Data'!H$1:H$2999,MATCH(BS$1,'BalSht Data'!A$2:A$2051,0)+MATCH(A9,'BalSht Data'!G$2:G$2051,0))</f>
        <v>#N/A</v>
      </c>
      <c r="BT9" s="59" t="e">
        <f>INDEX('BalSht Data'!H$1:H$2999,MATCH(BT$1,'BalSht Data'!A$2:A$2051,0)+MATCH(A9,'BalSht Data'!G$2:G$2051,0))</f>
        <v>#N/A</v>
      </c>
      <c r="BU9" s="59" t="e">
        <f>INDEX('BalSht Data'!H$1:H$2999,MATCH(BU$1,'BalSht Data'!A$2:A$2051,0)+MATCH(A9,'BalSht Data'!G$2:G$2051,0))</f>
        <v>#N/A</v>
      </c>
      <c r="BV9" s="59" t="e">
        <f>INDEX('BalSht Data'!H$1:H$2999,MATCH(BV$1,'BalSht Data'!A$2:A$2051,0)+MATCH(A9,'BalSht Data'!G$2:G$2051,0))</f>
        <v>#N/A</v>
      </c>
      <c r="BW9" s="59" t="e">
        <f>INDEX('BalSht Data'!H$1:H$2999,MATCH(BW$1,'BalSht Data'!A$2:A$2051,0)+MATCH(A9,'BalSht Data'!G$2:G$2051,0))</f>
        <v>#N/A</v>
      </c>
      <c r="BX9" s="59" t="e">
        <f>INDEX('BalSht Data'!H$1:H$2999,MATCH(BX$1,'BalSht Data'!A$2:A$2051,0)+MATCH(A9,'BalSht Data'!G$2:G$2051,0))</f>
        <v>#N/A</v>
      </c>
      <c r="BY9" s="59" t="e">
        <f>INDEX('BalSht Data'!H$1:H$2999,MATCH(BY$1,'BalSht Data'!A$2:A$2051,0)+MATCH(A9,'BalSht Data'!G$2:G$2051,0))</f>
        <v>#N/A</v>
      </c>
      <c r="BZ9" s="59" t="e">
        <f>INDEX('BalSht Data'!H$1:H$2999,MATCH(BZ$1,'BalSht Data'!A$2:A$2051,0)+MATCH(A9,'BalSht Data'!G$2:G$2051,0))</f>
        <v>#N/A</v>
      </c>
      <c r="CA9" s="59" t="e">
        <f>INDEX('BalSht Data'!H$1:H$2999,MATCH(CA$1,'BalSht Data'!A$2:A$2051,0)+MATCH(A9,'BalSht Data'!G$2:G$2051,0))</f>
        <v>#N/A</v>
      </c>
      <c r="CB9" s="59" t="e">
        <f>INDEX('BalSht Data'!H$1:H$2999,MATCH(CB$1,'BalSht Data'!A$2:A$2051,0)+MATCH(A9,'BalSht Data'!G$2:G$2051,0))</f>
        <v>#N/A</v>
      </c>
      <c r="CC9" s="59" t="e">
        <f>INDEX('BalSht Data'!H$1:H$2999,MATCH(CC$1,'BalSht Data'!A$2:A$2051,0)+MATCH(A9,'BalSht Data'!G$2:G$2051,0))</f>
        <v>#N/A</v>
      </c>
      <c r="CD9" s="59" t="e">
        <f>INDEX('BalSht Data'!H$1:H$2999,MATCH(CD$1,'BalSht Data'!A$2:A$2051,0)+MATCH(A9,'BalSht Data'!G$2:G$2051,0))</f>
        <v>#N/A</v>
      </c>
      <c r="CE9" s="59" t="e">
        <f>INDEX('BalSht Data'!H$1:H$2999,MATCH(CE$1,'BalSht Data'!A$2:A$2051,0)+MATCH(A9,'BalSht Data'!G$2:G$2051,0))</f>
        <v>#N/A</v>
      </c>
      <c r="CF9" s="59" t="e">
        <f>INDEX('BalSht Data'!H$1:H$2999,MATCH(CF$1,'BalSht Data'!A$2:A$2051,0)+MATCH(A9,'BalSht Data'!G$2:G$2051,0))</f>
        <v>#N/A</v>
      </c>
      <c r="CG9" s="59" t="e">
        <f>INDEX('BalSht Data'!H$1:H$2999,MATCH(CG$1,'BalSht Data'!A$2:A$2051,0)+MATCH(A9,'BalSht Data'!G$2:G$2051,0))</f>
        <v>#N/A</v>
      </c>
      <c r="CH9" s="59" t="e">
        <f>INDEX('BalSht Data'!H$1:H$2999,MATCH(CH$1,'BalSht Data'!A$2:A$2051,0)+MATCH(A9,'BalSht Data'!G$2:G$2051,0))</f>
        <v>#N/A</v>
      </c>
      <c r="CI9" s="59" t="e">
        <f>INDEX('BalSht Data'!H$1:H$2999,MATCH(CI$1,'BalSht Data'!A$2:A$2051,0)+MATCH(A9,'BalSht Data'!G$2:G$2051,0))</f>
        <v>#N/A</v>
      </c>
      <c r="CJ9" s="59" t="e">
        <f>INDEX('BalSht Data'!H$1:H$2999,MATCH(CJ$1,'BalSht Data'!A$2:A$2051,0)+MATCH(A9,'BalSht Data'!G$2:G$2051,0))</f>
        <v>#N/A</v>
      </c>
      <c r="CK9" s="59" t="e">
        <f>INDEX('BalSht Data'!H$1:H$2999,MATCH(CK$1,'BalSht Data'!A$2:A$2051,0)+MATCH(A9,'BalSht Data'!G$2:G$2051,0))</f>
        <v>#N/A</v>
      </c>
      <c r="CL9" s="59" t="e">
        <f>INDEX('BalSht Data'!H$1:H$2999,MATCH(CL$1,'BalSht Data'!A$2:A$2051,0)+MATCH(A9,'BalSht Data'!G$2:G$2051,0))</f>
        <v>#N/A</v>
      </c>
      <c r="CM9" s="59" t="e">
        <f>INDEX('BalSht Data'!H$1:H$2999,MATCH(CM$1,'BalSht Data'!A$2:A$2051,0)+MATCH(A9,'BalSht Data'!G$2:G$2051,0))</f>
        <v>#N/A</v>
      </c>
      <c r="CN9" s="59" t="e">
        <f>INDEX('BalSht Data'!H$1:H$2999,MATCH(CN$1,'BalSht Data'!A$2:A$2051,0)+MATCH(A9,'BalSht Data'!G$2:G$2051,0))</f>
        <v>#N/A</v>
      </c>
      <c r="CO9" s="59" t="e">
        <f>INDEX('BalSht Data'!H$1:H$2999,MATCH(CO$1,'BalSht Data'!A$2:A$2051,0)+MATCH(A9,'BalSht Data'!G$2:G$2051,0))</f>
        <v>#N/A</v>
      </c>
      <c r="CP9" s="59" t="e">
        <f>INDEX('BalSht Data'!H$1:H$2999,MATCH(CP$1,'BalSht Data'!A$2:A$2051,0)+MATCH(A9,'BalSht Data'!G$2:G$2051,0))</f>
        <v>#N/A</v>
      </c>
      <c r="CQ9" s="59" t="e">
        <f>INDEX('BalSht Data'!H$1:H$2999,MATCH(CQ$1,'BalSht Data'!A$2:A$2051,0)+MATCH(A9,'BalSht Data'!G$2:G$2051,0))</f>
        <v>#N/A</v>
      </c>
      <c r="CR9" s="59" t="e">
        <f>INDEX('BalSht Data'!H$1:H$2999,MATCH(CR$1,'BalSht Data'!A$2:A$2051,0)+MATCH(A9,'BalSht Data'!G$2:G$2051,0))</f>
        <v>#N/A</v>
      </c>
      <c r="CS9" s="59" t="e">
        <f>INDEX('BalSht Data'!H$1:H$2999,MATCH(CS$1,'BalSht Data'!A$2:A$2051,0)+MATCH(A9,'BalSht Data'!G$2:G$2051,0))</f>
        <v>#N/A</v>
      </c>
      <c r="CT9" s="59" t="e">
        <f>INDEX('BalSht Data'!H$1:H$2999,MATCH(CT$1,'BalSht Data'!A$2:A$2051,0)+MATCH(A9,'BalSht Data'!G$2:G$2051,0))</f>
        <v>#N/A</v>
      </c>
      <c r="CU9" s="59" t="e">
        <f>INDEX('BalSht Data'!H$1:H$2999,MATCH(CU$1,'BalSht Data'!A$2:A$2051,0)+MATCH(A9,'BalSht Data'!G$2:G$2051,0))</f>
        <v>#N/A</v>
      </c>
      <c r="CV9" s="59" t="e">
        <f>INDEX('BalSht Data'!H$1:H$2999,MATCH(CV$1,'BalSht Data'!A$2:A$2051,0)+MATCH(A9,'BalSht Data'!G$2:G$2051,0))</f>
        <v>#N/A</v>
      </c>
      <c r="CW9" s="59" t="e">
        <f>INDEX('BalSht Data'!H$1:H$2999,MATCH(CW$1,'BalSht Data'!A$2:A$2051,0)+MATCH(A9,'BalSht Data'!G$2:G$2051,0))</f>
        <v>#N/A</v>
      </c>
      <c r="CX9" s="59" t="e">
        <f>INDEX('BalSht Data'!H$1:H$2999,MATCH(CX$1,'BalSht Data'!A$2:A$2051,0)+MATCH(A9,'BalSht Data'!G$2:G$2051,0))</f>
        <v>#N/A</v>
      </c>
      <c r="CY9" s="59" t="e">
        <f>INDEX('BalSht Data'!H$1:H$2999,MATCH(CY$1,'BalSht Data'!A$2:A$2051,0)+MATCH(A9,'BalSht Data'!G$2:G$2051,0))</f>
        <v>#N/A</v>
      </c>
      <c r="CZ9" s="59" t="e">
        <f>INDEX('BalSht Data'!H$1:H$2999,MATCH(CZ$1,'BalSht Data'!A$2:A$2051,0)+MATCH(A9,'BalSht Data'!G$2:G$2051,0))</f>
        <v>#N/A</v>
      </c>
    </row>
    <row r="10" spans="1:104" s="46" customFormat="1" x14ac:dyDescent="0.2">
      <c r="A10" s="5"/>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c r="CA10" s="49"/>
      <c r="CB10" s="49"/>
      <c r="CC10" s="49"/>
      <c r="CD10" s="49"/>
      <c r="CE10" s="49"/>
      <c r="CF10" s="49"/>
      <c r="CG10" s="49"/>
      <c r="CH10" s="49"/>
      <c r="CI10" s="49"/>
      <c r="CJ10" s="49"/>
      <c r="CK10" s="49"/>
      <c r="CL10" s="49"/>
      <c r="CM10" s="49"/>
      <c r="CN10" s="49"/>
      <c r="CO10" s="49"/>
      <c r="CP10" s="49"/>
      <c r="CQ10" s="49"/>
      <c r="CR10" s="49"/>
      <c r="CS10" s="49"/>
      <c r="CT10" s="49"/>
      <c r="CU10" s="49"/>
      <c r="CV10" s="49"/>
      <c r="CW10" s="49"/>
      <c r="CX10" s="49"/>
      <c r="CY10" s="49"/>
      <c r="CZ10" s="49"/>
    </row>
    <row r="11" spans="1:104" s="46" customFormat="1" x14ac:dyDescent="0.2">
      <c r="A11" s="5"/>
      <c r="B11" s="46" t="e">
        <f>SUM(B6:B9)</f>
        <v>#N/A</v>
      </c>
      <c r="C11" s="46" t="e">
        <f>SUM(C6:C9)</f>
        <v>#N/A</v>
      </c>
      <c r="D11" s="46" t="e">
        <f>SUM(D6:D9)</f>
        <v>#N/A</v>
      </c>
      <c r="E11" s="46" t="e">
        <f t="shared" ref="E11:AG11" si="0">SUM(E6:E9)</f>
        <v>#N/A</v>
      </c>
      <c r="F11" s="46" t="e">
        <f t="shared" si="0"/>
        <v>#N/A</v>
      </c>
      <c r="G11" s="46" t="e">
        <f t="shared" si="0"/>
        <v>#N/A</v>
      </c>
      <c r="H11" s="46" t="e">
        <f t="shared" si="0"/>
        <v>#N/A</v>
      </c>
      <c r="I11" s="46" t="e">
        <f t="shared" si="0"/>
        <v>#N/A</v>
      </c>
      <c r="J11" s="46" t="e">
        <f t="shared" si="0"/>
        <v>#N/A</v>
      </c>
      <c r="K11" s="46" t="e">
        <f t="shared" si="0"/>
        <v>#N/A</v>
      </c>
      <c r="L11" s="46" t="e">
        <f t="shared" si="0"/>
        <v>#N/A</v>
      </c>
      <c r="M11" s="46" t="e">
        <f t="shared" si="0"/>
        <v>#N/A</v>
      </c>
      <c r="N11" s="46" t="e">
        <f t="shared" si="0"/>
        <v>#N/A</v>
      </c>
      <c r="O11" s="46" t="e">
        <f t="shared" si="0"/>
        <v>#N/A</v>
      </c>
      <c r="P11" s="46" t="e">
        <f t="shared" si="0"/>
        <v>#N/A</v>
      </c>
      <c r="Q11" s="46" t="e">
        <f t="shared" si="0"/>
        <v>#N/A</v>
      </c>
      <c r="R11" s="46" t="e">
        <f t="shared" si="0"/>
        <v>#N/A</v>
      </c>
      <c r="S11" s="46" t="e">
        <f t="shared" si="0"/>
        <v>#N/A</v>
      </c>
      <c r="T11" s="46" t="e">
        <f t="shared" si="0"/>
        <v>#N/A</v>
      </c>
      <c r="U11" s="46" t="e">
        <f t="shared" si="0"/>
        <v>#N/A</v>
      </c>
      <c r="V11" s="46" t="e">
        <f t="shared" si="0"/>
        <v>#N/A</v>
      </c>
      <c r="W11" s="46" t="e">
        <f t="shared" si="0"/>
        <v>#N/A</v>
      </c>
      <c r="X11" s="46" t="e">
        <f t="shared" si="0"/>
        <v>#N/A</v>
      </c>
      <c r="Y11" s="46" t="e">
        <f t="shared" si="0"/>
        <v>#N/A</v>
      </c>
      <c r="Z11" s="46" t="e">
        <f t="shared" si="0"/>
        <v>#N/A</v>
      </c>
      <c r="AA11" s="46" t="e">
        <f t="shared" si="0"/>
        <v>#N/A</v>
      </c>
      <c r="AB11" s="46" t="e">
        <f t="shared" si="0"/>
        <v>#N/A</v>
      </c>
      <c r="AC11" s="46" t="e">
        <f t="shared" si="0"/>
        <v>#N/A</v>
      </c>
      <c r="AD11" s="46" t="e">
        <f t="shared" si="0"/>
        <v>#N/A</v>
      </c>
      <c r="AE11" s="46" t="e">
        <f t="shared" si="0"/>
        <v>#N/A</v>
      </c>
      <c r="AF11" s="46" t="e">
        <f t="shared" si="0"/>
        <v>#N/A</v>
      </c>
      <c r="AG11" s="46" t="e">
        <f t="shared" si="0"/>
        <v>#N/A</v>
      </c>
      <c r="AH11" s="46" t="e">
        <f t="shared" ref="AH11:BM11" si="1">SUM(AH6:AH9)</f>
        <v>#N/A</v>
      </c>
      <c r="AI11" s="46" t="e">
        <f t="shared" si="1"/>
        <v>#N/A</v>
      </c>
      <c r="AJ11" s="46" t="e">
        <f t="shared" si="1"/>
        <v>#N/A</v>
      </c>
      <c r="AK11" s="46" t="e">
        <f t="shared" si="1"/>
        <v>#N/A</v>
      </c>
      <c r="AL11" s="46">
        <f t="shared" si="1"/>
        <v>0</v>
      </c>
      <c r="AM11" s="46">
        <f t="shared" si="1"/>
        <v>0</v>
      </c>
      <c r="AN11" s="46">
        <f t="shared" si="1"/>
        <v>0</v>
      </c>
      <c r="AO11" s="46">
        <f t="shared" si="1"/>
        <v>0</v>
      </c>
      <c r="AP11" s="46" t="e">
        <f t="shared" si="1"/>
        <v>#N/A</v>
      </c>
      <c r="AQ11" s="46" t="e">
        <f t="shared" si="1"/>
        <v>#N/A</v>
      </c>
      <c r="AR11" s="46" t="e">
        <f t="shared" si="1"/>
        <v>#N/A</v>
      </c>
      <c r="AS11" s="46" t="e">
        <f t="shared" si="1"/>
        <v>#N/A</v>
      </c>
      <c r="AT11" s="46" t="e">
        <f t="shared" si="1"/>
        <v>#N/A</v>
      </c>
      <c r="AU11" s="46" t="e">
        <f t="shared" si="1"/>
        <v>#N/A</v>
      </c>
      <c r="AV11" s="46" t="e">
        <f t="shared" si="1"/>
        <v>#N/A</v>
      </c>
      <c r="AW11" s="46" t="e">
        <f t="shared" si="1"/>
        <v>#N/A</v>
      </c>
      <c r="AX11" s="46" t="e">
        <f t="shared" si="1"/>
        <v>#N/A</v>
      </c>
      <c r="AY11" s="46" t="e">
        <f t="shared" si="1"/>
        <v>#N/A</v>
      </c>
      <c r="AZ11" s="46" t="e">
        <f t="shared" si="1"/>
        <v>#N/A</v>
      </c>
      <c r="BA11" s="46" t="e">
        <f t="shared" si="1"/>
        <v>#N/A</v>
      </c>
      <c r="BB11" s="46" t="e">
        <f t="shared" si="1"/>
        <v>#N/A</v>
      </c>
      <c r="BC11" s="46" t="e">
        <f t="shared" si="1"/>
        <v>#N/A</v>
      </c>
      <c r="BD11" s="46" t="e">
        <f t="shared" si="1"/>
        <v>#N/A</v>
      </c>
      <c r="BE11" s="46" t="e">
        <f t="shared" si="1"/>
        <v>#N/A</v>
      </c>
      <c r="BF11" s="46" t="e">
        <f t="shared" si="1"/>
        <v>#N/A</v>
      </c>
      <c r="BG11" s="46" t="e">
        <f t="shared" si="1"/>
        <v>#N/A</v>
      </c>
      <c r="BH11" s="46" t="e">
        <f t="shared" si="1"/>
        <v>#N/A</v>
      </c>
      <c r="BI11" s="46" t="e">
        <f t="shared" si="1"/>
        <v>#N/A</v>
      </c>
      <c r="BJ11" s="46" t="e">
        <f t="shared" si="1"/>
        <v>#N/A</v>
      </c>
      <c r="BK11" s="46" t="e">
        <f t="shared" si="1"/>
        <v>#N/A</v>
      </c>
      <c r="BL11" s="46" t="e">
        <f t="shared" si="1"/>
        <v>#N/A</v>
      </c>
      <c r="BM11" s="46" t="e">
        <f t="shared" si="1"/>
        <v>#N/A</v>
      </c>
      <c r="BN11" s="46" t="e">
        <f t="shared" ref="BN11:CS11" si="2">SUM(BN6:BN9)</f>
        <v>#N/A</v>
      </c>
      <c r="BO11" s="46" t="e">
        <f t="shared" si="2"/>
        <v>#N/A</v>
      </c>
      <c r="BP11" s="46" t="e">
        <f t="shared" si="2"/>
        <v>#N/A</v>
      </c>
      <c r="BQ11" s="46" t="e">
        <f t="shared" si="2"/>
        <v>#N/A</v>
      </c>
      <c r="BR11" s="46" t="e">
        <f t="shared" si="2"/>
        <v>#N/A</v>
      </c>
      <c r="BS11" s="46" t="e">
        <f t="shared" si="2"/>
        <v>#N/A</v>
      </c>
      <c r="BT11" s="46" t="e">
        <f t="shared" si="2"/>
        <v>#N/A</v>
      </c>
      <c r="BU11" s="46" t="e">
        <f t="shared" si="2"/>
        <v>#N/A</v>
      </c>
      <c r="BV11" s="46" t="e">
        <f t="shared" si="2"/>
        <v>#N/A</v>
      </c>
      <c r="BW11" s="46" t="e">
        <f t="shared" si="2"/>
        <v>#N/A</v>
      </c>
      <c r="BX11" s="46" t="e">
        <f t="shared" si="2"/>
        <v>#N/A</v>
      </c>
      <c r="BY11" s="46" t="e">
        <f t="shared" si="2"/>
        <v>#N/A</v>
      </c>
      <c r="BZ11" s="46" t="e">
        <f t="shared" si="2"/>
        <v>#N/A</v>
      </c>
      <c r="CA11" s="46" t="e">
        <f t="shared" si="2"/>
        <v>#N/A</v>
      </c>
      <c r="CB11" s="46" t="e">
        <f t="shared" si="2"/>
        <v>#N/A</v>
      </c>
      <c r="CC11" s="46" t="e">
        <f t="shared" si="2"/>
        <v>#N/A</v>
      </c>
      <c r="CD11" s="46" t="e">
        <f t="shared" si="2"/>
        <v>#N/A</v>
      </c>
      <c r="CE11" s="46" t="e">
        <f t="shared" si="2"/>
        <v>#N/A</v>
      </c>
      <c r="CF11" s="46" t="e">
        <f t="shared" si="2"/>
        <v>#N/A</v>
      </c>
      <c r="CG11" s="46" t="e">
        <f t="shared" si="2"/>
        <v>#N/A</v>
      </c>
      <c r="CH11" s="46" t="e">
        <f t="shared" si="2"/>
        <v>#N/A</v>
      </c>
      <c r="CI11" s="46" t="e">
        <f t="shared" si="2"/>
        <v>#N/A</v>
      </c>
      <c r="CJ11" s="46" t="e">
        <f t="shared" si="2"/>
        <v>#N/A</v>
      </c>
      <c r="CK11" s="46" t="e">
        <f t="shared" si="2"/>
        <v>#N/A</v>
      </c>
      <c r="CL11" s="46" t="e">
        <f t="shared" si="2"/>
        <v>#N/A</v>
      </c>
      <c r="CM11" s="46" t="e">
        <f t="shared" si="2"/>
        <v>#N/A</v>
      </c>
      <c r="CN11" s="46" t="e">
        <f t="shared" si="2"/>
        <v>#N/A</v>
      </c>
      <c r="CO11" s="46" t="e">
        <f t="shared" si="2"/>
        <v>#N/A</v>
      </c>
      <c r="CP11" s="46" t="e">
        <f t="shared" si="2"/>
        <v>#N/A</v>
      </c>
      <c r="CQ11" s="46" t="e">
        <f t="shared" si="2"/>
        <v>#N/A</v>
      </c>
      <c r="CR11" s="46" t="e">
        <f t="shared" si="2"/>
        <v>#N/A</v>
      </c>
      <c r="CS11" s="46" t="e">
        <f t="shared" si="2"/>
        <v>#N/A</v>
      </c>
      <c r="CT11" s="46" t="e">
        <f t="shared" ref="CT11:CZ11" si="3">SUM(CT6:CT9)</f>
        <v>#N/A</v>
      </c>
      <c r="CU11" s="46" t="e">
        <f t="shared" si="3"/>
        <v>#N/A</v>
      </c>
      <c r="CV11" s="46" t="e">
        <f t="shared" si="3"/>
        <v>#N/A</v>
      </c>
      <c r="CW11" s="46" t="e">
        <f t="shared" si="3"/>
        <v>#N/A</v>
      </c>
      <c r="CX11" s="46" t="e">
        <f t="shared" si="3"/>
        <v>#N/A</v>
      </c>
      <c r="CY11" s="46" t="e">
        <f t="shared" si="3"/>
        <v>#N/A</v>
      </c>
      <c r="CZ11" s="46" t="e">
        <f t="shared" si="3"/>
        <v>#N/A</v>
      </c>
    </row>
    <row r="12" spans="1:104" s="46" customFormat="1" x14ac:dyDescent="0.2">
      <c r="A12" s="5"/>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49"/>
      <c r="CA12" s="49"/>
      <c r="CB12" s="49"/>
      <c r="CC12" s="49"/>
      <c r="CD12" s="49"/>
      <c r="CE12" s="49"/>
      <c r="CF12" s="49"/>
      <c r="CG12" s="49"/>
      <c r="CH12" s="49"/>
      <c r="CI12" s="49"/>
      <c r="CJ12" s="49"/>
      <c r="CK12" s="49"/>
      <c r="CL12" s="49"/>
      <c r="CM12" s="49"/>
      <c r="CN12" s="49"/>
      <c r="CO12" s="49"/>
      <c r="CP12" s="49"/>
      <c r="CQ12" s="49"/>
      <c r="CR12" s="49"/>
      <c r="CS12" s="49"/>
      <c r="CT12" s="49"/>
      <c r="CU12" s="49"/>
      <c r="CV12" s="49"/>
      <c r="CW12" s="49"/>
      <c r="CX12" s="49"/>
      <c r="CY12" s="49"/>
      <c r="CZ12" s="49"/>
    </row>
    <row r="13" spans="1:104" s="48" customFormat="1" ht="15" x14ac:dyDescent="0.35">
      <c r="A13" s="5" t="s">
        <v>12</v>
      </c>
      <c r="B13" s="59" t="e">
        <f>INDEX('BalSht Data'!H$1:H$2999,MATCH(B$1,'BalSht Data'!A$2:A$2051,0)+MATCH(A13,'BalSht Data'!G$2:G$2051,0))</f>
        <v>#N/A</v>
      </c>
      <c r="C13" s="59" t="e">
        <f>INDEX('BalSht Data'!H$1:H$2999,MATCH(C$1,'BalSht Data'!A$2:A$2051,0)+MATCH(A13,'BalSht Data'!G$2:G$2051,0))</f>
        <v>#N/A</v>
      </c>
      <c r="D13" s="59" t="e">
        <f>INDEX('BalSht Data'!H$1:H$2999,MATCH(D$1,'BalSht Data'!A$2:A$2051,0)+MATCH(A13,'BalSht Data'!G$2:G$2051,0))</f>
        <v>#N/A</v>
      </c>
      <c r="E13" s="59" t="e">
        <f>INDEX('BalSht Data'!H$1:H$2999,MATCH(E$1,'BalSht Data'!A$2:A$2051,0)+MATCH(A13,'BalSht Data'!G$2:G$2051,0))</f>
        <v>#N/A</v>
      </c>
      <c r="F13" s="59" t="e">
        <f>INDEX('BalSht Data'!H$1:H$2999,MATCH(F$1,'BalSht Data'!A$2:A$2051,0)+MATCH(A13,'BalSht Data'!G$2:G$2051,0))</f>
        <v>#N/A</v>
      </c>
      <c r="G13" s="59" t="e">
        <f>INDEX('BalSht Data'!H$1:H$2999,MATCH(G$1,'BalSht Data'!A$2:A$2051,0)+MATCH(A13,'BalSht Data'!G$2:G$2051,0))</f>
        <v>#N/A</v>
      </c>
      <c r="H13" s="59" t="e">
        <f>INDEX('BalSht Data'!H$1:H$2999,MATCH(H$1,'BalSht Data'!A$2:A$2051,0)+MATCH(A13,'BalSht Data'!G$2:G$2051,0))</f>
        <v>#N/A</v>
      </c>
      <c r="I13" s="59" t="e">
        <f>INDEX('BalSht Data'!H$1:H$2999,MATCH(I$1,'BalSht Data'!A$2:A$2051,0)+MATCH(A13,'BalSht Data'!G$2:G$2051,0))</f>
        <v>#N/A</v>
      </c>
      <c r="J13" s="59" t="e">
        <f>INDEX('BalSht Data'!H$1:H$2999,MATCH(J$1,'BalSht Data'!A$2:A$2051,0)+MATCH(A13,'BalSht Data'!G$2:G$2051,0))</f>
        <v>#N/A</v>
      </c>
      <c r="K13" s="59" t="e">
        <f>INDEX('BalSht Data'!H$1:H$2999,MATCH(K$1,'BalSht Data'!A$2:A$2051,0)+MATCH(A13,'BalSht Data'!G$2:G$2051,0))</f>
        <v>#N/A</v>
      </c>
      <c r="L13" s="59" t="e">
        <f>INDEX('BalSht Data'!H$1:H$2999,MATCH(L$1,'BalSht Data'!A$2:A$2051,0)+MATCH(A13,'BalSht Data'!G$2:G$2051,0))</f>
        <v>#N/A</v>
      </c>
      <c r="M13" s="59" t="e">
        <f>INDEX('BalSht Data'!H$1:H$2999,MATCH(M$1,'BalSht Data'!A$2:A$2051,0)+MATCH(A13,'BalSht Data'!G$2:G$2051,0))</f>
        <v>#N/A</v>
      </c>
      <c r="N13" s="59" t="e">
        <f>INDEX('BalSht Data'!H$1:H$2999,MATCH(N$1,'BalSht Data'!A$2:A$2051,0)+MATCH(A13,'BalSht Data'!G$2:G$2051,0))</f>
        <v>#N/A</v>
      </c>
      <c r="O13" s="59" t="e">
        <f>INDEX('BalSht Data'!H$1:H$2999,MATCH(O$1,'BalSht Data'!A$2:A$2051,0)+MATCH(A13,'BalSht Data'!G$2:G$2051,0))</f>
        <v>#N/A</v>
      </c>
      <c r="P13" s="59" t="e">
        <f>INDEX('BalSht Data'!H$1:H$2999,MATCH(P$1,'BalSht Data'!A$2:A$2051,0)+MATCH(A13,'BalSht Data'!G$2:G$2051,0))</f>
        <v>#N/A</v>
      </c>
      <c r="Q13" s="59" t="e">
        <f>INDEX('BalSht Data'!H$1:H$2999,MATCH(Q$1,'BalSht Data'!A$2:A$2051,0)+MATCH(A13,'BalSht Data'!G$2:G$2051,0))</f>
        <v>#N/A</v>
      </c>
      <c r="R13" s="59" t="e">
        <f>INDEX('BalSht Data'!H$1:H$2999,MATCH(R$1,'BalSht Data'!A$2:A$2051,0)+MATCH(A13,'BalSht Data'!G$2:G$2051,0))</f>
        <v>#N/A</v>
      </c>
      <c r="S13" s="59" t="e">
        <f>INDEX('BalSht Data'!H$1:H$2999,MATCH(S$1,'BalSht Data'!A$2:A$2051,0)+MATCH(A13,'BalSht Data'!G$2:G$2051,0))</f>
        <v>#N/A</v>
      </c>
      <c r="T13" s="59" t="e">
        <f>INDEX('BalSht Data'!H$1:H$2999,MATCH(T$1,'BalSht Data'!A$2:A$2051,0)+MATCH(A13,'BalSht Data'!G$2:G$2051,0))</f>
        <v>#N/A</v>
      </c>
      <c r="U13" s="59" t="e">
        <f>INDEX('BalSht Data'!H$1:H$2999,MATCH(U$1,'BalSht Data'!A$2:A$2051,0)+MATCH(A13,'BalSht Data'!G$2:G$2051,0))</f>
        <v>#N/A</v>
      </c>
      <c r="V13" s="59" t="e">
        <f>INDEX('BalSht Data'!H$1:H$2999,MATCH(V$1,'BalSht Data'!A$2:A$2051,0)+MATCH(A13,'BalSht Data'!G$2:G$2051,0))</f>
        <v>#N/A</v>
      </c>
      <c r="W13" s="59" t="e">
        <f>INDEX('BalSht Data'!H$1:H$2999,MATCH(W$1,'BalSht Data'!A$2:A$2051,0)+MATCH(A13,'BalSht Data'!G$2:G$2051,0))</f>
        <v>#N/A</v>
      </c>
      <c r="X13" s="59" t="e">
        <f>INDEX('BalSht Data'!H$1:H$2999,MATCH(X$1,'BalSht Data'!A$2:A$2051,0)+MATCH(A13,'BalSht Data'!G$2:G$2051,0))</f>
        <v>#N/A</v>
      </c>
      <c r="Y13" s="59" t="e">
        <f>INDEX('BalSht Data'!H$1:H$2999,MATCH(Y$1,'BalSht Data'!A$2:A$2051,0)+MATCH(A13,'BalSht Data'!G$2:G$2051,0))</f>
        <v>#N/A</v>
      </c>
      <c r="Z13" s="59" t="e">
        <f>INDEX('BalSht Data'!H$1:H$2999,MATCH(Z$1,'BalSht Data'!A$2:A$2051,0)+MATCH(A13,'BalSht Data'!G$2:G$2051,0))</f>
        <v>#N/A</v>
      </c>
      <c r="AA13" s="59" t="e">
        <f>INDEX('BalSht Data'!H$1:H$2999,MATCH(AA$1,'BalSht Data'!A$2:A$2051,0)+MATCH(A13,'BalSht Data'!G$2:G$2051,0))</f>
        <v>#N/A</v>
      </c>
      <c r="AB13" s="59" t="e">
        <f>INDEX('BalSht Data'!H$1:H$2999,MATCH(AB$1,'BalSht Data'!A$2:A$2051,0)+MATCH(A13,'BalSht Data'!G$2:G$2051,0))</f>
        <v>#N/A</v>
      </c>
      <c r="AC13" s="59" t="e">
        <f>INDEX('BalSht Data'!H$1:H$2999,MATCH(AC$1,'BalSht Data'!A$2:A$2051,0)+MATCH(A13,'BalSht Data'!G$2:G$2051,0))</f>
        <v>#N/A</v>
      </c>
      <c r="AD13" s="59" t="e">
        <f>INDEX('BalSht Data'!H$1:H$2999,MATCH(AD$1,'BalSht Data'!A$2:A$2051,0)+MATCH(A13,'BalSht Data'!G$2:G$2051,0))</f>
        <v>#N/A</v>
      </c>
      <c r="AE13" s="59" t="e">
        <f>INDEX('BalSht Data'!H$1:H$2999,MATCH(AE$1,'BalSht Data'!A$2:A$2051,0)+MATCH(A13,'BalSht Data'!G$2:G$2051,0))</f>
        <v>#N/A</v>
      </c>
      <c r="AF13" s="59" t="e">
        <f>INDEX('BalSht Data'!H$1:H$2999,MATCH(AF$1,'BalSht Data'!A$2:A$2051,0)+MATCH(A13,'BalSht Data'!G$2:G$2051,0))</f>
        <v>#N/A</v>
      </c>
      <c r="AG13" s="59" t="e">
        <f>INDEX('BalSht Data'!H$1:H$2999,MATCH(AG$1,'BalSht Data'!A$2:A$2051,0)+MATCH(A13,'BalSht Data'!G$2:G$2051,0))</f>
        <v>#N/A</v>
      </c>
      <c r="AH13" s="59" t="e">
        <f>INDEX('BalSht Data'!H$1:H$2999,MATCH(AH$1,'BalSht Data'!A$2:A$2051,0)+MATCH(A13,'BalSht Data'!G$2:G$2051,0))</f>
        <v>#N/A</v>
      </c>
      <c r="AI13" s="59" t="e">
        <f>INDEX('BalSht Data'!H$1:H$2999,MATCH(AI$1,'BalSht Data'!A$2:A$2051,0)+MATCH(A13,'BalSht Data'!G$2:G$2051,0))</f>
        <v>#N/A</v>
      </c>
      <c r="AJ13" s="59" t="e">
        <f>INDEX('BalSht Data'!H$1:H$2999,MATCH(AJ$1,'BalSht Data'!A$2:A$2051,0)+MATCH(A13,'BalSht Data'!G$2:G$2051,0))</f>
        <v>#N/A</v>
      </c>
      <c r="AK13" s="59" t="e">
        <f>INDEX('BalSht Data'!H$1:H$2999,MATCH(AK$1,'BalSht Data'!A$2:A$2051,0)+MATCH(A13,'BalSht Data'!G$2:G$2051,0))</f>
        <v>#N/A</v>
      </c>
      <c r="AL13" s="59">
        <f>INDEX('BalSht Data'!H$1:H$2999,MATCH(AL$1,'BalSht Data'!A$2:A$2051,0)+MATCH(A13,'BalSht Data'!G$2:G$2051,0))</f>
        <v>0</v>
      </c>
      <c r="AM13" s="59">
        <f>INDEX('BalSht Data'!H$1:H$2999,MATCH(AM$1,'BalSht Data'!A$2:A$2051,0)+MATCH(A13,'BalSht Data'!G$2:G$2051,0))</f>
        <v>0</v>
      </c>
      <c r="AN13" s="59">
        <f>INDEX('BalSht Data'!H$1:H$2999,MATCH(AN$1,'BalSht Data'!A$2:A$2051,0)+MATCH(A13,'BalSht Data'!G$2:G$2051,0))</f>
        <v>0</v>
      </c>
      <c r="AO13" s="59">
        <f>INDEX('BalSht Data'!H$1:H$2999,MATCH(AO$1,'BalSht Data'!A$2:A$2051,0)+MATCH(A13,'BalSht Data'!G$2:G$2051,0))</f>
        <v>0</v>
      </c>
      <c r="AP13" s="59" t="e">
        <f>INDEX('BalSht Data'!H$1:H$2999,MATCH(AP$1,'BalSht Data'!A$2:A$2051,0)+MATCH(A13,'BalSht Data'!G$2:G$2051,0))</f>
        <v>#N/A</v>
      </c>
      <c r="AQ13" s="59" t="e">
        <f>INDEX('BalSht Data'!H$1:H$2999,MATCH(AQ$1,'BalSht Data'!A$2:A$2051,0)+MATCH(A13,'BalSht Data'!G$2:G$2051,0))</f>
        <v>#N/A</v>
      </c>
      <c r="AR13" s="59" t="e">
        <f>INDEX('BalSht Data'!H$1:H$2999,MATCH(AR$1,'BalSht Data'!A$2:A$2051,0)+MATCH(A13,'BalSht Data'!G$2:G$2051,0))</f>
        <v>#N/A</v>
      </c>
      <c r="AS13" s="59" t="e">
        <f>INDEX('BalSht Data'!H$1:H$2999,MATCH(AS$1,'BalSht Data'!A$2:A$2051,0)+MATCH(A13,'BalSht Data'!G$2:G$2051,0))</f>
        <v>#N/A</v>
      </c>
      <c r="AT13" s="59" t="e">
        <f>INDEX('BalSht Data'!H$1:H$2999,MATCH(AT$1,'BalSht Data'!A$2:A$2051,0)+MATCH(A13,'BalSht Data'!G$2:G$2051,0))</f>
        <v>#N/A</v>
      </c>
      <c r="AU13" s="59" t="e">
        <f>INDEX('BalSht Data'!H$1:H$2999,MATCH(AU$1,'BalSht Data'!A$2:A$2051,0)+MATCH(A13,'BalSht Data'!G$2:G$2051,0))</f>
        <v>#N/A</v>
      </c>
      <c r="AV13" s="59" t="e">
        <f>INDEX('BalSht Data'!H$1:H$2999,MATCH(AV$1,'BalSht Data'!A$2:A$2051,0)+MATCH(A13,'BalSht Data'!G$2:G$2051,0))</f>
        <v>#N/A</v>
      </c>
      <c r="AW13" s="59" t="e">
        <f>INDEX('BalSht Data'!H$1:H$2999,MATCH(AW$1,'BalSht Data'!A$2:A$2051,0)+MATCH(A13,'BalSht Data'!G$2:G$2051,0))</f>
        <v>#N/A</v>
      </c>
      <c r="AX13" s="59" t="e">
        <f>INDEX('BalSht Data'!H$1:H$2999,MATCH(AX$1,'BalSht Data'!A$2:A$2051,0)+MATCH(A13,'BalSht Data'!G$2:G$2051,0))</f>
        <v>#N/A</v>
      </c>
      <c r="AY13" s="59" t="e">
        <f>INDEX('BalSht Data'!H$1:H$2999,MATCH(AY$1,'BalSht Data'!A$2:A$2051,0)+MATCH(A13,'BalSht Data'!G$2:G$2051,0))</f>
        <v>#N/A</v>
      </c>
      <c r="AZ13" s="59" t="e">
        <f>INDEX('BalSht Data'!H$1:H$2999,MATCH(AZ$1,'BalSht Data'!A$2:A$2051,0)+MATCH(A13,'BalSht Data'!G$2:G$2051,0))</f>
        <v>#N/A</v>
      </c>
      <c r="BA13" s="59" t="e">
        <f>INDEX('BalSht Data'!H$1:H$2999,MATCH(BA$1,'BalSht Data'!A$2:A$2051,0)+MATCH(A13,'BalSht Data'!G$2:G$2051,0))</f>
        <v>#N/A</v>
      </c>
      <c r="BB13" s="59" t="e">
        <f>INDEX('BalSht Data'!H$1:H$2999,MATCH(BB$1,'BalSht Data'!A$2:A$2051,0)+MATCH(A13,'BalSht Data'!G$2:G$2051,0))</f>
        <v>#N/A</v>
      </c>
      <c r="BC13" s="59" t="e">
        <f>INDEX('BalSht Data'!H$1:H$2999,MATCH(BC$1,'BalSht Data'!A$2:A$2051,0)+MATCH(A13,'BalSht Data'!G$2:G$2051,0))</f>
        <v>#N/A</v>
      </c>
      <c r="BD13" s="59" t="e">
        <f>INDEX('BalSht Data'!H$1:H$2999,MATCH(BD$1,'BalSht Data'!A$2:A$2051,0)+MATCH(A13,'BalSht Data'!G$2:G$2051,0))</f>
        <v>#N/A</v>
      </c>
      <c r="BE13" s="59" t="e">
        <f>INDEX('BalSht Data'!H$1:H$2999,MATCH(BE$1,'BalSht Data'!A$2:A$2051,0)+MATCH(A13,'BalSht Data'!G$2:G$2051,0))</f>
        <v>#N/A</v>
      </c>
      <c r="BF13" s="59" t="e">
        <f>INDEX('BalSht Data'!H$1:H$2999,MATCH(BF$1,'BalSht Data'!A$2:A$2051,0)+MATCH(A13,'BalSht Data'!G$2:G$2051,0))</f>
        <v>#N/A</v>
      </c>
      <c r="BG13" s="59" t="e">
        <f>INDEX('BalSht Data'!H$1:H$2999,MATCH(BG$1,'BalSht Data'!A$2:A$2051,0)+MATCH(A13,'BalSht Data'!G$2:G$2051,0))</f>
        <v>#N/A</v>
      </c>
      <c r="BH13" s="59" t="e">
        <f>INDEX('BalSht Data'!H$1:H$2999,MATCH(BH$1,'BalSht Data'!A$2:A$2051,0)+MATCH(A13,'BalSht Data'!G$2:G$2051,0))</f>
        <v>#N/A</v>
      </c>
      <c r="BI13" s="59" t="e">
        <f>INDEX('BalSht Data'!H$1:H$2999,MATCH(BI$1,'BalSht Data'!A$2:A$2051,0)+MATCH(A13,'BalSht Data'!G$2:G$2051,0))</f>
        <v>#N/A</v>
      </c>
      <c r="BJ13" s="59" t="e">
        <f>INDEX('BalSht Data'!H$1:H$2999,MATCH(BJ$1,'BalSht Data'!A$2:A$2051,0)+MATCH(A13,'BalSht Data'!G$2:G$2051,0))</f>
        <v>#N/A</v>
      </c>
      <c r="BK13" s="59" t="e">
        <f>INDEX('BalSht Data'!H$1:H$2999,MATCH(BK$1,'BalSht Data'!A$2:A$2051,0)+MATCH(A13,'BalSht Data'!G$2:G$2051,0))</f>
        <v>#N/A</v>
      </c>
      <c r="BL13" s="59" t="e">
        <f>INDEX('BalSht Data'!H$1:H$2999,MATCH(BL$1,'BalSht Data'!A$2:A$2051,0)+MATCH(A13,'BalSht Data'!G$2:G$2051,0))</f>
        <v>#N/A</v>
      </c>
      <c r="BM13" s="59" t="e">
        <f>INDEX('BalSht Data'!H$1:H$2999,MATCH(BM$1,'BalSht Data'!A$2:A$2051,0)+MATCH(A13,'BalSht Data'!G$2:G$2051,0))</f>
        <v>#N/A</v>
      </c>
      <c r="BN13" s="59" t="e">
        <f>INDEX('BalSht Data'!H$1:H$2999,MATCH(BN$1,'BalSht Data'!A$2:A$2051,0)+MATCH(A13,'BalSht Data'!G$2:G$2051,0))</f>
        <v>#N/A</v>
      </c>
      <c r="BO13" s="59" t="e">
        <f>INDEX('BalSht Data'!H$1:H$2999,MATCH(BO$1,'BalSht Data'!A$2:A$2051,0)+MATCH(A13,'BalSht Data'!G$2:G$2051,0))</f>
        <v>#N/A</v>
      </c>
      <c r="BP13" s="59" t="e">
        <f>INDEX('BalSht Data'!H$1:H$2999,MATCH(BP$1,'BalSht Data'!A$2:A$2051,0)+MATCH(A13,'BalSht Data'!G$2:G$2051,0))</f>
        <v>#N/A</v>
      </c>
      <c r="BQ13" s="59" t="e">
        <f>INDEX('BalSht Data'!H$1:H$2999,MATCH(BQ$1,'BalSht Data'!A$2:A$2051,0)+MATCH(A13,'BalSht Data'!G$2:G$2051,0))</f>
        <v>#N/A</v>
      </c>
      <c r="BR13" s="59" t="e">
        <f>INDEX('BalSht Data'!H$1:H$2999,MATCH(BR$1,'BalSht Data'!A$2:A$2051,0)+MATCH(A13,'BalSht Data'!G$2:G$2051,0))</f>
        <v>#N/A</v>
      </c>
      <c r="BS13" s="59" t="e">
        <f>INDEX('BalSht Data'!H$1:H$2999,MATCH(BS$1,'BalSht Data'!A$2:A$2051,0)+MATCH(A13,'BalSht Data'!G$2:G$2051,0))</f>
        <v>#N/A</v>
      </c>
      <c r="BT13" s="59" t="e">
        <f>INDEX('BalSht Data'!H$1:H$2999,MATCH(BT$1,'BalSht Data'!A$2:A$2051,0)+MATCH(A13,'BalSht Data'!G$2:G$2051,0))</f>
        <v>#N/A</v>
      </c>
      <c r="BU13" s="59" t="e">
        <f>INDEX('BalSht Data'!H$1:H$2999,MATCH(BU$1,'BalSht Data'!A$2:A$2051,0)+MATCH(A13,'BalSht Data'!G$2:G$2051,0))</f>
        <v>#N/A</v>
      </c>
      <c r="BV13" s="59" t="e">
        <f>INDEX('BalSht Data'!H$1:H$2999,MATCH(BV$1,'BalSht Data'!A$2:A$2051,0)+MATCH(A13,'BalSht Data'!G$2:G$2051,0))</f>
        <v>#N/A</v>
      </c>
      <c r="BW13" s="59" t="e">
        <f>INDEX('BalSht Data'!H$1:H$2999,MATCH(BW$1,'BalSht Data'!A$2:A$2051,0)+MATCH(A13,'BalSht Data'!G$2:G$2051,0))</f>
        <v>#N/A</v>
      </c>
      <c r="BX13" s="59" t="e">
        <f>INDEX('BalSht Data'!H$1:H$2999,MATCH(BX$1,'BalSht Data'!A$2:A$2051,0)+MATCH(A13,'BalSht Data'!G$2:G$2051,0))</f>
        <v>#N/A</v>
      </c>
      <c r="BY13" s="59" t="e">
        <f>INDEX('BalSht Data'!H$1:H$2999,MATCH(BY$1,'BalSht Data'!A$2:A$2051,0)+MATCH(A13,'BalSht Data'!G$2:G$2051,0))</f>
        <v>#N/A</v>
      </c>
      <c r="BZ13" s="59" t="e">
        <f>INDEX('BalSht Data'!H$1:H$2999,MATCH(BZ$1,'BalSht Data'!A$2:A$2051,0)+MATCH(A13,'BalSht Data'!G$2:G$2051,0))</f>
        <v>#N/A</v>
      </c>
      <c r="CA13" s="59" t="e">
        <f>INDEX('BalSht Data'!H$1:H$2999,MATCH(CA$1,'BalSht Data'!A$2:A$2051,0)+MATCH(A13,'BalSht Data'!G$2:G$2051,0))</f>
        <v>#N/A</v>
      </c>
      <c r="CB13" s="59" t="e">
        <f>INDEX('BalSht Data'!H$1:H$2999,MATCH(CB$1,'BalSht Data'!A$2:A$2051,0)+MATCH(A13,'BalSht Data'!G$2:G$2051,0))</f>
        <v>#N/A</v>
      </c>
      <c r="CC13" s="59" t="e">
        <f>INDEX('BalSht Data'!H$1:H$2999,MATCH(CC$1,'BalSht Data'!A$2:A$2051,0)+MATCH(A13,'BalSht Data'!G$2:G$2051,0))</f>
        <v>#N/A</v>
      </c>
      <c r="CD13" s="59" t="e">
        <f>INDEX('BalSht Data'!H$1:H$2999,MATCH(CD$1,'BalSht Data'!A$2:A$2051,0)+MATCH(A13,'BalSht Data'!G$2:G$2051,0))</f>
        <v>#N/A</v>
      </c>
      <c r="CE13" s="59" t="e">
        <f>INDEX('BalSht Data'!H$1:H$2999,MATCH(CE$1,'BalSht Data'!A$2:A$2051,0)+MATCH(A13,'BalSht Data'!G$2:G$2051,0))</f>
        <v>#N/A</v>
      </c>
      <c r="CF13" s="59" t="e">
        <f>INDEX('BalSht Data'!H$1:H$2999,MATCH(CF$1,'BalSht Data'!A$2:A$2051,0)+MATCH(A13,'BalSht Data'!G$2:G$2051,0))</f>
        <v>#N/A</v>
      </c>
      <c r="CG13" s="59" t="e">
        <f>INDEX('BalSht Data'!H$1:H$2999,MATCH(CG$1,'BalSht Data'!A$2:A$2051,0)+MATCH(A13,'BalSht Data'!G$2:G$2051,0))</f>
        <v>#N/A</v>
      </c>
      <c r="CH13" s="59" t="e">
        <f>INDEX('BalSht Data'!H$1:H$2999,MATCH(CH$1,'BalSht Data'!A$2:A$2051,0)+MATCH(A13,'BalSht Data'!G$2:G$2051,0))</f>
        <v>#N/A</v>
      </c>
      <c r="CI13" s="59" t="e">
        <f>INDEX('BalSht Data'!H$1:H$2999,MATCH(CI$1,'BalSht Data'!A$2:A$2051,0)+MATCH(A13,'BalSht Data'!G$2:G$2051,0))</f>
        <v>#N/A</v>
      </c>
      <c r="CJ13" s="59" t="e">
        <f>INDEX('BalSht Data'!H$1:H$2999,MATCH(CJ$1,'BalSht Data'!A$2:A$2051,0)+MATCH(A13,'BalSht Data'!G$2:G$2051,0))</f>
        <v>#N/A</v>
      </c>
      <c r="CK13" s="59" t="e">
        <f>INDEX('BalSht Data'!H$1:H$2999,MATCH(CK$1,'BalSht Data'!A$2:A$2051,0)+MATCH(A13,'BalSht Data'!G$2:G$2051,0))</f>
        <v>#N/A</v>
      </c>
      <c r="CL13" s="59" t="e">
        <f>INDEX('BalSht Data'!H$1:H$2999,MATCH(CL$1,'BalSht Data'!A$2:A$2051,0)+MATCH(A13,'BalSht Data'!G$2:G$2051,0))</f>
        <v>#N/A</v>
      </c>
      <c r="CM13" s="59" t="e">
        <f>INDEX('BalSht Data'!H$1:H$2999,MATCH(CM$1,'BalSht Data'!A$2:A$2051,0)+MATCH(A13,'BalSht Data'!G$2:G$2051,0))</f>
        <v>#N/A</v>
      </c>
      <c r="CN13" s="59" t="e">
        <f>INDEX('BalSht Data'!H$1:H$2999,MATCH(CN$1,'BalSht Data'!A$2:A$2051,0)+MATCH(A13,'BalSht Data'!G$2:G$2051,0))</f>
        <v>#N/A</v>
      </c>
      <c r="CO13" s="59" t="e">
        <f>INDEX('BalSht Data'!H$1:H$2999,MATCH(CO$1,'BalSht Data'!A$2:A$2051,0)+MATCH(A13,'BalSht Data'!G$2:G$2051,0))</f>
        <v>#N/A</v>
      </c>
      <c r="CP13" s="59" t="e">
        <f>INDEX('BalSht Data'!H$1:H$2999,MATCH(CP$1,'BalSht Data'!A$2:A$2051,0)+MATCH(A13,'BalSht Data'!G$2:G$2051,0))</f>
        <v>#N/A</v>
      </c>
      <c r="CQ13" s="59" t="e">
        <f>INDEX('BalSht Data'!H$1:H$2999,MATCH(CQ$1,'BalSht Data'!A$2:A$2051,0)+MATCH(A13,'BalSht Data'!G$2:G$2051,0))</f>
        <v>#N/A</v>
      </c>
      <c r="CR13" s="59" t="e">
        <f>INDEX('BalSht Data'!H$1:H$2999,MATCH(CR$1,'BalSht Data'!A$2:A$2051,0)+MATCH(A13,'BalSht Data'!G$2:G$2051,0))</f>
        <v>#N/A</v>
      </c>
      <c r="CS13" s="59" t="e">
        <f>INDEX('BalSht Data'!H$1:H$2999,MATCH(CS$1,'BalSht Data'!A$2:A$2051,0)+MATCH(A13,'BalSht Data'!G$2:G$2051,0))</f>
        <v>#N/A</v>
      </c>
      <c r="CT13" s="59" t="e">
        <f>INDEX('BalSht Data'!H$1:H$2999,MATCH(CT$1,'BalSht Data'!A$2:A$2051,0)+MATCH(A13,'BalSht Data'!G$2:G$2051,0))</f>
        <v>#N/A</v>
      </c>
      <c r="CU13" s="59" t="e">
        <f>INDEX('BalSht Data'!H$1:H$2999,MATCH(CU$1,'BalSht Data'!A$2:A$2051,0)+MATCH(A13,'BalSht Data'!G$2:G$2051,0))</f>
        <v>#N/A</v>
      </c>
      <c r="CV13" s="59" t="e">
        <f>INDEX('BalSht Data'!H$1:H$2999,MATCH(CV$1,'BalSht Data'!A$2:A$2051,0)+MATCH(A13,'BalSht Data'!G$2:G$2051,0))</f>
        <v>#N/A</v>
      </c>
      <c r="CW13" s="59" t="e">
        <f>INDEX('BalSht Data'!H$1:H$2999,MATCH(CW$1,'BalSht Data'!A$2:A$2051,0)+MATCH(A13,'BalSht Data'!G$2:G$2051,0))</f>
        <v>#N/A</v>
      </c>
      <c r="CX13" s="59" t="e">
        <f>INDEX('BalSht Data'!H$1:H$2999,MATCH(CX$1,'BalSht Data'!A$2:A$2051,0)+MATCH(A13,'BalSht Data'!G$2:G$2051,0))</f>
        <v>#N/A</v>
      </c>
      <c r="CY13" s="59" t="e">
        <f>INDEX('BalSht Data'!H$1:H$2999,MATCH(CY$1,'BalSht Data'!A$2:A$2051,0)+MATCH(A13,'BalSht Data'!G$2:G$2051,0))</f>
        <v>#N/A</v>
      </c>
      <c r="CZ13" s="59" t="e">
        <f>INDEX('BalSht Data'!H$1:H$2999,MATCH(CZ$1,'BalSht Data'!A$2:A$2051,0)+MATCH(A13,'BalSht Data'!G$2:G$2051,0))</f>
        <v>#N/A</v>
      </c>
    </row>
    <row r="14" spans="1:104" s="46" customFormat="1" x14ac:dyDescent="0.2">
      <c r="A14" s="5"/>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c r="CJ14" s="49"/>
      <c r="CK14" s="49"/>
      <c r="CL14" s="49"/>
      <c r="CM14" s="49"/>
      <c r="CN14" s="49"/>
      <c r="CO14" s="49"/>
      <c r="CP14" s="49"/>
      <c r="CQ14" s="49"/>
      <c r="CR14" s="49"/>
      <c r="CS14" s="49"/>
      <c r="CT14" s="49"/>
      <c r="CU14" s="49"/>
      <c r="CV14" s="49"/>
      <c r="CW14" s="49"/>
      <c r="CX14" s="49"/>
      <c r="CY14" s="49"/>
      <c r="CZ14" s="49"/>
    </row>
    <row r="15" spans="1:104" s="46" customFormat="1" x14ac:dyDescent="0.2">
      <c r="A15" s="5" t="s">
        <v>147</v>
      </c>
      <c r="B15" s="46" t="e">
        <f>+SUM(B11:B13)</f>
        <v>#N/A</v>
      </c>
      <c r="C15" s="46" t="e">
        <f>+SUM(C11:C13)</f>
        <v>#N/A</v>
      </c>
      <c r="D15" s="46" t="e">
        <f t="shared" ref="D15:BN15" si="4">+SUM(D11:D13)</f>
        <v>#N/A</v>
      </c>
      <c r="E15" s="46" t="e">
        <f t="shared" si="4"/>
        <v>#N/A</v>
      </c>
      <c r="F15" s="46" t="e">
        <f t="shared" si="4"/>
        <v>#N/A</v>
      </c>
      <c r="G15" s="46" t="e">
        <f t="shared" si="4"/>
        <v>#N/A</v>
      </c>
      <c r="H15" s="46" t="e">
        <f t="shared" si="4"/>
        <v>#N/A</v>
      </c>
      <c r="I15" s="46" t="e">
        <f t="shared" si="4"/>
        <v>#N/A</v>
      </c>
      <c r="J15" s="46" t="e">
        <f t="shared" si="4"/>
        <v>#N/A</v>
      </c>
      <c r="K15" s="46" t="e">
        <f t="shared" si="4"/>
        <v>#N/A</v>
      </c>
      <c r="L15" s="46" t="e">
        <f t="shared" si="4"/>
        <v>#N/A</v>
      </c>
      <c r="M15" s="46" t="e">
        <f t="shared" si="4"/>
        <v>#N/A</v>
      </c>
      <c r="N15" s="46" t="e">
        <f t="shared" si="4"/>
        <v>#N/A</v>
      </c>
      <c r="O15" s="46" t="e">
        <f t="shared" si="4"/>
        <v>#N/A</v>
      </c>
      <c r="P15" s="46" t="e">
        <f t="shared" si="4"/>
        <v>#N/A</v>
      </c>
      <c r="Q15" s="46" t="e">
        <f t="shared" si="4"/>
        <v>#N/A</v>
      </c>
      <c r="R15" s="46" t="e">
        <f t="shared" si="4"/>
        <v>#N/A</v>
      </c>
      <c r="S15" s="46" t="e">
        <f t="shared" si="4"/>
        <v>#N/A</v>
      </c>
      <c r="T15" s="46" t="e">
        <f t="shared" si="4"/>
        <v>#N/A</v>
      </c>
      <c r="U15" s="46" t="e">
        <f t="shared" si="4"/>
        <v>#N/A</v>
      </c>
      <c r="V15" s="46" t="e">
        <f t="shared" si="4"/>
        <v>#N/A</v>
      </c>
      <c r="W15" s="46" t="e">
        <f t="shared" si="4"/>
        <v>#N/A</v>
      </c>
      <c r="X15" s="46" t="e">
        <f t="shared" si="4"/>
        <v>#N/A</v>
      </c>
      <c r="Y15" s="46" t="e">
        <f t="shared" si="4"/>
        <v>#N/A</v>
      </c>
      <c r="Z15" s="46" t="e">
        <f t="shared" si="4"/>
        <v>#N/A</v>
      </c>
      <c r="AA15" s="46" t="e">
        <f t="shared" si="4"/>
        <v>#N/A</v>
      </c>
      <c r="AB15" s="46" t="e">
        <f t="shared" si="4"/>
        <v>#N/A</v>
      </c>
      <c r="AC15" s="46" t="e">
        <f t="shared" si="4"/>
        <v>#N/A</v>
      </c>
      <c r="AD15" s="46" t="e">
        <f t="shared" si="4"/>
        <v>#N/A</v>
      </c>
      <c r="AE15" s="46" t="e">
        <f t="shared" si="4"/>
        <v>#N/A</v>
      </c>
      <c r="AF15" s="46" t="e">
        <f t="shared" si="4"/>
        <v>#N/A</v>
      </c>
      <c r="AG15" s="46" t="e">
        <f t="shared" si="4"/>
        <v>#N/A</v>
      </c>
      <c r="AH15" s="46" t="e">
        <f t="shared" si="4"/>
        <v>#N/A</v>
      </c>
      <c r="AI15" s="46" t="e">
        <f t="shared" si="4"/>
        <v>#N/A</v>
      </c>
      <c r="AJ15" s="46" t="e">
        <f t="shared" si="4"/>
        <v>#N/A</v>
      </c>
      <c r="AK15" s="46" t="e">
        <f t="shared" si="4"/>
        <v>#N/A</v>
      </c>
      <c r="AL15" s="46">
        <f t="shared" si="4"/>
        <v>0</v>
      </c>
      <c r="AM15" s="46">
        <f t="shared" si="4"/>
        <v>0</v>
      </c>
      <c r="AN15" s="46">
        <f t="shared" si="4"/>
        <v>0</v>
      </c>
      <c r="AO15" s="46">
        <f t="shared" si="4"/>
        <v>0</v>
      </c>
      <c r="AP15" s="46" t="e">
        <f t="shared" si="4"/>
        <v>#N/A</v>
      </c>
      <c r="AQ15" s="46" t="e">
        <f t="shared" si="4"/>
        <v>#N/A</v>
      </c>
      <c r="AR15" s="46" t="e">
        <f t="shared" si="4"/>
        <v>#N/A</v>
      </c>
      <c r="AS15" s="46" t="e">
        <f t="shared" si="4"/>
        <v>#N/A</v>
      </c>
      <c r="AT15" s="46" t="e">
        <f t="shared" si="4"/>
        <v>#N/A</v>
      </c>
      <c r="AU15" s="46" t="e">
        <f t="shared" si="4"/>
        <v>#N/A</v>
      </c>
      <c r="AV15" s="46" t="e">
        <f t="shared" si="4"/>
        <v>#N/A</v>
      </c>
      <c r="AW15" s="46" t="e">
        <f t="shared" si="4"/>
        <v>#N/A</v>
      </c>
      <c r="AX15" s="46" t="e">
        <f t="shared" si="4"/>
        <v>#N/A</v>
      </c>
      <c r="AY15" s="46" t="e">
        <f t="shared" si="4"/>
        <v>#N/A</v>
      </c>
      <c r="AZ15" s="46" t="e">
        <f t="shared" si="4"/>
        <v>#N/A</v>
      </c>
      <c r="BA15" s="46" t="e">
        <f t="shared" si="4"/>
        <v>#N/A</v>
      </c>
      <c r="BB15" s="46" t="e">
        <f t="shared" si="4"/>
        <v>#N/A</v>
      </c>
      <c r="BC15" s="46" t="e">
        <f t="shared" si="4"/>
        <v>#N/A</v>
      </c>
      <c r="BD15" s="46" t="e">
        <f t="shared" si="4"/>
        <v>#N/A</v>
      </c>
      <c r="BE15" s="46" t="e">
        <f t="shared" si="4"/>
        <v>#N/A</v>
      </c>
      <c r="BF15" s="46" t="e">
        <f t="shared" si="4"/>
        <v>#N/A</v>
      </c>
      <c r="BG15" s="46" t="e">
        <f t="shared" si="4"/>
        <v>#N/A</v>
      </c>
      <c r="BH15" s="46" t="e">
        <f t="shared" si="4"/>
        <v>#N/A</v>
      </c>
      <c r="BI15" s="46" t="e">
        <f t="shared" si="4"/>
        <v>#N/A</v>
      </c>
      <c r="BJ15" s="46" t="e">
        <f t="shared" si="4"/>
        <v>#N/A</v>
      </c>
      <c r="BK15" s="46" t="e">
        <f t="shared" si="4"/>
        <v>#N/A</v>
      </c>
      <c r="BL15" s="46" t="e">
        <f t="shared" si="4"/>
        <v>#N/A</v>
      </c>
      <c r="BM15" s="46" t="e">
        <f t="shared" si="4"/>
        <v>#N/A</v>
      </c>
      <c r="BN15" s="46" t="e">
        <f t="shared" si="4"/>
        <v>#N/A</v>
      </c>
      <c r="BO15" s="46" t="e">
        <f t="shared" ref="BO15:CZ15" si="5">+SUM(BO11:BO13)</f>
        <v>#N/A</v>
      </c>
      <c r="BP15" s="46" t="e">
        <f t="shared" si="5"/>
        <v>#N/A</v>
      </c>
      <c r="BQ15" s="46" t="e">
        <f t="shared" si="5"/>
        <v>#N/A</v>
      </c>
      <c r="BR15" s="46" t="e">
        <f t="shared" si="5"/>
        <v>#N/A</v>
      </c>
      <c r="BS15" s="46" t="e">
        <f t="shared" si="5"/>
        <v>#N/A</v>
      </c>
      <c r="BT15" s="46" t="e">
        <f t="shared" si="5"/>
        <v>#N/A</v>
      </c>
      <c r="BU15" s="46" t="e">
        <f t="shared" si="5"/>
        <v>#N/A</v>
      </c>
      <c r="BV15" s="46" t="e">
        <f t="shared" si="5"/>
        <v>#N/A</v>
      </c>
      <c r="BW15" s="46" t="e">
        <f t="shared" si="5"/>
        <v>#N/A</v>
      </c>
      <c r="BX15" s="46" t="e">
        <f t="shared" si="5"/>
        <v>#N/A</v>
      </c>
      <c r="BY15" s="46" t="e">
        <f t="shared" si="5"/>
        <v>#N/A</v>
      </c>
      <c r="BZ15" s="46" t="e">
        <f t="shared" si="5"/>
        <v>#N/A</v>
      </c>
      <c r="CA15" s="46" t="e">
        <f t="shared" si="5"/>
        <v>#N/A</v>
      </c>
      <c r="CB15" s="46" t="e">
        <f t="shared" si="5"/>
        <v>#N/A</v>
      </c>
      <c r="CC15" s="46" t="e">
        <f t="shared" si="5"/>
        <v>#N/A</v>
      </c>
      <c r="CD15" s="46" t="e">
        <f t="shared" si="5"/>
        <v>#N/A</v>
      </c>
      <c r="CE15" s="46" t="e">
        <f t="shared" si="5"/>
        <v>#N/A</v>
      </c>
      <c r="CF15" s="46" t="e">
        <f t="shared" si="5"/>
        <v>#N/A</v>
      </c>
      <c r="CG15" s="46" t="e">
        <f t="shared" si="5"/>
        <v>#N/A</v>
      </c>
      <c r="CH15" s="46" t="e">
        <f t="shared" si="5"/>
        <v>#N/A</v>
      </c>
      <c r="CI15" s="46" t="e">
        <f t="shared" si="5"/>
        <v>#N/A</v>
      </c>
      <c r="CJ15" s="46" t="e">
        <f t="shared" si="5"/>
        <v>#N/A</v>
      </c>
      <c r="CK15" s="46" t="e">
        <f t="shared" si="5"/>
        <v>#N/A</v>
      </c>
      <c r="CL15" s="46" t="e">
        <f t="shared" si="5"/>
        <v>#N/A</v>
      </c>
      <c r="CM15" s="46" t="e">
        <f t="shared" si="5"/>
        <v>#N/A</v>
      </c>
      <c r="CN15" s="46" t="e">
        <f t="shared" si="5"/>
        <v>#N/A</v>
      </c>
      <c r="CO15" s="46" t="e">
        <f t="shared" si="5"/>
        <v>#N/A</v>
      </c>
      <c r="CP15" s="46" t="e">
        <f t="shared" si="5"/>
        <v>#N/A</v>
      </c>
      <c r="CQ15" s="46" t="e">
        <f t="shared" si="5"/>
        <v>#N/A</v>
      </c>
      <c r="CR15" s="46" t="e">
        <f t="shared" si="5"/>
        <v>#N/A</v>
      </c>
      <c r="CS15" s="46" t="e">
        <f t="shared" si="5"/>
        <v>#N/A</v>
      </c>
      <c r="CT15" s="46" t="e">
        <f t="shared" si="5"/>
        <v>#N/A</v>
      </c>
      <c r="CU15" s="46" t="e">
        <f t="shared" si="5"/>
        <v>#N/A</v>
      </c>
      <c r="CV15" s="46" t="e">
        <f t="shared" si="5"/>
        <v>#N/A</v>
      </c>
      <c r="CW15" s="46" t="e">
        <f t="shared" si="5"/>
        <v>#N/A</v>
      </c>
      <c r="CX15" s="46" t="e">
        <f t="shared" si="5"/>
        <v>#N/A</v>
      </c>
      <c r="CY15" s="46" t="e">
        <f t="shared" si="5"/>
        <v>#N/A</v>
      </c>
      <c r="CZ15" s="46" t="e">
        <f t="shared" si="5"/>
        <v>#N/A</v>
      </c>
    </row>
    <row r="16" spans="1:104" s="46" customFormat="1" x14ac:dyDescent="0.2">
      <c r="A16" s="3"/>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row>
    <row r="17" spans="1:104" s="46" customFormat="1" x14ac:dyDescent="0.2">
      <c r="A17" s="4" t="s">
        <v>18</v>
      </c>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49"/>
      <c r="CA17" s="49"/>
      <c r="CB17" s="49"/>
      <c r="CC17" s="49"/>
      <c r="CD17" s="49"/>
      <c r="CE17" s="49"/>
      <c r="CF17" s="49"/>
      <c r="CG17" s="49"/>
      <c r="CH17" s="49"/>
      <c r="CI17" s="49"/>
      <c r="CJ17" s="49"/>
      <c r="CK17" s="49"/>
      <c r="CL17" s="49"/>
      <c r="CM17" s="49"/>
      <c r="CN17" s="49"/>
      <c r="CO17" s="49"/>
      <c r="CP17" s="49"/>
      <c r="CQ17" s="49"/>
      <c r="CR17" s="49"/>
      <c r="CS17" s="49"/>
      <c r="CT17" s="49"/>
      <c r="CU17" s="49"/>
      <c r="CV17" s="49"/>
      <c r="CW17" s="49"/>
      <c r="CX17" s="49"/>
      <c r="CY17" s="49"/>
      <c r="CZ17" s="49"/>
    </row>
    <row r="18" spans="1:104" s="46" customFormat="1" x14ac:dyDescent="0.2">
      <c r="A18" s="5" t="s">
        <v>19</v>
      </c>
      <c r="B18" s="49" t="e">
        <f>INDEX('BalSht Data'!H$1:H$2999,MATCH(B$1,'BalSht Data'!A$2:A$2051,0)+MATCH(A18,'BalSht Data'!G$2:G$2051,0))</f>
        <v>#N/A</v>
      </c>
      <c r="C18" s="49" t="e">
        <f>INDEX('BalSht Data'!H$1:H$2999,MATCH(C$1,'BalSht Data'!A$2:A$2051,0)+MATCH(A18,'BalSht Data'!G$2:G$2051,0))</f>
        <v>#N/A</v>
      </c>
      <c r="D18" s="49" t="e">
        <f>INDEX('BalSht Data'!H$1:H$2999,MATCH(D$1,'BalSht Data'!A$2:A$2051,0)+MATCH(A18,'BalSht Data'!G$2:G$2051,0))</f>
        <v>#N/A</v>
      </c>
      <c r="E18" s="49" t="e">
        <f>INDEX('BalSht Data'!H$1:H$2999,MATCH(E$1,'BalSht Data'!A$2:A$2051,0)+MATCH(A18,'BalSht Data'!G$2:G$2051,0))</f>
        <v>#N/A</v>
      </c>
      <c r="F18" s="49" t="e">
        <f>INDEX('BalSht Data'!H$1:H$2999,MATCH(F$1,'BalSht Data'!A$2:A$2051,0)+MATCH(A18,'BalSht Data'!G$2:G$2051,0))</f>
        <v>#N/A</v>
      </c>
      <c r="G18" s="49" t="e">
        <f>INDEX('BalSht Data'!H$1:H$2999,MATCH(G$1,'BalSht Data'!A$2:A$2051,0)+MATCH(A18,'BalSht Data'!G$2:G$2051,0))</f>
        <v>#N/A</v>
      </c>
      <c r="H18" s="49" t="e">
        <f>INDEX('BalSht Data'!H$1:H$2999,MATCH(H$1,'BalSht Data'!A$2:A$2051,0)+MATCH(A18,'BalSht Data'!G$2:G$2051,0))</f>
        <v>#N/A</v>
      </c>
      <c r="I18" s="49" t="e">
        <f>INDEX('BalSht Data'!H$1:H$2999,MATCH(I$1,'BalSht Data'!A$2:A$2051,0)+MATCH(A18,'BalSht Data'!G$2:G$2051,0))</f>
        <v>#N/A</v>
      </c>
      <c r="J18" s="49" t="e">
        <f>INDEX('BalSht Data'!H$1:H$2999,MATCH(J$1,'BalSht Data'!A$2:A$2051,0)+MATCH(A18,'BalSht Data'!G$2:G$2051,0))</f>
        <v>#N/A</v>
      </c>
      <c r="K18" s="49" t="e">
        <f>INDEX('BalSht Data'!H$1:H$2999,MATCH(K$1,'BalSht Data'!A$2:A$2051,0)+MATCH(A18,'BalSht Data'!G$2:G$2051,0))</f>
        <v>#N/A</v>
      </c>
      <c r="L18" s="49" t="e">
        <f>INDEX('BalSht Data'!H$1:H$2999,MATCH(L$1,'BalSht Data'!A$2:A$2051,0)+MATCH(A18,'BalSht Data'!G$2:G$2051,0))</f>
        <v>#N/A</v>
      </c>
      <c r="M18" s="49" t="e">
        <f>INDEX('BalSht Data'!H$1:H$2999,MATCH(M$1,'BalSht Data'!A$2:A$2051,0)+MATCH(A18,'BalSht Data'!G$2:G$2051,0))</f>
        <v>#N/A</v>
      </c>
      <c r="N18" s="49" t="e">
        <f>INDEX('BalSht Data'!H$1:H$2999,MATCH(N$1,'BalSht Data'!A$2:A$2051,0)+MATCH(A18,'BalSht Data'!G$2:G$2051,0))</f>
        <v>#N/A</v>
      </c>
      <c r="O18" s="49" t="e">
        <f>INDEX('BalSht Data'!H$1:H$2999,MATCH(O$1,'BalSht Data'!A$2:A$2051,0)+MATCH(A18,'BalSht Data'!G$2:G$2051,0))</f>
        <v>#N/A</v>
      </c>
      <c r="P18" s="49" t="e">
        <f>INDEX('BalSht Data'!H$1:H$2999,MATCH(P$1,'BalSht Data'!A$2:A$2051,0)+MATCH(A18,'BalSht Data'!G$2:G$2051,0))</f>
        <v>#N/A</v>
      </c>
      <c r="Q18" s="49" t="e">
        <f>INDEX('BalSht Data'!H$1:H$2999,MATCH(Q$1,'BalSht Data'!A$2:A$2051,0)+MATCH(A18,'BalSht Data'!G$2:G$2051,0))</f>
        <v>#N/A</v>
      </c>
      <c r="R18" s="49" t="e">
        <f>INDEX('BalSht Data'!H$1:H$2999,MATCH(R$1,'BalSht Data'!A$2:A$2051,0)+MATCH(A18,'BalSht Data'!G$2:G$2051,0))</f>
        <v>#N/A</v>
      </c>
      <c r="S18" s="49" t="e">
        <f>INDEX('BalSht Data'!H$1:H$2999,MATCH(S$1,'BalSht Data'!A$2:A$2051,0)+MATCH(A18,'BalSht Data'!G$2:G$2051,0))</f>
        <v>#N/A</v>
      </c>
      <c r="T18" s="49" t="e">
        <f>INDEX('BalSht Data'!H$1:H$2999,MATCH(T$1,'BalSht Data'!A$2:A$2051,0)+MATCH(A18,'BalSht Data'!G$2:G$2051,0))</f>
        <v>#N/A</v>
      </c>
      <c r="U18" s="49" t="e">
        <f>INDEX('BalSht Data'!H$1:H$2999,MATCH(U$1,'BalSht Data'!A$2:A$2051,0)+MATCH(A18,'BalSht Data'!G$2:G$2051,0))</f>
        <v>#N/A</v>
      </c>
      <c r="V18" s="49" t="e">
        <f>INDEX('BalSht Data'!H$1:H$2999,MATCH(V$1,'BalSht Data'!A$2:A$2051,0)+MATCH(A18,'BalSht Data'!G$2:G$2051,0))</f>
        <v>#N/A</v>
      </c>
      <c r="W18" s="49" t="e">
        <f>INDEX('BalSht Data'!H$1:H$2999,MATCH(W$1,'BalSht Data'!A$2:A$2051,0)+MATCH(A18,'BalSht Data'!G$2:G$2051,0))</f>
        <v>#N/A</v>
      </c>
      <c r="X18" s="49" t="e">
        <f>INDEX('BalSht Data'!H$1:H$2999,MATCH(X$1,'BalSht Data'!A$2:A$2051,0)+MATCH(A18,'BalSht Data'!G$2:G$2051,0))</f>
        <v>#N/A</v>
      </c>
      <c r="Y18" s="49" t="e">
        <f>INDEX('BalSht Data'!H$1:H$2999,MATCH(Y$1,'BalSht Data'!A$2:A$2051,0)+MATCH(A18,'BalSht Data'!G$2:G$2051,0))</f>
        <v>#N/A</v>
      </c>
      <c r="Z18" s="49" t="e">
        <f>INDEX('BalSht Data'!H$1:H$2999,MATCH(Z$1,'BalSht Data'!A$2:A$2051,0)+MATCH(A18,'BalSht Data'!G$2:G$2051,0))</f>
        <v>#N/A</v>
      </c>
      <c r="AA18" s="49" t="e">
        <f>INDEX('BalSht Data'!H$1:H$2999,MATCH(AA$1,'BalSht Data'!A$2:A$2051,0)+MATCH(A18,'BalSht Data'!G$2:G$2051,0))</f>
        <v>#N/A</v>
      </c>
      <c r="AB18" s="49" t="e">
        <f>INDEX('BalSht Data'!H$1:H$2999,MATCH(AB$1,'BalSht Data'!A$2:A$2051,0)+MATCH(A18,'BalSht Data'!G$2:G$2051,0))</f>
        <v>#N/A</v>
      </c>
      <c r="AC18" s="49" t="e">
        <f>INDEX('BalSht Data'!H$1:H$2999,MATCH(AC$1,'BalSht Data'!A$2:A$2051,0)+MATCH(A18,'BalSht Data'!G$2:G$2051,0))</f>
        <v>#N/A</v>
      </c>
      <c r="AD18" s="49" t="e">
        <f>INDEX('BalSht Data'!H$1:H$2999,MATCH(AD$1,'BalSht Data'!A$2:A$2051,0)+MATCH(A18,'BalSht Data'!G$2:G$2051,0))</f>
        <v>#N/A</v>
      </c>
      <c r="AE18" s="49" t="e">
        <f>INDEX('BalSht Data'!H$1:H$2999,MATCH(AE$1,'BalSht Data'!A$2:A$2051,0)+MATCH(A18,'BalSht Data'!G$2:G$2051,0))</f>
        <v>#N/A</v>
      </c>
      <c r="AF18" s="49" t="e">
        <f>INDEX('BalSht Data'!H$1:H$2999,MATCH(AF$1,'BalSht Data'!A$2:A$2051,0)+MATCH(A18,'BalSht Data'!G$2:G$2051,0))</f>
        <v>#N/A</v>
      </c>
      <c r="AG18" s="49" t="e">
        <f>INDEX('BalSht Data'!H$1:H$2999,MATCH(AG$1,'BalSht Data'!A$2:A$2051,0)+MATCH(A18,'BalSht Data'!G$2:G$2051,0))</f>
        <v>#N/A</v>
      </c>
      <c r="AH18" s="49" t="e">
        <f>INDEX('BalSht Data'!H$1:H$2999,MATCH(AH$1,'BalSht Data'!A$2:A$2051,0)+MATCH(A18,'BalSht Data'!G$2:G$2051,0))</f>
        <v>#N/A</v>
      </c>
      <c r="AI18" s="49" t="e">
        <f>INDEX('BalSht Data'!H$1:H$2999,MATCH(AI$1,'BalSht Data'!A$2:A$2051,0)+MATCH(A18,'BalSht Data'!G$2:G$2051,0))</f>
        <v>#N/A</v>
      </c>
      <c r="AJ18" s="49" t="e">
        <f>INDEX('BalSht Data'!H$1:H$2999,MATCH(AJ$1,'BalSht Data'!A$2:A$2051,0)+MATCH(A18,'BalSht Data'!G$2:G$2051,0))</f>
        <v>#N/A</v>
      </c>
      <c r="AK18" s="49" t="e">
        <f>INDEX('BalSht Data'!H$1:H$2999,MATCH(AK$1,'BalSht Data'!A$2:A$2051,0)+MATCH(A18,'BalSht Data'!G$2:G$2051,0))</f>
        <v>#N/A</v>
      </c>
      <c r="AL18" s="49">
        <f>INDEX('BalSht Data'!H$1:H$2999,MATCH(AL$1,'BalSht Data'!A$2:A$2051,0)+MATCH(A18,'BalSht Data'!G$2:G$2051,0))</f>
        <v>0</v>
      </c>
      <c r="AM18" s="49">
        <f>INDEX('BalSht Data'!H$1:H$2999,MATCH(AM$1,'BalSht Data'!A$2:A$2051,0)+MATCH(A18,'BalSht Data'!G$2:G$2051,0))</f>
        <v>0</v>
      </c>
      <c r="AN18" s="49">
        <f>INDEX('BalSht Data'!H$1:H$2999,MATCH(AN$1,'BalSht Data'!A$2:A$2051,0)+MATCH(A18,'BalSht Data'!G$2:G$2051,0))</f>
        <v>0</v>
      </c>
      <c r="AO18" s="49">
        <f>INDEX('BalSht Data'!H$1:H$2999,MATCH(AO$1,'BalSht Data'!A$2:A$2051,0)+MATCH(A18,'BalSht Data'!G$2:G$2051,0))</f>
        <v>0</v>
      </c>
      <c r="AP18" s="49" t="e">
        <f>INDEX('BalSht Data'!H$1:H$2999,MATCH(AP$1,'BalSht Data'!A$2:A$2051,0)+MATCH(A18,'BalSht Data'!G$2:G$2051,0))</f>
        <v>#N/A</v>
      </c>
      <c r="AQ18" s="49" t="e">
        <f>INDEX('BalSht Data'!H$1:H$2999,MATCH(AQ$1,'BalSht Data'!A$2:A$2051,0)+MATCH(A18,'BalSht Data'!G$2:G$2051,0))</f>
        <v>#N/A</v>
      </c>
      <c r="AR18" s="49" t="e">
        <f>INDEX('BalSht Data'!H$1:H$2999,MATCH(AR$1,'BalSht Data'!A$2:A$2051,0)+MATCH(A18,'BalSht Data'!G$2:G$2051,0))</f>
        <v>#N/A</v>
      </c>
      <c r="AS18" s="49" t="e">
        <f>INDEX('BalSht Data'!H$1:H$2999,MATCH(AS$1,'BalSht Data'!A$2:A$2051,0)+MATCH(A18,'BalSht Data'!G$2:G$2051,0))</f>
        <v>#N/A</v>
      </c>
      <c r="AT18" s="49" t="e">
        <f>INDEX('BalSht Data'!H$1:H$2999,MATCH(AT$1,'BalSht Data'!A$2:A$2051,0)+MATCH(A18,'BalSht Data'!G$2:G$2051,0))</f>
        <v>#N/A</v>
      </c>
      <c r="AU18" s="49" t="e">
        <f>INDEX('BalSht Data'!H$1:H$2999,MATCH(AU$1,'BalSht Data'!A$2:A$2051,0)+MATCH(A18,'BalSht Data'!G$2:G$2051,0))</f>
        <v>#N/A</v>
      </c>
      <c r="AV18" s="49" t="e">
        <f>INDEX('BalSht Data'!H$1:H$2999,MATCH(AV$1,'BalSht Data'!A$2:A$2051,0)+MATCH(A18,'BalSht Data'!G$2:G$2051,0))</f>
        <v>#N/A</v>
      </c>
      <c r="AW18" s="49" t="e">
        <f>INDEX('BalSht Data'!H$1:H$2999,MATCH(AW$1,'BalSht Data'!A$2:A$2051,0)+MATCH(A18,'BalSht Data'!G$2:G$2051,0))</f>
        <v>#N/A</v>
      </c>
      <c r="AX18" s="49" t="e">
        <f>INDEX('BalSht Data'!H$1:H$2999,MATCH(AX$1,'BalSht Data'!A$2:A$2051,0)+MATCH(A18,'BalSht Data'!G$2:G$2051,0))</f>
        <v>#N/A</v>
      </c>
      <c r="AY18" s="49" t="e">
        <f>INDEX('BalSht Data'!H$1:H$2999,MATCH(AY$1,'BalSht Data'!A$2:A$2051,0)+MATCH(A18,'BalSht Data'!G$2:G$2051,0))</f>
        <v>#N/A</v>
      </c>
      <c r="AZ18" s="49" t="e">
        <f>INDEX('BalSht Data'!H$1:H$2999,MATCH(AZ$1,'BalSht Data'!A$2:A$2051,0)+MATCH(A18,'BalSht Data'!G$2:G$2051,0))</f>
        <v>#N/A</v>
      </c>
      <c r="BA18" s="49" t="e">
        <f>INDEX('BalSht Data'!H$1:H$2999,MATCH(BA$1,'BalSht Data'!A$2:A$2051,0)+MATCH(A18,'BalSht Data'!G$2:G$2051,0))</f>
        <v>#N/A</v>
      </c>
      <c r="BB18" s="49" t="e">
        <f>INDEX('BalSht Data'!H$1:H$2999,MATCH(BB$1,'BalSht Data'!A$2:A$2051,0)+MATCH(A18,'BalSht Data'!G$2:G$2051,0))</f>
        <v>#N/A</v>
      </c>
      <c r="BC18" s="49" t="e">
        <f>INDEX('BalSht Data'!H$1:H$2999,MATCH(BC$1,'BalSht Data'!A$2:A$2051,0)+MATCH(A18,'BalSht Data'!G$2:G$2051,0))</f>
        <v>#N/A</v>
      </c>
      <c r="BD18" s="49" t="e">
        <f>INDEX('BalSht Data'!H$1:H$2999,MATCH(BD$1,'BalSht Data'!A$2:A$2051,0)+MATCH(A18,'BalSht Data'!G$2:G$2051,0))</f>
        <v>#N/A</v>
      </c>
      <c r="BE18" s="49" t="e">
        <f>INDEX('BalSht Data'!H$1:H$2999,MATCH(BE$1,'BalSht Data'!A$2:A$2051,0)+MATCH(A18,'BalSht Data'!G$2:G$2051,0))</f>
        <v>#N/A</v>
      </c>
      <c r="BF18" s="49" t="e">
        <f>INDEX('BalSht Data'!H$1:H$2999,MATCH(BF$1,'BalSht Data'!A$2:A$2051,0)+MATCH(A18,'BalSht Data'!G$2:G$2051,0))</f>
        <v>#N/A</v>
      </c>
      <c r="BG18" s="49" t="e">
        <f>INDEX('BalSht Data'!H$1:H$2999,MATCH(BG$1,'BalSht Data'!A$2:A$2051,0)+MATCH(A18,'BalSht Data'!G$2:G$2051,0))</f>
        <v>#N/A</v>
      </c>
      <c r="BH18" s="49" t="e">
        <f>INDEX('BalSht Data'!H$1:H$2999,MATCH(BH$1,'BalSht Data'!A$2:A$2051,0)+MATCH(A18,'BalSht Data'!G$2:G$2051,0))</f>
        <v>#N/A</v>
      </c>
      <c r="BI18" s="49" t="e">
        <f>INDEX('BalSht Data'!H$1:H$2999,MATCH(BI$1,'BalSht Data'!A$2:A$2051,0)+MATCH(A18,'BalSht Data'!G$2:G$2051,0))</f>
        <v>#N/A</v>
      </c>
      <c r="BJ18" s="49" t="e">
        <f>INDEX('BalSht Data'!H$1:H$2999,MATCH(BJ$1,'BalSht Data'!A$2:A$2051,0)+MATCH(A18,'BalSht Data'!G$2:G$2051,0))</f>
        <v>#N/A</v>
      </c>
      <c r="BK18" s="49" t="e">
        <f>INDEX('BalSht Data'!H$1:H$2999,MATCH(BK$1,'BalSht Data'!A$2:A$2051,0)+MATCH(A18,'BalSht Data'!G$2:G$2051,0))</f>
        <v>#N/A</v>
      </c>
      <c r="BL18" s="49" t="e">
        <f>INDEX('BalSht Data'!H$1:H$2999,MATCH(BL$1,'BalSht Data'!A$2:A$2051,0)+MATCH(A18,'BalSht Data'!G$2:G$2051,0))</f>
        <v>#N/A</v>
      </c>
      <c r="BM18" s="49" t="e">
        <f>INDEX('BalSht Data'!H$1:H$2999,MATCH(BM$1,'BalSht Data'!A$2:A$2051,0)+MATCH(A18,'BalSht Data'!G$2:G$2051,0))</f>
        <v>#N/A</v>
      </c>
      <c r="BN18" s="49" t="e">
        <f>INDEX('BalSht Data'!H$1:H$2999,MATCH(BN$1,'BalSht Data'!A$2:A$2051,0)+MATCH(A18,'BalSht Data'!G$2:G$2051,0))</f>
        <v>#N/A</v>
      </c>
      <c r="BO18" s="49" t="e">
        <f>INDEX('BalSht Data'!H$1:H$2999,MATCH(BO$1,'BalSht Data'!A$2:A$2051,0)+MATCH(A18,'BalSht Data'!G$2:G$2051,0))</f>
        <v>#N/A</v>
      </c>
      <c r="BP18" s="49" t="e">
        <f>INDEX('BalSht Data'!H$1:H$2999,MATCH(BP$1,'BalSht Data'!A$2:A$2051,0)+MATCH(A18,'BalSht Data'!G$2:G$2051,0))</f>
        <v>#N/A</v>
      </c>
      <c r="BQ18" s="49" t="e">
        <f>INDEX('BalSht Data'!H$1:H$2999,MATCH(BQ$1,'BalSht Data'!A$2:A$2051,0)+MATCH(A18,'BalSht Data'!G$2:G$2051,0))</f>
        <v>#N/A</v>
      </c>
      <c r="BR18" s="49" t="e">
        <f>INDEX('BalSht Data'!H$1:H$2999,MATCH(BR$1,'BalSht Data'!A$2:A$2051,0)+MATCH(A18,'BalSht Data'!G$2:G$2051,0))</f>
        <v>#N/A</v>
      </c>
      <c r="BS18" s="49" t="e">
        <f>INDEX('BalSht Data'!H$1:H$2999,MATCH(BS$1,'BalSht Data'!A$2:A$2051,0)+MATCH(A18,'BalSht Data'!G$2:G$2051,0))</f>
        <v>#N/A</v>
      </c>
      <c r="BT18" s="49" t="e">
        <f>INDEX('BalSht Data'!H$1:H$2999,MATCH(BT$1,'BalSht Data'!A$2:A$2051,0)+MATCH(A18,'BalSht Data'!G$2:G$2051,0))</f>
        <v>#N/A</v>
      </c>
      <c r="BU18" s="49" t="e">
        <f>INDEX('BalSht Data'!H$1:H$2999,MATCH(BU$1,'BalSht Data'!A$2:A$2051,0)+MATCH(A18,'BalSht Data'!G$2:G$2051,0))</f>
        <v>#N/A</v>
      </c>
      <c r="BV18" s="49" t="e">
        <f>INDEX('BalSht Data'!H$1:H$2999,MATCH(BV$1,'BalSht Data'!A$2:A$2051,0)+MATCH(A18,'BalSht Data'!G$2:G$2051,0))</f>
        <v>#N/A</v>
      </c>
      <c r="BW18" s="49" t="e">
        <f>INDEX('BalSht Data'!H$1:H$2999,MATCH(BW$1,'BalSht Data'!A$2:A$2051,0)+MATCH(A18,'BalSht Data'!G$2:G$2051,0))</f>
        <v>#N/A</v>
      </c>
      <c r="BX18" s="49" t="e">
        <f>INDEX('BalSht Data'!H$1:H$2999,MATCH(BX$1,'BalSht Data'!A$2:A$2051,0)+MATCH(A18,'BalSht Data'!G$2:G$2051,0))</f>
        <v>#N/A</v>
      </c>
      <c r="BY18" s="49" t="e">
        <f>INDEX('BalSht Data'!H$1:H$2999,MATCH(BY$1,'BalSht Data'!A$2:A$2051,0)+MATCH(A18,'BalSht Data'!G$2:G$2051,0))</f>
        <v>#N/A</v>
      </c>
      <c r="BZ18" s="49" t="e">
        <f>INDEX('BalSht Data'!H$1:H$2999,MATCH(BZ$1,'BalSht Data'!A$2:A$2051,0)+MATCH(A18,'BalSht Data'!G$2:G$2051,0))</f>
        <v>#N/A</v>
      </c>
      <c r="CA18" s="49" t="e">
        <f>INDEX('BalSht Data'!H$1:H$2999,MATCH(CA$1,'BalSht Data'!A$2:A$2051,0)+MATCH(A18,'BalSht Data'!G$2:G$2051,0))</f>
        <v>#N/A</v>
      </c>
      <c r="CB18" s="49" t="e">
        <f>INDEX('BalSht Data'!H$1:H$2999,MATCH(CB$1,'BalSht Data'!A$2:A$2051,0)+MATCH(A18,'BalSht Data'!G$2:G$2051,0))</f>
        <v>#N/A</v>
      </c>
      <c r="CC18" s="49" t="e">
        <f>INDEX('BalSht Data'!H$1:H$2999,MATCH(CC$1,'BalSht Data'!A$2:A$2051,0)+MATCH(A18,'BalSht Data'!G$2:G$2051,0))</f>
        <v>#N/A</v>
      </c>
      <c r="CD18" s="49" t="e">
        <f>INDEX('BalSht Data'!H$1:H$2999,MATCH(CD$1,'BalSht Data'!A$2:A$2051,0)+MATCH(A18,'BalSht Data'!G$2:G$2051,0))</f>
        <v>#N/A</v>
      </c>
      <c r="CE18" s="49" t="e">
        <f>INDEX('BalSht Data'!H$1:H$2999,MATCH(CE$1,'BalSht Data'!A$2:A$2051,0)+MATCH(A18,'BalSht Data'!G$2:G$2051,0))</f>
        <v>#N/A</v>
      </c>
      <c r="CF18" s="49" t="e">
        <f>INDEX('BalSht Data'!H$1:H$2999,MATCH(CF$1,'BalSht Data'!A$2:A$2051,0)+MATCH(A18,'BalSht Data'!G$2:G$2051,0))</f>
        <v>#N/A</v>
      </c>
      <c r="CG18" s="49" t="e">
        <f>INDEX('BalSht Data'!H$1:H$2999,MATCH(CG$1,'BalSht Data'!A$2:A$2051,0)+MATCH(A18,'BalSht Data'!G$2:G$2051,0))</f>
        <v>#N/A</v>
      </c>
      <c r="CH18" s="49" t="e">
        <f>INDEX('BalSht Data'!H$1:H$2999,MATCH(CH$1,'BalSht Data'!A$2:A$2051,0)+MATCH(A18,'BalSht Data'!G$2:G$2051,0))</f>
        <v>#N/A</v>
      </c>
      <c r="CI18" s="49" t="e">
        <f>INDEX('BalSht Data'!H$1:H$2999,MATCH(CI$1,'BalSht Data'!A$2:A$2051,0)+MATCH(A18,'BalSht Data'!G$2:G$2051,0))</f>
        <v>#N/A</v>
      </c>
      <c r="CJ18" s="49" t="e">
        <f>INDEX('BalSht Data'!H$1:H$2999,MATCH(CJ$1,'BalSht Data'!A$2:A$2051,0)+MATCH(A18,'BalSht Data'!G$2:G$2051,0))</f>
        <v>#N/A</v>
      </c>
      <c r="CK18" s="49" t="e">
        <f>INDEX('BalSht Data'!H$1:H$2999,MATCH(CK$1,'BalSht Data'!A$2:A$2051,0)+MATCH(A18,'BalSht Data'!G$2:G$2051,0))</f>
        <v>#N/A</v>
      </c>
      <c r="CL18" s="49" t="e">
        <f>INDEX('BalSht Data'!H$1:H$2999,MATCH(CL$1,'BalSht Data'!A$2:A$2051,0)+MATCH(A18,'BalSht Data'!G$2:G$2051,0))</f>
        <v>#N/A</v>
      </c>
      <c r="CM18" s="49" t="e">
        <f>INDEX('BalSht Data'!H$1:H$2999,MATCH(CM$1,'BalSht Data'!A$2:A$2051,0)+MATCH(A18,'BalSht Data'!G$2:G$2051,0))</f>
        <v>#N/A</v>
      </c>
      <c r="CN18" s="49" t="e">
        <f>INDEX('BalSht Data'!H$1:H$2999,MATCH(CN$1,'BalSht Data'!A$2:A$2051,0)+MATCH(A18,'BalSht Data'!G$2:G$2051,0))</f>
        <v>#N/A</v>
      </c>
      <c r="CO18" s="49" t="e">
        <f>INDEX('BalSht Data'!H$1:H$2999,MATCH(CO$1,'BalSht Data'!A$2:A$2051,0)+MATCH(A18,'BalSht Data'!G$2:G$2051,0))</f>
        <v>#N/A</v>
      </c>
      <c r="CP18" s="49" t="e">
        <f>INDEX('BalSht Data'!H$1:H$2999,MATCH(CP$1,'BalSht Data'!A$2:A$2051,0)+MATCH(A18,'BalSht Data'!G$2:G$2051,0))</f>
        <v>#N/A</v>
      </c>
      <c r="CQ18" s="49" t="e">
        <f>INDEX('BalSht Data'!H$1:H$2999,MATCH(CQ$1,'BalSht Data'!A$2:A$2051,0)+MATCH(A18,'BalSht Data'!G$2:G$2051,0))</f>
        <v>#N/A</v>
      </c>
      <c r="CR18" s="49" t="e">
        <f>INDEX('BalSht Data'!H$1:H$2999,MATCH(CR$1,'BalSht Data'!A$2:A$2051,0)+MATCH(A18,'BalSht Data'!G$2:G$2051,0))</f>
        <v>#N/A</v>
      </c>
      <c r="CS18" s="49" t="e">
        <f>INDEX('BalSht Data'!H$1:H$2999,MATCH(CS$1,'BalSht Data'!A$2:A$2051,0)+MATCH(A18,'BalSht Data'!G$2:G$2051,0))</f>
        <v>#N/A</v>
      </c>
      <c r="CT18" s="49" t="e">
        <f>INDEX('BalSht Data'!H$1:H$2999,MATCH(CT$1,'BalSht Data'!A$2:A$2051,0)+MATCH(A18,'BalSht Data'!G$2:G$2051,0))</f>
        <v>#N/A</v>
      </c>
      <c r="CU18" s="49" t="e">
        <f>INDEX('BalSht Data'!H$1:H$2999,MATCH(CU$1,'BalSht Data'!A$2:A$2051,0)+MATCH(A18,'BalSht Data'!G$2:G$2051,0))</f>
        <v>#N/A</v>
      </c>
      <c r="CV18" s="49" t="e">
        <f>INDEX('BalSht Data'!H$1:H$2999,MATCH(CV$1,'BalSht Data'!A$2:A$2051,0)+MATCH(A18,'BalSht Data'!G$2:G$2051,0))</f>
        <v>#N/A</v>
      </c>
      <c r="CW18" s="49" t="e">
        <f>INDEX('BalSht Data'!H$1:H$2999,MATCH(CW$1,'BalSht Data'!A$2:A$2051,0)+MATCH(A18,'BalSht Data'!G$2:G$2051,0))</f>
        <v>#N/A</v>
      </c>
      <c r="CX18" s="49" t="e">
        <f>INDEX('BalSht Data'!H$1:H$2999,MATCH(CX$1,'BalSht Data'!A$2:A$2051,0)+MATCH(A18,'BalSht Data'!G$2:G$2051,0))</f>
        <v>#N/A</v>
      </c>
      <c r="CY18" s="49" t="e">
        <f>INDEX('BalSht Data'!H$1:H$2999,MATCH(CY$1,'BalSht Data'!A$2:A$2051,0)+MATCH(A18,'BalSht Data'!G$2:G$2051,0))</f>
        <v>#N/A</v>
      </c>
      <c r="CZ18" s="49" t="e">
        <f>INDEX('BalSht Data'!H$1:H$2999,MATCH(CZ$1,'BalSht Data'!A$2:A$2051,0)+MATCH(A18,'BalSht Data'!G$2:G$2051,0))</f>
        <v>#N/A</v>
      </c>
    </row>
    <row r="19" spans="1:104" s="46" customFormat="1" x14ac:dyDescent="0.2">
      <c r="A19" s="5" t="s">
        <v>20</v>
      </c>
      <c r="B19" s="49" t="e">
        <f>INDEX('BalSht Data'!H$1:H$2999,MATCH(B$1,'BalSht Data'!A$2:A$2051,0)+MATCH(A19,'BalSht Data'!G$2:G$2051,0))</f>
        <v>#N/A</v>
      </c>
      <c r="C19" s="49" t="e">
        <f>INDEX('BalSht Data'!H$1:H$2999,MATCH(C$1,'BalSht Data'!A$2:A$2051,0)+MATCH(A19,'BalSht Data'!G$2:G$2051,0))</f>
        <v>#N/A</v>
      </c>
      <c r="D19" s="49" t="e">
        <f>INDEX('BalSht Data'!H$1:H$2999,MATCH(D$1,'BalSht Data'!A$2:A$2051,0)+MATCH(A19,'BalSht Data'!G$2:G$2051,0))</f>
        <v>#N/A</v>
      </c>
      <c r="E19" s="49" t="e">
        <f>INDEX('BalSht Data'!H$1:H$2999,MATCH(E$1,'BalSht Data'!A$2:A$2051,0)+MATCH(A19,'BalSht Data'!G$2:G$2051,0))</f>
        <v>#N/A</v>
      </c>
      <c r="F19" s="49" t="e">
        <f>INDEX('BalSht Data'!H$1:H$2999,MATCH(F$1,'BalSht Data'!A$2:A$2051,0)+MATCH(A19,'BalSht Data'!G$2:G$2051,0))</f>
        <v>#N/A</v>
      </c>
      <c r="G19" s="49" t="e">
        <f>INDEX('BalSht Data'!H$1:H$2999,MATCH(G$1,'BalSht Data'!A$2:A$2051,0)+MATCH(A19,'BalSht Data'!G$2:G$2051,0))</f>
        <v>#N/A</v>
      </c>
      <c r="H19" s="49" t="e">
        <f>INDEX('BalSht Data'!H$1:H$2999,MATCH(H$1,'BalSht Data'!A$2:A$2051,0)+MATCH(A19,'BalSht Data'!G$2:G$2051,0))</f>
        <v>#N/A</v>
      </c>
      <c r="I19" s="49" t="e">
        <f>INDEX('BalSht Data'!H$1:H$2999,MATCH(I$1,'BalSht Data'!A$2:A$2051,0)+MATCH(A19,'BalSht Data'!G$2:G$2051,0))</f>
        <v>#N/A</v>
      </c>
      <c r="J19" s="49" t="e">
        <f>INDEX('BalSht Data'!H$1:H$2999,MATCH(J$1,'BalSht Data'!A$2:A$2051,0)+MATCH(A19,'BalSht Data'!G$2:G$2051,0))</f>
        <v>#N/A</v>
      </c>
      <c r="K19" s="49" t="e">
        <f>INDEX('BalSht Data'!H$1:H$2999,MATCH(K$1,'BalSht Data'!A$2:A$2051,0)+MATCH(A19,'BalSht Data'!G$2:G$2051,0))</f>
        <v>#N/A</v>
      </c>
      <c r="L19" s="49" t="e">
        <f>INDEX('BalSht Data'!H$1:H$2999,MATCH(L$1,'BalSht Data'!A$2:A$2051,0)+MATCH(A19,'BalSht Data'!G$2:G$2051,0))</f>
        <v>#N/A</v>
      </c>
      <c r="M19" s="49" t="e">
        <f>INDEX('BalSht Data'!H$1:H$2999,MATCH(M$1,'BalSht Data'!A$2:A$2051,0)+MATCH(A19,'BalSht Data'!G$2:G$2051,0))</f>
        <v>#N/A</v>
      </c>
      <c r="N19" s="49" t="e">
        <f>INDEX('BalSht Data'!H$1:H$2999,MATCH(N$1,'BalSht Data'!A$2:A$2051,0)+MATCH(A19,'BalSht Data'!G$2:G$2051,0))</f>
        <v>#N/A</v>
      </c>
      <c r="O19" s="49" t="e">
        <f>INDEX('BalSht Data'!H$1:H$2999,MATCH(O$1,'BalSht Data'!A$2:A$2051,0)+MATCH(A19,'BalSht Data'!G$2:G$2051,0))</f>
        <v>#N/A</v>
      </c>
      <c r="P19" s="49" t="e">
        <f>INDEX('BalSht Data'!H$1:H$2999,MATCH(P$1,'BalSht Data'!A$2:A$2051,0)+MATCH(A19,'BalSht Data'!G$2:G$2051,0))</f>
        <v>#N/A</v>
      </c>
      <c r="Q19" s="49" t="e">
        <f>INDEX('BalSht Data'!H$1:H$2999,MATCH(Q$1,'BalSht Data'!A$2:A$2051,0)+MATCH(A19,'BalSht Data'!G$2:G$2051,0))</f>
        <v>#N/A</v>
      </c>
      <c r="R19" s="49" t="e">
        <f>INDEX('BalSht Data'!H$1:H$2999,MATCH(R$1,'BalSht Data'!A$2:A$2051,0)+MATCH(A19,'BalSht Data'!G$2:G$2051,0))</f>
        <v>#N/A</v>
      </c>
      <c r="S19" s="49" t="e">
        <f>INDEX('BalSht Data'!H$1:H$2999,MATCH(S$1,'BalSht Data'!A$2:A$2051,0)+MATCH(A19,'BalSht Data'!G$2:G$2051,0))</f>
        <v>#N/A</v>
      </c>
      <c r="T19" s="49" t="e">
        <f>INDEX('BalSht Data'!H$1:H$2999,MATCH(T$1,'BalSht Data'!A$2:A$2051,0)+MATCH(A19,'BalSht Data'!G$2:G$2051,0))</f>
        <v>#N/A</v>
      </c>
      <c r="U19" s="49" t="e">
        <f>INDEX('BalSht Data'!H$1:H$2999,MATCH(U$1,'BalSht Data'!A$2:A$2051,0)+MATCH(A19,'BalSht Data'!G$2:G$2051,0))</f>
        <v>#N/A</v>
      </c>
      <c r="V19" s="49" t="e">
        <f>INDEX('BalSht Data'!H$1:H$2999,MATCH(V$1,'BalSht Data'!A$2:A$2051,0)+MATCH(A19,'BalSht Data'!G$2:G$2051,0))</f>
        <v>#N/A</v>
      </c>
      <c r="W19" s="49" t="e">
        <f>INDEX('BalSht Data'!H$1:H$2999,MATCH(W$1,'BalSht Data'!A$2:A$2051,0)+MATCH(A19,'BalSht Data'!G$2:G$2051,0))</f>
        <v>#N/A</v>
      </c>
      <c r="X19" s="49" t="e">
        <f>INDEX('BalSht Data'!H$1:H$2999,MATCH(X$1,'BalSht Data'!A$2:A$2051,0)+MATCH(A19,'BalSht Data'!G$2:G$2051,0))</f>
        <v>#N/A</v>
      </c>
      <c r="Y19" s="49" t="e">
        <f>INDEX('BalSht Data'!H$1:H$2999,MATCH(Y$1,'BalSht Data'!A$2:A$2051,0)+MATCH(A19,'BalSht Data'!G$2:G$2051,0))</f>
        <v>#N/A</v>
      </c>
      <c r="Z19" s="49" t="e">
        <f>INDEX('BalSht Data'!H$1:H$2999,MATCH(Z$1,'BalSht Data'!A$2:A$2051,0)+MATCH(A19,'BalSht Data'!G$2:G$2051,0))</f>
        <v>#N/A</v>
      </c>
      <c r="AA19" s="49" t="e">
        <f>INDEX('BalSht Data'!H$1:H$2999,MATCH(AA$1,'BalSht Data'!A$2:A$2051,0)+MATCH(A19,'BalSht Data'!G$2:G$2051,0))</f>
        <v>#N/A</v>
      </c>
      <c r="AB19" s="49" t="e">
        <f>INDEX('BalSht Data'!H$1:H$2999,MATCH(AB$1,'BalSht Data'!A$2:A$2051,0)+MATCH(A19,'BalSht Data'!G$2:G$2051,0))</f>
        <v>#N/A</v>
      </c>
      <c r="AC19" s="49" t="e">
        <f>INDEX('BalSht Data'!H$1:H$2999,MATCH(AC$1,'BalSht Data'!A$2:A$2051,0)+MATCH(A19,'BalSht Data'!G$2:G$2051,0))</f>
        <v>#N/A</v>
      </c>
      <c r="AD19" s="49" t="e">
        <f>INDEX('BalSht Data'!H$1:H$2999,MATCH(AD$1,'BalSht Data'!A$2:A$2051,0)+MATCH(A19,'BalSht Data'!G$2:G$2051,0))</f>
        <v>#N/A</v>
      </c>
      <c r="AE19" s="49" t="e">
        <f>INDEX('BalSht Data'!H$1:H$2999,MATCH(AE$1,'BalSht Data'!A$2:A$2051,0)+MATCH(A19,'BalSht Data'!G$2:G$2051,0))</f>
        <v>#N/A</v>
      </c>
      <c r="AF19" s="49" t="e">
        <f>INDEX('BalSht Data'!H$1:H$2999,MATCH(AF$1,'BalSht Data'!A$2:A$2051,0)+MATCH(A19,'BalSht Data'!G$2:G$2051,0))</f>
        <v>#N/A</v>
      </c>
      <c r="AG19" s="49" t="e">
        <f>INDEX('BalSht Data'!H$1:H$2999,MATCH(AG$1,'BalSht Data'!A$2:A$2051,0)+MATCH(A19,'BalSht Data'!G$2:G$2051,0))</f>
        <v>#N/A</v>
      </c>
      <c r="AH19" s="49" t="e">
        <f>INDEX('BalSht Data'!H$1:H$2999,MATCH(AH$1,'BalSht Data'!A$2:A$2051,0)+MATCH(A19,'BalSht Data'!G$2:G$2051,0))</f>
        <v>#N/A</v>
      </c>
      <c r="AI19" s="49" t="e">
        <f>INDEX('BalSht Data'!H$1:H$2999,MATCH(AI$1,'BalSht Data'!A$2:A$2051,0)+MATCH(A19,'BalSht Data'!G$2:G$2051,0))</f>
        <v>#N/A</v>
      </c>
      <c r="AJ19" s="49" t="e">
        <f>INDEX('BalSht Data'!H$1:H$2999,MATCH(AJ$1,'BalSht Data'!A$2:A$2051,0)+MATCH(A19,'BalSht Data'!G$2:G$2051,0))</f>
        <v>#N/A</v>
      </c>
      <c r="AK19" s="49" t="e">
        <f>INDEX('BalSht Data'!H$1:H$2999,MATCH(AK$1,'BalSht Data'!A$2:A$2051,0)+MATCH(A19,'BalSht Data'!G$2:G$2051,0))</f>
        <v>#N/A</v>
      </c>
      <c r="AL19" s="49">
        <f>INDEX('BalSht Data'!H$1:H$2999,MATCH(AL$1,'BalSht Data'!A$2:A$2051,0)+MATCH(A19,'BalSht Data'!G$2:G$2051,0))</f>
        <v>0</v>
      </c>
      <c r="AM19" s="49">
        <f>INDEX('BalSht Data'!H$1:H$2999,MATCH(AM$1,'BalSht Data'!A$2:A$2051,0)+MATCH(A19,'BalSht Data'!G$2:G$2051,0))</f>
        <v>0</v>
      </c>
      <c r="AN19" s="49">
        <f>INDEX('BalSht Data'!H$1:H$2999,MATCH(AN$1,'BalSht Data'!A$2:A$2051,0)+MATCH(A19,'BalSht Data'!G$2:G$2051,0))</f>
        <v>0</v>
      </c>
      <c r="AO19" s="49">
        <f>INDEX('BalSht Data'!H$1:H$2999,MATCH(AO$1,'BalSht Data'!A$2:A$2051,0)+MATCH(A19,'BalSht Data'!G$2:G$2051,0))</f>
        <v>0</v>
      </c>
      <c r="AP19" s="49" t="e">
        <f>INDEX('BalSht Data'!H$1:H$2999,MATCH(AP$1,'BalSht Data'!A$2:A$2051,0)+MATCH(A19,'BalSht Data'!G$2:G$2051,0))</f>
        <v>#N/A</v>
      </c>
      <c r="AQ19" s="49" t="e">
        <f>INDEX('BalSht Data'!H$1:H$2999,MATCH(AQ$1,'BalSht Data'!A$2:A$2051,0)+MATCH(A19,'BalSht Data'!G$2:G$2051,0))</f>
        <v>#N/A</v>
      </c>
      <c r="AR19" s="49" t="e">
        <f>INDEX('BalSht Data'!H$1:H$2999,MATCH(AR$1,'BalSht Data'!A$2:A$2051,0)+MATCH(A19,'BalSht Data'!G$2:G$2051,0))</f>
        <v>#N/A</v>
      </c>
      <c r="AS19" s="49" t="e">
        <f>INDEX('BalSht Data'!H$1:H$2999,MATCH(AS$1,'BalSht Data'!A$2:A$2051,0)+MATCH(A19,'BalSht Data'!G$2:G$2051,0))</f>
        <v>#N/A</v>
      </c>
      <c r="AT19" s="49" t="e">
        <f>INDEX('BalSht Data'!H$1:H$2999,MATCH(AT$1,'BalSht Data'!A$2:A$2051,0)+MATCH(A19,'BalSht Data'!G$2:G$2051,0))</f>
        <v>#N/A</v>
      </c>
      <c r="AU19" s="49" t="e">
        <f>INDEX('BalSht Data'!H$1:H$2999,MATCH(AU$1,'BalSht Data'!A$2:A$2051,0)+MATCH(A19,'BalSht Data'!G$2:G$2051,0))</f>
        <v>#N/A</v>
      </c>
      <c r="AV19" s="49" t="e">
        <f>INDEX('BalSht Data'!H$1:H$2999,MATCH(AV$1,'BalSht Data'!A$2:A$2051,0)+MATCH(A19,'BalSht Data'!G$2:G$2051,0))</f>
        <v>#N/A</v>
      </c>
      <c r="AW19" s="49" t="e">
        <f>INDEX('BalSht Data'!H$1:H$2999,MATCH(AW$1,'BalSht Data'!A$2:A$2051,0)+MATCH(A19,'BalSht Data'!G$2:G$2051,0))</f>
        <v>#N/A</v>
      </c>
      <c r="AX19" s="49" t="e">
        <f>INDEX('BalSht Data'!H$1:H$2999,MATCH(AX$1,'BalSht Data'!A$2:A$2051,0)+MATCH(A19,'BalSht Data'!G$2:G$2051,0))</f>
        <v>#N/A</v>
      </c>
      <c r="AY19" s="49" t="e">
        <f>INDEX('BalSht Data'!H$1:H$2999,MATCH(AY$1,'BalSht Data'!A$2:A$2051,0)+MATCH(A19,'BalSht Data'!G$2:G$2051,0))</f>
        <v>#N/A</v>
      </c>
      <c r="AZ19" s="49" t="e">
        <f>INDEX('BalSht Data'!H$1:H$2999,MATCH(AZ$1,'BalSht Data'!A$2:A$2051,0)+MATCH(A19,'BalSht Data'!G$2:G$2051,0))</f>
        <v>#N/A</v>
      </c>
      <c r="BA19" s="49" t="e">
        <f>INDEX('BalSht Data'!H$1:H$2999,MATCH(BA$1,'BalSht Data'!A$2:A$2051,0)+MATCH(A19,'BalSht Data'!G$2:G$2051,0))</f>
        <v>#N/A</v>
      </c>
      <c r="BB19" s="49" t="e">
        <f>INDEX('BalSht Data'!H$1:H$2999,MATCH(BB$1,'BalSht Data'!A$2:A$2051,0)+MATCH(A19,'BalSht Data'!G$2:G$2051,0))</f>
        <v>#N/A</v>
      </c>
      <c r="BC19" s="49" t="e">
        <f>INDEX('BalSht Data'!H$1:H$2999,MATCH(BC$1,'BalSht Data'!A$2:A$2051,0)+MATCH(A19,'BalSht Data'!G$2:G$2051,0))</f>
        <v>#N/A</v>
      </c>
      <c r="BD19" s="49" t="e">
        <f>INDEX('BalSht Data'!H$1:H$2999,MATCH(BD$1,'BalSht Data'!A$2:A$2051,0)+MATCH(A19,'BalSht Data'!G$2:G$2051,0))</f>
        <v>#N/A</v>
      </c>
      <c r="BE19" s="49" t="e">
        <f>INDEX('BalSht Data'!H$1:H$2999,MATCH(BE$1,'BalSht Data'!A$2:A$2051,0)+MATCH(A19,'BalSht Data'!G$2:G$2051,0))</f>
        <v>#N/A</v>
      </c>
      <c r="BF19" s="49" t="e">
        <f>INDEX('BalSht Data'!H$1:H$2999,MATCH(BF$1,'BalSht Data'!A$2:A$2051,0)+MATCH(A19,'BalSht Data'!G$2:G$2051,0))</f>
        <v>#N/A</v>
      </c>
      <c r="BG19" s="49" t="e">
        <f>INDEX('BalSht Data'!H$1:H$2999,MATCH(BG$1,'BalSht Data'!A$2:A$2051,0)+MATCH(A19,'BalSht Data'!G$2:G$2051,0))</f>
        <v>#N/A</v>
      </c>
      <c r="BH19" s="49" t="e">
        <f>INDEX('BalSht Data'!H$1:H$2999,MATCH(BH$1,'BalSht Data'!A$2:A$2051,0)+MATCH(A19,'BalSht Data'!G$2:G$2051,0))</f>
        <v>#N/A</v>
      </c>
      <c r="BI19" s="49" t="e">
        <f>INDEX('BalSht Data'!H$1:H$2999,MATCH(BI$1,'BalSht Data'!A$2:A$2051,0)+MATCH(A19,'BalSht Data'!G$2:G$2051,0))</f>
        <v>#N/A</v>
      </c>
      <c r="BJ19" s="49" t="e">
        <f>INDEX('BalSht Data'!H$1:H$2999,MATCH(BJ$1,'BalSht Data'!A$2:A$2051,0)+MATCH(A19,'BalSht Data'!G$2:G$2051,0))</f>
        <v>#N/A</v>
      </c>
      <c r="BK19" s="49" t="e">
        <f>INDEX('BalSht Data'!H$1:H$2999,MATCH(BK$1,'BalSht Data'!A$2:A$2051,0)+MATCH(A19,'BalSht Data'!G$2:G$2051,0))</f>
        <v>#N/A</v>
      </c>
      <c r="BL19" s="49" t="e">
        <f>INDEX('BalSht Data'!H$1:H$2999,MATCH(BL$1,'BalSht Data'!A$2:A$2051,0)+MATCH(A19,'BalSht Data'!G$2:G$2051,0))</f>
        <v>#N/A</v>
      </c>
      <c r="BM19" s="49" t="e">
        <f>INDEX('BalSht Data'!H$1:H$2999,MATCH(BM$1,'BalSht Data'!A$2:A$2051,0)+MATCH(A19,'BalSht Data'!G$2:G$2051,0))</f>
        <v>#N/A</v>
      </c>
      <c r="BN19" s="49" t="e">
        <f>INDEX('BalSht Data'!H$1:H$2999,MATCH(BN$1,'BalSht Data'!A$2:A$2051,0)+MATCH(A19,'BalSht Data'!G$2:G$2051,0))</f>
        <v>#N/A</v>
      </c>
      <c r="BO19" s="49" t="e">
        <f>INDEX('BalSht Data'!H$1:H$2999,MATCH(BO$1,'BalSht Data'!A$2:A$2051,0)+MATCH(A19,'BalSht Data'!G$2:G$2051,0))</f>
        <v>#N/A</v>
      </c>
      <c r="BP19" s="49" t="e">
        <f>INDEX('BalSht Data'!H$1:H$2999,MATCH(BP$1,'BalSht Data'!A$2:A$2051,0)+MATCH(A19,'BalSht Data'!G$2:G$2051,0))</f>
        <v>#N/A</v>
      </c>
      <c r="BQ19" s="49" t="e">
        <f>INDEX('BalSht Data'!H$1:H$2999,MATCH(BQ$1,'BalSht Data'!A$2:A$2051,0)+MATCH(A19,'BalSht Data'!G$2:G$2051,0))</f>
        <v>#N/A</v>
      </c>
      <c r="BR19" s="49" t="e">
        <f>INDEX('BalSht Data'!H$1:H$2999,MATCH(BR$1,'BalSht Data'!A$2:A$2051,0)+MATCH(A19,'BalSht Data'!G$2:G$2051,0))</f>
        <v>#N/A</v>
      </c>
      <c r="BS19" s="49" t="e">
        <f>INDEX('BalSht Data'!H$1:H$2999,MATCH(BS$1,'BalSht Data'!A$2:A$2051,0)+MATCH(A19,'BalSht Data'!G$2:G$2051,0))</f>
        <v>#N/A</v>
      </c>
      <c r="BT19" s="49" t="e">
        <f>INDEX('BalSht Data'!H$1:H$2999,MATCH(BT$1,'BalSht Data'!A$2:A$2051,0)+MATCH(A19,'BalSht Data'!G$2:G$2051,0))</f>
        <v>#N/A</v>
      </c>
      <c r="BU19" s="49" t="e">
        <f>INDEX('BalSht Data'!H$1:H$2999,MATCH(BU$1,'BalSht Data'!A$2:A$2051,0)+MATCH(A19,'BalSht Data'!G$2:G$2051,0))</f>
        <v>#N/A</v>
      </c>
      <c r="BV19" s="49" t="e">
        <f>INDEX('BalSht Data'!H$1:H$2999,MATCH(BV$1,'BalSht Data'!A$2:A$2051,0)+MATCH(A19,'BalSht Data'!G$2:G$2051,0))</f>
        <v>#N/A</v>
      </c>
      <c r="BW19" s="49" t="e">
        <f>INDEX('BalSht Data'!H$1:H$2999,MATCH(BW$1,'BalSht Data'!A$2:A$2051,0)+MATCH(A19,'BalSht Data'!G$2:G$2051,0))</f>
        <v>#N/A</v>
      </c>
      <c r="BX19" s="49" t="e">
        <f>INDEX('BalSht Data'!H$1:H$2999,MATCH(BX$1,'BalSht Data'!A$2:A$2051,0)+MATCH(A19,'BalSht Data'!G$2:G$2051,0))</f>
        <v>#N/A</v>
      </c>
      <c r="BY19" s="49" t="e">
        <f>INDEX('BalSht Data'!H$1:H$2999,MATCH(BY$1,'BalSht Data'!A$2:A$2051,0)+MATCH(A19,'BalSht Data'!G$2:G$2051,0))</f>
        <v>#N/A</v>
      </c>
      <c r="BZ19" s="49" t="e">
        <f>INDEX('BalSht Data'!H$1:H$2999,MATCH(BZ$1,'BalSht Data'!A$2:A$2051,0)+MATCH(A19,'BalSht Data'!G$2:G$2051,0))</f>
        <v>#N/A</v>
      </c>
      <c r="CA19" s="49" t="e">
        <f>INDEX('BalSht Data'!H$1:H$2999,MATCH(CA$1,'BalSht Data'!A$2:A$2051,0)+MATCH(A19,'BalSht Data'!G$2:G$2051,0))</f>
        <v>#N/A</v>
      </c>
      <c r="CB19" s="49" t="e">
        <f>INDEX('BalSht Data'!H$1:H$2999,MATCH(CB$1,'BalSht Data'!A$2:A$2051,0)+MATCH(A19,'BalSht Data'!G$2:G$2051,0))</f>
        <v>#N/A</v>
      </c>
      <c r="CC19" s="49" t="e">
        <f>INDEX('BalSht Data'!H$1:H$2999,MATCH(CC$1,'BalSht Data'!A$2:A$2051,0)+MATCH(A19,'BalSht Data'!G$2:G$2051,0))</f>
        <v>#N/A</v>
      </c>
      <c r="CD19" s="49" t="e">
        <f>INDEX('BalSht Data'!H$1:H$2999,MATCH(CD$1,'BalSht Data'!A$2:A$2051,0)+MATCH(A19,'BalSht Data'!G$2:G$2051,0))</f>
        <v>#N/A</v>
      </c>
      <c r="CE19" s="49" t="e">
        <f>INDEX('BalSht Data'!H$1:H$2999,MATCH(CE$1,'BalSht Data'!A$2:A$2051,0)+MATCH(A19,'BalSht Data'!G$2:G$2051,0))</f>
        <v>#N/A</v>
      </c>
      <c r="CF19" s="49" t="e">
        <f>INDEX('BalSht Data'!H$1:H$2999,MATCH(CF$1,'BalSht Data'!A$2:A$2051,0)+MATCH(A19,'BalSht Data'!G$2:G$2051,0))</f>
        <v>#N/A</v>
      </c>
      <c r="CG19" s="49" t="e">
        <f>INDEX('BalSht Data'!H$1:H$2999,MATCH(CG$1,'BalSht Data'!A$2:A$2051,0)+MATCH(A19,'BalSht Data'!G$2:G$2051,0))</f>
        <v>#N/A</v>
      </c>
      <c r="CH19" s="49" t="e">
        <f>INDEX('BalSht Data'!H$1:H$2999,MATCH(CH$1,'BalSht Data'!A$2:A$2051,0)+MATCH(A19,'BalSht Data'!G$2:G$2051,0))</f>
        <v>#N/A</v>
      </c>
      <c r="CI19" s="49" t="e">
        <f>INDEX('BalSht Data'!H$1:H$2999,MATCH(CI$1,'BalSht Data'!A$2:A$2051,0)+MATCH(A19,'BalSht Data'!G$2:G$2051,0))</f>
        <v>#N/A</v>
      </c>
      <c r="CJ19" s="49" t="e">
        <f>INDEX('BalSht Data'!H$1:H$2999,MATCH(CJ$1,'BalSht Data'!A$2:A$2051,0)+MATCH(A19,'BalSht Data'!G$2:G$2051,0))</f>
        <v>#N/A</v>
      </c>
      <c r="CK19" s="49" t="e">
        <f>INDEX('BalSht Data'!H$1:H$2999,MATCH(CK$1,'BalSht Data'!A$2:A$2051,0)+MATCH(A19,'BalSht Data'!G$2:G$2051,0))</f>
        <v>#N/A</v>
      </c>
      <c r="CL19" s="49" t="e">
        <f>INDEX('BalSht Data'!H$1:H$2999,MATCH(CL$1,'BalSht Data'!A$2:A$2051,0)+MATCH(A19,'BalSht Data'!G$2:G$2051,0))</f>
        <v>#N/A</v>
      </c>
      <c r="CM19" s="49" t="e">
        <f>INDEX('BalSht Data'!H$1:H$2999,MATCH(CM$1,'BalSht Data'!A$2:A$2051,0)+MATCH(A19,'BalSht Data'!G$2:G$2051,0))</f>
        <v>#N/A</v>
      </c>
      <c r="CN19" s="49" t="e">
        <f>INDEX('BalSht Data'!H$1:H$2999,MATCH(CN$1,'BalSht Data'!A$2:A$2051,0)+MATCH(A19,'BalSht Data'!G$2:G$2051,0))</f>
        <v>#N/A</v>
      </c>
      <c r="CO19" s="49" t="e">
        <f>INDEX('BalSht Data'!H$1:H$2999,MATCH(CO$1,'BalSht Data'!A$2:A$2051,0)+MATCH(A19,'BalSht Data'!G$2:G$2051,0))</f>
        <v>#N/A</v>
      </c>
      <c r="CP19" s="49" t="e">
        <f>INDEX('BalSht Data'!H$1:H$2999,MATCH(CP$1,'BalSht Data'!A$2:A$2051,0)+MATCH(A19,'BalSht Data'!G$2:G$2051,0))</f>
        <v>#N/A</v>
      </c>
      <c r="CQ19" s="49" t="e">
        <f>INDEX('BalSht Data'!H$1:H$2999,MATCH(CQ$1,'BalSht Data'!A$2:A$2051,0)+MATCH(A19,'BalSht Data'!G$2:G$2051,0))</f>
        <v>#N/A</v>
      </c>
      <c r="CR19" s="49" t="e">
        <f>INDEX('BalSht Data'!H$1:H$2999,MATCH(CR$1,'BalSht Data'!A$2:A$2051,0)+MATCH(A19,'BalSht Data'!G$2:G$2051,0))</f>
        <v>#N/A</v>
      </c>
      <c r="CS19" s="49" t="e">
        <f>INDEX('BalSht Data'!H$1:H$2999,MATCH(CS$1,'BalSht Data'!A$2:A$2051,0)+MATCH(A19,'BalSht Data'!G$2:G$2051,0))</f>
        <v>#N/A</v>
      </c>
      <c r="CT19" s="49" t="e">
        <f>INDEX('BalSht Data'!H$1:H$2999,MATCH(CT$1,'BalSht Data'!A$2:A$2051,0)+MATCH(A19,'BalSht Data'!G$2:G$2051,0))</f>
        <v>#N/A</v>
      </c>
      <c r="CU19" s="49" t="e">
        <f>INDEX('BalSht Data'!H$1:H$2999,MATCH(CU$1,'BalSht Data'!A$2:A$2051,0)+MATCH(A19,'BalSht Data'!G$2:G$2051,0))</f>
        <v>#N/A</v>
      </c>
      <c r="CV19" s="49" t="e">
        <f>INDEX('BalSht Data'!H$1:H$2999,MATCH(CV$1,'BalSht Data'!A$2:A$2051,0)+MATCH(A19,'BalSht Data'!G$2:G$2051,0))</f>
        <v>#N/A</v>
      </c>
      <c r="CW19" s="49" t="e">
        <f>INDEX('BalSht Data'!H$1:H$2999,MATCH(CW$1,'BalSht Data'!A$2:A$2051,0)+MATCH(A19,'BalSht Data'!G$2:G$2051,0))</f>
        <v>#N/A</v>
      </c>
      <c r="CX19" s="49" t="e">
        <f>INDEX('BalSht Data'!H$1:H$2999,MATCH(CX$1,'BalSht Data'!A$2:A$2051,0)+MATCH(A19,'BalSht Data'!G$2:G$2051,0))</f>
        <v>#N/A</v>
      </c>
      <c r="CY19" s="49" t="e">
        <f>INDEX('BalSht Data'!H$1:H$2999,MATCH(CY$1,'BalSht Data'!A$2:A$2051,0)+MATCH(A19,'BalSht Data'!G$2:G$2051,0))</f>
        <v>#N/A</v>
      </c>
      <c r="CZ19" s="49" t="e">
        <f>INDEX('BalSht Data'!H$1:H$2999,MATCH(CZ$1,'BalSht Data'!A$2:A$2051,0)+MATCH(A19,'BalSht Data'!G$2:G$2051,0))</f>
        <v>#N/A</v>
      </c>
    </row>
    <row r="20" spans="1:104" s="46" customFormat="1" x14ac:dyDescent="0.2">
      <c r="A20" s="5" t="s">
        <v>21</v>
      </c>
      <c r="B20" s="49" t="e">
        <f>INDEX('BalSht Data'!H$1:H$2999,MATCH(B$1,'BalSht Data'!A$2:A$2051,0)+MATCH(A20,'BalSht Data'!G$2:G$2051,0))</f>
        <v>#N/A</v>
      </c>
      <c r="C20" s="49" t="e">
        <f>INDEX('BalSht Data'!H$1:H$2999,MATCH(C$1,'BalSht Data'!A$2:A$2051,0)+MATCH(A20,'BalSht Data'!G$2:G$2051,0))</f>
        <v>#N/A</v>
      </c>
      <c r="D20" s="49" t="e">
        <f>INDEX('BalSht Data'!H$1:H$2999,MATCH(D$1,'BalSht Data'!A$2:A$2051,0)+MATCH(A20,'BalSht Data'!G$2:G$2051,0))</f>
        <v>#N/A</v>
      </c>
      <c r="E20" s="49" t="e">
        <f>INDEX('BalSht Data'!H$1:H$2999,MATCH(E$1,'BalSht Data'!A$2:A$2051,0)+MATCH(A20,'BalSht Data'!G$2:G$2051,0))</f>
        <v>#N/A</v>
      </c>
      <c r="F20" s="49" t="e">
        <f>INDEX('BalSht Data'!H$1:H$2999,MATCH(F$1,'BalSht Data'!A$2:A$2051,0)+MATCH(A20,'BalSht Data'!G$2:G$2051,0))</f>
        <v>#N/A</v>
      </c>
      <c r="G20" s="49" t="e">
        <f>INDEX('BalSht Data'!H$1:H$2999,MATCH(G$1,'BalSht Data'!A$2:A$2051,0)+MATCH(A20,'BalSht Data'!G$2:G$2051,0))</f>
        <v>#N/A</v>
      </c>
      <c r="H20" s="49" t="e">
        <f>INDEX('BalSht Data'!H$1:H$2999,MATCH(H$1,'BalSht Data'!A$2:A$2051,0)+MATCH(A20,'BalSht Data'!G$2:G$2051,0))</f>
        <v>#N/A</v>
      </c>
      <c r="I20" s="49" t="e">
        <f>INDEX('BalSht Data'!H$1:H$2999,MATCH(I$1,'BalSht Data'!A$2:A$2051,0)+MATCH(A20,'BalSht Data'!G$2:G$2051,0))</f>
        <v>#N/A</v>
      </c>
      <c r="J20" s="49" t="e">
        <f>INDEX('BalSht Data'!H$1:H$2999,MATCH(J$1,'BalSht Data'!A$2:A$2051,0)+MATCH(A20,'BalSht Data'!G$2:G$2051,0))</f>
        <v>#N/A</v>
      </c>
      <c r="K20" s="49" t="e">
        <f>INDEX('BalSht Data'!H$1:H$2999,MATCH(K$1,'BalSht Data'!A$2:A$2051,0)+MATCH(A20,'BalSht Data'!G$2:G$2051,0))</f>
        <v>#N/A</v>
      </c>
      <c r="L20" s="49" t="e">
        <f>INDEX('BalSht Data'!H$1:H$2999,MATCH(L$1,'BalSht Data'!A$2:A$2051,0)+MATCH(A20,'BalSht Data'!G$2:G$2051,0))</f>
        <v>#N/A</v>
      </c>
      <c r="M20" s="49" t="e">
        <f>INDEX('BalSht Data'!H$1:H$2999,MATCH(M$1,'BalSht Data'!A$2:A$2051,0)+MATCH(A20,'BalSht Data'!G$2:G$2051,0))</f>
        <v>#N/A</v>
      </c>
      <c r="N20" s="49" t="e">
        <f>INDEX('BalSht Data'!H$1:H$2999,MATCH(N$1,'BalSht Data'!A$2:A$2051,0)+MATCH(A20,'BalSht Data'!G$2:G$2051,0))</f>
        <v>#N/A</v>
      </c>
      <c r="O20" s="49" t="e">
        <f>INDEX('BalSht Data'!H$1:H$2999,MATCH(O$1,'BalSht Data'!A$2:A$2051,0)+MATCH(A20,'BalSht Data'!G$2:G$2051,0))</f>
        <v>#N/A</v>
      </c>
      <c r="P20" s="49" t="e">
        <f>INDEX('BalSht Data'!H$1:H$2999,MATCH(P$1,'BalSht Data'!A$2:A$2051,0)+MATCH(A20,'BalSht Data'!G$2:G$2051,0))</f>
        <v>#N/A</v>
      </c>
      <c r="Q20" s="49" t="e">
        <f>INDEX('BalSht Data'!H$1:H$2999,MATCH(Q$1,'BalSht Data'!A$2:A$2051,0)+MATCH(A20,'BalSht Data'!G$2:G$2051,0))</f>
        <v>#N/A</v>
      </c>
      <c r="R20" s="49" t="e">
        <f>INDEX('BalSht Data'!H$1:H$2999,MATCH(R$1,'BalSht Data'!A$2:A$2051,0)+MATCH(A20,'BalSht Data'!G$2:G$2051,0))</f>
        <v>#N/A</v>
      </c>
      <c r="S20" s="49" t="e">
        <f>INDEX('BalSht Data'!H$1:H$2999,MATCH(S$1,'BalSht Data'!A$2:A$2051,0)+MATCH(A20,'BalSht Data'!G$2:G$2051,0))</f>
        <v>#N/A</v>
      </c>
      <c r="T20" s="49" t="e">
        <f>INDEX('BalSht Data'!H$1:H$2999,MATCH(T$1,'BalSht Data'!A$2:A$2051,0)+MATCH(A20,'BalSht Data'!G$2:G$2051,0))</f>
        <v>#N/A</v>
      </c>
      <c r="U20" s="49" t="e">
        <f>INDEX('BalSht Data'!H$1:H$2999,MATCH(U$1,'BalSht Data'!A$2:A$2051,0)+MATCH(A20,'BalSht Data'!G$2:G$2051,0))</f>
        <v>#N/A</v>
      </c>
      <c r="V20" s="49" t="e">
        <f>INDEX('BalSht Data'!H$1:H$2999,MATCH(V$1,'BalSht Data'!A$2:A$2051,0)+MATCH(A20,'BalSht Data'!G$2:G$2051,0))</f>
        <v>#N/A</v>
      </c>
      <c r="W20" s="49" t="e">
        <f>INDEX('BalSht Data'!H$1:H$2999,MATCH(W$1,'BalSht Data'!A$2:A$2051,0)+MATCH(A20,'BalSht Data'!G$2:G$2051,0))</f>
        <v>#N/A</v>
      </c>
      <c r="X20" s="49" t="e">
        <f>INDEX('BalSht Data'!H$1:H$2999,MATCH(X$1,'BalSht Data'!A$2:A$2051,0)+MATCH(A20,'BalSht Data'!G$2:G$2051,0))</f>
        <v>#N/A</v>
      </c>
      <c r="Y20" s="49" t="e">
        <f>INDEX('BalSht Data'!H$1:H$2999,MATCH(Y$1,'BalSht Data'!A$2:A$2051,0)+MATCH(A20,'BalSht Data'!G$2:G$2051,0))</f>
        <v>#N/A</v>
      </c>
      <c r="Z20" s="49" t="e">
        <f>INDEX('BalSht Data'!H$1:H$2999,MATCH(Z$1,'BalSht Data'!A$2:A$2051,0)+MATCH(A20,'BalSht Data'!G$2:G$2051,0))</f>
        <v>#N/A</v>
      </c>
      <c r="AA20" s="49" t="e">
        <f>INDEX('BalSht Data'!H$1:H$2999,MATCH(AA$1,'BalSht Data'!A$2:A$2051,0)+MATCH(A20,'BalSht Data'!G$2:G$2051,0))</f>
        <v>#N/A</v>
      </c>
      <c r="AB20" s="49" t="e">
        <f>INDEX('BalSht Data'!H$1:H$2999,MATCH(AB$1,'BalSht Data'!A$2:A$2051,0)+MATCH(A20,'BalSht Data'!G$2:G$2051,0))</f>
        <v>#N/A</v>
      </c>
      <c r="AC20" s="49" t="e">
        <f>INDEX('BalSht Data'!H$1:H$2999,MATCH(AC$1,'BalSht Data'!A$2:A$2051,0)+MATCH(A20,'BalSht Data'!G$2:G$2051,0))</f>
        <v>#N/A</v>
      </c>
      <c r="AD20" s="49" t="e">
        <f>INDEX('BalSht Data'!H$1:H$2999,MATCH(AD$1,'BalSht Data'!A$2:A$2051,0)+MATCH(A20,'BalSht Data'!G$2:G$2051,0))</f>
        <v>#N/A</v>
      </c>
      <c r="AE20" s="49" t="e">
        <f>INDEX('BalSht Data'!H$1:H$2999,MATCH(AE$1,'BalSht Data'!A$2:A$2051,0)+MATCH(A20,'BalSht Data'!G$2:G$2051,0))</f>
        <v>#N/A</v>
      </c>
      <c r="AF20" s="49" t="e">
        <f>INDEX('BalSht Data'!H$1:H$2999,MATCH(AF$1,'BalSht Data'!A$2:A$2051,0)+MATCH(A20,'BalSht Data'!G$2:G$2051,0))</f>
        <v>#N/A</v>
      </c>
      <c r="AG20" s="49" t="e">
        <f>INDEX('BalSht Data'!H$1:H$2999,MATCH(AG$1,'BalSht Data'!A$2:A$2051,0)+MATCH(A20,'BalSht Data'!G$2:G$2051,0))</f>
        <v>#N/A</v>
      </c>
      <c r="AH20" s="49" t="e">
        <f>INDEX('BalSht Data'!H$1:H$2999,MATCH(AH$1,'BalSht Data'!A$2:A$2051,0)+MATCH(A20,'BalSht Data'!G$2:G$2051,0))</f>
        <v>#N/A</v>
      </c>
      <c r="AI20" s="49" t="e">
        <f>INDEX('BalSht Data'!H$1:H$2999,MATCH(AI$1,'BalSht Data'!A$2:A$2051,0)+MATCH(A20,'BalSht Data'!G$2:G$2051,0))</f>
        <v>#N/A</v>
      </c>
      <c r="AJ20" s="49" t="e">
        <f>INDEX('BalSht Data'!H$1:H$2999,MATCH(AJ$1,'BalSht Data'!A$2:A$2051,0)+MATCH(A20,'BalSht Data'!G$2:G$2051,0))</f>
        <v>#N/A</v>
      </c>
      <c r="AK20" s="49" t="e">
        <f>INDEX('BalSht Data'!H$1:H$2999,MATCH(AK$1,'BalSht Data'!A$2:A$2051,0)+MATCH(A20,'BalSht Data'!G$2:G$2051,0))</f>
        <v>#N/A</v>
      </c>
      <c r="AL20" s="49">
        <f>INDEX('BalSht Data'!H$1:H$2999,MATCH(AL$1,'BalSht Data'!A$2:A$2051,0)+MATCH(A20,'BalSht Data'!G$2:G$2051,0))</f>
        <v>0</v>
      </c>
      <c r="AM20" s="49">
        <f>INDEX('BalSht Data'!H$1:H$2999,MATCH(AM$1,'BalSht Data'!A$2:A$2051,0)+MATCH(A20,'BalSht Data'!G$2:G$2051,0))</f>
        <v>0</v>
      </c>
      <c r="AN20" s="49">
        <f>INDEX('BalSht Data'!H$1:H$2999,MATCH(AN$1,'BalSht Data'!A$2:A$2051,0)+MATCH(A20,'BalSht Data'!G$2:G$2051,0))</f>
        <v>0</v>
      </c>
      <c r="AO20" s="49">
        <f>INDEX('BalSht Data'!H$1:H$2999,MATCH(AO$1,'BalSht Data'!A$2:A$2051,0)+MATCH(A20,'BalSht Data'!G$2:G$2051,0))</f>
        <v>0</v>
      </c>
      <c r="AP20" s="49" t="e">
        <f>INDEX('BalSht Data'!H$1:H$2999,MATCH(AP$1,'BalSht Data'!A$2:A$2051,0)+MATCH(A20,'BalSht Data'!G$2:G$2051,0))</f>
        <v>#N/A</v>
      </c>
      <c r="AQ20" s="49" t="e">
        <f>INDEX('BalSht Data'!H$1:H$2999,MATCH(AQ$1,'BalSht Data'!A$2:A$2051,0)+MATCH(A20,'BalSht Data'!G$2:G$2051,0))</f>
        <v>#N/A</v>
      </c>
      <c r="AR20" s="49" t="e">
        <f>INDEX('BalSht Data'!H$1:H$2999,MATCH(AR$1,'BalSht Data'!A$2:A$2051,0)+MATCH(A20,'BalSht Data'!G$2:G$2051,0))</f>
        <v>#N/A</v>
      </c>
      <c r="AS20" s="49" t="e">
        <f>INDEX('BalSht Data'!H$1:H$2999,MATCH(AS$1,'BalSht Data'!A$2:A$2051,0)+MATCH(A20,'BalSht Data'!G$2:G$2051,0))</f>
        <v>#N/A</v>
      </c>
      <c r="AT20" s="49" t="e">
        <f>INDEX('BalSht Data'!H$1:H$2999,MATCH(AT$1,'BalSht Data'!A$2:A$2051,0)+MATCH(A20,'BalSht Data'!G$2:G$2051,0))</f>
        <v>#N/A</v>
      </c>
      <c r="AU20" s="49" t="e">
        <f>INDEX('BalSht Data'!H$1:H$2999,MATCH(AU$1,'BalSht Data'!A$2:A$2051,0)+MATCH(A20,'BalSht Data'!G$2:G$2051,0))</f>
        <v>#N/A</v>
      </c>
      <c r="AV20" s="49" t="e">
        <f>INDEX('BalSht Data'!H$1:H$2999,MATCH(AV$1,'BalSht Data'!A$2:A$2051,0)+MATCH(A20,'BalSht Data'!G$2:G$2051,0))</f>
        <v>#N/A</v>
      </c>
      <c r="AW20" s="49" t="e">
        <f>INDEX('BalSht Data'!H$1:H$2999,MATCH(AW$1,'BalSht Data'!A$2:A$2051,0)+MATCH(A20,'BalSht Data'!G$2:G$2051,0))</f>
        <v>#N/A</v>
      </c>
      <c r="AX20" s="49" t="e">
        <f>INDEX('BalSht Data'!H$1:H$2999,MATCH(AX$1,'BalSht Data'!A$2:A$2051,0)+MATCH(A20,'BalSht Data'!G$2:G$2051,0))</f>
        <v>#N/A</v>
      </c>
      <c r="AY20" s="49" t="e">
        <f>INDEX('BalSht Data'!H$1:H$2999,MATCH(AY$1,'BalSht Data'!A$2:A$2051,0)+MATCH(A20,'BalSht Data'!G$2:G$2051,0))</f>
        <v>#N/A</v>
      </c>
      <c r="AZ20" s="49" t="e">
        <f>INDEX('BalSht Data'!H$1:H$2999,MATCH(AZ$1,'BalSht Data'!A$2:A$2051,0)+MATCH(A20,'BalSht Data'!G$2:G$2051,0))</f>
        <v>#N/A</v>
      </c>
      <c r="BA20" s="49" t="e">
        <f>INDEX('BalSht Data'!H$1:H$2999,MATCH(BA$1,'BalSht Data'!A$2:A$2051,0)+MATCH(A20,'BalSht Data'!G$2:G$2051,0))</f>
        <v>#N/A</v>
      </c>
      <c r="BB20" s="49" t="e">
        <f>INDEX('BalSht Data'!H$1:H$2999,MATCH(BB$1,'BalSht Data'!A$2:A$2051,0)+MATCH(A20,'BalSht Data'!G$2:G$2051,0))</f>
        <v>#N/A</v>
      </c>
      <c r="BC20" s="49" t="e">
        <f>INDEX('BalSht Data'!H$1:H$2999,MATCH(BC$1,'BalSht Data'!A$2:A$2051,0)+MATCH(A20,'BalSht Data'!G$2:G$2051,0))</f>
        <v>#N/A</v>
      </c>
      <c r="BD20" s="49" t="e">
        <f>INDEX('BalSht Data'!H$1:H$2999,MATCH(BD$1,'BalSht Data'!A$2:A$2051,0)+MATCH(A20,'BalSht Data'!G$2:G$2051,0))</f>
        <v>#N/A</v>
      </c>
      <c r="BE20" s="49" t="e">
        <f>INDEX('BalSht Data'!H$1:H$2999,MATCH(BE$1,'BalSht Data'!A$2:A$2051,0)+MATCH(A20,'BalSht Data'!G$2:G$2051,0))</f>
        <v>#N/A</v>
      </c>
      <c r="BF20" s="49" t="e">
        <f>INDEX('BalSht Data'!H$1:H$2999,MATCH(BF$1,'BalSht Data'!A$2:A$2051,0)+MATCH(A20,'BalSht Data'!G$2:G$2051,0))</f>
        <v>#N/A</v>
      </c>
      <c r="BG20" s="49" t="e">
        <f>INDEX('BalSht Data'!H$1:H$2999,MATCH(BG$1,'BalSht Data'!A$2:A$2051,0)+MATCH(A20,'BalSht Data'!G$2:G$2051,0))</f>
        <v>#N/A</v>
      </c>
      <c r="BH20" s="49" t="e">
        <f>INDEX('BalSht Data'!H$1:H$2999,MATCH(BH$1,'BalSht Data'!A$2:A$2051,0)+MATCH(A20,'BalSht Data'!G$2:G$2051,0))</f>
        <v>#N/A</v>
      </c>
      <c r="BI20" s="49" t="e">
        <f>INDEX('BalSht Data'!H$1:H$2999,MATCH(BI$1,'BalSht Data'!A$2:A$2051,0)+MATCH(A20,'BalSht Data'!G$2:G$2051,0))</f>
        <v>#N/A</v>
      </c>
      <c r="BJ20" s="49" t="e">
        <f>INDEX('BalSht Data'!H$1:H$2999,MATCH(BJ$1,'BalSht Data'!A$2:A$2051,0)+MATCH(A20,'BalSht Data'!G$2:G$2051,0))</f>
        <v>#N/A</v>
      </c>
      <c r="BK20" s="49" t="e">
        <f>INDEX('BalSht Data'!H$1:H$2999,MATCH(BK$1,'BalSht Data'!A$2:A$2051,0)+MATCH(A20,'BalSht Data'!G$2:G$2051,0))</f>
        <v>#N/A</v>
      </c>
      <c r="BL20" s="49" t="e">
        <f>INDEX('BalSht Data'!H$1:H$2999,MATCH(BL$1,'BalSht Data'!A$2:A$2051,0)+MATCH(A20,'BalSht Data'!G$2:G$2051,0))</f>
        <v>#N/A</v>
      </c>
      <c r="BM20" s="49" t="e">
        <f>INDEX('BalSht Data'!H$1:H$2999,MATCH(BM$1,'BalSht Data'!A$2:A$2051,0)+MATCH(A20,'BalSht Data'!G$2:G$2051,0))</f>
        <v>#N/A</v>
      </c>
      <c r="BN20" s="49" t="e">
        <f>INDEX('BalSht Data'!H$1:H$2999,MATCH(BN$1,'BalSht Data'!A$2:A$2051,0)+MATCH(A20,'BalSht Data'!G$2:G$2051,0))</f>
        <v>#N/A</v>
      </c>
      <c r="BO20" s="49" t="e">
        <f>INDEX('BalSht Data'!H$1:H$2999,MATCH(BO$1,'BalSht Data'!A$2:A$2051,0)+MATCH(A20,'BalSht Data'!G$2:G$2051,0))</f>
        <v>#N/A</v>
      </c>
      <c r="BP20" s="49" t="e">
        <f>INDEX('BalSht Data'!H$1:H$2999,MATCH(BP$1,'BalSht Data'!A$2:A$2051,0)+MATCH(A20,'BalSht Data'!G$2:G$2051,0))</f>
        <v>#N/A</v>
      </c>
      <c r="BQ20" s="49" t="e">
        <f>INDEX('BalSht Data'!H$1:H$2999,MATCH(BQ$1,'BalSht Data'!A$2:A$2051,0)+MATCH(A20,'BalSht Data'!G$2:G$2051,0))</f>
        <v>#N/A</v>
      </c>
      <c r="BR20" s="49" t="e">
        <f>INDEX('BalSht Data'!H$1:H$2999,MATCH(BR$1,'BalSht Data'!A$2:A$2051,0)+MATCH(A20,'BalSht Data'!G$2:G$2051,0))</f>
        <v>#N/A</v>
      </c>
      <c r="BS20" s="49" t="e">
        <f>INDEX('BalSht Data'!H$1:H$2999,MATCH(BS$1,'BalSht Data'!A$2:A$2051,0)+MATCH(A20,'BalSht Data'!G$2:G$2051,0))</f>
        <v>#N/A</v>
      </c>
      <c r="BT20" s="49" t="e">
        <f>INDEX('BalSht Data'!H$1:H$2999,MATCH(BT$1,'BalSht Data'!A$2:A$2051,0)+MATCH(A20,'BalSht Data'!G$2:G$2051,0))</f>
        <v>#N/A</v>
      </c>
      <c r="BU20" s="49" t="e">
        <f>INDEX('BalSht Data'!H$1:H$2999,MATCH(BU$1,'BalSht Data'!A$2:A$2051,0)+MATCH(A20,'BalSht Data'!G$2:G$2051,0))</f>
        <v>#N/A</v>
      </c>
      <c r="BV20" s="49" t="e">
        <f>INDEX('BalSht Data'!H$1:H$2999,MATCH(BV$1,'BalSht Data'!A$2:A$2051,0)+MATCH(A20,'BalSht Data'!G$2:G$2051,0))</f>
        <v>#N/A</v>
      </c>
      <c r="BW20" s="49" t="e">
        <f>INDEX('BalSht Data'!H$1:H$2999,MATCH(BW$1,'BalSht Data'!A$2:A$2051,0)+MATCH(A20,'BalSht Data'!G$2:G$2051,0))</f>
        <v>#N/A</v>
      </c>
      <c r="BX20" s="49" t="e">
        <f>INDEX('BalSht Data'!H$1:H$2999,MATCH(BX$1,'BalSht Data'!A$2:A$2051,0)+MATCH(A20,'BalSht Data'!G$2:G$2051,0))</f>
        <v>#N/A</v>
      </c>
      <c r="BY20" s="49" t="e">
        <f>INDEX('BalSht Data'!H$1:H$2999,MATCH(BY$1,'BalSht Data'!A$2:A$2051,0)+MATCH(A20,'BalSht Data'!G$2:G$2051,0))</f>
        <v>#N/A</v>
      </c>
      <c r="BZ20" s="49" t="e">
        <f>INDEX('BalSht Data'!H$1:H$2999,MATCH(BZ$1,'BalSht Data'!A$2:A$2051,0)+MATCH(A20,'BalSht Data'!G$2:G$2051,0))</f>
        <v>#N/A</v>
      </c>
      <c r="CA20" s="49" t="e">
        <f>INDEX('BalSht Data'!H$1:H$2999,MATCH(CA$1,'BalSht Data'!A$2:A$2051,0)+MATCH(A20,'BalSht Data'!G$2:G$2051,0))</f>
        <v>#N/A</v>
      </c>
      <c r="CB20" s="49" t="e">
        <f>INDEX('BalSht Data'!H$1:H$2999,MATCH(CB$1,'BalSht Data'!A$2:A$2051,0)+MATCH(A20,'BalSht Data'!G$2:G$2051,0))</f>
        <v>#N/A</v>
      </c>
      <c r="CC20" s="49" t="e">
        <f>INDEX('BalSht Data'!H$1:H$2999,MATCH(CC$1,'BalSht Data'!A$2:A$2051,0)+MATCH(A20,'BalSht Data'!G$2:G$2051,0))</f>
        <v>#N/A</v>
      </c>
      <c r="CD20" s="49" t="e">
        <f>INDEX('BalSht Data'!H$1:H$2999,MATCH(CD$1,'BalSht Data'!A$2:A$2051,0)+MATCH(A20,'BalSht Data'!G$2:G$2051,0))</f>
        <v>#N/A</v>
      </c>
      <c r="CE20" s="49" t="e">
        <f>INDEX('BalSht Data'!H$1:H$2999,MATCH(CE$1,'BalSht Data'!A$2:A$2051,0)+MATCH(A20,'BalSht Data'!G$2:G$2051,0))</f>
        <v>#N/A</v>
      </c>
      <c r="CF20" s="49" t="e">
        <f>INDEX('BalSht Data'!H$1:H$2999,MATCH(CF$1,'BalSht Data'!A$2:A$2051,0)+MATCH(A20,'BalSht Data'!G$2:G$2051,0))</f>
        <v>#N/A</v>
      </c>
      <c r="CG20" s="49" t="e">
        <f>INDEX('BalSht Data'!H$1:H$2999,MATCH(CG$1,'BalSht Data'!A$2:A$2051,0)+MATCH(A20,'BalSht Data'!G$2:G$2051,0))</f>
        <v>#N/A</v>
      </c>
      <c r="CH20" s="49" t="e">
        <f>INDEX('BalSht Data'!H$1:H$2999,MATCH(CH$1,'BalSht Data'!A$2:A$2051,0)+MATCH(A20,'BalSht Data'!G$2:G$2051,0))</f>
        <v>#N/A</v>
      </c>
      <c r="CI20" s="49" t="e">
        <f>INDEX('BalSht Data'!H$1:H$2999,MATCH(CI$1,'BalSht Data'!A$2:A$2051,0)+MATCH(A20,'BalSht Data'!G$2:G$2051,0))</f>
        <v>#N/A</v>
      </c>
      <c r="CJ20" s="49" t="e">
        <f>INDEX('BalSht Data'!H$1:H$2999,MATCH(CJ$1,'BalSht Data'!A$2:A$2051,0)+MATCH(A20,'BalSht Data'!G$2:G$2051,0))</f>
        <v>#N/A</v>
      </c>
      <c r="CK20" s="49" t="e">
        <f>INDEX('BalSht Data'!H$1:H$2999,MATCH(CK$1,'BalSht Data'!A$2:A$2051,0)+MATCH(A20,'BalSht Data'!G$2:G$2051,0))</f>
        <v>#N/A</v>
      </c>
      <c r="CL20" s="49" t="e">
        <f>INDEX('BalSht Data'!H$1:H$2999,MATCH(CL$1,'BalSht Data'!A$2:A$2051,0)+MATCH(A20,'BalSht Data'!G$2:G$2051,0))</f>
        <v>#N/A</v>
      </c>
      <c r="CM20" s="49" t="e">
        <f>INDEX('BalSht Data'!H$1:H$2999,MATCH(CM$1,'BalSht Data'!A$2:A$2051,0)+MATCH(A20,'BalSht Data'!G$2:G$2051,0))</f>
        <v>#N/A</v>
      </c>
      <c r="CN20" s="49" t="e">
        <f>INDEX('BalSht Data'!H$1:H$2999,MATCH(CN$1,'BalSht Data'!A$2:A$2051,0)+MATCH(A20,'BalSht Data'!G$2:G$2051,0))</f>
        <v>#N/A</v>
      </c>
      <c r="CO20" s="49" t="e">
        <f>INDEX('BalSht Data'!H$1:H$2999,MATCH(CO$1,'BalSht Data'!A$2:A$2051,0)+MATCH(A20,'BalSht Data'!G$2:G$2051,0))</f>
        <v>#N/A</v>
      </c>
      <c r="CP20" s="49" t="e">
        <f>INDEX('BalSht Data'!H$1:H$2999,MATCH(CP$1,'BalSht Data'!A$2:A$2051,0)+MATCH(A20,'BalSht Data'!G$2:G$2051,0))</f>
        <v>#N/A</v>
      </c>
      <c r="CQ20" s="49" t="e">
        <f>INDEX('BalSht Data'!H$1:H$2999,MATCH(CQ$1,'BalSht Data'!A$2:A$2051,0)+MATCH(A20,'BalSht Data'!G$2:G$2051,0))</f>
        <v>#N/A</v>
      </c>
      <c r="CR20" s="49" t="e">
        <f>INDEX('BalSht Data'!H$1:H$2999,MATCH(CR$1,'BalSht Data'!A$2:A$2051,0)+MATCH(A20,'BalSht Data'!G$2:G$2051,0))</f>
        <v>#N/A</v>
      </c>
      <c r="CS20" s="49" t="e">
        <f>INDEX('BalSht Data'!H$1:H$2999,MATCH(CS$1,'BalSht Data'!A$2:A$2051,0)+MATCH(A20,'BalSht Data'!G$2:G$2051,0))</f>
        <v>#N/A</v>
      </c>
      <c r="CT20" s="49" t="e">
        <f>INDEX('BalSht Data'!H$1:H$2999,MATCH(CT$1,'BalSht Data'!A$2:A$2051,0)+MATCH(A20,'BalSht Data'!G$2:G$2051,0))</f>
        <v>#N/A</v>
      </c>
      <c r="CU20" s="49" t="e">
        <f>INDEX('BalSht Data'!H$1:H$2999,MATCH(CU$1,'BalSht Data'!A$2:A$2051,0)+MATCH(A20,'BalSht Data'!G$2:G$2051,0))</f>
        <v>#N/A</v>
      </c>
      <c r="CV20" s="49" t="e">
        <f>INDEX('BalSht Data'!H$1:H$2999,MATCH(CV$1,'BalSht Data'!A$2:A$2051,0)+MATCH(A20,'BalSht Data'!G$2:G$2051,0))</f>
        <v>#N/A</v>
      </c>
      <c r="CW20" s="49" t="e">
        <f>INDEX('BalSht Data'!H$1:H$2999,MATCH(CW$1,'BalSht Data'!A$2:A$2051,0)+MATCH(A20,'BalSht Data'!G$2:G$2051,0))</f>
        <v>#N/A</v>
      </c>
      <c r="CX20" s="49" t="e">
        <f>INDEX('BalSht Data'!H$1:H$2999,MATCH(CX$1,'BalSht Data'!A$2:A$2051,0)+MATCH(A20,'BalSht Data'!G$2:G$2051,0))</f>
        <v>#N/A</v>
      </c>
      <c r="CY20" s="49" t="e">
        <f>INDEX('BalSht Data'!H$1:H$2999,MATCH(CY$1,'BalSht Data'!A$2:A$2051,0)+MATCH(A20,'BalSht Data'!G$2:G$2051,0))</f>
        <v>#N/A</v>
      </c>
      <c r="CZ20" s="49" t="e">
        <f>INDEX('BalSht Data'!H$1:H$2999,MATCH(CZ$1,'BalSht Data'!A$2:A$2051,0)+MATCH(A20,'BalSht Data'!G$2:G$2051,0))</f>
        <v>#N/A</v>
      </c>
    </row>
    <row r="21" spans="1:104" s="46" customFormat="1" x14ac:dyDescent="0.2">
      <c r="A21" s="5" t="s">
        <v>22</v>
      </c>
      <c r="B21" s="49" t="e">
        <f>INDEX('BalSht Data'!H$1:H$2999,MATCH(B$1,'BalSht Data'!A$2:A$2051,0)+MATCH(A21,'BalSht Data'!G$2:G$2051,0))</f>
        <v>#N/A</v>
      </c>
      <c r="C21" s="49" t="e">
        <f>INDEX('BalSht Data'!H$1:H$2999,MATCH(C$1,'BalSht Data'!A$2:A$2051,0)+MATCH(A21,'BalSht Data'!G$2:G$2051,0))</f>
        <v>#N/A</v>
      </c>
      <c r="D21" s="49" t="e">
        <f>INDEX('BalSht Data'!H$1:H$2999,MATCH(D$1,'BalSht Data'!A$2:A$2051,0)+MATCH(A21,'BalSht Data'!G$2:G$2051,0))</f>
        <v>#N/A</v>
      </c>
      <c r="E21" s="49" t="e">
        <f>INDEX('BalSht Data'!H$1:H$2999,MATCH(E$1,'BalSht Data'!A$2:A$2051,0)+MATCH(A21,'BalSht Data'!G$2:G$2051,0))</f>
        <v>#N/A</v>
      </c>
      <c r="F21" s="49" t="e">
        <f>INDEX('BalSht Data'!H$1:H$2999,MATCH(F$1,'BalSht Data'!A$2:A$2051,0)+MATCH(A21,'BalSht Data'!G$2:G$2051,0))</f>
        <v>#N/A</v>
      </c>
      <c r="G21" s="49" t="e">
        <f>INDEX('BalSht Data'!H$1:H$2999,MATCH(G$1,'BalSht Data'!A$2:A$2051,0)+MATCH(A21,'BalSht Data'!G$2:G$2051,0))</f>
        <v>#N/A</v>
      </c>
      <c r="H21" s="49" t="e">
        <f>INDEX('BalSht Data'!H$1:H$2999,MATCH(H$1,'BalSht Data'!A$2:A$2051,0)+MATCH(A21,'BalSht Data'!G$2:G$2051,0))</f>
        <v>#N/A</v>
      </c>
      <c r="I21" s="49" t="e">
        <f>INDEX('BalSht Data'!H$1:H$2999,MATCH(I$1,'BalSht Data'!A$2:A$2051,0)+MATCH(A21,'BalSht Data'!G$2:G$2051,0))</f>
        <v>#N/A</v>
      </c>
      <c r="J21" s="49" t="e">
        <f>INDEX('BalSht Data'!H$1:H$2999,MATCH(J$1,'BalSht Data'!A$2:A$2051,0)+MATCH(A21,'BalSht Data'!G$2:G$2051,0))</f>
        <v>#N/A</v>
      </c>
      <c r="K21" s="49" t="e">
        <f>INDEX('BalSht Data'!H$1:H$2999,MATCH(K$1,'BalSht Data'!A$2:A$2051,0)+MATCH(A21,'BalSht Data'!G$2:G$2051,0))</f>
        <v>#N/A</v>
      </c>
      <c r="L21" s="49" t="e">
        <f>INDEX('BalSht Data'!H$1:H$2999,MATCH(L$1,'BalSht Data'!A$2:A$2051,0)+MATCH(A21,'BalSht Data'!G$2:G$2051,0))</f>
        <v>#N/A</v>
      </c>
      <c r="M21" s="49" t="e">
        <f>INDEX('BalSht Data'!H$1:H$2999,MATCH(M$1,'BalSht Data'!A$2:A$2051,0)+MATCH(A21,'BalSht Data'!G$2:G$2051,0))</f>
        <v>#N/A</v>
      </c>
      <c r="N21" s="49" t="e">
        <f>INDEX('BalSht Data'!H$1:H$2999,MATCH(N$1,'BalSht Data'!A$2:A$2051,0)+MATCH(A21,'BalSht Data'!G$2:G$2051,0))</f>
        <v>#N/A</v>
      </c>
      <c r="O21" s="49" t="e">
        <f>INDEX('BalSht Data'!H$1:H$2999,MATCH(O$1,'BalSht Data'!A$2:A$2051,0)+MATCH(A21,'BalSht Data'!G$2:G$2051,0))</f>
        <v>#N/A</v>
      </c>
      <c r="P21" s="49" t="e">
        <f>INDEX('BalSht Data'!H$1:H$2999,MATCH(P$1,'BalSht Data'!A$2:A$2051,0)+MATCH(A21,'BalSht Data'!G$2:G$2051,0))</f>
        <v>#N/A</v>
      </c>
      <c r="Q21" s="49" t="e">
        <f>INDEX('BalSht Data'!H$1:H$2999,MATCH(Q$1,'BalSht Data'!A$2:A$2051,0)+MATCH(A21,'BalSht Data'!G$2:G$2051,0))</f>
        <v>#N/A</v>
      </c>
      <c r="R21" s="49" t="e">
        <f>INDEX('BalSht Data'!H$1:H$2999,MATCH(R$1,'BalSht Data'!A$2:A$2051,0)+MATCH(A21,'BalSht Data'!G$2:G$2051,0))</f>
        <v>#N/A</v>
      </c>
      <c r="S21" s="49" t="e">
        <f>INDEX('BalSht Data'!H$1:H$2999,MATCH(S$1,'BalSht Data'!A$2:A$2051,0)+MATCH(A21,'BalSht Data'!G$2:G$2051,0))</f>
        <v>#N/A</v>
      </c>
      <c r="T21" s="49" t="e">
        <f>INDEX('BalSht Data'!H$1:H$2999,MATCH(T$1,'BalSht Data'!A$2:A$2051,0)+MATCH(A21,'BalSht Data'!G$2:G$2051,0))</f>
        <v>#N/A</v>
      </c>
      <c r="U21" s="49" t="e">
        <f>INDEX('BalSht Data'!H$1:H$2999,MATCH(U$1,'BalSht Data'!A$2:A$2051,0)+MATCH(A21,'BalSht Data'!G$2:G$2051,0))</f>
        <v>#N/A</v>
      </c>
      <c r="V21" s="49" t="e">
        <f>INDEX('BalSht Data'!H$1:H$2999,MATCH(V$1,'BalSht Data'!A$2:A$2051,0)+MATCH(A21,'BalSht Data'!G$2:G$2051,0))</f>
        <v>#N/A</v>
      </c>
      <c r="W21" s="49" t="e">
        <f>INDEX('BalSht Data'!H$1:H$2999,MATCH(W$1,'BalSht Data'!A$2:A$2051,0)+MATCH(A21,'BalSht Data'!G$2:G$2051,0))</f>
        <v>#N/A</v>
      </c>
      <c r="X21" s="49" t="e">
        <f>INDEX('BalSht Data'!H$1:H$2999,MATCH(X$1,'BalSht Data'!A$2:A$2051,0)+MATCH(A21,'BalSht Data'!G$2:G$2051,0))</f>
        <v>#N/A</v>
      </c>
      <c r="Y21" s="49" t="e">
        <f>INDEX('BalSht Data'!H$1:H$2999,MATCH(Y$1,'BalSht Data'!A$2:A$2051,0)+MATCH(A21,'BalSht Data'!G$2:G$2051,0))</f>
        <v>#N/A</v>
      </c>
      <c r="Z21" s="49" t="e">
        <f>INDEX('BalSht Data'!H$1:H$2999,MATCH(Z$1,'BalSht Data'!A$2:A$2051,0)+MATCH(A21,'BalSht Data'!G$2:G$2051,0))</f>
        <v>#N/A</v>
      </c>
      <c r="AA21" s="49" t="e">
        <f>INDEX('BalSht Data'!H$1:H$2999,MATCH(AA$1,'BalSht Data'!A$2:A$2051,0)+MATCH(A21,'BalSht Data'!G$2:G$2051,0))</f>
        <v>#N/A</v>
      </c>
      <c r="AB21" s="49" t="e">
        <f>INDEX('BalSht Data'!H$1:H$2999,MATCH(AB$1,'BalSht Data'!A$2:A$2051,0)+MATCH(A21,'BalSht Data'!G$2:G$2051,0))</f>
        <v>#N/A</v>
      </c>
      <c r="AC21" s="49" t="e">
        <f>INDEX('BalSht Data'!H$1:H$2999,MATCH(AC$1,'BalSht Data'!A$2:A$2051,0)+MATCH(A21,'BalSht Data'!G$2:G$2051,0))</f>
        <v>#N/A</v>
      </c>
      <c r="AD21" s="49" t="e">
        <f>INDEX('BalSht Data'!H$1:H$2999,MATCH(AD$1,'BalSht Data'!A$2:A$2051,0)+MATCH(A21,'BalSht Data'!G$2:G$2051,0))</f>
        <v>#N/A</v>
      </c>
      <c r="AE21" s="49" t="e">
        <f>INDEX('BalSht Data'!H$1:H$2999,MATCH(AE$1,'BalSht Data'!A$2:A$2051,0)+MATCH(A21,'BalSht Data'!G$2:G$2051,0))</f>
        <v>#N/A</v>
      </c>
      <c r="AF21" s="49" t="e">
        <f>INDEX('BalSht Data'!H$1:H$2999,MATCH(AF$1,'BalSht Data'!A$2:A$2051,0)+MATCH(A21,'BalSht Data'!G$2:G$2051,0))</f>
        <v>#N/A</v>
      </c>
      <c r="AG21" s="49" t="e">
        <f>INDEX('BalSht Data'!H$1:H$2999,MATCH(AG$1,'BalSht Data'!A$2:A$2051,0)+MATCH(A21,'BalSht Data'!G$2:G$2051,0))</f>
        <v>#N/A</v>
      </c>
      <c r="AH21" s="49" t="e">
        <f>INDEX('BalSht Data'!H$1:H$2999,MATCH(AH$1,'BalSht Data'!A$2:A$2051,0)+MATCH(A21,'BalSht Data'!G$2:G$2051,0))</f>
        <v>#N/A</v>
      </c>
      <c r="AI21" s="49" t="e">
        <f>INDEX('BalSht Data'!H$1:H$2999,MATCH(AI$1,'BalSht Data'!A$2:A$2051,0)+MATCH(A21,'BalSht Data'!G$2:G$2051,0))</f>
        <v>#N/A</v>
      </c>
      <c r="AJ21" s="49" t="e">
        <f>INDEX('BalSht Data'!H$1:H$2999,MATCH(AJ$1,'BalSht Data'!A$2:A$2051,0)+MATCH(A21,'BalSht Data'!G$2:G$2051,0))</f>
        <v>#N/A</v>
      </c>
      <c r="AK21" s="49" t="e">
        <f>INDEX('BalSht Data'!H$1:H$2999,MATCH(AK$1,'BalSht Data'!A$2:A$2051,0)+MATCH(A21,'BalSht Data'!G$2:G$2051,0))</f>
        <v>#N/A</v>
      </c>
      <c r="AL21" s="49">
        <f>INDEX('BalSht Data'!H$1:H$2999,MATCH(AL$1,'BalSht Data'!A$2:A$2051,0)+MATCH(A21,'BalSht Data'!G$2:G$2051,0))</f>
        <v>0</v>
      </c>
      <c r="AM21" s="49">
        <f>INDEX('BalSht Data'!H$1:H$2999,MATCH(AM$1,'BalSht Data'!A$2:A$2051,0)+MATCH(A21,'BalSht Data'!G$2:G$2051,0))</f>
        <v>0</v>
      </c>
      <c r="AN21" s="49">
        <f>INDEX('BalSht Data'!H$1:H$2999,MATCH(AN$1,'BalSht Data'!A$2:A$2051,0)+MATCH(A21,'BalSht Data'!G$2:G$2051,0))</f>
        <v>0</v>
      </c>
      <c r="AO21" s="49">
        <f>INDEX('BalSht Data'!H$1:H$2999,MATCH(AO$1,'BalSht Data'!A$2:A$2051,0)+MATCH(A21,'BalSht Data'!G$2:G$2051,0))</f>
        <v>0</v>
      </c>
      <c r="AP21" s="49" t="e">
        <f>INDEX('BalSht Data'!H$1:H$2999,MATCH(AP$1,'BalSht Data'!A$2:A$2051,0)+MATCH(A21,'BalSht Data'!G$2:G$2051,0))</f>
        <v>#N/A</v>
      </c>
      <c r="AQ21" s="49" t="e">
        <f>INDEX('BalSht Data'!H$1:H$2999,MATCH(AQ$1,'BalSht Data'!A$2:A$2051,0)+MATCH(A21,'BalSht Data'!G$2:G$2051,0))</f>
        <v>#N/A</v>
      </c>
      <c r="AR21" s="49" t="e">
        <f>INDEX('BalSht Data'!H$1:H$2999,MATCH(AR$1,'BalSht Data'!A$2:A$2051,0)+MATCH(A21,'BalSht Data'!G$2:G$2051,0))</f>
        <v>#N/A</v>
      </c>
      <c r="AS21" s="49" t="e">
        <f>INDEX('BalSht Data'!H$1:H$2999,MATCH(AS$1,'BalSht Data'!A$2:A$2051,0)+MATCH(A21,'BalSht Data'!G$2:G$2051,0))</f>
        <v>#N/A</v>
      </c>
      <c r="AT21" s="49" t="e">
        <f>INDEX('BalSht Data'!H$1:H$2999,MATCH(AT$1,'BalSht Data'!A$2:A$2051,0)+MATCH(A21,'BalSht Data'!G$2:G$2051,0))</f>
        <v>#N/A</v>
      </c>
      <c r="AU21" s="49" t="e">
        <f>INDEX('BalSht Data'!H$1:H$2999,MATCH(AU$1,'BalSht Data'!A$2:A$2051,0)+MATCH(A21,'BalSht Data'!G$2:G$2051,0))</f>
        <v>#N/A</v>
      </c>
      <c r="AV21" s="49" t="e">
        <f>INDEX('BalSht Data'!H$1:H$2999,MATCH(AV$1,'BalSht Data'!A$2:A$2051,0)+MATCH(A21,'BalSht Data'!G$2:G$2051,0))</f>
        <v>#N/A</v>
      </c>
      <c r="AW21" s="49" t="e">
        <f>INDEX('BalSht Data'!H$1:H$2999,MATCH(AW$1,'BalSht Data'!A$2:A$2051,0)+MATCH(A21,'BalSht Data'!G$2:G$2051,0))</f>
        <v>#N/A</v>
      </c>
      <c r="AX21" s="49" t="e">
        <f>INDEX('BalSht Data'!H$1:H$2999,MATCH(AX$1,'BalSht Data'!A$2:A$2051,0)+MATCH(A21,'BalSht Data'!G$2:G$2051,0))</f>
        <v>#N/A</v>
      </c>
      <c r="AY21" s="49" t="e">
        <f>INDEX('BalSht Data'!H$1:H$2999,MATCH(AY$1,'BalSht Data'!A$2:A$2051,0)+MATCH(A21,'BalSht Data'!G$2:G$2051,0))</f>
        <v>#N/A</v>
      </c>
      <c r="AZ21" s="49" t="e">
        <f>INDEX('BalSht Data'!H$1:H$2999,MATCH(AZ$1,'BalSht Data'!A$2:A$2051,0)+MATCH(A21,'BalSht Data'!G$2:G$2051,0))</f>
        <v>#N/A</v>
      </c>
      <c r="BA21" s="49" t="e">
        <f>INDEX('BalSht Data'!H$1:H$2999,MATCH(BA$1,'BalSht Data'!A$2:A$2051,0)+MATCH(A21,'BalSht Data'!G$2:G$2051,0))</f>
        <v>#N/A</v>
      </c>
      <c r="BB21" s="49" t="e">
        <f>INDEX('BalSht Data'!H$1:H$2999,MATCH(BB$1,'BalSht Data'!A$2:A$2051,0)+MATCH(A21,'BalSht Data'!G$2:G$2051,0))</f>
        <v>#N/A</v>
      </c>
      <c r="BC21" s="49" t="e">
        <f>INDEX('BalSht Data'!H$1:H$2999,MATCH(BC$1,'BalSht Data'!A$2:A$2051,0)+MATCH(A21,'BalSht Data'!G$2:G$2051,0))</f>
        <v>#N/A</v>
      </c>
      <c r="BD21" s="49" t="e">
        <f>INDEX('BalSht Data'!H$1:H$2999,MATCH(BD$1,'BalSht Data'!A$2:A$2051,0)+MATCH(A21,'BalSht Data'!G$2:G$2051,0))</f>
        <v>#N/A</v>
      </c>
      <c r="BE21" s="49" t="e">
        <f>INDEX('BalSht Data'!H$1:H$2999,MATCH(BE$1,'BalSht Data'!A$2:A$2051,0)+MATCH(A21,'BalSht Data'!G$2:G$2051,0))</f>
        <v>#N/A</v>
      </c>
      <c r="BF21" s="49" t="e">
        <f>INDEX('BalSht Data'!H$1:H$2999,MATCH(BF$1,'BalSht Data'!A$2:A$2051,0)+MATCH(A21,'BalSht Data'!G$2:G$2051,0))</f>
        <v>#N/A</v>
      </c>
      <c r="BG21" s="49" t="e">
        <f>INDEX('BalSht Data'!H$1:H$2999,MATCH(BG$1,'BalSht Data'!A$2:A$2051,0)+MATCH(A21,'BalSht Data'!G$2:G$2051,0))</f>
        <v>#N/A</v>
      </c>
      <c r="BH21" s="49" t="e">
        <f>INDEX('BalSht Data'!H$1:H$2999,MATCH(BH$1,'BalSht Data'!A$2:A$2051,0)+MATCH(A21,'BalSht Data'!G$2:G$2051,0))</f>
        <v>#N/A</v>
      </c>
      <c r="BI21" s="49" t="e">
        <f>INDEX('BalSht Data'!H$1:H$2999,MATCH(BI$1,'BalSht Data'!A$2:A$2051,0)+MATCH(A21,'BalSht Data'!G$2:G$2051,0))</f>
        <v>#N/A</v>
      </c>
      <c r="BJ21" s="49" t="e">
        <f>INDEX('BalSht Data'!H$1:H$2999,MATCH(BJ$1,'BalSht Data'!A$2:A$2051,0)+MATCH(A21,'BalSht Data'!G$2:G$2051,0))</f>
        <v>#N/A</v>
      </c>
      <c r="BK21" s="49" t="e">
        <f>INDEX('BalSht Data'!H$1:H$2999,MATCH(BK$1,'BalSht Data'!A$2:A$2051,0)+MATCH(A21,'BalSht Data'!G$2:G$2051,0))</f>
        <v>#N/A</v>
      </c>
      <c r="BL21" s="49" t="e">
        <f>INDEX('BalSht Data'!H$1:H$2999,MATCH(BL$1,'BalSht Data'!A$2:A$2051,0)+MATCH(A21,'BalSht Data'!G$2:G$2051,0))</f>
        <v>#N/A</v>
      </c>
      <c r="BM21" s="49" t="e">
        <f>INDEX('BalSht Data'!H$1:H$2999,MATCH(BM$1,'BalSht Data'!A$2:A$2051,0)+MATCH(A21,'BalSht Data'!G$2:G$2051,0))</f>
        <v>#N/A</v>
      </c>
      <c r="BN21" s="49" t="e">
        <f>INDEX('BalSht Data'!H$1:H$2999,MATCH(BN$1,'BalSht Data'!A$2:A$2051,0)+MATCH(A21,'BalSht Data'!G$2:G$2051,0))</f>
        <v>#N/A</v>
      </c>
      <c r="BO21" s="49" t="e">
        <f>INDEX('BalSht Data'!H$1:H$2999,MATCH(BO$1,'BalSht Data'!A$2:A$2051,0)+MATCH(A21,'BalSht Data'!G$2:G$2051,0))</f>
        <v>#N/A</v>
      </c>
      <c r="BP21" s="49" t="e">
        <f>INDEX('BalSht Data'!H$1:H$2999,MATCH(BP$1,'BalSht Data'!A$2:A$2051,0)+MATCH(A21,'BalSht Data'!G$2:G$2051,0))</f>
        <v>#N/A</v>
      </c>
      <c r="BQ21" s="49" t="e">
        <f>INDEX('BalSht Data'!H$1:H$2999,MATCH(BQ$1,'BalSht Data'!A$2:A$2051,0)+MATCH(A21,'BalSht Data'!G$2:G$2051,0))</f>
        <v>#N/A</v>
      </c>
      <c r="BR21" s="49" t="e">
        <f>INDEX('BalSht Data'!H$1:H$2999,MATCH(BR$1,'BalSht Data'!A$2:A$2051,0)+MATCH(A21,'BalSht Data'!G$2:G$2051,0))</f>
        <v>#N/A</v>
      </c>
      <c r="BS21" s="49" t="e">
        <f>INDEX('BalSht Data'!H$1:H$2999,MATCH(BS$1,'BalSht Data'!A$2:A$2051,0)+MATCH(A21,'BalSht Data'!G$2:G$2051,0))</f>
        <v>#N/A</v>
      </c>
      <c r="BT21" s="49" t="e">
        <f>INDEX('BalSht Data'!H$1:H$2999,MATCH(BT$1,'BalSht Data'!A$2:A$2051,0)+MATCH(A21,'BalSht Data'!G$2:G$2051,0))</f>
        <v>#N/A</v>
      </c>
      <c r="BU21" s="49" t="e">
        <f>INDEX('BalSht Data'!H$1:H$2999,MATCH(BU$1,'BalSht Data'!A$2:A$2051,0)+MATCH(A21,'BalSht Data'!G$2:G$2051,0))</f>
        <v>#N/A</v>
      </c>
      <c r="BV21" s="49" t="e">
        <f>INDEX('BalSht Data'!H$1:H$2999,MATCH(BV$1,'BalSht Data'!A$2:A$2051,0)+MATCH(A21,'BalSht Data'!G$2:G$2051,0))</f>
        <v>#N/A</v>
      </c>
      <c r="BW21" s="49" t="e">
        <f>INDEX('BalSht Data'!H$1:H$2999,MATCH(BW$1,'BalSht Data'!A$2:A$2051,0)+MATCH(A21,'BalSht Data'!G$2:G$2051,0))</f>
        <v>#N/A</v>
      </c>
      <c r="BX21" s="49" t="e">
        <f>INDEX('BalSht Data'!H$1:H$2999,MATCH(BX$1,'BalSht Data'!A$2:A$2051,0)+MATCH(A21,'BalSht Data'!G$2:G$2051,0))</f>
        <v>#N/A</v>
      </c>
      <c r="BY21" s="49" t="e">
        <f>INDEX('BalSht Data'!H$1:H$2999,MATCH(BY$1,'BalSht Data'!A$2:A$2051,0)+MATCH(A21,'BalSht Data'!G$2:G$2051,0))</f>
        <v>#N/A</v>
      </c>
      <c r="BZ21" s="49" t="e">
        <f>INDEX('BalSht Data'!H$1:H$2999,MATCH(BZ$1,'BalSht Data'!A$2:A$2051,0)+MATCH(A21,'BalSht Data'!G$2:G$2051,0))</f>
        <v>#N/A</v>
      </c>
      <c r="CA21" s="49" t="e">
        <f>INDEX('BalSht Data'!H$1:H$2999,MATCH(CA$1,'BalSht Data'!A$2:A$2051,0)+MATCH(A21,'BalSht Data'!G$2:G$2051,0))</f>
        <v>#N/A</v>
      </c>
      <c r="CB21" s="49" t="e">
        <f>INDEX('BalSht Data'!H$1:H$2999,MATCH(CB$1,'BalSht Data'!A$2:A$2051,0)+MATCH(A21,'BalSht Data'!G$2:G$2051,0))</f>
        <v>#N/A</v>
      </c>
      <c r="CC21" s="49" t="e">
        <f>INDEX('BalSht Data'!H$1:H$2999,MATCH(CC$1,'BalSht Data'!A$2:A$2051,0)+MATCH(A21,'BalSht Data'!G$2:G$2051,0))</f>
        <v>#N/A</v>
      </c>
      <c r="CD21" s="49" t="e">
        <f>INDEX('BalSht Data'!H$1:H$2999,MATCH(CD$1,'BalSht Data'!A$2:A$2051,0)+MATCH(A21,'BalSht Data'!G$2:G$2051,0))</f>
        <v>#N/A</v>
      </c>
      <c r="CE21" s="49" t="e">
        <f>INDEX('BalSht Data'!H$1:H$2999,MATCH(CE$1,'BalSht Data'!A$2:A$2051,0)+MATCH(A21,'BalSht Data'!G$2:G$2051,0))</f>
        <v>#N/A</v>
      </c>
      <c r="CF21" s="49" t="e">
        <f>INDEX('BalSht Data'!H$1:H$2999,MATCH(CF$1,'BalSht Data'!A$2:A$2051,0)+MATCH(A21,'BalSht Data'!G$2:G$2051,0))</f>
        <v>#N/A</v>
      </c>
      <c r="CG21" s="49" t="e">
        <f>INDEX('BalSht Data'!H$1:H$2999,MATCH(CG$1,'BalSht Data'!A$2:A$2051,0)+MATCH(A21,'BalSht Data'!G$2:G$2051,0))</f>
        <v>#N/A</v>
      </c>
      <c r="CH21" s="49" t="e">
        <f>INDEX('BalSht Data'!H$1:H$2999,MATCH(CH$1,'BalSht Data'!A$2:A$2051,0)+MATCH(A21,'BalSht Data'!G$2:G$2051,0))</f>
        <v>#N/A</v>
      </c>
      <c r="CI21" s="49" t="e">
        <f>INDEX('BalSht Data'!H$1:H$2999,MATCH(CI$1,'BalSht Data'!A$2:A$2051,0)+MATCH(A21,'BalSht Data'!G$2:G$2051,0))</f>
        <v>#N/A</v>
      </c>
      <c r="CJ21" s="49" t="e">
        <f>INDEX('BalSht Data'!H$1:H$2999,MATCH(CJ$1,'BalSht Data'!A$2:A$2051,0)+MATCH(A21,'BalSht Data'!G$2:G$2051,0))</f>
        <v>#N/A</v>
      </c>
      <c r="CK21" s="49" t="e">
        <f>INDEX('BalSht Data'!H$1:H$2999,MATCH(CK$1,'BalSht Data'!A$2:A$2051,0)+MATCH(A21,'BalSht Data'!G$2:G$2051,0))</f>
        <v>#N/A</v>
      </c>
      <c r="CL21" s="49" t="e">
        <f>INDEX('BalSht Data'!H$1:H$2999,MATCH(CL$1,'BalSht Data'!A$2:A$2051,0)+MATCH(A21,'BalSht Data'!G$2:G$2051,0))</f>
        <v>#N/A</v>
      </c>
      <c r="CM21" s="49" t="e">
        <f>INDEX('BalSht Data'!H$1:H$2999,MATCH(CM$1,'BalSht Data'!A$2:A$2051,0)+MATCH(A21,'BalSht Data'!G$2:G$2051,0))</f>
        <v>#N/A</v>
      </c>
      <c r="CN21" s="49" t="e">
        <f>INDEX('BalSht Data'!H$1:H$2999,MATCH(CN$1,'BalSht Data'!A$2:A$2051,0)+MATCH(A21,'BalSht Data'!G$2:G$2051,0))</f>
        <v>#N/A</v>
      </c>
      <c r="CO21" s="49" t="e">
        <f>INDEX('BalSht Data'!H$1:H$2999,MATCH(CO$1,'BalSht Data'!A$2:A$2051,0)+MATCH(A21,'BalSht Data'!G$2:G$2051,0))</f>
        <v>#N/A</v>
      </c>
      <c r="CP21" s="49" t="e">
        <f>INDEX('BalSht Data'!H$1:H$2999,MATCH(CP$1,'BalSht Data'!A$2:A$2051,0)+MATCH(A21,'BalSht Data'!G$2:G$2051,0))</f>
        <v>#N/A</v>
      </c>
      <c r="CQ21" s="49" t="e">
        <f>INDEX('BalSht Data'!H$1:H$2999,MATCH(CQ$1,'BalSht Data'!A$2:A$2051,0)+MATCH(A21,'BalSht Data'!G$2:G$2051,0))</f>
        <v>#N/A</v>
      </c>
      <c r="CR21" s="49" t="e">
        <f>INDEX('BalSht Data'!H$1:H$2999,MATCH(CR$1,'BalSht Data'!A$2:A$2051,0)+MATCH(A21,'BalSht Data'!G$2:G$2051,0))</f>
        <v>#N/A</v>
      </c>
      <c r="CS21" s="49" t="e">
        <f>INDEX('BalSht Data'!H$1:H$2999,MATCH(CS$1,'BalSht Data'!A$2:A$2051,0)+MATCH(A21,'BalSht Data'!G$2:G$2051,0))</f>
        <v>#N/A</v>
      </c>
      <c r="CT21" s="49" t="e">
        <f>INDEX('BalSht Data'!H$1:H$2999,MATCH(CT$1,'BalSht Data'!A$2:A$2051,0)+MATCH(A21,'BalSht Data'!G$2:G$2051,0))</f>
        <v>#N/A</v>
      </c>
      <c r="CU21" s="49" t="e">
        <f>INDEX('BalSht Data'!H$1:H$2999,MATCH(CU$1,'BalSht Data'!A$2:A$2051,0)+MATCH(A21,'BalSht Data'!G$2:G$2051,0))</f>
        <v>#N/A</v>
      </c>
      <c r="CV21" s="49" t="e">
        <f>INDEX('BalSht Data'!H$1:H$2999,MATCH(CV$1,'BalSht Data'!A$2:A$2051,0)+MATCH(A21,'BalSht Data'!G$2:G$2051,0))</f>
        <v>#N/A</v>
      </c>
      <c r="CW21" s="49" t="e">
        <f>INDEX('BalSht Data'!H$1:H$2999,MATCH(CW$1,'BalSht Data'!A$2:A$2051,0)+MATCH(A21,'BalSht Data'!G$2:G$2051,0))</f>
        <v>#N/A</v>
      </c>
      <c r="CX21" s="49" t="e">
        <f>INDEX('BalSht Data'!H$1:H$2999,MATCH(CX$1,'BalSht Data'!A$2:A$2051,0)+MATCH(A21,'BalSht Data'!G$2:G$2051,0))</f>
        <v>#N/A</v>
      </c>
      <c r="CY21" s="49" t="e">
        <f>INDEX('BalSht Data'!H$1:H$2999,MATCH(CY$1,'BalSht Data'!A$2:A$2051,0)+MATCH(A21,'BalSht Data'!G$2:G$2051,0))</f>
        <v>#N/A</v>
      </c>
      <c r="CZ21" s="49" t="e">
        <f>INDEX('BalSht Data'!H$1:H$2999,MATCH(CZ$1,'BalSht Data'!A$2:A$2051,0)+MATCH(A21,'BalSht Data'!G$2:G$2051,0))</f>
        <v>#N/A</v>
      </c>
    </row>
    <row r="22" spans="1:104" s="46" customFormat="1" x14ac:dyDescent="0.2">
      <c r="A22" s="5" t="s">
        <v>23</v>
      </c>
      <c r="B22" s="49" t="e">
        <f>INDEX('BalSht Data'!H$1:H$2999,MATCH(B$1,'BalSht Data'!A$2:A$2051,0)+MATCH(A22,'BalSht Data'!G$2:G$2051,0))</f>
        <v>#N/A</v>
      </c>
      <c r="C22" s="49" t="e">
        <f>INDEX('BalSht Data'!H$1:H$2999,MATCH(C$1,'BalSht Data'!A$2:A$2051,0)+MATCH(A22,'BalSht Data'!G$2:G$2051,0))</f>
        <v>#N/A</v>
      </c>
      <c r="D22" s="49" t="e">
        <f>INDEX('BalSht Data'!H$1:H$2999,MATCH(D$1,'BalSht Data'!A$2:A$2051,0)+MATCH(A22,'BalSht Data'!G$2:G$2051,0))</f>
        <v>#N/A</v>
      </c>
      <c r="E22" s="49" t="e">
        <f>INDEX('BalSht Data'!H$1:H$2999,MATCH(E$1,'BalSht Data'!A$2:A$2051,0)+MATCH(A22,'BalSht Data'!G$2:G$2051,0))</f>
        <v>#N/A</v>
      </c>
      <c r="F22" s="49" t="e">
        <f>INDEX('BalSht Data'!H$1:H$2999,MATCH(F$1,'BalSht Data'!A$2:A$2051,0)+MATCH(A22,'BalSht Data'!G$2:G$2051,0))</f>
        <v>#N/A</v>
      </c>
      <c r="G22" s="49" t="e">
        <f>INDEX('BalSht Data'!H$1:H$2999,MATCH(G$1,'BalSht Data'!A$2:A$2051,0)+MATCH(A22,'BalSht Data'!G$2:G$2051,0))</f>
        <v>#N/A</v>
      </c>
      <c r="H22" s="49" t="e">
        <f>INDEX('BalSht Data'!H$1:H$2999,MATCH(H$1,'BalSht Data'!A$2:A$2051,0)+MATCH(A22,'BalSht Data'!G$2:G$2051,0))</f>
        <v>#N/A</v>
      </c>
      <c r="I22" s="49" t="e">
        <f>INDEX('BalSht Data'!H$1:H$2999,MATCH(I$1,'BalSht Data'!A$2:A$2051,0)+MATCH(A22,'BalSht Data'!G$2:G$2051,0))</f>
        <v>#N/A</v>
      </c>
      <c r="J22" s="49" t="e">
        <f>INDEX('BalSht Data'!H$1:H$2999,MATCH(J$1,'BalSht Data'!A$2:A$2051,0)+MATCH(A22,'BalSht Data'!G$2:G$2051,0))</f>
        <v>#N/A</v>
      </c>
      <c r="K22" s="49" t="e">
        <f>INDEX('BalSht Data'!H$1:H$2999,MATCH(K$1,'BalSht Data'!A$2:A$2051,0)+MATCH(A22,'BalSht Data'!G$2:G$2051,0))</f>
        <v>#N/A</v>
      </c>
      <c r="L22" s="49" t="e">
        <f>INDEX('BalSht Data'!H$1:H$2999,MATCH(L$1,'BalSht Data'!A$2:A$2051,0)+MATCH(A22,'BalSht Data'!G$2:G$2051,0))</f>
        <v>#N/A</v>
      </c>
      <c r="M22" s="49" t="e">
        <f>INDEX('BalSht Data'!H$1:H$2999,MATCH(M$1,'BalSht Data'!A$2:A$2051,0)+MATCH(A22,'BalSht Data'!G$2:G$2051,0))</f>
        <v>#N/A</v>
      </c>
      <c r="N22" s="49" t="e">
        <f>INDEX('BalSht Data'!H$1:H$2999,MATCH(N$1,'BalSht Data'!A$2:A$2051,0)+MATCH(A22,'BalSht Data'!G$2:G$2051,0))</f>
        <v>#N/A</v>
      </c>
      <c r="O22" s="49" t="e">
        <f>INDEX('BalSht Data'!H$1:H$2999,MATCH(O$1,'BalSht Data'!A$2:A$2051,0)+MATCH(A22,'BalSht Data'!G$2:G$2051,0))</f>
        <v>#N/A</v>
      </c>
      <c r="P22" s="49" t="e">
        <f>INDEX('BalSht Data'!H$1:H$2999,MATCH(P$1,'BalSht Data'!A$2:A$2051,0)+MATCH(A22,'BalSht Data'!G$2:G$2051,0))</f>
        <v>#N/A</v>
      </c>
      <c r="Q22" s="49" t="e">
        <f>INDEX('BalSht Data'!H$1:H$2999,MATCH(Q$1,'BalSht Data'!A$2:A$2051,0)+MATCH(A22,'BalSht Data'!G$2:G$2051,0))</f>
        <v>#N/A</v>
      </c>
      <c r="R22" s="49" t="e">
        <f>INDEX('BalSht Data'!H$1:H$2999,MATCH(R$1,'BalSht Data'!A$2:A$2051,0)+MATCH(A22,'BalSht Data'!G$2:G$2051,0))</f>
        <v>#N/A</v>
      </c>
      <c r="S22" s="49" t="e">
        <f>INDEX('BalSht Data'!H$1:H$2999,MATCH(S$1,'BalSht Data'!A$2:A$2051,0)+MATCH(A22,'BalSht Data'!G$2:G$2051,0))</f>
        <v>#N/A</v>
      </c>
      <c r="T22" s="49" t="e">
        <f>INDEX('BalSht Data'!H$1:H$2999,MATCH(T$1,'BalSht Data'!A$2:A$2051,0)+MATCH(A22,'BalSht Data'!G$2:G$2051,0))</f>
        <v>#N/A</v>
      </c>
      <c r="U22" s="49" t="e">
        <f>INDEX('BalSht Data'!H$1:H$2999,MATCH(U$1,'BalSht Data'!A$2:A$2051,0)+MATCH(A22,'BalSht Data'!G$2:G$2051,0))</f>
        <v>#N/A</v>
      </c>
      <c r="V22" s="49" t="e">
        <f>INDEX('BalSht Data'!H$1:H$2999,MATCH(V$1,'BalSht Data'!A$2:A$2051,0)+MATCH(A22,'BalSht Data'!G$2:G$2051,0))</f>
        <v>#N/A</v>
      </c>
      <c r="W22" s="49" t="e">
        <f>INDEX('BalSht Data'!H$1:H$2999,MATCH(W$1,'BalSht Data'!A$2:A$2051,0)+MATCH(A22,'BalSht Data'!G$2:G$2051,0))</f>
        <v>#N/A</v>
      </c>
      <c r="X22" s="49" t="e">
        <f>INDEX('BalSht Data'!H$1:H$2999,MATCH(X$1,'BalSht Data'!A$2:A$2051,0)+MATCH(A22,'BalSht Data'!G$2:G$2051,0))</f>
        <v>#N/A</v>
      </c>
      <c r="Y22" s="49" t="e">
        <f>INDEX('BalSht Data'!H$1:H$2999,MATCH(Y$1,'BalSht Data'!A$2:A$2051,0)+MATCH(A22,'BalSht Data'!G$2:G$2051,0))</f>
        <v>#N/A</v>
      </c>
      <c r="Z22" s="49" t="e">
        <f>INDEX('BalSht Data'!H$1:H$2999,MATCH(Z$1,'BalSht Data'!A$2:A$2051,0)+MATCH(A22,'BalSht Data'!G$2:G$2051,0))</f>
        <v>#N/A</v>
      </c>
      <c r="AA22" s="49" t="e">
        <f>INDEX('BalSht Data'!H$1:H$2999,MATCH(AA$1,'BalSht Data'!A$2:A$2051,0)+MATCH(A22,'BalSht Data'!G$2:G$2051,0))</f>
        <v>#N/A</v>
      </c>
      <c r="AB22" s="49" t="e">
        <f>INDEX('BalSht Data'!H$1:H$2999,MATCH(AB$1,'BalSht Data'!A$2:A$2051,0)+MATCH(A22,'BalSht Data'!G$2:G$2051,0))</f>
        <v>#N/A</v>
      </c>
      <c r="AC22" s="49" t="e">
        <f>INDEX('BalSht Data'!H$1:H$2999,MATCH(AC$1,'BalSht Data'!A$2:A$2051,0)+MATCH(A22,'BalSht Data'!G$2:G$2051,0))</f>
        <v>#N/A</v>
      </c>
      <c r="AD22" s="49" t="e">
        <f>INDEX('BalSht Data'!H$1:H$2999,MATCH(AD$1,'BalSht Data'!A$2:A$2051,0)+MATCH(A22,'BalSht Data'!G$2:G$2051,0))</f>
        <v>#N/A</v>
      </c>
      <c r="AE22" s="49" t="e">
        <f>INDEX('BalSht Data'!H$1:H$2999,MATCH(AE$1,'BalSht Data'!A$2:A$2051,0)+MATCH(A22,'BalSht Data'!G$2:G$2051,0))</f>
        <v>#N/A</v>
      </c>
      <c r="AF22" s="49" t="e">
        <f>INDEX('BalSht Data'!H$1:H$2999,MATCH(AF$1,'BalSht Data'!A$2:A$2051,0)+MATCH(A22,'BalSht Data'!G$2:G$2051,0))</f>
        <v>#N/A</v>
      </c>
      <c r="AG22" s="49" t="e">
        <f>INDEX('BalSht Data'!H$1:H$2999,MATCH(AG$1,'BalSht Data'!A$2:A$2051,0)+MATCH(A22,'BalSht Data'!G$2:G$2051,0))</f>
        <v>#N/A</v>
      </c>
      <c r="AH22" s="49" t="e">
        <f>INDEX('BalSht Data'!H$1:H$2999,MATCH(AH$1,'BalSht Data'!A$2:A$2051,0)+MATCH(A22,'BalSht Data'!G$2:G$2051,0))</f>
        <v>#N/A</v>
      </c>
      <c r="AI22" s="49" t="e">
        <f>INDEX('BalSht Data'!H$1:H$2999,MATCH(AI$1,'BalSht Data'!A$2:A$2051,0)+MATCH(A22,'BalSht Data'!G$2:G$2051,0))</f>
        <v>#N/A</v>
      </c>
      <c r="AJ22" s="49" t="e">
        <f>INDEX('BalSht Data'!H$1:H$2999,MATCH(AJ$1,'BalSht Data'!A$2:A$2051,0)+MATCH(A22,'BalSht Data'!G$2:G$2051,0))</f>
        <v>#N/A</v>
      </c>
      <c r="AK22" s="49" t="e">
        <f>INDEX('BalSht Data'!H$1:H$2999,MATCH(AK$1,'BalSht Data'!A$2:A$2051,0)+MATCH(A22,'BalSht Data'!G$2:G$2051,0))</f>
        <v>#N/A</v>
      </c>
      <c r="AL22" s="49">
        <f>INDEX('BalSht Data'!H$1:H$2999,MATCH(AL$1,'BalSht Data'!A$2:A$2051,0)+MATCH(A22,'BalSht Data'!G$2:G$2051,0))</f>
        <v>0</v>
      </c>
      <c r="AM22" s="49">
        <f>INDEX('BalSht Data'!H$1:H$2999,MATCH(AM$1,'BalSht Data'!A$2:A$2051,0)+MATCH(A22,'BalSht Data'!G$2:G$2051,0))</f>
        <v>0</v>
      </c>
      <c r="AN22" s="49">
        <f>INDEX('BalSht Data'!H$1:H$2999,MATCH(AN$1,'BalSht Data'!A$2:A$2051,0)+MATCH(A22,'BalSht Data'!G$2:G$2051,0))</f>
        <v>0</v>
      </c>
      <c r="AO22" s="49">
        <f>INDEX('BalSht Data'!H$1:H$2999,MATCH(AO$1,'BalSht Data'!A$2:A$2051,0)+MATCH(A22,'BalSht Data'!G$2:G$2051,0))</f>
        <v>0</v>
      </c>
      <c r="AP22" s="49" t="e">
        <f>INDEX('BalSht Data'!H$1:H$2999,MATCH(AP$1,'BalSht Data'!A$2:A$2051,0)+MATCH(A22,'BalSht Data'!G$2:G$2051,0))</f>
        <v>#N/A</v>
      </c>
      <c r="AQ22" s="49" t="e">
        <f>INDEX('BalSht Data'!H$1:H$2999,MATCH(AQ$1,'BalSht Data'!A$2:A$2051,0)+MATCH(A22,'BalSht Data'!G$2:G$2051,0))</f>
        <v>#N/A</v>
      </c>
      <c r="AR22" s="49" t="e">
        <f>INDEX('BalSht Data'!H$1:H$2999,MATCH(AR$1,'BalSht Data'!A$2:A$2051,0)+MATCH(A22,'BalSht Data'!G$2:G$2051,0))</f>
        <v>#N/A</v>
      </c>
      <c r="AS22" s="49" t="e">
        <f>INDEX('BalSht Data'!H$1:H$2999,MATCH(AS$1,'BalSht Data'!A$2:A$2051,0)+MATCH(A22,'BalSht Data'!G$2:G$2051,0))</f>
        <v>#N/A</v>
      </c>
      <c r="AT22" s="49" t="e">
        <f>INDEX('BalSht Data'!H$1:H$2999,MATCH(AT$1,'BalSht Data'!A$2:A$2051,0)+MATCH(A22,'BalSht Data'!G$2:G$2051,0))</f>
        <v>#N/A</v>
      </c>
      <c r="AU22" s="49" t="e">
        <f>INDEX('BalSht Data'!H$1:H$2999,MATCH(AU$1,'BalSht Data'!A$2:A$2051,0)+MATCH(A22,'BalSht Data'!G$2:G$2051,0))</f>
        <v>#N/A</v>
      </c>
      <c r="AV22" s="49" t="e">
        <f>INDEX('BalSht Data'!H$1:H$2999,MATCH(AV$1,'BalSht Data'!A$2:A$2051,0)+MATCH(A22,'BalSht Data'!G$2:G$2051,0))</f>
        <v>#N/A</v>
      </c>
      <c r="AW22" s="49" t="e">
        <f>INDEX('BalSht Data'!H$1:H$2999,MATCH(AW$1,'BalSht Data'!A$2:A$2051,0)+MATCH(A22,'BalSht Data'!G$2:G$2051,0))</f>
        <v>#N/A</v>
      </c>
      <c r="AX22" s="49" t="e">
        <f>INDEX('BalSht Data'!H$1:H$2999,MATCH(AX$1,'BalSht Data'!A$2:A$2051,0)+MATCH(A22,'BalSht Data'!G$2:G$2051,0))</f>
        <v>#N/A</v>
      </c>
      <c r="AY22" s="49" t="e">
        <f>INDEX('BalSht Data'!H$1:H$2999,MATCH(AY$1,'BalSht Data'!A$2:A$2051,0)+MATCH(A22,'BalSht Data'!G$2:G$2051,0))</f>
        <v>#N/A</v>
      </c>
      <c r="AZ22" s="49" t="e">
        <f>INDEX('BalSht Data'!H$1:H$2999,MATCH(AZ$1,'BalSht Data'!A$2:A$2051,0)+MATCH(A22,'BalSht Data'!G$2:G$2051,0))</f>
        <v>#N/A</v>
      </c>
      <c r="BA22" s="49" t="e">
        <f>INDEX('BalSht Data'!H$1:H$2999,MATCH(BA$1,'BalSht Data'!A$2:A$2051,0)+MATCH(A22,'BalSht Data'!G$2:G$2051,0))</f>
        <v>#N/A</v>
      </c>
      <c r="BB22" s="49" t="e">
        <f>INDEX('BalSht Data'!H$1:H$2999,MATCH(BB$1,'BalSht Data'!A$2:A$2051,0)+MATCH(A22,'BalSht Data'!G$2:G$2051,0))</f>
        <v>#N/A</v>
      </c>
      <c r="BC22" s="49" t="e">
        <f>INDEX('BalSht Data'!H$1:H$2999,MATCH(BC$1,'BalSht Data'!A$2:A$2051,0)+MATCH(A22,'BalSht Data'!G$2:G$2051,0))</f>
        <v>#N/A</v>
      </c>
      <c r="BD22" s="49" t="e">
        <f>INDEX('BalSht Data'!H$1:H$2999,MATCH(BD$1,'BalSht Data'!A$2:A$2051,0)+MATCH(A22,'BalSht Data'!G$2:G$2051,0))</f>
        <v>#N/A</v>
      </c>
      <c r="BE22" s="49" t="e">
        <f>INDEX('BalSht Data'!H$1:H$2999,MATCH(BE$1,'BalSht Data'!A$2:A$2051,0)+MATCH(A22,'BalSht Data'!G$2:G$2051,0))</f>
        <v>#N/A</v>
      </c>
      <c r="BF22" s="49" t="e">
        <f>INDEX('BalSht Data'!H$1:H$2999,MATCH(BF$1,'BalSht Data'!A$2:A$2051,0)+MATCH(A22,'BalSht Data'!G$2:G$2051,0))</f>
        <v>#N/A</v>
      </c>
      <c r="BG22" s="49" t="e">
        <f>INDEX('BalSht Data'!H$1:H$2999,MATCH(BG$1,'BalSht Data'!A$2:A$2051,0)+MATCH(A22,'BalSht Data'!G$2:G$2051,0))</f>
        <v>#N/A</v>
      </c>
      <c r="BH22" s="49" t="e">
        <f>INDEX('BalSht Data'!H$1:H$2999,MATCH(BH$1,'BalSht Data'!A$2:A$2051,0)+MATCH(A22,'BalSht Data'!G$2:G$2051,0))</f>
        <v>#N/A</v>
      </c>
      <c r="BI22" s="49" t="e">
        <f>INDEX('BalSht Data'!H$1:H$2999,MATCH(BI$1,'BalSht Data'!A$2:A$2051,0)+MATCH(A22,'BalSht Data'!G$2:G$2051,0))</f>
        <v>#N/A</v>
      </c>
      <c r="BJ22" s="49" t="e">
        <f>INDEX('BalSht Data'!H$1:H$2999,MATCH(BJ$1,'BalSht Data'!A$2:A$2051,0)+MATCH(A22,'BalSht Data'!G$2:G$2051,0))</f>
        <v>#N/A</v>
      </c>
      <c r="BK22" s="49" t="e">
        <f>INDEX('BalSht Data'!H$1:H$2999,MATCH(BK$1,'BalSht Data'!A$2:A$2051,0)+MATCH(A22,'BalSht Data'!G$2:G$2051,0))</f>
        <v>#N/A</v>
      </c>
      <c r="BL22" s="49" t="e">
        <f>INDEX('BalSht Data'!H$1:H$2999,MATCH(BL$1,'BalSht Data'!A$2:A$2051,0)+MATCH(A22,'BalSht Data'!G$2:G$2051,0))</f>
        <v>#N/A</v>
      </c>
      <c r="BM22" s="49" t="e">
        <f>INDEX('BalSht Data'!H$1:H$2999,MATCH(BM$1,'BalSht Data'!A$2:A$2051,0)+MATCH(A22,'BalSht Data'!G$2:G$2051,0))</f>
        <v>#N/A</v>
      </c>
      <c r="BN22" s="49" t="e">
        <f>INDEX('BalSht Data'!H$1:H$2999,MATCH(BN$1,'BalSht Data'!A$2:A$2051,0)+MATCH(A22,'BalSht Data'!G$2:G$2051,0))</f>
        <v>#N/A</v>
      </c>
      <c r="BO22" s="49" t="e">
        <f>INDEX('BalSht Data'!H$1:H$2999,MATCH(BO$1,'BalSht Data'!A$2:A$2051,0)+MATCH(A22,'BalSht Data'!G$2:G$2051,0))</f>
        <v>#N/A</v>
      </c>
      <c r="BP22" s="49" t="e">
        <f>INDEX('BalSht Data'!H$1:H$2999,MATCH(BP$1,'BalSht Data'!A$2:A$2051,0)+MATCH(A22,'BalSht Data'!G$2:G$2051,0))</f>
        <v>#N/A</v>
      </c>
      <c r="BQ22" s="49" t="e">
        <f>INDEX('BalSht Data'!H$1:H$2999,MATCH(BQ$1,'BalSht Data'!A$2:A$2051,0)+MATCH(A22,'BalSht Data'!G$2:G$2051,0))</f>
        <v>#N/A</v>
      </c>
      <c r="BR22" s="49" t="e">
        <f>INDEX('BalSht Data'!H$1:H$2999,MATCH(BR$1,'BalSht Data'!A$2:A$2051,0)+MATCH(A22,'BalSht Data'!G$2:G$2051,0))</f>
        <v>#N/A</v>
      </c>
      <c r="BS22" s="49" t="e">
        <f>INDEX('BalSht Data'!H$1:H$2999,MATCH(BS$1,'BalSht Data'!A$2:A$2051,0)+MATCH(A22,'BalSht Data'!G$2:G$2051,0))</f>
        <v>#N/A</v>
      </c>
      <c r="BT22" s="49" t="e">
        <f>INDEX('BalSht Data'!H$1:H$2999,MATCH(BT$1,'BalSht Data'!A$2:A$2051,0)+MATCH(A22,'BalSht Data'!G$2:G$2051,0))</f>
        <v>#N/A</v>
      </c>
      <c r="BU22" s="49" t="e">
        <f>INDEX('BalSht Data'!H$1:H$2999,MATCH(BU$1,'BalSht Data'!A$2:A$2051,0)+MATCH(A22,'BalSht Data'!G$2:G$2051,0))</f>
        <v>#N/A</v>
      </c>
      <c r="BV22" s="49" t="e">
        <f>INDEX('BalSht Data'!H$1:H$2999,MATCH(BV$1,'BalSht Data'!A$2:A$2051,0)+MATCH(A22,'BalSht Data'!G$2:G$2051,0))</f>
        <v>#N/A</v>
      </c>
      <c r="BW22" s="49" t="e">
        <f>INDEX('BalSht Data'!H$1:H$2999,MATCH(BW$1,'BalSht Data'!A$2:A$2051,0)+MATCH(A22,'BalSht Data'!G$2:G$2051,0))</f>
        <v>#N/A</v>
      </c>
      <c r="BX22" s="49" t="e">
        <f>INDEX('BalSht Data'!H$1:H$2999,MATCH(BX$1,'BalSht Data'!A$2:A$2051,0)+MATCH(A22,'BalSht Data'!G$2:G$2051,0))</f>
        <v>#N/A</v>
      </c>
      <c r="BY22" s="49" t="e">
        <f>INDEX('BalSht Data'!H$1:H$2999,MATCH(BY$1,'BalSht Data'!A$2:A$2051,0)+MATCH(A22,'BalSht Data'!G$2:G$2051,0))</f>
        <v>#N/A</v>
      </c>
      <c r="BZ22" s="49" t="e">
        <f>INDEX('BalSht Data'!H$1:H$2999,MATCH(BZ$1,'BalSht Data'!A$2:A$2051,0)+MATCH(A22,'BalSht Data'!G$2:G$2051,0))</f>
        <v>#N/A</v>
      </c>
      <c r="CA22" s="49" t="e">
        <f>INDEX('BalSht Data'!H$1:H$2999,MATCH(CA$1,'BalSht Data'!A$2:A$2051,0)+MATCH(A22,'BalSht Data'!G$2:G$2051,0))</f>
        <v>#N/A</v>
      </c>
      <c r="CB22" s="49" t="e">
        <f>INDEX('BalSht Data'!H$1:H$2999,MATCH(CB$1,'BalSht Data'!A$2:A$2051,0)+MATCH(A22,'BalSht Data'!G$2:G$2051,0))</f>
        <v>#N/A</v>
      </c>
      <c r="CC22" s="49" t="e">
        <f>INDEX('BalSht Data'!H$1:H$2999,MATCH(CC$1,'BalSht Data'!A$2:A$2051,0)+MATCH(A22,'BalSht Data'!G$2:G$2051,0))</f>
        <v>#N/A</v>
      </c>
      <c r="CD22" s="49" t="e">
        <f>INDEX('BalSht Data'!H$1:H$2999,MATCH(CD$1,'BalSht Data'!A$2:A$2051,0)+MATCH(A22,'BalSht Data'!G$2:G$2051,0))</f>
        <v>#N/A</v>
      </c>
      <c r="CE22" s="49" t="e">
        <f>INDEX('BalSht Data'!H$1:H$2999,MATCH(CE$1,'BalSht Data'!A$2:A$2051,0)+MATCH(A22,'BalSht Data'!G$2:G$2051,0))</f>
        <v>#N/A</v>
      </c>
      <c r="CF22" s="49" t="e">
        <f>INDEX('BalSht Data'!H$1:H$2999,MATCH(CF$1,'BalSht Data'!A$2:A$2051,0)+MATCH(A22,'BalSht Data'!G$2:G$2051,0))</f>
        <v>#N/A</v>
      </c>
      <c r="CG22" s="49" t="e">
        <f>INDEX('BalSht Data'!H$1:H$2999,MATCH(CG$1,'BalSht Data'!A$2:A$2051,0)+MATCH(A22,'BalSht Data'!G$2:G$2051,0))</f>
        <v>#N/A</v>
      </c>
      <c r="CH22" s="49" t="e">
        <f>INDEX('BalSht Data'!H$1:H$2999,MATCH(CH$1,'BalSht Data'!A$2:A$2051,0)+MATCH(A22,'BalSht Data'!G$2:G$2051,0))</f>
        <v>#N/A</v>
      </c>
      <c r="CI22" s="49" t="e">
        <f>INDEX('BalSht Data'!H$1:H$2999,MATCH(CI$1,'BalSht Data'!A$2:A$2051,0)+MATCH(A22,'BalSht Data'!G$2:G$2051,0))</f>
        <v>#N/A</v>
      </c>
      <c r="CJ22" s="49" t="e">
        <f>INDEX('BalSht Data'!H$1:H$2999,MATCH(CJ$1,'BalSht Data'!A$2:A$2051,0)+MATCH(A22,'BalSht Data'!G$2:G$2051,0))</f>
        <v>#N/A</v>
      </c>
      <c r="CK22" s="49" t="e">
        <f>INDEX('BalSht Data'!H$1:H$2999,MATCH(CK$1,'BalSht Data'!A$2:A$2051,0)+MATCH(A22,'BalSht Data'!G$2:G$2051,0))</f>
        <v>#N/A</v>
      </c>
      <c r="CL22" s="49" t="e">
        <f>INDEX('BalSht Data'!H$1:H$2999,MATCH(CL$1,'BalSht Data'!A$2:A$2051,0)+MATCH(A22,'BalSht Data'!G$2:G$2051,0))</f>
        <v>#N/A</v>
      </c>
      <c r="CM22" s="49" t="e">
        <f>INDEX('BalSht Data'!H$1:H$2999,MATCH(CM$1,'BalSht Data'!A$2:A$2051,0)+MATCH(A22,'BalSht Data'!G$2:G$2051,0))</f>
        <v>#N/A</v>
      </c>
      <c r="CN22" s="49" t="e">
        <f>INDEX('BalSht Data'!H$1:H$2999,MATCH(CN$1,'BalSht Data'!A$2:A$2051,0)+MATCH(A22,'BalSht Data'!G$2:G$2051,0))</f>
        <v>#N/A</v>
      </c>
      <c r="CO22" s="49" t="e">
        <f>INDEX('BalSht Data'!H$1:H$2999,MATCH(CO$1,'BalSht Data'!A$2:A$2051,0)+MATCH(A22,'BalSht Data'!G$2:G$2051,0))</f>
        <v>#N/A</v>
      </c>
      <c r="CP22" s="49" t="e">
        <f>INDEX('BalSht Data'!H$1:H$2999,MATCH(CP$1,'BalSht Data'!A$2:A$2051,0)+MATCH(A22,'BalSht Data'!G$2:G$2051,0))</f>
        <v>#N/A</v>
      </c>
      <c r="CQ22" s="49" t="e">
        <f>INDEX('BalSht Data'!H$1:H$2999,MATCH(CQ$1,'BalSht Data'!A$2:A$2051,0)+MATCH(A22,'BalSht Data'!G$2:G$2051,0))</f>
        <v>#N/A</v>
      </c>
      <c r="CR22" s="49" t="e">
        <f>INDEX('BalSht Data'!H$1:H$2999,MATCH(CR$1,'BalSht Data'!A$2:A$2051,0)+MATCH(A22,'BalSht Data'!G$2:G$2051,0))</f>
        <v>#N/A</v>
      </c>
      <c r="CS22" s="49" t="e">
        <f>INDEX('BalSht Data'!H$1:H$2999,MATCH(CS$1,'BalSht Data'!A$2:A$2051,0)+MATCH(A22,'BalSht Data'!G$2:G$2051,0))</f>
        <v>#N/A</v>
      </c>
      <c r="CT22" s="49" t="e">
        <f>INDEX('BalSht Data'!H$1:H$2999,MATCH(CT$1,'BalSht Data'!A$2:A$2051,0)+MATCH(A22,'BalSht Data'!G$2:G$2051,0))</f>
        <v>#N/A</v>
      </c>
      <c r="CU22" s="49" t="e">
        <f>INDEX('BalSht Data'!H$1:H$2999,MATCH(CU$1,'BalSht Data'!A$2:A$2051,0)+MATCH(A22,'BalSht Data'!G$2:G$2051,0))</f>
        <v>#N/A</v>
      </c>
      <c r="CV22" s="49" t="e">
        <f>INDEX('BalSht Data'!H$1:H$2999,MATCH(CV$1,'BalSht Data'!A$2:A$2051,0)+MATCH(A22,'BalSht Data'!G$2:G$2051,0))</f>
        <v>#N/A</v>
      </c>
      <c r="CW22" s="49" t="e">
        <f>INDEX('BalSht Data'!H$1:H$2999,MATCH(CW$1,'BalSht Data'!A$2:A$2051,0)+MATCH(A22,'BalSht Data'!G$2:G$2051,0))</f>
        <v>#N/A</v>
      </c>
      <c r="CX22" s="49" t="e">
        <f>INDEX('BalSht Data'!H$1:H$2999,MATCH(CX$1,'BalSht Data'!A$2:A$2051,0)+MATCH(A22,'BalSht Data'!G$2:G$2051,0))</f>
        <v>#N/A</v>
      </c>
      <c r="CY22" s="49" t="e">
        <f>INDEX('BalSht Data'!H$1:H$2999,MATCH(CY$1,'BalSht Data'!A$2:A$2051,0)+MATCH(A22,'BalSht Data'!G$2:G$2051,0))</f>
        <v>#N/A</v>
      </c>
      <c r="CZ22" s="49" t="e">
        <f>INDEX('BalSht Data'!H$1:H$2999,MATCH(CZ$1,'BalSht Data'!A$2:A$2051,0)+MATCH(A22,'BalSht Data'!G$2:G$2051,0))</f>
        <v>#N/A</v>
      </c>
    </row>
    <row r="23" spans="1:104" s="46" customFormat="1" x14ac:dyDescent="0.2">
      <c r="A23" s="5" t="s">
        <v>24</v>
      </c>
      <c r="B23" s="49" t="e">
        <f>INDEX('BalSht Data'!H$1:H$2999,MATCH(B$1,'BalSht Data'!A$2:A$2051,0)+MATCH(A23,'BalSht Data'!G$2:G$2051,0))</f>
        <v>#N/A</v>
      </c>
      <c r="C23" s="49" t="e">
        <f>INDEX('BalSht Data'!H$1:H$2999,MATCH(C$1,'BalSht Data'!A$2:A$2051,0)+MATCH(A23,'BalSht Data'!G$2:G$2051,0))</f>
        <v>#N/A</v>
      </c>
      <c r="D23" s="49" t="e">
        <f>INDEX('BalSht Data'!H$1:H$2999,MATCH(D$1,'BalSht Data'!A$2:A$2051,0)+MATCH(A23,'BalSht Data'!G$2:G$2051,0))</f>
        <v>#N/A</v>
      </c>
      <c r="E23" s="49" t="e">
        <f>INDEX('BalSht Data'!H$1:H$2999,MATCH(E$1,'BalSht Data'!A$2:A$2051,0)+MATCH(A23,'BalSht Data'!G$2:G$2051,0))</f>
        <v>#N/A</v>
      </c>
      <c r="F23" s="49" t="e">
        <f>INDEX('BalSht Data'!H$1:H$2999,MATCH(F$1,'BalSht Data'!A$2:A$2051,0)+MATCH(A23,'BalSht Data'!G$2:G$2051,0))</f>
        <v>#N/A</v>
      </c>
      <c r="G23" s="49" t="e">
        <f>INDEX('BalSht Data'!H$1:H$2999,MATCH(G$1,'BalSht Data'!A$2:A$2051,0)+MATCH(A23,'BalSht Data'!G$2:G$2051,0))</f>
        <v>#N/A</v>
      </c>
      <c r="H23" s="49" t="e">
        <f>INDEX('BalSht Data'!H$1:H$2999,MATCH(H$1,'BalSht Data'!A$2:A$2051,0)+MATCH(A23,'BalSht Data'!G$2:G$2051,0))</f>
        <v>#N/A</v>
      </c>
      <c r="I23" s="49" t="e">
        <f>INDEX('BalSht Data'!H$1:H$2999,MATCH(I$1,'BalSht Data'!A$2:A$2051,0)+MATCH(A23,'BalSht Data'!G$2:G$2051,0))</f>
        <v>#N/A</v>
      </c>
      <c r="J23" s="49" t="e">
        <f>INDEX('BalSht Data'!H$1:H$2999,MATCH(J$1,'BalSht Data'!A$2:A$2051,0)+MATCH(A23,'BalSht Data'!G$2:G$2051,0))</f>
        <v>#N/A</v>
      </c>
      <c r="K23" s="49" t="e">
        <f>INDEX('BalSht Data'!H$1:H$2999,MATCH(K$1,'BalSht Data'!A$2:A$2051,0)+MATCH(A23,'BalSht Data'!G$2:G$2051,0))</f>
        <v>#N/A</v>
      </c>
      <c r="L23" s="49" t="e">
        <f>INDEX('BalSht Data'!H$1:H$2999,MATCH(L$1,'BalSht Data'!A$2:A$2051,0)+MATCH(A23,'BalSht Data'!G$2:G$2051,0))</f>
        <v>#N/A</v>
      </c>
      <c r="M23" s="49" t="e">
        <f>INDEX('BalSht Data'!H$1:H$2999,MATCH(M$1,'BalSht Data'!A$2:A$2051,0)+MATCH(A23,'BalSht Data'!G$2:G$2051,0))</f>
        <v>#N/A</v>
      </c>
      <c r="N23" s="49" t="e">
        <f>INDEX('BalSht Data'!H$1:H$2999,MATCH(N$1,'BalSht Data'!A$2:A$2051,0)+MATCH(A23,'BalSht Data'!G$2:G$2051,0))</f>
        <v>#N/A</v>
      </c>
      <c r="O23" s="49" t="e">
        <f>INDEX('BalSht Data'!H$1:H$2999,MATCH(O$1,'BalSht Data'!A$2:A$2051,0)+MATCH(A23,'BalSht Data'!G$2:G$2051,0))</f>
        <v>#N/A</v>
      </c>
      <c r="P23" s="49" t="e">
        <f>INDEX('BalSht Data'!H$1:H$2999,MATCH(P$1,'BalSht Data'!A$2:A$2051,0)+MATCH(A23,'BalSht Data'!G$2:G$2051,0))</f>
        <v>#N/A</v>
      </c>
      <c r="Q23" s="49" t="e">
        <f>INDEX('BalSht Data'!H$1:H$2999,MATCH(Q$1,'BalSht Data'!A$2:A$2051,0)+MATCH(A23,'BalSht Data'!G$2:G$2051,0))</f>
        <v>#N/A</v>
      </c>
      <c r="R23" s="49" t="e">
        <f>INDEX('BalSht Data'!H$1:H$2999,MATCH(R$1,'BalSht Data'!A$2:A$2051,0)+MATCH(A23,'BalSht Data'!G$2:G$2051,0))</f>
        <v>#N/A</v>
      </c>
      <c r="S23" s="49" t="e">
        <f>INDEX('BalSht Data'!H$1:H$2999,MATCH(S$1,'BalSht Data'!A$2:A$2051,0)+MATCH(A23,'BalSht Data'!G$2:G$2051,0))</f>
        <v>#N/A</v>
      </c>
      <c r="T23" s="49" t="e">
        <f>INDEX('BalSht Data'!H$1:H$2999,MATCH(T$1,'BalSht Data'!A$2:A$2051,0)+MATCH(A23,'BalSht Data'!G$2:G$2051,0))</f>
        <v>#N/A</v>
      </c>
      <c r="U23" s="49" t="e">
        <f>INDEX('BalSht Data'!H$1:H$2999,MATCH(U$1,'BalSht Data'!A$2:A$2051,0)+MATCH(A23,'BalSht Data'!G$2:G$2051,0))</f>
        <v>#N/A</v>
      </c>
      <c r="V23" s="49" t="e">
        <f>INDEX('BalSht Data'!H$1:H$2999,MATCH(V$1,'BalSht Data'!A$2:A$2051,0)+MATCH(A23,'BalSht Data'!G$2:G$2051,0))</f>
        <v>#N/A</v>
      </c>
      <c r="W23" s="49" t="e">
        <f>INDEX('BalSht Data'!H$1:H$2999,MATCH(W$1,'BalSht Data'!A$2:A$2051,0)+MATCH(A23,'BalSht Data'!G$2:G$2051,0))</f>
        <v>#N/A</v>
      </c>
      <c r="X23" s="49" t="e">
        <f>INDEX('BalSht Data'!H$1:H$2999,MATCH(X$1,'BalSht Data'!A$2:A$2051,0)+MATCH(A23,'BalSht Data'!G$2:G$2051,0))</f>
        <v>#N/A</v>
      </c>
      <c r="Y23" s="49" t="e">
        <f>INDEX('BalSht Data'!H$1:H$2999,MATCH(Y$1,'BalSht Data'!A$2:A$2051,0)+MATCH(A23,'BalSht Data'!G$2:G$2051,0))</f>
        <v>#N/A</v>
      </c>
      <c r="Z23" s="49" t="e">
        <f>INDEX('BalSht Data'!H$1:H$2999,MATCH(Z$1,'BalSht Data'!A$2:A$2051,0)+MATCH(A23,'BalSht Data'!G$2:G$2051,0))</f>
        <v>#N/A</v>
      </c>
      <c r="AA23" s="49" t="e">
        <f>INDEX('BalSht Data'!H$1:H$2999,MATCH(AA$1,'BalSht Data'!A$2:A$2051,0)+MATCH(A23,'BalSht Data'!G$2:G$2051,0))</f>
        <v>#N/A</v>
      </c>
      <c r="AB23" s="49" t="e">
        <f>INDEX('BalSht Data'!H$1:H$2999,MATCH(AB$1,'BalSht Data'!A$2:A$2051,0)+MATCH(A23,'BalSht Data'!G$2:G$2051,0))</f>
        <v>#N/A</v>
      </c>
      <c r="AC23" s="49" t="e">
        <f>INDEX('BalSht Data'!H$1:H$2999,MATCH(AC$1,'BalSht Data'!A$2:A$2051,0)+MATCH(A23,'BalSht Data'!G$2:G$2051,0))</f>
        <v>#N/A</v>
      </c>
      <c r="AD23" s="49" t="e">
        <f>INDEX('BalSht Data'!H$1:H$2999,MATCH(AD$1,'BalSht Data'!A$2:A$2051,0)+MATCH(A23,'BalSht Data'!G$2:G$2051,0))</f>
        <v>#N/A</v>
      </c>
      <c r="AE23" s="49" t="e">
        <f>INDEX('BalSht Data'!H$1:H$2999,MATCH(AE$1,'BalSht Data'!A$2:A$2051,0)+MATCH(A23,'BalSht Data'!G$2:G$2051,0))</f>
        <v>#N/A</v>
      </c>
      <c r="AF23" s="49" t="e">
        <f>INDEX('BalSht Data'!H$1:H$2999,MATCH(AF$1,'BalSht Data'!A$2:A$2051,0)+MATCH(A23,'BalSht Data'!G$2:G$2051,0))</f>
        <v>#N/A</v>
      </c>
      <c r="AG23" s="49" t="e">
        <f>INDEX('BalSht Data'!H$1:H$2999,MATCH(AG$1,'BalSht Data'!A$2:A$2051,0)+MATCH(A23,'BalSht Data'!G$2:G$2051,0))</f>
        <v>#N/A</v>
      </c>
      <c r="AH23" s="49" t="e">
        <f>INDEX('BalSht Data'!H$1:H$2999,MATCH(AH$1,'BalSht Data'!A$2:A$2051,0)+MATCH(A23,'BalSht Data'!G$2:G$2051,0))</f>
        <v>#N/A</v>
      </c>
      <c r="AI23" s="49" t="e">
        <f>INDEX('BalSht Data'!H$1:H$2999,MATCH(AI$1,'BalSht Data'!A$2:A$2051,0)+MATCH(A23,'BalSht Data'!G$2:G$2051,0))</f>
        <v>#N/A</v>
      </c>
      <c r="AJ23" s="49" t="e">
        <f>INDEX('BalSht Data'!H$1:H$2999,MATCH(AJ$1,'BalSht Data'!A$2:A$2051,0)+MATCH(A23,'BalSht Data'!G$2:G$2051,0))</f>
        <v>#N/A</v>
      </c>
      <c r="AK23" s="49" t="e">
        <f>INDEX('BalSht Data'!H$1:H$2999,MATCH(AK$1,'BalSht Data'!A$2:A$2051,0)+MATCH(A23,'BalSht Data'!G$2:G$2051,0))</f>
        <v>#N/A</v>
      </c>
      <c r="AL23" s="49">
        <f>INDEX('BalSht Data'!H$1:H$2999,MATCH(AL$1,'BalSht Data'!A$2:A$2051,0)+MATCH(A23,'BalSht Data'!G$2:G$2051,0))</f>
        <v>0</v>
      </c>
      <c r="AM23" s="49">
        <f>INDEX('BalSht Data'!H$1:H$2999,MATCH(AM$1,'BalSht Data'!A$2:A$2051,0)+MATCH(A23,'BalSht Data'!G$2:G$2051,0))</f>
        <v>0</v>
      </c>
      <c r="AN23" s="49">
        <f>INDEX('BalSht Data'!H$1:H$2999,MATCH(AN$1,'BalSht Data'!A$2:A$2051,0)+MATCH(A23,'BalSht Data'!G$2:G$2051,0))</f>
        <v>0</v>
      </c>
      <c r="AO23" s="49">
        <f>INDEX('BalSht Data'!H$1:H$2999,MATCH(AO$1,'BalSht Data'!A$2:A$2051,0)+MATCH(A23,'BalSht Data'!G$2:G$2051,0))</f>
        <v>0</v>
      </c>
      <c r="AP23" s="49" t="e">
        <f>INDEX('BalSht Data'!H$1:H$2999,MATCH(AP$1,'BalSht Data'!A$2:A$2051,0)+MATCH(A23,'BalSht Data'!G$2:G$2051,0))</f>
        <v>#N/A</v>
      </c>
      <c r="AQ23" s="49" t="e">
        <f>INDEX('BalSht Data'!H$1:H$2999,MATCH(AQ$1,'BalSht Data'!A$2:A$2051,0)+MATCH(A23,'BalSht Data'!G$2:G$2051,0))</f>
        <v>#N/A</v>
      </c>
      <c r="AR23" s="49" t="e">
        <f>INDEX('BalSht Data'!H$1:H$2999,MATCH(AR$1,'BalSht Data'!A$2:A$2051,0)+MATCH(A23,'BalSht Data'!G$2:G$2051,0))</f>
        <v>#N/A</v>
      </c>
      <c r="AS23" s="49" t="e">
        <f>INDEX('BalSht Data'!H$1:H$2999,MATCH(AS$1,'BalSht Data'!A$2:A$2051,0)+MATCH(A23,'BalSht Data'!G$2:G$2051,0))</f>
        <v>#N/A</v>
      </c>
      <c r="AT23" s="49" t="e">
        <f>INDEX('BalSht Data'!H$1:H$2999,MATCH(AT$1,'BalSht Data'!A$2:A$2051,0)+MATCH(A23,'BalSht Data'!G$2:G$2051,0))</f>
        <v>#N/A</v>
      </c>
      <c r="AU23" s="49" t="e">
        <f>INDEX('BalSht Data'!H$1:H$2999,MATCH(AU$1,'BalSht Data'!A$2:A$2051,0)+MATCH(A23,'BalSht Data'!G$2:G$2051,0))</f>
        <v>#N/A</v>
      </c>
      <c r="AV23" s="49" t="e">
        <f>INDEX('BalSht Data'!H$1:H$2999,MATCH(AV$1,'BalSht Data'!A$2:A$2051,0)+MATCH(A23,'BalSht Data'!G$2:G$2051,0))</f>
        <v>#N/A</v>
      </c>
      <c r="AW23" s="49" t="e">
        <f>INDEX('BalSht Data'!H$1:H$2999,MATCH(AW$1,'BalSht Data'!A$2:A$2051,0)+MATCH(A23,'BalSht Data'!G$2:G$2051,0))</f>
        <v>#N/A</v>
      </c>
      <c r="AX23" s="49" t="e">
        <f>INDEX('BalSht Data'!H$1:H$2999,MATCH(AX$1,'BalSht Data'!A$2:A$2051,0)+MATCH(A23,'BalSht Data'!G$2:G$2051,0))</f>
        <v>#N/A</v>
      </c>
      <c r="AY23" s="49" t="e">
        <f>INDEX('BalSht Data'!H$1:H$2999,MATCH(AY$1,'BalSht Data'!A$2:A$2051,0)+MATCH(A23,'BalSht Data'!G$2:G$2051,0))</f>
        <v>#N/A</v>
      </c>
      <c r="AZ23" s="49" t="e">
        <f>INDEX('BalSht Data'!H$1:H$2999,MATCH(AZ$1,'BalSht Data'!A$2:A$2051,0)+MATCH(A23,'BalSht Data'!G$2:G$2051,0))</f>
        <v>#N/A</v>
      </c>
      <c r="BA23" s="49" t="e">
        <f>INDEX('BalSht Data'!H$1:H$2999,MATCH(BA$1,'BalSht Data'!A$2:A$2051,0)+MATCH(A23,'BalSht Data'!G$2:G$2051,0))</f>
        <v>#N/A</v>
      </c>
      <c r="BB23" s="49" t="e">
        <f>INDEX('BalSht Data'!H$1:H$2999,MATCH(BB$1,'BalSht Data'!A$2:A$2051,0)+MATCH(A23,'BalSht Data'!G$2:G$2051,0))</f>
        <v>#N/A</v>
      </c>
      <c r="BC23" s="49" t="e">
        <f>INDEX('BalSht Data'!H$1:H$2999,MATCH(BC$1,'BalSht Data'!A$2:A$2051,0)+MATCH(A23,'BalSht Data'!G$2:G$2051,0))</f>
        <v>#N/A</v>
      </c>
      <c r="BD23" s="49" t="e">
        <f>INDEX('BalSht Data'!H$1:H$2999,MATCH(BD$1,'BalSht Data'!A$2:A$2051,0)+MATCH(A23,'BalSht Data'!G$2:G$2051,0))</f>
        <v>#N/A</v>
      </c>
      <c r="BE23" s="49" t="e">
        <f>INDEX('BalSht Data'!H$1:H$2999,MATCH(BE$1,'BalSht Data'!A$2:A$2051,0)+MATCH(A23,'BalSht Data'!G$2:G$2051,0))</f>
        <v>#N/A</v>
      </c>
      <c r="BF23" s="49" t="e">
        <f>INDEX('BalSht Data'!H$1:H$2999,MATCH(BF$1,'BalSht Data'!A$2:A$2051,0)+MATCH(A23,'BalSht Data'!G$2:G$2051,0))</f>
        <v>#N/A</v>
      </c>
      <c r="BG23" s="49" t="e">
        <f>INDEX('BalSht Data'!H$1:H$2999,MATCH(BG$1,'BalSht Data'!A$2:A$2051,0)+MATCH(A23,'BalSht Data'!G$2:G$2051,0))</f>
        <v>#N/A</v>
      </c>
      <c r="BH23" s="49" t="e">
        <f>INDEX('BalSht Data'!H$1:H$2999,MATCH(BH$1,'BalSht Data'!A$2:A$2051,0)+MATCH(A23,'BalSht Data'!G$2:G$2051,0))</f>
        <v>#N/A</v>
      </c>
      <c r="BI23" s="49" t="e">
        <f>INDEX('BalSht Data'!H$1:H$2999,MATCH(BI$1,'BalSht Data'!A$2:A$2051,0)+MATCH(A23,'BalSht Data'!G$2:G$2051,0))</f>
        <v>#N/A</v>
      </c>
      <c r="BJ23" s="49" t="e">
        <f>INDEX('BalSht Data'!H$1:H$2999,MATCH(BJ$1,'BalSht Data'!A$2:A$2051,0)+MATCH(A23,'BalSht Data'!G$2:G$2051,0))</f>
        <v>#N/A</v>
      </c>
      <c r="BK23" s="49" t="e">
        <f>INDEX('BalSht Data'!H$1:H$2999,MATCH(BK$1,'BalSht Data'!A$2:A$2051,0)+MATCH(A23,'BalSht Data'!G$2:G$2051,0))</f>
        <v>#N/A</v>
      </c>
      <c r="BL23" s="49" t="e">
        <f>INDEX('BalSht Data'!H$1:H$2999,MATCH(BL$1,'BalSht Data'!A$2:A$2051,0)+MATCH(A23,'BalSht Data'!G$2:G$2051,0))</f>
        <v>#N/A</v>
      </c>
      <c r="BM23" s="49" t="e">
        <f>INDEX('BalSht Data'!H$1:H$2999,MATCH(BM$1,'BalSht Data'!A$2:A$2051,0)+MATCH(A23,'BalSht Data'!G$2:G$2051,0))</f>
        <v>#N/A</v>
      </c>
      <c r="BN23" s="49" t="e">
        <f>INDEX('BalSht Data'!H$1:H$2999,MATCH(BN$1,'BalSht Data'!A$2:A$2051,0)+MATCH(A23,'BalSht Data'!G$2:G$2051,0))</f>
        <v>#N/A</v>
      </c>
      <c r="BO23" s="49" t="e">
        <f>INDEX('BalSht Data'!H$1:H$2999,MATCH(BO$1,'BalSht Data'!A$2:A$2051,0)+MATCH(A23,'BalSht Data'!G$2:G$2051,0))</f>
        <v>#N/A</v>
      </c>
      <c r="BP23" s="49" t="e">
        <f>INDEX('BalSht Data'!H$1:H$2999,MATCH(BP$1,'BalSht Data'!A$2:A$2051,0)+MATCH(A23,'BalSht Data'!G$2:G$2051,0))</f>
        <v>#N/A</v>
      </c>
      <c r="BQ23" s="49" t="e">
        <f>INDEX('BalSht Data'!H$1:H$2999,MATCH(BQ$1,'BalSht Data'!A$2:A$2051,0)+MATCH(A23,'BalSht Data'!G$2:G$2051,0))</f>
        <v>#N/A</v>
      </c>
      <c r="BR23" s="49" t="e">
        <f>INDEX('BalSht Data'!H$1:H$2999,MATCH(BR$1,'BalSht Data'!A$2:A$2051,0)+MATCH(A23,'BalSht Data'!G$2:G$2051,0))</f>
        <v>#N/A</v>
      </c>
      <c r="BS23" s="49" t="e">
        <f>INDEX('BalSht Data'!H$1:H$2999,MATCH(BS$1,'BalSht Data'!A$2:A$2051,0)+MATCH(A23,'BalSht Data'!G$2:G$2051,0))</f>
        <v>#N/A</v>
      </c>
      <c r="BT23" s="49" t="e">
        <f>INDEX('BalSht Data'!H$1:H$2999,MATCH(BT$1,'BalSht Data'!A$2:A$2051,0)+MATCH(A23,'BalSht Data'!G$2:G$2051,0))</f>
        <v>#N/A</v>
      </c>
      <c r="BU23" s="49" t="e">
        <f>INDEX('BalSht Data'!H$1:H$2999,MATCH(BU$1,'BalSht Data'!A$2:A$2051,0)+MATCH(A23,'BalSht Data'!G$2:G$2051,0))</f>
        <v>#N/A</v>
      </c>
      <c r="BV23" s="49" t="e">
        <f>INDEX('BalSht Data'!H$1:H$2999,MATCH(BV$1,'BalSht Data'!A$2:A$2051,0)+MATCH(A23,'BalSht Data'!G$2:G$2051,0))</f>
        <v>#N/A</v>
      </c>
      <c r="BW23" s="49" t="e">
        <f>INDEX('BalSht Data'!H$1:H$2999,MATCH(BW$1,'BalSht Data'!A$2:A$2051,0)+MATCH(A23,'BalSht Data'!G$2:G$2051,0))</f>
        <v>#N/A</v>
      </c>
      <c r="BX23" s="49" t="e">
        <f>INDEX('BalSht Data'!H$1:H$2999,MATCH(BX$1,'BalSht Data'!A$2:A$2051,0)+MATCH(A23,'BalSht Data'!G$2:G$2051,0))</f>
        <v>#N/A</v>
      </c>
      <c r="BY23" s="49" t="e">
        <f>INDEX('BalSht Data'!H$1:H$2999,MATCH(BY$1,'BalSht Data'!A$2:A$2051,0)+MATCH(A23,'BalSht Data'!G$2:G$2051,0))</f>
        <v>#N/A</v>
      </c>
      <c r="BZ23" s="49" t="e">
        <f>INDEX('BalSht Data'!H$1:H$2999,MATCH(BZ$1,'BalSht Data'!A$2:A$2051,0)+MATCH(A23,'BalSht Data'!G$2:G$2051,0))</f>
        <v>#N/A</v>
      </c>
      <c r="CA23" s="49" t="e">
        <f>INDEX('BalSht Data'!H$1:H$2999,MATCH(CA$1,'BalSht Data'!A$2:A$2051,0)+MATCH(A23,'BalSht Data'!G$2:G$2051,0))</f>
        <v>#N/A</v>
      </c>
      <c r="CB23" s="49" t="e">
        <f>INDEX('BalSht Data'!H$1:H$2999,MATCH(CB$1,'BalSht Data'!A$2:A$2051,0)+MATCH(A23,'BalSht Data'!G$2:G$2051,0))</f>
        <v>#N/A</v>
      </c>
      <c r="CC23" s="49" t="e">
        <f>INDEX('BalSht Data'!H$1:H$2999,MATCH(CC$1,'BalSht Data'!A$2:A$2051,0)+MATCH(A23,'BalSht Data'!G$2:G$2051,0))</f>
        <v>#N/A</v>
      </c>
      <c r="CD23" s="49" t="e">
        <f>INDEX('BalSht Data'!H$1:H$2999,MATCH(CD$1,'BalSht Data'!A$2:A$2051,0)+MATCH(A23,'BalSht Data'!G$2:G$2051,0))</f>
        <v>#N/A</v>
      </c>
      <c r="CE23" s="49" t="e">
        <f>INDEX('BalSht Data'!H$1:H$2999,MATCH(CE$1,'BalSht Data'!A$2:A$2051,0)+MATCH(A23,'BalSht Data'!G$2:G$2051,0))</f>
        <v>#N/A</v>
      </c>
      <c r="CF23" s="49" t="e">
        <f>INDEX('BalSht Data'!H$1:H$2999,MATCH(CF$1,'BalSht Data'!A$2:A$2051,0)+MATCH(A23,'BalSht Data'!G$2:G$2051,0))</f>
        <v>#N/A</v>
      </c>
      <c r="CG23" s="49" t="e">
        <f>INDEX('BalSht Data'!H$1:H$2999,MATCH(CG$1,'BalSht Data'!A$2:A$2051,0)+MATCH(A23,'BalSht Data'!G$2:G$2051,0))</f>
        <v>#N/A</v>
      </c>
      <c r="CH23" s="49" t="e">
        <f>INDEX('BalSht Data'!H$1:H$2999,MATCH(CH$1,'BalSht Data'!A$2:A$2051,0)+MATCH(A23,'BalSht Data'!G$2:G$2051,0))</f>
        <v>#N/A</v>
      </c>
      <c r="CI23" s="49" t="e">
        <f>INDEX('BalSht Data'!H$1:H$2999,MATCH(CI$1,'BalSht Data'!A$2:A$2051,0)+MATCH(A23,'BalSht Data'!G$2:G$2051,0))</f>
        <v>#N/A</v>
      </c>
      <c r="CJ23" s="49" t="e">
        <f>INDEX('BalSht Data'!H$1:H$2999,MATCH(CJ$1,'BalSht Data'!A$2:A$2051,0)+MATCH(A23,'BalSht Data'!G$2:G$2051,0))</f>
        <v>#N/A</v>
      </c>
      <c r="CK23" s="49" t="e">
        <f>INDEX('BalSht Data'!H$1:H$2999,MATCH(CK$1,'BalSht Data'!A$2:A$2051,0)+MATCH(A23,'BalSht Data'!G$2:G$2051,0))</f>
        <v>#N/A</v>
      </c>
      <c r="CL23" s="49" t="e">
        <f>INDEX('BalSht Data'!H$1:H$2999,MATCH(CL$1,'BalSht Data'!A$2:A$2051,0)+MATCH(A23,'BalSht Data'!G$2:G$2051,0))</f>
        <v>#N/A</v>
      </c>
      <c r="CM23" s="49" t="e">
        <f>INDEX('BalSht Data'!H$1:H$2999,MATCH(CM$1,'BalSht Data'!A$2:A$2051,0)+MATCH(A23,'BalSht Data'!G$2:G$2051,0))</f>
        <v>#N/A</v>
      </c>
      <c r="CN23" s="49" t="e">
        <f>INDEX('BalSht Data'!H$1:H$2999,MATCH(CN$1,'BalSht Data'!A$2:A$2051,0)+MATCH(A23,'BalSht Data'!G$2:G$2051,0))</f>
        <v>#N/A</v>
      </c>
      <c r="CO23" s="49" t="e">
        <f>INDEX('BalSht Data'!H$1:H$2999,MATCH(CO$1,'BalSht Data'!A$2:A$2051,0)+MATCH(A23,'BalSht Data'!G$2:G$2051,0))</f>
        <v>#N/A</v>
      </c>
      <c r="CP23" s="49" t="e">
        <f>INDEX('BalSht Data'!H$1:H$2999,MATCH(CP$1,'BalSht Data'!A$2:A$2051,0)+MATCH(A23,'BalSht Data'!G$2:G$2051,0))</f>
        <v>#N/A</v>
      </c>
      <c r="CQ23" s="49" t="e">
        <f>INDEX('BalSht Data'!H$1:H$2999,MATCH(CQ$1,'BalSht Data'!A$2:A$2051,0)+MATCH(A23,'BalSht Data'!G$2:G$2051,0))</f>
        <v>#N/A</v>
      </c>
      <c r="CR23" s="49" t="e">
        <f>INDEX('BalSht Data'!H$1:H$2999,MATCH(CR$1,'BalSht Data'!A$2:A$2051,0)+MATCH(A23,'BalSht Data'!G$2:G$2051,0))</f>
        <v>#N/A</v>
      </c>
      <c r="CS23" s="49" t="e">
        <f>INDEX('BalSht Data'!H$1:H$2999,MATCH(CS$1,'BalSht Data'!A$2:A$2051,0)+MATCH(A23,'BalSht Data'!G$2:G$2051,0))</f>
        <v>#N/A</v>
      </c>
      <c r="CT23" s="49" t="e">
        <f>INDEX('BalSht Data'!H$1:H$2999,MATCH(CT$1,'BalSht Data'!A$2:A$2051,0)+MATCH(A23,'BalSht Data'!G$2:G$2051,0))</f>
        <v>#N/A</v>
      </c>
      <c r="CU23" s="49" t="e">
        <f>INDEX('BalSht Data'!H$1:H$2999,MATCH(CU$1,'BalSht Data'!A$2:A$2051,0)+MATCH(A23,'BalSht Data'!G$2:G$2051,0))</f>
        <v>#N/A</v>
      </c>
      <c r="CV23" s="49" t="e">
        <f>INDEX('BalSht Data'!H$1:H$2999,MATCH(CV$1,'BalSht Data'!A$2:A$2051,0)+MATCH(A23,'BalSht Data'!G$2:G$2051,0))</f>
        <v>#N/A</v>
      </c>
      <c r="CW23" s="49" t="e">
        <f>INDEX('BalSht Data'!H$1:H$2999,MATCH(CW$1,'BalSht Data'!A$2:A$2051,0)+MATCH(A23,'BalSht Data'!G$2:G$2051,0))</f>
        <v>#N/A</v>
      </c>
      <c r="CX23" s="49" t="e">
        <f>INDEX('BalSht Data'!H$1:H$2999,MATCH(CX$1,'BalSht Data'!A$2:A$2051,0)+MATCH(A23,'BalSht Data'!G$2:G$2051,0))</f>
        <v>#N/A</v>
      </c>
      <c r="CY23" s="49" t="e">
        <f>INDEX('BalSht Data'!H$1:H$2999,MATCH(CY$1,'BalSht Data'!A$2:A$2051,0)+MATCH(A23,'BalSht Data'!G$2:G$2051,0))</f>
        <v>#N/A</v>
      </c>
      <c r="CZ23" s="49" t="e">
        <f>INDEX('BalSht Data'!H$1:H$2999,MATCH(CZ$1,'BalSht Data'!A$2:A$2051,0)+MATCH(A23,'BalSht Data'!G$2:G$2051,0))</f>
        <v>#N/A</v>
      </c>
    </row>
    <row r="24" spans="1:104" s="46" customFormat="1" x14ac:dyDescent="0.2">
      <c r="A24" s="5" t="s">
        <v>25</v>
      </c>
      <c r="B24" s="49" t="e">
        <f>INDEX('BalSht Data'!H$1:H$2999,MATCH(B$1,'BalSht Data'!A$2:A$2051,0)+MATCH(A24,'BalSht Data'!G$2:G$2051,0))</f>
        <v>#N/A</v>
      </c>
      <c r="C24" s="49" t="e">
        <f>INDEX('BalSht Data'!H$1:H$2999,MATCH(C$1,'BalSht Data'!A$2:A$2051,0)+MATCH(A24,'BalSht Data'!G$2:G$2051,0))</f>
        <v>#N/A</v>
      </c>
      <c r="D24" s="49" t="e">
        <f>INDEX('BalSht Data'!H$1:H$2999,MATCH(D$1,'BalSht Data'!A$2:A$2051,0)+MATCH(A24,'BalSht Data'!G$2:G$2051,0))</f>
        <v>#N/A</v>
      </c>
      <c r="E24" s="49" t="e">
        <f>INDEX('BalSht Data'!H$1:H$2999,MATCH(E$1,'BalSht Data'!A$2:A$2051,0)+MATCH(A24,'BalSht Data'!G$2:G$2051,0))</f>
        <v>#N/A</v>
      </c>
      <c r="F24" s="49" t="e">
        <f>INDEX('BalSht Data'!H$1:H$2999,MATCH(F$1,'BalSht Data'!A$2:A$2051,0)+MATCH(A24,'BalSht Data'!G$2:G$2051,0))</f>
        <v>#N/A</v>
      </c>
      <c r="G24" s="49" t="e">
        <f>INDEX('BalSht Data'!H$1:H$2999,MATCH(G$1,'BalSht Data'!A$2:A$2051,0)+MATCH(A24,'BalSht Data'!G$2:G$2051,0))</f>
        <v>#N/A</v>
      </c>
      <c r="H24" s="49" t="e">
        <f>INDEX('BalSht Data'!H$1:H$2999,MATCH(H$1,'BalSht Data'!A$2:A$2051,0)+MATCH(A24,'BalSht Data'!G$2:G$2051,0))</f>
        <v>#N/A</v>
      </c>
      <c r="I24" s="49" t="e">
        <f>INDEX('BalSht Data'!H$1:H$2999,MATCH(I$1,'BalSht Data'!A$2:A$2051,0)+MATCH(A24,'BalSht Data'!G$2:G$2051,0))</f>
        <v>#N/A</v>
      </c>
      <c r="J24" s="49" t="e">
        <f>INDEX('BalSht Data'!H$1:H$2999,MATCH(J$1,'BalSht Data'!A$2:A$2051,0)+MATCH(A24,'BalSht Data'!G$2:G$2051,0))</f>
        <v>#N/A</v>
      </c>
      <c r="K24" s="49" t="e">
        <f>INDEX('BalSht Data'!H$1:H$2999,MATCH(K$1,'BalSht Data'!A$2:A$2051,0)+MATCH(A24,'BalSht Data'!G$2:G$2051,0))</f>
        <v>#N/A</v>
      </c>
      <c r="L24" s="49" t="e">
        <f>INDEX('BalSht Data'!H$1:H$2999,MATCH(L$1,'BalSht Data'!A$2:A$2051,0)+MATCH(A24,'BalSht Data'!G$2:G$2051,0))</f>
        <v>#N/A</v>
      </c>
      <c r="M24" s="49" t="e">
        <f>INDEX('BalSht Data'!H$1:H$2999,MATCH(M$1,'BalSht Data'!A$2:A$2051,0)+MATCH(A24,'BalSht Data'!G$2:G$2051,0))</f>
        <v>#N/A</v>
      </c>
      <c r="N24" s="49" t="e">
        <f>INDEX('BalSht Data'!H$1:H$2999,MATCH(N$1,'BalSht Data'!A$2:A$2051,0)+MATCH(A24,'BalSht Data'!G$2:G$2051,0))</f>
        <v>#N/A</v>
      </c>
      <c r="O24" s="49" t="e">
        <f>INDEX('BalSht Data'!H$1:H$2999,MATCH(O$1,'BalSht Data'!A$2:A$2051,0)+MATCH(A24,'BalSht Data'!G$2:G$2051,0))</f>
        <v>#N/A</v>
      </c>
      <c r="P24" s="49" t="e">
        <f>INDEX('BalSht Data'!H$1:H$2999,MATCH(P$1,'BalSht Data'!A$2:A$2051,0)+MATCH(A24,'BalSht Data'!G$2:G$2051,0))</f>
        <v>#N/A</v>
      </c>
      <c r="Q24" s="49" t="e">
        <f>INDEX('BalSht Data'!H$1:H$2999,MATCH(Q$1,'BalSht Data'!A$2:A$2051,0)+MATCH(A24,'BalSht Data'!G$2:G$2051,0))</f>
        <v>#N/A</v>
      </c>
      <c r="R24" s="49" t="e">
        <f>INDEX('BalSht Data'!H$1:H$2999,MATCH(R$1,'BalSht Data'!A$2:A$2051,0)+MATCH(A24,'BalSht Data'!G$2:G$2051,0))</f>
        <v>#N/A</v>
      </c>
      <c r="S24" s="49" t="e">
        <f>INDEX('BalSht Data'!H$1:H$2999,MATCH(S$1,'BalSht Data'!A$2:A$2051,0)+MATCH(A24,'BalSht Data'!G$2:G$2051,0))</f>
        <v>#N/A</v>
      </c>
      <c r="T24" s="49" t="e">
        <f>INDEX('BalSht Data'!H$1:H$2999,MATCH(T$1,'BalSht Data'!A$2:A$2051,0)+MATCH(A24,'BalSht Data'!G$2:G$2051,0))</f>
        <v>#N/A</v>
      </c>
      <c r="U24" s="49" t="e">
        <f>INDEX('BalSht Data'!H$1:H$2999,MATCH(U$1,'BalSht Data'!A$2:A$2051,0)+MATCH(A24,'BalSht Data'!G$2:G$2051,0))</f>
        <v>#N/A</v>
      </c>
      <c r="V24" s="49" t="e">
        <f>INDEX('BalSht Data'!H$1:H$2999,MATCH(V$1,'BalSht Data'!A$2:A$2051,0)+MATCH(A24,'BalSht Data'!G$2:G$2051,0))</f>
        <v>#N/A</v>
      </c>
      <c r="W24" s="49" t="e">
        <f>INDEX('BalSht Data'!H$1:H$2999,MATCH(W$1,'BalSht Data'!A$2:A$2051,0)+MATCH(A24,'BalSht Data'!G$2:G$2051,0))</f>
        <v>#N/A</v>
      </c>
      <c r="X24" s="49" t="e">
        <f>INDEX('BalSht Data'!H$1:H$2999,MATCH(X$1,'BalSht Data'!A$2:A$2051,0)+MATCH(A24,'BalSht Data'!G$2:G$2051,0))</f>
        <v>#N/A</v>
      </c>
      <c r="Y24" s="49" t="e">
        <f>INDEX('BalSht Data'!H$1:H$2999,MATCH(Y$1,'BalSht Data'!A$2:A$2051,0)+MATCH(A24,'BalSht Data'!G$2:G$2051,0))</f>
        <v>#N/A</v>
      </c>
      <c r="Z24" s="49" t="e">
        <f>INDEX('BalSht Data'!H$1:H$2999,MATCH(Z$1,'BalSht Data'!A$2:A$2051,0)+MATCH(A24,'BalSht Data'!G$2:G$2051,0))</f>
        <v>#N/A</v>
      </c>
      <c r="AA24" s="49" t="e">
        <f>INDEX('BalSht Data'!H$1:H$2999,MATCH(AA$1,'BalSht Data'!A$2:A$2051,0)+MATCH(A24,'BalSht Data'!G$2:G$2051,0))</f>
        <v>#N/A</v>
      </c>
      <c r="AB24" s="49" t="e">
        <f>INDEX('BalSht Data'!H$1:H$2999,MATCH(AB$1,'BalSht Data'!A$2:A$2051,0)+MATCH(A24,'BalSht Data'!G$2:G$2051,0))</f>
        <v>#N/A</v>
      </c>
      <c r="AC24" s="49" t="e">
        <f>INDEX('BalSht Data'!H$1:H$2999,MATCH(AC$1,'BalSht Data'!A$2:A$2051,0)+MATCH(A24,'BalSht Data'!G$2:G$2051,0))</f>
        <v>#N/A</v>
      </c>
      <c r="AD24" s="49" t="e">
        <f>INDEX('BalSht Data'!H$1:H$2999,MATCH(AD$1,'BalSht Data'!A$2:A$2051,0)+MATCH(A24,'BalSht Data'!G$2:G$2051,0))</f>
        <v>#N/A</v>
      </c>
      <c r="AE24" s="49" t="e">
        <f>INDEX('BalSht Data'!H$1:H$2999,MATCH(AE$1,'BalSht Data'!A$2:A$2051,0)+MATCH(A24,'BalSht Data'!G$2:G$2051,0))</f>
        <v>#N/A</v>
      </c>
      <c r="AF24" s="49" t="e">
        <f>INDEX('BalSht Data'!H$1:H$2999,MATCH(AF$1,'BalSht Data'!A$2:A$2051,0)+MATCH(A24,'BalSht Data'!G$2:G$2051,0))</f>
        <v>#N/A</v>
      </c>
      <c r="AG24" s="49" t="e">
        <f>INDEX('BalSht Data'!H$1:H$2999,MATCH(AG$1,'BalSht Data'!A$2:A$2051,0)+MATCH(A24,'BalSht Data'!G$2:G$2051,0))</f>
        <v>#N/A</v>
      </c>
      <c r="AH24" s="49" t="e">
        <f>INDEX('BalSht Data'!H$1:H$2999,MATCH(AH$1,'BalSht Data'!A$2:A$2051,0)+MATCH(A24,'BalSht Data'!G$2:G$2051,0))</f>
        <v>#N/A</v>
      </c>
      <c r="AI24" s="49" t="e">
        <f>INDEX('BalSht Data'!H$1:H$2999,MATCH(AI$1,'BalSht Data'!A$2:A$2051,0)+MATCH(A24,'BalSht Data'!G$2:G$2051,0))</f>
        <v>#N/A</v>
      </c>
      <c r="AJ24" s="49" t="e">
        <f>INDEX('BalSht Data'!H$1:H$2999,MATCH(AJ$1,'BalSht Data'!A$2:A$2051,0)+MATCH(A24,'BalSht Data'!G$2:G$2051,0))</f>
        <v>#N/A</v>
      </c>
      <c r="AK24" s="49" t="e">
        <f>INDEX('BalSht Data'!H$1:H$2999,MATCH(AK$1,'BalSht Data'!A$2:A$2051,0)+MATCH(A24,'BalSht Data'!G$2:G$2051,0))</f>
        <v>#N/A</v>
      </c>
      <c r="AL24" s="49">
        <f>INDEX('BalSht Data'!H$1:H$2999,MATCH(AL$1,'BalSht Data'!A$2:A$2051,0)+MATCH(A24,'BalSht Data'!G$2:G$2051,0))</f>
        <v>0</v>
      </c>
      <c r="AM24" s="49">
        <f>INDEX('BalSht Data'!H$1:H$2999,MATCH(AM$1,'BalSht Data'!A$2:A$2051,0)+MATCH(A24,'BalSht Data'!G$2:G$2051,0))</f>
        <v>0</v>
      </c>
      <c r="AN24" s="49">
        <f>INDEX('BalSht Data'!H$1:H$2999,MATCH(AN$1,'BalSht Data'!A$2:A$2051,0)+MATCH(A24,'BalSht Data'!G$2:G$2051,0))</f>
        <v>0</v>
      </c>
      <c r="AO24" s="49">
        <f>INDEX('BalSht Data'!H$1:H$2999,MATCH(AO$1,'BalSht Data'!A$2:A$2051,0)+MATCH(A24,'BalSht Data'!G$2:G$2051,0))</f>
        <v>0</v>
      </c>
      <c r="AP24" s="49" t="e">
        <f>INDEX('BalSht Data'!H$1:H$2999,MATCH(AP$1,'BalSht Data'!A$2:A$2051,0)+MATCH(A24,'BalSht Data'!G$2:G$2051,0))</f>
        <v>#N/A</v>
      </c>
      <c r="AQ24" s="49" t="e">
        <f>INDEX('BalSht Data'!H$1:H$2999,MATCH(AQ$1,'BalSht Data'!A$2:A$2051,0)+MATCH(A24,'BalSht Data'!G$2:G$2051,0))</f>
        <v>#N/A</v>
      </c>
      <c r="AR24" s="49" t="e">
        <f>INDEX('BalSht Data'!H$1:H$2999,MATCH(AR$1,'BalSht Data'!A$2:A$2051,0)+MATCH(A24,'BalSht Data'!G$2:G$2051,0))</f>
        <v>#N/A</v>
      </c>
      <c r="AS24" s="49" t="e">
        <f>INDEX('BalSht Data'!H$1:H$2999,MATCH(AS$1,'BalSht Data'!A$2:A$2051,0)+MATCH(A24,'BalSht Data'!G$2:G$2051,0))</f>
        <v>#N/A</v>
      </c>
      <c r="AT24" s="49" t="e">
        <f>INDEX('BalSht Data'!H$1:H$2999,MATCH(AT$1,'BalSht Data'!A$2:A$2051,0)+MATCH(A24,'BalSht Data'!G$2:G$2051,0))</f>
        <v>#N/A</v>
      </c>
      <c r="AU24" s="49" t="e">
        <f>INDEX('BalSht Data'!H$1:H$2999,MATCH(AU$1,'BalSht Data'!A$2:A$2051,0)+MATCH(A24,'BalSht Data'!G$2:G$2051,0))</f>
        <v>#N/A</v>
      </c>
      <c r="AV24" s="49" t="e">
        <f>INDEX('BalSht Data'!H$1:H$2999,MATCH(AV$1,'BalSht Data'!A$2:A$2051,0)+MATCH(A24,'BalSht Data'!G$2:G$2051,0))</f>
        <v>#N/A</v>
      </c>
      <c r="AW24" s="49" t="e">
        <f>INDEX('BalSht Data'!H$1:H$2999,MATCH(AW$1,'BalSht Data'!A$2:A$2051,0)+MATCH(A24,'BalSht Data'!G$2:G$2051,0))</f>
        <v>#N/A</v>
      </c>
      <c r="AX24" s="49" t="e">
        <f>INDEX('BalSht Data'!H$1:H$2999,MATCH(AX$1,'BalSht Data'!A$2:A$2051,0)+MATCH(A24,'BalSht Data'!G$2:G$2051,0))</f>
        <v>#N/A</v>
      </c>
      <c r="AY24" s="49" t="e">
        <f>INDEX('BalSht Data'!H$1:H$2999,MATCH(AY$1,'BalSht Data'!A$2:A$2051,0)+MATCH(A24,'BalSht Data'!G$2:G$2051,0))</f>
        <v>#N/A</v>
      </c>
      <c r="AZ24" s="49" t="e">
        <f>INDEX('BalSht Data'!H$1:H$2999,MATCH(AZ$1,'BalSht Data'!A$2:A$2051,0)+MATCH(A24,'BalSht Data'!G$2:G$2051,0))</f>
        <v>#N/A</v>
      </c>
      <c r="BA24" s="49" t="e">
        <f>INDEX('BalSht Data'!H$1:H$2999,MATCH(BA$1,'BalSht Data'!A$2:A$2051,0)+MATCH(A24,'BalSht Data'!G$2:G$2051,0))</f>
        <v>#N/A</v>
      </c>
      <c r="BB24" s="49" t="e">
        <f>INDEX('BalSht Data'!H$1:H$2999,MATCH(BB$1,'BalSht Data'!A$2:A$2051,0)+MATCH(A24,'BalSht Data'!G$2:G$2051,0))</f>
        <v>#N/A</v>
      </c>
      <c r="BC24" s="49" t="e">
        <f>INDEX('BalSht Data'!H$1:H$2999,MATCH(BC$1,'BalSht Data'!A$2:A$2051,0)+MATCH(A24,'BalSht Data'!G$2:G$2051,0))</f>
        <v>#N/A</v>
      </c>
      <c r="BD24" s="49" t="e">
        <f>INDEX('BalSht Data'!H$1:H$2999,MATCH(BD$1,'BalSht Data'!A$2:A$2051,0)+MATCH(A24,'BalSht Data'!G$2:G$2051,0))</f>
        <v>#N/A</v>
      </c>
      <c r="BE24" s="49" t="e">
        <f>INDEX('BalSht Data'!H$1:H$2999,MATCH(BE$1,'BalSht Data'!A$2:A$2051,0)+MATCH(A24,'BalSht Data'!G$2:G$2051,0))</f>
        <v>#N/A</v>
      </c>
      <c r="BF24" s="49" t="e">
        <f>INDEX('BalSht Data'!H$1:H$2999,MATCH(BF$1,'BalSht Data'!A$2:A$2051,0)+MATCH(A24,'BalSht Data'!G$2:G$2051,0))</f>
        <v>#N/A</v>
      </c>
      <c r="BG24" s="49" t="e">
        <f>INDEX('BalSht Data'!H$1:H$2999,MATCH(BG$1,'BalSht Data'!A$2:A$2051,0)+MATCH(A24,'BalSht Data'!G$2:G$2051,0))</f>
        <v>#N/A</v>
      </c>
      <c r="BH24" s="49" t="e">
        <f>INDEX('BalSht Data'!H$1:H$2999,MATCH(BH$1,'BalSht Data'!A$2:A$2051,0)+MATCH(A24,'BalSht Data'!G$2:G$2051,0))</f>
        <v>#N/A</v>
      </c>
      <c r="BI24" s="49" t="e">
        <f>INDEX('BalSht Data'!H$1:H$2999,MATCH(BI$1,'BalSht Data'!A$2:A$2051,0)+MATCH(A24,'BalSht Data'!G$2:G$2051,0))</f>
        <v>#N/A</v>
      </c>
      <c r="BJ24" s="49" t="e">
        <f>INDEX('BalSht Data'!H$1:H$2999,MATCH(BJ$1,'BalSht Data'!A$2:A$2051,0)+MATCH(A24,'BalSht Data'!G$2:G$2051,0))</f>
        <v>#N/A</v>
      </c>
      <c r="BK24" s="49" t="e">
        <f>INDEX('BalSht Data'!H$1:H$2999,MATCH(BK$1,'BalSht Data'!A$2:A$2051,0)+MATCH(A24,'BalSht Data'!G$2:G$2051,0))</f>
        <v>#N/A</v>
      </c>
      <c r="BL24" s="49" t="e">
        <f>INDEX('BalSht Data'!H$1:H$2999,MATCH(BL$1,'BalSht Data'!A$2:A$2051,0)+MATCH(A24,'BalSht Data'!G$2:G$2051,0))</f>
        <v>#N/A</v>
      </c>
      <c r="BM24" s="49" t="e">
        <f>INDEX('BalSht Data'!H$1:H$2999,MATCH(BM$1,'BalSht Data'!A$2:A$2051,0)+MATCH(A24,'BalSht Data'!G$2:G$2051,0))</f>
        <v>#N/A</v>
      </c>
      <c r="BN24" s="49" t="e">
        <f>INDEX('BalSht Data'!H$1:H$2999,MATCH(BN$1,'BalSht Data'!A$2:A$2051,0)+MATCH(A24,'BalSht Data'!G$2:G$2051,0))</f>
        <v>#N/A</v>
      </c>
      <c r="BO24" s="49" t="e">
        <f>INDEX('BalSht Data'!H$1:H$2999,MATCH(BO$1,'BalSht Data'!A$2:A$2051,0)+MATCH(A24,'BalSht Data'!G$2:G$2051,0))</f>
        <v>#N/A</v>
      </c>
      <c r="BP24" s="49" t="e">
        <f>INDEX('BalSht Data'!H$1:H$2999,MATCH(BP$1,'BalSht Data'!A$2:A$2051,0)+MATCH(A24,'BalSht Data'!G$2:G$2051,0))</f>
        <v>#N/A</v>
      </c>
      <c r="BQ24" s="49" t="e">
        <f>INDEX('BalSht Data'!H$1:H$2999,MATCH(BQ$1,'BalSht Data'!A$2:A$2051,0)+MATCH(A24,'BalSht Data'!G$2:G$2051,0))</f>
        <v>#N/A</v>
      </c>
      <c r="BR24" s="49" t="e">
        <f>INDEX('BalSht Data'!H$1:H$2999,MATCH(BR$1,'BalSht Data'!A$2:A$2051,0)+MATCH(A24,'BalSht Data'!G$2:G$2051,0))</f>
        <v>#N/A</v>
      </c>
      <c r="BS24" s="49" t="e">
        <f>INDEX('BalSht Data'!H$1:H$2999,MATCH(BS$1,'BalSht Data'!A$2:A$2051,0)+MATCH(A24,'BalSht Data'!G$2:G$2051,0))</f>
        <v>#N/A</v>
      </c>
      <c r="BT24" s="49" t="e">
        <f>INDEX('BalSht Data'!H$1:H$2999,MATCH(BT$1,'BalSht Data'!A$2:A$2051,0)+MATCH(A24,'BalSht Data'!G$2:G$2051,0))</f>
        <v>#N/A</v>
      </c>
      <c r="BU24" s="49" t="e">
        <f>INDEX('BalSht Data'!H$1:H$2999,MATCH(BU$1,'BalSht Data'!A$2:A$2051,0)+MATCH(A24,'BalSht Data'!G$2:G$2051,0))</f>
        <v>#N/A</v>
      </c>
      <c r="BV24" s="49" t="e">
        <f>INDEX('BalSht Data'!H$1:H$2999,MATCH(BV$1,'BalSht Data'!A$2:A$2051,0)+MATCH(A24,'BalSht Data'!G$2:G$2051,0))</f>
        <v>#N/A</v>
      </c>
      <c r="BW24" s="49" t="e">
        <f>INDEX('BalSht Data'!H$1:H$2999,MATCH(BW$1,'BalSht Data'!A$2:A$2051,0)+MATCH(A24,'BalSht Data'!G$2:G$2051,0))</f>
        <v>#N/A</v>
      </c>
      <c r="BX24" s="49" t="e">
        <f>INDEX('BalSht Data'!H$1:H$2999,MATCH(BX$1,'BalSht Data'!A$2:A$2051,0)+MATCH(A24,'BalSht Data'!G$2:G$2051,0))</f>
        <v>#N/A</v>
      </c>
      <c r="BY24" s="49" t="e">
        <f>INDEX('BalSht Data'!H$1:H$2999,MATCH(BY$1,'BalSht Data'!A$2:A$2051,0)+MATCH(A24,'BalSht Data'!G$2:G$2051,0))</f>
        <v>#N/A</v>
      </c>
      <c r="BZ24" s="49" t="e">
        <f>INDEX('BalSht Data'!H$1:H$2999,MATCH(BZ$1,'BalSht Data'!A$2:A$2051,0)+MATCH(A24,'BalSht Data'!G$2:G$2051,0))</f>
        <v>#N/A</v>
      </c>
      <c r="CA24" s="49" t="e">
        <f>INDEX('BalSht Data'!H$1:H$2999,MATCH(CA$1,'BalSht Data'!A$2:A$2051,0)+MATCH(A24,'BalSht Data'!G$2:G$2051,0))</f>
        <v>#N/A</v>
      </c>
      <c r="CB24" s="49" t="e">
        <f>INDEX('BalSht Data'!H$1:H$2999,MATCH(CB$1,'BalSht Data'!A$2:A$2051,0)+MATCH(A24,'BalSht Data'!G$2:G$2051,0))</f>
        <v>#N/A</v>
      </c>
      <c r="CC24" s="49" t="e">
        <f>INDEX('BalSht Data'!H$1:H$2999,MATCH(CC$1,'BalSht Data'!A$2:A$2051,0)+MATCH(A24,'BalSht Data'!G$2:G$2051,0))</f>
        <v>#N/A</v>
      </c>
      <c r="CD24" s="49" t="e">
        <f>INDEX('BalSht Data'!H$1:H$2999,MATCH(CD$1,'BalSht Data'!A$2:A$2051,0)+MATCH(A24,'BalSht Data'!G$2:G$2051,0))</f>
        <v>#N/A</v>
      </c>
      <c r="CE24" s="49" t="e">
        <f>INDEX('BalSht Data'!H$1:H$2999,MATCH(CE$1,'BalSht Data'!A$2:A$2051,0)+MATCH(A24,'BalSht Data'!G$2:G$2051,0))</f>
        <v>#N/A</v>
      </c>
      <c r="CF24" s="49" t="e">
        <f>INDEX('BalSht Data'!H$1:H$2999,MATCH(CF$1,'BalSht Data'!A$2:A$2051,0)+MATCH(A24,'BalSht Data'!G$2:G$2051,0))</f>
        <v>#N/A</v>
      </c>
      <c r="CG24" s="49" t="e">
        <f>INDEX('BalSht Data'!H$1:H$2999,MATCH(CG$1,'BalSht Data'!A$2:A$2051,0)+MATCH(A24,'BalSht Data'!G$2:G$2051,0))</f>
        <v>#N/A</v>
      </c>
      <c r="CH24" s="49" t="e">
        <f>INDEX('BalSht Data'!H$1:H$2999,MATCH(CH$1,'BalSht Data'!A$2:A$2051,0)+MATCH(A24,'BalSht Data'!G$2:G$2051,0))</f>
        <v>#N/A</v>
      </c>
      <c r="CI24" s="49" t="e">
        <f>INDEX('BalSht Data'!H$1:H$2999,MATCH(CI$1,'BalSht Data'!A$2:A$2051,0)+MATCH(A24,'BalSht Data'!G$2:G$2051,0))</f>
        <v>#N/A</v>
      </c>
      <c r="CJ24" s="49" t="e">
        <f>INDEX('BalSht Data'!H$1:H$2999,MATCH(CJ$1,'BalSht Data'!A$2:A$2051,0)+MATCH(A24,'BalSht Data'!G$2:G$2051,0))</f>
        <v>#N/A</v>
      </c>
      <c r="CK24" s="49" t="e">
        <f>INDEX('BalSht Data'!H$1:H$2999,MATCH(CK$1,'BalSht Data'!A$2:A$2051,0)+MATCH(A24,'BalSht Data'!G$2:G$2051,0))</f>
        <v>#N/A</v>
      </c>
      <c r="CL24" s="49" t="e">
        <f>INDEX('BalSht Data'!H$1:H$2999,MATCH(CL$1,'BalSht Data'!A$2:A$2051,0)+MATCH(A24,'BalSht Data'!G$2:G$2051,0))</f>
        <v>#N/A</v>
      </c>
      <c r="CM24" s="49" t="e">
        <f>INDEX('BalSht Data'!H$1:H$2999,MATCH(CM$1,'BalSht Data'!A$2:A$2051,0)+MATCH(A24,'BalSht Data'!G$2:G$2051,0))</f>
        <v>#N/A</v>
      </c>
      <c r="CN24" s="49" t="e">
        <f>INDEX('BalSht Data'!H$1:H$2999,MATCH(CN$1,'BalSht Data'!A$2:A$2051,0)+MATCH(A24,'BalSht Data'!G$2:G$2051,0))</f>
        <v>#N/A</v>
      </c>
      <c r="CO24" s="49" t="e">
        <f>INDEX('BalSht Data'!H$1:H$2999,MATCH(CO$1,'BalSht Data'!A$2:A$2051,0)+MATCH(A24,'BalSht Data'!G$2:G$2051,0))</f>
        <v>#N/A</v>
      </c>
      <c r="CP24" s="49" t="e">
        <f>INDEX('BalSht Data'!H$1:H$2999,MATCH(CP$1,'BalSht Data'!A$2:A$2051,0)+MATCH(A24,'BalSht Data'!G$2:G$2051,0))</f>
        <v>#N/A</v>
      </c>
      <c r="CQ24" s="49" t="e">
        <f>INDEX('BalSht Data'!H$1:H$2999,MATCH(CQ$1,'BalSht Data'!A$2:A$2051,0)+MATCH(A24,'BalSht Data'!G$2:G$2051,0))</f>
        <v>#N/A</v>
      </c>
      <c r="CR24" s="49" t="e">
        <f>INDEX('BalSht Data'!H$1:H$2999,MATCH(CR$1,'BalSht Data'!A$2:A$2051,0)+MATCH(A24,'BalSht Data'!G$2:G$2051,0))</f>
        <v>#N/A</v>
      </c>
      <c r="CS24" s="49" t="e">
        <f>INDEX('BalSht Data'!H$1:H$2999,MATCH(CS$1,'BalSht Data'!A$2:A$2051,0)+MATCH(A24,'BalSht Data'!G$2:G$2051,0))</f>
        <v>#N/A</v>
      </c>
      <c r="CT24" s="49" t="e">
        <f>INDEX('BalSht Data'!H$1:H$2999,MATCH(CT$1,'BalSht Data'!A$2:A$2051,0)+MATCH(A24,'BalSht Data'!G$2:G$2051,0))</f>
        <v>#N/A</v>
      </c>
      <c r="CU24" s="49" t="e">
        <f>INDEX('BalSht Data'!H$1:H$2999,MATCH(CU$1,'BalSht Data'!A$2:A$2051,0)+MATCH(A24,'BalSht Data'!G$2:G$2051,0))</f>
        <v>#N/A</v>
      </c>
      <c r="CV24" s="49" t="e">
        <f>INDEX('BalSht Data'!H$1:H$2999,MATCH(CV$1,'BalSht Data'!A$2:A$2051,0)+MATCH(A24,'BalSht Data'!G$2:G$2051,0))</f>
        <v>#N/A</v>
      </c>
      <c r="CW24" s="49" t="e">
        <f>INDEX('BalSht Data'!H$1:H$2999,MATCH(CW$1,'BalSht Data'!A$2:A$2051,0)+MATCH(A24,'BalSht Data'!G$2:G$2051,0))</f>
        <v>#N/A</v>
      </c>
      <c r="CX24" s="49" t="e">
        <f>INDEX('BalSht Data'!H$1:H$2999,MATCH(CX$1,'BalSht Data'!A$2:A$2051,0)+MATCH(A24,'BalSht Data'!G$2:G$2051,0))</f>
        <v>#N/A</v>
      </c>
      <c r="CY24" s="49" t="e">
        <f>INDEX('BalSht Data'!H$1:H$2999,MATCH(CY$1,'BalSht Data'!A$2:A$2051,0)+MATCH(A24,'BalSht Data'!G$2:G$2051,0))</f>
        <v>#N/A</v>
      </c>
      <c r="CZ24" s="49" t="e">
        <f>INDEX('BalSht Data'!H$1:H$2999,MATCH(CZ$1,'BalSht Data'!A$2:A$2051,0)+MATCH(A24,'BalSht Data'!G$2:G$2051,0))</f>
        <v>#N/A</v>
      </c>
    </row>
    <row r="25" spans="1:104" s="48" customFormat="1" ht="15" x14ac:dyDescent="0.35">
      <c r="A25" s="5" t="s">
        <v>26</v>
      </c>
      <c r="B25" s="59" t="e">
        <f>INDEX('BalSht Data'!H$1:H$2999,MATCH(B$1,'BalSht Data'!A$2:A$2051,0)+MATCH(A25,'BalSht Data'!G$2:G$2051,0))</f>
        <v>#N/A</v>
      </c>
      <c r="C25" s="59" t="e">
        <f>INDEX('BalSht Data'!H$1:H$2999,MATCH(C$1,'BalSht Data'!A$2:A$2051,0)+MATCH(A25,'BalSht Data'!G$2:G$2051,0))</f>
        <v>#N/A</v>
      </c>
      <c r="D25" s="59" t="e">
        <f>INDEX('BalSht Data'!H$1:H$2999,MATCH(D$1,'BalSht Data'!A$2:A$2051,0)+MATCH(A25,'BalSht Data'!G$2:G$2051,0))</f>
        <v>#N/A</v>
      </c>
      <c r="E25" s="59" t="e">
        <f>INDEX('BalSht Data'!H$1:H$2999,MATCH(E$1,'BalSht Data'!A$2:A$2051,0)+MATCH(A25,'BalSht Data'!G$2:G$2051,0))</f>
        <v>#N/A</v>
      </c>
      <c r="F25" s="59" t="e">
        <f>INDEX('BalSht Data'!H$1:H$2999,MATCH(F$1,'BalSht Data'!A$2:A$2051,0)+MATCH(A25,'BalSht Data'!G$2:G$2051,0))</f>
        <v>#N/A</v>
      </c>
      <c r="G25" s="59" t="e">
        <f>INDEX('BalSht Data'!H$1:H$2999,MATCH(G$1,'BalSht Data'!A$2:A$2051,0)+MATCH(A25,'BalSht Data'!G$2:G$2051,0))</f>
        <v>#N/A</v>
      </c>
      <c r="H25" s="59" t="e">
        <f>INDEX('BalSht Data'!H$1:H$2999,MATCH(H$1,'BalSht Data'!A$2:A$2051,0)+MATCH(A25,'BalSht Data'!G$2:G$2051,0))</f>
        <v>#N/A</v>
      </c>
      <c r="I25" s="59" t="e">
        <f>INDEX('BalSht Data'!H$1:H$2999,MATCH(I$1,'BalSht Data'!A$2:A$2051,0)+MATCH(A25,'BalSht Data'!G$2:G$2051,0))</f>
        <v>#N/A</v>
      </c>
      <c r="J25" s="59" t="e">
        <f>INDEX('BalSht Data'!H$1:H$2999,MATCH(J$1,'BalSht Data'!A$2:A$2051,0)+MATCH(A25,'BalSht Data'!G$2:G$2051,0))</f>
        <v>#N/A</v>
      </c>
      <c r="K25" s="59" t="e">
        <f>INDEX('BalSht Data'!H$1:H$2999,MATCH(K$1,'BalSht Data'!A$2:A$2051,0)+MATCH(A25,'BalSht Data'!G$2:G$2051,0))</f>
        <v>#N/A</v>
      </c>
      <c r="L25" s="59" t="e">
        <f>INDEX('BalSht Data'!H$1:H$2999,MATCH(L$1,'BalSht Data'!A$2:A$2051,0)+MATCH(A25,'BalSht Data'!G$2:G$2051,0))</f>
        <v>#N/A</v>
      </c>
      <c r="M25" s="59" t="e">
        <f>INDEX('BalSht Data'!H$1:H$2999,MATCH(M$1,'BalSht Data'!A$2:A$2051,0)+MATCH(A25,'BalSht Data'!G$2:G$2051,0))</f>
        <v>#N/A</v>
      </c>
      <c r="N25" s="59" t="e">
        <f>INDEX('BalSht Data'!H$1:H$2999,MATCH(N$1,'BalSht Data'!A$2:A$2051,0)+MATCH(A25,'BalSht Data'!G$2:G$2051,0))</f>
        <v>#N/A</v>
      </c>
      <c r="O25" s="59" t="e">
        <f>INDEX('BalSht Data'!H$1:H$2999,MATCH(O$1,'BalSht Data'!A$2:A$2051,0)+MATCH(A25,'BalSht Data'!G$2:G$2051,0))</f>
        <v>#N/A</v>
      </c>
      <c r="P25" s="59" t="e">
        <f>INDEX('BalSht Data'!H$1:H$2999,MATCH(P$1,'BalSht Data'!A$2:A$2051,0)+MATCH(A25,'BalSht Data'!G$2:G$2051,0))</f>
        <v>#N/A</v>
      </c>
      <c r="Q25" s="59" t="e">
        <f>INDEX('BalSht Data'!H$1:H$2999,MATCH(Q$1,'BalSht Data'!A$2:A$2051,0)+MATCH(A25,'BalSht Data'!G$2:G$2051,0))</f>
        <v>#N/A</v>
      </c>
      <c r="R25" s="59" t="e">
        <f>INDEX('BalSht Data'!H$1:H$2999,MATCH(R$1,'BalSht Data'!A$2:A$2051,0)+MATCH(A25,'BalSht Data'!G$2:G$2051,0))</f>
        <v>#N/A</v>
      </c>
      <c r="S25" s="59" t="e">
        <f>INDEX('BalSht Data'!H$1:H$2999,MATCH(S$1,'BalSht Data'!A$2:A$2051,0)+MATCH(A25,'BalSht Data'!G$2:G$2051,0))</f>
        <v>#N/A</v>
      </c>
      <c r="T25" s="59" t="e">
        <f>INDEX('BalSht Data'!H$1:H$2999,MATCH(T$1,'BalSht Data'!A$2:A$2051,0)+MATCH(A25,'BalSht Data'!G$2:G$2051,0))</f>
        <v>#N/A</v>
      </c>
      <c r="U25" s="59" t="e">
        <f>INDEX('BalSht Data'!H$1:H$2999,MATCH(U$1,'BalSht Data'!A$2:A$2051,0)+MATCH(A25,'BalSht Data'!G$2:G$2051,0))</f>
        <v>#N/A</v>
      </c>
      <c r="V25" s="59" t="e">
        <f>INDEX('BalSht Data'!H$1:H$2999,MATCH(V$1,'BalSht Data'!A$2:A$2051,0)+MATCH(A25,'BalSht Data'!G$2:G$2051,0))</f>
        <v>#N/A</v>
      </c>
      <c r="W25" s="59" t="e">
        <f>INDEX('BalSht Data'!H$1:H$2999,MATCH(W$1,'BalSht Data'!A$2:A$2051,0)+MATCH(A25,'BalSht Data'!G$2:G$2051,0))</f>
        <v>#N/A</v>
      </c>
      <c r="X25" s="59" t="e">
        <f>INDEX('BalSht Data'!H$1:H$2999,MATCH(X$1,'BalSht Data'!A$2:A$2051,0)+MATCH(A25,'BalSht Data'!G$2:G$2051,0))</f>
        <v>#N/A</v>
      </c>
      <c r="Y25" s="59" t="e">
        <f>INDEX('BalSht Data'!H$1:H$2999,MATCH(Y$1,'BalSht Data'!A$2:A$2051,0)+MATCH(A25,'BalSht Data'!G$2:G$2051,0))</f>
        <v>#N/A</v>
      </c>
      <c r="Z25" s="59" t="e">
        <f>INDEX('BalSht Data'!H$1:H$2999,MATCH(Z$1,'BalSht Data'!A$2:A$2051,0)+MATCH(A25,'BalSht Data'!G$2:G$2051,0))</f>
        <v>#N/A</v>
      </c>
      <c r="AA25" s="59" t="e">
        <f>INDEX('BalSht Data'!H$1:H$2999,MATCH(AA$1,'BalSht Data'!A$2:A$2051,0)+MATCH(A25,'BalSht Data'!G$2:G$2051,0))</f>
        <v>#N/A</v>
      </c>
      <c r="AB25" s="59" t="e">
        <f>INDEX('BalSht Data'!H$1:H$2999,MATCH(AB$1,'BalSht Data'!A$2:A$2051,0)+MATCH(A25,'BalSht Data'!G$2:G$2051,0))</f>
        <v>#N/A</v>
      </c>
      <c r="AC25" s="59" t="e">
        <f>INDEX('BalSht Data'!H$1:H$2999,MATCH(AC$1,'BalSht Data'!A$2:A$2051,0)+MATCH(A25,'BalSht Data'!G$2:G$2051,0))</f>
        <v>#N/A</v>
      </c>
      <c r="AD25" s="59" t="e">
        <f>INDEX('BalSht Data'!H$1:H$2999,MATCH(AD$1,'BalSht Data'!A$2:A$2051,0)+MATCH(A25,'BalSht Data'!G$2:G$2051,0))</f>
        <v>#N/A</v>
      </c>
      <c r="AE25" s="59" t="e">
        <f>INDEX('BalSht Data'!H$1:H$2999,MATCH(AE$1,'BalSht Data'!A$2:A$2051,0)+MATCH(A25,'BalSht Data'!G$2:G$2051,0))</f>
        <v>#N/A</v>
      </c>
      <c r="AF25" s="59" t="e">
        <f>INDEX('BalSht Data'!H$1:H$2999,MATCH(AF$1,'BalSht Data'!A$2:A$2051,0)+MATCH(A25,'BalSht Data'!G$2:G$2051,0))</f>
        <v>#N/A</v>
      </c>
      <c r="AG25" s="59" t="e">
        <f>INDEX('BalSht Data'!H$1:H$2999,MATCH(AG$1,'BalSht Data'!A$2:A$2051,0)+MATCH(A25,'BalSht Data'!G$2:G$2051,0))</f>
        <v>#N/A</v>
      </c>
      <c r="AH25" s="59" t="e">
        <f>INDEX('BalSht Data'!H$1:H$2999,MATCH(AH$1,'BalSht Data'!A$2:A$2051,0)+MATCH(A25,'BalSht Data'!G$2:G$2051,0))</f>
        <v>#N/A</v>
      </c>
      <c r="AI25" s="59" t="e">
        <f>INDEX('BalSht Data'!H$1:H$2999,MATCH(AI$1,'BalSht Data'!A$2:A$2051,0)+MATCH(A25,'BalSht Data'!G$2:G$2051,0))</f>
        <v>#N/A</v>
      </c>
      <c r="AJ25" s="59" t="e">
        <f>INDEX('BalSht Data'!H$1:H$2999,MATCH(AJ$1,'BalSht Data'!A$2:A$2051,0)+MATCH(A25,'BalSht Data'!G$2:G$2051,0))</f>
        <v>#N/A</v>
      </c>
      <c r="AK25" s="59" t="e">
        <f>INDEX('BalSht Data'!H$1:H$2999,MATCH(AK$1,'BalSht Data'!A$2:A$2051,0)+MATCH(A25,'BalSht Data'!G$2:G$2051,0))</f>
        <v>#N/A</v>
      </c>
      <c r="AL25" s="59">
        <f>INDEX('BalSht Data'!H$1:H$2999,MATCH(AL$1,'BalSht Data'!A$2:A$2051,0)+MATCH(A25,'BalSht Data'!G$2:G$2051,0))</f>
        <v>0</v>
      </c>
      <c r="AM25" s="59">
        <f>INDEX('BalSht Data'!H$1:H$2999,MATCH(AM$1,'BalSht Data'!A$2:A$2051,0)+MATCH(A25,'BalSht Data'!G$2:G$2051,0))</f>
        <v>0</v>
      </c>
      <c r="AN25" s="59">
        <f>INDEX('BalSht Data'!H$1:H$2999,MATCH(AN$1,'BalSht Data'!A$2:A$2051,0)+MATCH(A25,'BalSht Data'!G$2:G$2051,0))</f>
        <v>0</v>
      </c>
      <c r="AO25" s="59">
        <f>INDEX('BalSht Data'!H$1:H$2999,MATCH(AO$1,'BalSht Data'!A$2:A$2051,0)+MATCH(A25,'BalSht Data'!G$2:G$2051,0))</f>
        <v>0</v>
      </c>
      <c r="AP25" s="59" t="e">
        <f>INDEX('BalSht Data'!H$1:H$2999,MATCH(AP$1,'BalSht Data'!A$2:A$2051,0)+MATCH(A25,'BalSht Data'!G$2:G$2051,0))</f>
        <v>#N/A</v>
      </c>
      <c r="AQ25" s="59" t="e">
        <f>INDEX('BalSht Data'!H$1:H$2999,MATCH(AQ$1,'BalSht Data'!A$2:A$2051,0)+MATCH(A25,'BalSht Data'!G$2:G$2051,0))</f>
        <v>#N/A</v>
      </c>
      <c r="AR25" s="59" t="e">
        <f>INDEX('BalSht Data'!H$1:H$2999,MATCH(AR$1,'BalSht Data'!A$2:A$2051,0)+MATCH(A25,'BalSht Data'!G$2:G$2051,0))</f>
        <v>#N/A</v>
      </c>
      <c r="AS25" s="59" t="e">
        <f>INDEX('BalSht Data'!H$1:H$2999,MATCH(AS$1,'BalSht Data'!A$2:A$2051,0)+MATCH(A25,'BalSht Data'!G$2:G$2051,0))</f>
        <v>#N/A</v>
      </c>
      <c r="AT25" s="59" t="e">
        <f>INDEX('BalSht Data'!H$1:H$2999,MATCH(AT$1,'BalSht Data'!A$2:A$2051,0)+MATCH(A25,'BalSht Data'!G$2:G$2051,0))</f>
        <v>#N/A</v>
      </c>
      <c r="AU25" s="59" t="e">
        <f>INDEX('BalSht Data'!H$1:H$2999,MATCH(AU$1,'BalSht Data'!A$2:A$2051,0)+MATCH(A25,'BalSht Data'!G$2:G$2051,0))</f>
        <v>#N/A</v>
      </c>
      <c r="AV25" s="59" t="e">
        <f>INDEX('BalSht Data'!H$1:H$2999,MATCH(AV$1,'BalSht Data'!A$2:A$2051,0)+MATCH(A25,'BalSht Data'!G$2:G$2051,0))</f>
        <v>#N/A</v>
      </c>
      <c r="AW25" s="59" t="e">
        <f>INDEX('BalSht Data'!H$1:H$2999,MATCH(AW$1,'BalSht Data'!A$2:A$2051,0)+MATCH(A25,'BalSht Data'!G$2:G$2051,0))</f>
        <v>#N/A</v>
      </c>
      <c r="AX25" s="59" t="e">
        <f>INDEX('BalSht Data'!H$1:H$2999,MATCH(AX$1,'BalSht Data'!A$2:A$2051,0)+MATCH(A25,'BalSht Data'!G$2:G$2051,0))</f>
        <v>#N/A</v>
      </c>
      <c r="AY25" s="59" t="e">
        <f>INDEX('BalSht Data'!H$1:H$2999,MATCH(AY$1,'BalSht Data'!A$2:A$2051,0)+MATCH(A25,'BalSht Data'!G$2:G$2051,0))</f>
        <v>#N/A</v>
      </c>
      <c r="AZ25" s="59" t="e">
        <f>INDEX('BalSht Data'!H$1:H$2999,MATCH(AZ$1,'BalSht Data'!A$2:A$2051,0)+MATCH(A25,'BalSht Data'!G$2:G$2051,0))</f>
        <v>#N/A</v>
      </c>
      <c r="BA25" s="59" t="e">
        <f>INDEX('BalSht Data'!H$1:H$2999,MATCH(BA$1,'BalSht Data'!A$2:A$2051,0)+MATCH(A25,'BalSht Data'!G$2:G$2051,0))</f>
        <v>#N/A</v>
      </c>
      <c r="BB25" s="59" t="e">
        <f>INDEX('BalSht Data'!H$1:H$2999,MATCH(BB$1,'BalSht Data'!A$2:A$2051,0)+MATCH(A25,'BalSht Data'!G$2:G$2051,0))</f>
        <v>#N/A</v>
      </c>
      <c r="BC25" s="59" t="e">
        <f>INDEX('BalSht Data'!H$1:H$2999,MATCH(BC$1,'BalSht Data'!A$2:A$2051,0)+MATCH(A25,'BalSht Data'!G$2:G$2051,0))</f>
        <v>#N/A</v>
      </c>
      <c r="BD25" s="59" t="e">
        <f>INDEX('BalSht Data'!H$1:H$2999,MATCH(BD$1,'BalSht Data'!A$2:A$2051,0)+MATCH(A25,'BalSht Data'!G$2:G$2051,0))</f>
        <v>#N/A</v>
      </c>
      <c r="BE25" s="59" t="e">
        <f>INDEX('BalSht Data'!H$1:H$2999,MATCH(BE$1,'BalSht Data'!A$2:A$2051,0)+MATCH(A25,'BalSht Data'!G$2:G$2051,0))</f>
        <v>#N/A</v>
      </c>
      <c r="BF25" s="59" t="e">
        <f>INDEX('BalSht Data'!H$1:H$2999,MATCH(BF$1,'BalSht Data'!A$2:A$2051,0)+MATCH(A25,'BalSht Data'!G$2:G$2051,0))</f>
        <v>#N/A</v>
      </c>
      <c r="BG25" s="59" t="e">
        <f>INDEX('BalSht Data'!H$1:H$2999,MATCH(BG$1,'BalSht Data'!A$2:A$2051,0)+MATCH(A25,'BalSht Data'!G$2:G$2051,0))</f>
        <v>#N/A</v>
      </c>
      <c r="BH25" s="59" t="e">
        <f>INDEX('BalSht Data'!H$1:H$2999,MATCH(BH$1,'BalSht Data'!A$2:A$2051,0)+MATCH(A25,'BalSht Data'!G$2:G$2051,0))</f>
        <v>#N/A</v>
      </c>
      <c r="BI25" s="59" t="e">
        <f>INDEX('BalSht Data'!H$1:H$2999,MATCH(BI$1,'BalSht Data'!A$2:A$2051,0)+MATCH(A25,'BalSht Data'!G$2:G$2051,0))</f>
        <v>#N/A</v>
      </c>
      <c r="BJ25" s="59" t="e">
        <f>INDEX('BalSht Data'!H$1:H$2999,MATCH(BJ$1,'BalSht Data'!A$2:A$2051,0)+MATCH(A25,'BalSht Data'!G$2:G$2051,0))</f>
        <v>#N/A</v>
      </c>
      <c r="BK25" s="59" t="e">
        <f>INDEX('BalSht Data'!H$1:H$2999,MATCH(BK$1,'BalSht Data'!A$2:A$2051,0)+MATCH(A25,'BalSht Data'!G$2:G$2051,0))</f>
        <v>#N/A</v>
      </c>
      <c r="BL25" s="59" t="e">
        <f>INDEX('BalSht Data'!H$1:H$2999,MATCH(BL$1,'BalSht Data'!A$2:A$2051,0)+MATCH(A25,'BalSht Data'!G$2:G$2051,0))</f>
        <v>#N/A</v>
      </c>
      <c r="BM25" s="59" t="e">
        <f>INDEX('BalSht Data'!H$1:H$2999,MATCH(BM$1,'BalSht Data'!A$2:A$2051,0)+MATCH(A25,'BalSht Data'!G$2:G$2051,0))</f>
        <v>#N/A</v>
      </c>
      <c r="BN25" s="59" t="e">
        <f>INDEX('BalSht Data'!H$1:H$2999,MATCH(BN$1,'BalSht Data'!A$2:A$2051,0)+MATCH(A25,'BalSht Data'!G$2:G$2051,0))</f>
        <v>#N/A</v>
      </c>
      <c r="BO25" s="59" t="e">
        <f>INDEX('BalSht Data'!H$1:H$2999,MATCH(BO$1,'BalSht Data'!A$2:A$2051,0)+MATCH(A25,'BalSht Data'!G$2:G$2051,0))</f>
        <v>#N/A</v>
      </c>
      <c r="BP25" s="59" t="e">
        <f>INDEX('BalSht Data'!H$1:H$2999,MATCH(BP$1,'BalSht Data'!A$2:A$2051,0)+MATCH(A25,'BalSht Data'!G$2:G$2051,0))</f>
        <v>#N/A</v>
      </c>
      <c r="BQ25" s="59" t="e">
        <f>INDEX('BalSht Data'!H$1:H$2999,MATCH(BQ$1,'BalSht Data'!A$2:A$2051,0)+MATCH(A25,'BalSht Data'!G$2:G$2051,0))</f>
        <v>#N/A</v>
      </c>
      <c r="BR25" s="59" t="e">
        <f>INDEX('BalSht Data'!H$1:H$2999,MATCH(BR$1,'BalSht Data'!A$2:A$2051,0)+MATCH(A25,'BalSht Data'!G$2:G$2051,0))</f>
        <v>#N/A</v>
      </c>
      <c r="BS25" s="59" t="e">
        <f>INDEX('BalSht Data'!H$1:H$2999,MATCH(BS$1,'BalSht Data'!A$2:A$2051,0)+MATCH(A25,'BalSht Data'!G$2:G$2051,0))</f>
        <v>#N/A</v>
      </c>
      <c r="BT25" s="59" t="e">
        <f>INDEX('BalSht Data'!H$1:H$2999,MATCH(BT$1,'BalSht Data'!A$2:A$2051,0)+MATCH(A25,'BalSht Data'!G$2:G$2051,0))</f>
        <v>#N/A</v>
      </c>
      <c r="BU25" s="59" t="e">
        <f>INDEX('BalSht Data'!H$1:H$2999,MATCH(BU$1,'BalSht Data'!A$2:A$2051,0)+MATCH(A25,'BalSht Data'!G$2:G$2051,0))</f>
        <v>#N/A</v>
      </c>
      <c r="BV25" s="59" t="e">
        <f>INDEX('BalSht Data'!H$1:H$2999,MATCH(BV$1,'BalSht Data'!A$2:A$2051,0)+MATCH(A25,'BalSht Data'!G$2:G$2051,0))</f>
        <v>#N/A</v>
      </c>
      <c r="BW25" s="59" t="e">
        <f>INDEX('BalSht Data'!H$1:H$2999,MATCH(BW$1,'BalSht Data'!A$2:A$2051,0)+MATCH(A25,'BalSht Data'!G$2:G$2051,0))</f>
        <v>#N/A</v>
      </c>
      <c r="BX25" s="59" t="e">
        <f>INDEX('BalSht Data'!H$1:H$2999,MATCH(BX$1,'BalSht Data'!A$2:A$2051,0)+MATCH(A25,'BalSht Data'!G$2:G$2051,0))</f>
        <v>#N/A</v>
      </c>
      <c r="BY25" s="59" t="e">
        <f>INDEX('BalSht Data'!H$1:H$2999,MATCH(BY$1,'BalSht Data'!A$2:A$2051,0)+MATCH(A25,'BalSht Data'!G$2:G$2051,0))</f>
        <v>#N/A</v>
      </c>
      <c r="BZ25" s="59" t="e">
        <f>INDEX('BalSht Data'!H$1:H$2999,MATCH(BZ$1,'BalSht Data'!A$2:A$2051,0)+MATCH(A25,'BalSht Data'!G$2:G$2051,0))</f>
        <v>#N/A</v>
      </c>
      <c r="CA25" s="59" t="e">
        <f>INDEX('BalSht Data'!H$1:H$2999,MATCH(CA$1,'BalSht Data'!A$2:A$2051,0)+MATCH(A25,'BalSht Data'!G$2:G$2051,0))</f>
        <v>#N/A</v>
      </c>
      <c r="CB25" s="59" t="e">
        <f>INDEX('BalSht Data'!H$1:H$2999,MATCH(CB$1,'BalSht Data'!A$2:A$2051,0)+MATCH(A25,'BalSht Data'!G$2:G$2051,0))</f>
        <v>#N/A</v>
      </c>
      <c r="CC25" s="59" t="e">
        <f>INDEX('BalSht Data'!H$1:H$2999,MATCH(CC$1,'BalSht Data'!A$2:A$2051,0)+MATCH(A25,'BalSht Data'!G$2:G$2051,0))</f>
        <v>#N/A</v>
      </c>
      <c r="CD25" s="59" t="e">
        <f>INDEX('BalSht Data'!H$1:H$2999,MATCH(CD$1,'BalSht Data'!A$2:A$2051,0)+MATCH(A25,'BalSht Data'!G$2:G$2051,0))</f>
        <v>#N/A</v>
      </c>
      <c r="CE25" s="59" t="e">
        <f>INDEX('BalSht Data'!H$1:H$2999,MATCH(CE$1,'BalSht Data'!A$2:A$2051,0)+MATCH(A25,'BalSht Data'!G$2:G$2051,0))</f>
        <v>#N/A</v>
      </c>
      <c r="CF25" s="59" t="e">
        <f>INDEX('BalSht Data'!H$1:H$2999,MATCH(CF$1,'BalSht Data'!A$2:A$2051,0)+MATCH(A25,'BalSht Data'!G$2:G$2051,0))</f>
        <v>#N/A</v>
      </c>
      <c r="CG25" s="59" t="e">
        <f>INDEX('BalSht Data'!H$1:H$2999,MATCH(CG$1,'BalSht Data'!A$2:A$2051,0)+MATCH(A25,'BalSht Data'!G$2:G$2051,0))</f>
        <v>#N/A</v>
      </c>
      <c r="CH25" s="59" t="e">
        <f>INDEX('BalSht Data'!H$1:H$2999,MATCH(CH$1,'BalSht Data'!A$2:A$2051,0)+MATCH(A25,'BalSht Data'!G$2:G$2051,0))</f>
        <v>#N/A</v>
      </c>
      <c r="CI25" s="59" t="e">
        <f>INDEX('BalSht Data'!H$1:H$2999,MATCH(CI$1,'BalSht Data'!A$2:A$2051,0)+MATCH(A25,'BalSht Data'!G$2:G$2051,0))</f>
        <v>#N/A</v>
      </c>
      <c r="CJ25" s="59" t="e">
        <f>INDEX('BalSht Data'!H$1:H$2999,MATCH(CJ$1,'BalSht Data'!A$2:A$2051,0)+MATCH(A25,'BalSht Data'!G$2:G$2051,0))</f>
        <v>#N/A</v>
      </c>
      <c r="CK25" s="59" t="e">
        <f>INDEX('BalSht Data'!H$1:H$2999,MATCH(CK$1,'BalSht Data'!A$2:A$2051,0)+MATCH(A25,'BalSht Data'!G$2:G$2051,0))</f>
        <v>#N/A</v>
      </c>
      <c r="CL25" s="59" t="e">
        <f>INDEX('BalSht Data'!H$1:H$2999,MATCH(CL$1,'BalSht Data'!A$2:A$2051,0)+MATCH(A25,'BalSht Data'!G$2:G$2051,0))</f>
        <v>#N/A</v>
      </c>
      <c r="CM25" s="59" t="e">
        <f>INDEX('BalSht Data'!H$1:H$2999,MATCH(CM$1,'BalSht Data'!A$2:A$2051,0)+MATCH(A25,'BalSht Data'!G$2:G$2051,0))</f>
        <v>#N/A</v>
      </c>
      <c r="CN25" s="59" t="e">
        <f>INDEX('BalSht Data'!H$1:H$2999,MATCH(CN$1,'BalSht Data'!A$2:A$2051,0)+MATCH(A25,'BalSht Data'!G$2:G$2051,0))</f>
        <v>#N/A</v>
      </c>
      <c r="CO25" s="59" t="e">
        <f>INDEX('BalSht Data'!H$1:H$2999,MATCH(CO$1,'BalSht Data'!A$2:A$2051,0)+MATCH(A25,'BalSht Data'!G$2:G$2051,0))</f>
        <v>#N/A</v>
      </c>
      <c r="CP25" s="59" t="e">
        <f>INDEX('BalSht Data'!H$1:H$2999,MATCH(CP$1,'BalSht Data'!A$2:A$2051,0)+MATCH(A25,'BalSht Data'!G$2:G$2051,0))</f>
        <v>#N/A</v>
      </c>
      <c r="CQ25" s="59" t="e">
        <f>INDEX('BalSht Data'!H$1:H$2999,MATCH(CQ$1,'BalSht Data'!A$2:A$2051,0)+MATCH(A25,'BalSht Data'!G$2:G$2051,0))</f>
        <v>#N/A</v>
      </c>
      <c r="CR25" s="59" t="e">
        <f>INDEX('BalSht Data'!H$1:H$2999,MATCH(CR$1,'BalSht Data'!A$2:A$2051,0)+MATCH(A25,'BalSht Data'!G$2:G$2051,0))</f>
        <v>#N/A</v>
      </c>
      <c r="CS25" s="59" t="e">
        <f>INDEX('BalSht Data'!H$1:H$2999,MATCH(CS$1,'BalSht Data'!A$2:A$2051,0)+MATCH(A25,'BalSht Data'!G$2:G$2051,0))</f>
        <v>#N/A</v>
      </c>
      <c r="CT25" s="59" t="e">
        <f>INDEX('BalSht Data'!H$1:H$2999,MATCH(CT$1,'BalSht Data'!A$2:A$2051,0)+MATCH(A25,'BalSht Data'!G$2:G$2051,0))</f>
        <v>#N/A</v>
      </c>
      <c r="CU25" s="59" t="e">
        <f>INDEX('BalSht Data'!H$1:H$2999,MATCH(CU$1,'BalSht Data'!A$2:A$2051,0)+MATCH(A25,'BalSht Data'!G$2:G$2051,0))</f>
        <v>#N/A</v>
      </c>
      <c r="CV25" s="59" t="e">
        <f>INDEX('BalSht Data'!H$1:H$2999,MATCH(CV$1,'BalSht Data'!A$2:A$2051,0)+MATCH(A25,'BalSht Data'!G$2:G$2051,0))</f>
        <v>#N/A</v>
      </c>
      <c r="CW25" s="59" t="e">
        <f>INDEX('BalSht Data'!H$1:H$2999,MATCH(CW$1,'BalSht Data'!A$2:A$2051,0)+MATCH(A25,'BalSht Data'!G$2:G$2051,0))</f>
        <v>#N/A</v>
      </c>
      <c r="CX25" s="59" t="e">
        <f>INDEX('BalSht Data'!H$1:H$2999,MATCH(CX$1,'BalSht Data'!A$2:A$2051,0)+MATCH(A25,'BalSht Data'!G$2:G$2051,0))</f>
        <v>#N/A</v>
      </c>
      <c r="CY25" s="59" t="e">
        <f>INDEX('BalSht Data'!H$1:H$2999,MATCH(CY$1,'BalSht Data'!A$2:A$2051,0)+MATCH(A25,'BalSht Data'!G$2:G$2051,0))</f>
        <v>#N/A</v>
      </c>
      <c r="CZ25" s="59" t="e">
        <f>INDEX('BalSht Data'!H$1:H$2999,MATCH(CZ$1,'BalSht Data'!A$2:A$2051,0)+MATCH(A25,'BalSht Data'!G$2:G$2051,0))</f>
        <v>#N/A</v>
      </c>
    </row>
    <row r="26" spans="1:104" s="46" customFormat="1" x14ac:dyDescent="0.2">
      <c r="A26" s="5"/>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c r="CA26" s="49"/>
      <c r="CB26" s="49"/>
      <c r="CC26" s="49"/>
      <c r="CD26" s="49"/>
      <c r="CE26" s="49"/>
      <c r="CF26" s="49"/>
      <c r="CG26" s="49"/>
      <c r="CH26" s="49"/>
      <c r="CI26" s="49"/>
      <c r="CJ26" s="49"/>
      <c r="CK26" s="49"/>
      <c r="CL26" s="49"/>
      <c r="CM26" s="49"/>
      <c r="CN26" s="49"/>
      <c r="CO26" s="49"/>
      <c r="CP26" s="49"/>
      <c r="CQ26" s="49"/>
      <c r="CR26" s="49"/>
      <c r="CS26" s="49"/>
      <c r="CT26" s="49"/>
      <c r="CU26" s="49"/>
      <c r="CV26" s="49"/>
      <c r="CW26" s="49"/>
      <c r="CX26" s="49"/>
      <c r="CY26" s="49"/>
      <c r="CZ26" s="49"/>
    </row>
    <row r="27" spans="1:104" s="60" customFormat="1" ht="15" x14ac:dyDescent="0.35">
      <c r="A27" s="55" t="s">
        <v>148</v>
      </c>
      <c r="B27" s="50" t="e">
        <f>+B15+SUM(B18:B25)</f>
        <v>#N/A</v>
      </c>
      <c r="C27" s="50" t="e">
        <f t="shared" ref="C27:BN27" si="6">+C15+SUM(C18:C25)</f>
        <v>#N/A</v>
      </c>
      <c r="D27" s="50" t="e">
        <f t="shared" si="6"/>
        <v>#N/A</v>
      </c>
      <c r="E27" s="50" t="e">
        <f t="shared" si="6"/>
        <v>#N/A</v>
      </c>
      <c r="F27" s="50" t="e">
        <f t="shared" si="6"/>
        <v>#N/A</v>
      </c>
      <c r="G27" s="50" t="e">
        <f t="shared" si="6"/>
        <v>#N/A</v>
      </c>
      <c r="H27" s="50" t="e">
        <f t="shared" si="6"/>
        <v>#N/A</v>
      </c>
      <c r="I27" s="50" t="e">
        <f t="shared" si="6"/>
        <v>#N/A</v>
      </c>
      <c r="J27" s="50" t="e">
        <f t="shared" si="6"/>
        <v>#N/A</v>
      </c>
      <c r="K27" s="50" t="e">
        <f t="shared" si="6"/>
        <v>#N/A</v>
      </c>
      <c r="L27" s="50" t="e">
        <f t="shared" si="6"/>
        <v>#N/A</v>
      </c>
      <c r="M27" s="50" t="e">
        <f t="shared" si="6"/>
        <v>#N/A</v>
      </c>
      <c r="N27" s="50" t="e">
        <f t="shared" si="6"/>
        <v>#N/A</v>
      </c>
      <c r="O27" s="50" t="e">
        <f t="shared" si="6"/>
        <v>#N/A</v>
      </c>
      <c r="P27" s="50" t="e">
        <f t="shared" si="6"/>
        <v>#N/A</v>
      </c>
      <c r="Q27" s="50" t="e">
        <f t="shared" si="6"/>
        <v>#N/A</v>
      </c>
      <c r="R27" s="50" t="e">
        <f t="shared" si="6"/>
        <v>#N/A</v>
      </c>
      <c r="S27" s="50" t="e">
        <f t="shared" si="6"/>
        <v>#N/A</v>
      </c>
      <c r="T27" s="50" t="e">
        <f t="shared" si="6"/>
        <v>#N/A</v>
      </c>
      <c r="U27" s="50" t="e">
        <f t="shared" si="6"/>
        <v>#N/A</v>
      </c>
      <c r="V27" s="50" t="e">
        <f t="shared" si="6"/>
        <v>#N/A</v>
      </c>
      <c r="W27" s="50" t="e">
        <f t="shared" si="6"/>
        <v>#N/A</v>
      </c>
      <c r="X27" s="50" t="e">
        <f t="shared" si="6"/>
        <v>#N/A</v>
      </c>
      <c r="Y27" s="50" t="e">
        <f t="shared" si="6"/>
        <v>#N/A</v>
      </c>
      <c r="Z27" s="50" t="e">
        <f t="shared" si="6"/>
        <v>#N/A</v>
      </c>
      <c r="AA27" s="50" t="e">
        <f t="shared" si="6"/>
        <v>#N/A</v>
      </c>
      <c r="AB27" s="50" t="e">
        <f t="shared" si="6"/>
        <v>#N/A</v>
      </c>
      <c r="AC27" s="50" t="e">
        <f t="shared" si="6"/>
        <v>#N/A</v>
      </c>
      <c r="AD27" s="50" t="e">
        <f t="shared" si="6"/>
        <v>#N/A</v>
      </c>
      <c r="AE27" s="50" t="e">
        <f t="shared" si="6"/>
        <v>#N/A</v>
      </c>
      <c r="AF27" s="50" t="e">
        <f t="shared" si="6"/>
        <v>#N/A</v>
      </c>
      <c r="AG27" s="50" t="e">
        <f t="shared" si="6"/>
        <v>#N/A</v>
      </c>
      <c r="AH27" s="50" t="e">
        <f t="shared" si="6"/>
        <v>#N/A</v>
      </c>
      <c r="AI27" s="50" t="e">
        <f t="shared" si="6"/>
        <v>#N/A</v>
      </c>
      <c r="AJ27" s="50" t="e">
        <f t="shared" si="6"/>
        <v>#N/A</v>
      </c>
      <c r="AK27" s="50" t="e">
        <f t="shared" si="6"/>
        <v>#N/A</v>
      </c>
      <c r="AL27" s="50">
        <f t="shared" si="6"/>
        <v>0</v>
      </c>
      <c r="AM27" s="50">
        <f t="shared" si="6"/>
        <v>0</v>
      </c>
      <c r="AN27" s="50">
        <f t="shared" si="6"/>
        <v>0</v>
      </c>
      <c r="AO27" s="50">
        <f t="shared" si="6"/>
        <v>0</v>
      </c>
      <c r="AP27" s="50" t="e">
        <f t="shared" si="6"/>
        <v>#N/A</v>
      </c>
      <c r="AQ27" s="50" t="e">
        <f t="shared" si="6"/>
        <v>#N/A</v>
      </c>
      <c r="AR27" s="50" t="e">
        <f t="shared" si="6"/>
        <v>#N/A</v>
      </c>
      <c r="AS27" s="50" t="e">
        <f t="shared" si="6"/>
        <v>#N/A</v>
      </c>
      <c r="AT27" s="50" t="e">
        <f t="shared" si="6"/>
        <v>#N/A</v>
      </c>
      <c r="AU27" s="50" t="e">
        <f t="shared" si="6"/>
        <v>#N/A</v>
      </c>
      <c r="AV27" s="50" t="e">
        <f t="shared" si="6"/>
        <v>#N/A</v>
      </c>
      <c r="AW27" s="50" t="e">
        <f t="shared" si="6"/>
        <v>#N/A</v>
      </c>
      <c r="AX27" s="50" t="e">
        <f t="shared" si="6"/>
        <v>#N/A</v>
      </c>
      <c r="AY27" s="50" t="e">
        <f t="shared" si="6"/>
        <v>#N/A</v>
      </c>
      <c r="AZ27" s="50" t="e">
        <f t="shared" si="6"/>
        <v>#N/A</v>
      </c>
      <c r="BA27" s="50" t="e">
        <f t="shared" si="6"/>
        <v>#N/A</v>
      </c>
      <c r="BB27" s="50" t="e">
        <f t="shared" si="6"/>
        <v>#N/A</v>
      </c>
      <c r="BC27" s="50" t="e">
        <f t="shared" si="6"/>
        <v>#N/A</v>
      </c>
      <c r="BD27" s="50" t="e">
        <f t="shared" si="6"/>
        <v>#N/A</v>
      </c>
      <c r="BE27" s="50" t="e">
        <f t="shared" si="6"/>
        <v>#N/A</v>
      </c>
      <c r="BF27" s="50" t="e">
        <f t="shared" si="6"/>
        <v>#N/A</v>
      </c>
      <c r="BG27" s="50" t="e">
        <f t="shared" si="6"/>
        <v>#N/A</v>
      </c>
      <c r="BH27" s="50" t="e">
        <f t="shared" si="6"/>
        <v>#N/A</v>
      </c>
      <c r="BI27" s="50" t="e">
        <f t="shared" si="6"/>
        <v>#N/A</v>
      </c>
      <c r="BJ27" s="50" t="e">
        <f t="shared" si="6"/>
        <v>#N/A</v>
      </c>
      <c r="BK27" s="50" t="e">
        <f t="shared" si="6"/>
        <v>#N/A</v>
      </c>
      <c r="BL27" s="50" t="e">
        <f t="shared" si="6"/>
        <v>#N/A</v>
      </c>
      <c r="BM27" s="50" t="e">
        <f t="shared" si="6"/>
        <v>#N/A</v>
      </c>
      <c r="BN27" s="50" t="e">
        <f t="shared" si="6"/>
        <v>#N/A</v>
      </c>
      <c r="BO27" s="50" t="e">
        <f t="shared" ref="BO27:CZ27" si="7">+BO15+SUM(BO18:BO25)</f>
        <v>#N/A</v>
      </c>
      <c r="BP27" s="50" t="e">
        <f t="shared" si="7"/>
        <v>#N/A</v>
      </c>
      <c r="BQ27" s="50" t="e">
        <f t="shared" si="7"/>
        <v>#N/A</v>
      </c>
      <c r="BR27" s="50" t="e">
        <f t="shared" si="7"/>
        <v>#N/A</v>
      </c>
      <c r="BS27" s="50" t="e">
        <f t="shared" si="7"/>
        <v>#N/A</v>
      </c>
      <c r="BT27" s="50" t="e">
        <f t="shared" si="7"/>
        <v>#N/A</v>
      </c>
      <c r="BU27" s="50" t="e">
        <f t="shared" si="7"/>
        <v>#N/A</v>
      </c>
      <c r="BV27" s="50" t="e">
        <f t="shared" si="7"/>
        <v>#N/A</v>
      </c>
      <c r="BW27" s="50" t="e">
        <f t="shared" si="7"/>
        <v>#N/A</v>
      </c>
      <c r="BX27" s="50" t="e">
        <f t="shared" si="7"/>
        <v>#N/A</v>
      </c>
      <c r="BY27" s="50" t="e">
        <f t="shared" si="7"/>
        <v>#N/A</v>
      </c>
      <c r="BZ27" s="50" t="e">
        <f t="shared" si="7"/>
        <v>#N/A</v>
      </c>
      <c r="CA27" s="50" t="e">
        <f t="shared" si="7"/>
        <v>#N/A</v>
      </c>
      <c r="CB27" s="50" t="e">
        <f t="shared" si="7"/>
        <v>#N/A</v>
      </c>
      <c r="CC27" s="50" t="e">
        <f t="shared" si="7"/>
        <v>#N/A</v>
      </c>
      <c r="CD27" s="50" t="e">
        <f t="shared" si="7"/>
        <v>#N/A</v>
      </c>
      <c r="CE27" s="50" t="e">
        <f t="shared" si="7"/>
        <v>#N/A</v>
      </c>
      <c r="CF27" s="50" t="e">
        <f t="shared" si="7"/>
        <v>#N/A</v>
      </c>
      <c r="CG27" s="50" t="e">
        <f t="shared" si="7"/>
        <v>#N/A</v>
      </c>
      <c r="CH27" s="50" t="e">
        <f t="shared" si="7"/>
        <v>#N/A</v>
      </c>
      <c r="CI27" s="50" t="e">
        <f t="shared" si="7"/>
        <v>#N/A</v>
      </c>
      <c r="CJ27" s="50" t="e">
        <f t="shared" si="7"/>
        <v>#N/A</v>
      </c>
      <c r="CK27" s="50" t="e">
        <f t="shared" si="7"/>
        <v>#N/A</v>
      </c>
      <c r="CL27" s="50" t="e">
        <f t="shared" si="7"/>
        <v>#N/A</v>
      </c>
      <c r="CM27" s="50" t="e">
        <f t="shared" si="7"/>
        <v>#N/A</v>
      </c>
      <c r="CN27" s="50" t="e">
        <f t="shared" si="7"/>
        <v>#N/A</v>
      </c>
      <c r="CO27" s="50" t="e">
        <f t="shared" si="7"/>
        <v>#N/A</v>
      </c>
      <c r="CP27" s="50" t="e">
        <f t="shared" si="7"/>
        <v>#N/A</v>
      </c>
      <c r="CQ27" s="50" t="e">
        <f t="shared" si="7"/>
        <v>#N/A</v>
      </c>
      <c r="CR27" s="50" t="e">
        <f t="shared" si="7"/>
        <v>#N/A</v>
      </c>
      <c r="CS27" s="50" t="e">
        <f t="shared" si="7"/>
        <v>#N/A</v>
      </c>
      <c r="CT27" s="50" t="e">
        <f t="shared" si="7"/>
        <v>#N/A</v>
      </c>
      <c r="CU27" s="50" t="e">
        <f t="shared" si="7"/>
        <v>#N/A</v>
      </c>
      <c r="CV27" s="50" t="e">
        <f t="shared" si="7"/>
        <v>#N/A</v>
      </c>
      <c r="CW27" s="50" t="e">
        <f t="shared" si="7"/>
        <v>#N/A</v>
      </c>
      <c r="CX27" s="50" t="e">
        <f t="shared" si="7"/>
        <v>#N/A</v>
      </c>
      <c r="CY27" s="50" t="e">
        <f t="shared" si="7"/>
        <v>#N/A</v>
      </c>
      <c r="CZ27" s="50" t="e">
        <f t="shared" si="7"/>
        <v>#N/A</v>
      </c>
    </row>
    <row r="28" spans="1:104" s="46" customFormat="1" x14ac:dyDescent="0.2">
      <c r="A28" s="3"/>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49"/>
      <c r="CA28" s="49"/>
      <c r="CB28" s="49"/>
      <c r="CC28" s="49"/>
      <c r="CD28" s="49"/>
      <c r="CE28" s="49"/>
      <c r="CF28" s="49"/>
      <c r="CG28" s="49"/>
      <c r="CH28" s="49"/>
      <c r="CI28" s="49"/>
      <c r="CJ28" s="49"/>
      <c r="CK28" s="49"/>
      <c r="CL28" s="49"/>
      <c r="CM28" s="49"/>
      <c r="CN28" s="49"/>
      <c r="CO28" s="49"/>
      <c r="CP28" s="49"/>
      <c r="CQ28" s="49"/>
      <c r="CR28" s="49"/>
      <c r="CS28" s="49"/>
      <c r="CT28" s="49"/>
      <c r="CU28" s="49"/>
      <c r="CV28" s="49"/>
      <c r="CW28" s="49"/>
      <c r="CX28" s="49"/>
      <c r="CY28" s="49"/>
      <c r="CZ28" s="49"/>
    </row>
    <row r="29" spans="1:104" s="46" customFormat="1" x14ac:dyDescent="0.2">
      <c r="A29" s="2" t="s">
        <v>27</v>
      </c>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49"/>
      <c r="BA29" s="49"/>
      <c r="BB29" s="49"/>
      <c r="BC29" s="49"/>
      <c r="BD29" s="49"/>
      <c r="BE29" s="49"/>
      <c r="BF29" s="49"/>
      <c r="BG29" s="49"/>
      <c r="BH29" s="49"/>
      <c r="BI29" s="49"/>
      <c r="BJ29" s="49"/>
      <c r="BK29" s="49"/>
      <c r="BL29" s="49"/>
      <c r="BM29" s="49"/>
      <c r="BN29" s="49"/>
      <c r="BO29" s="49"/>
      <c r="BP29" s="49"/>
      <c r="BQ29" s="49"/>
      <c r="BR29" s="49"/>
      <c r="BS29" s="49"/>
      <c r="BT29" s="49"/>
      <c r="BU29" s="49"/>
      <c r="BV29" s="49"/>
      <c r="BW29" s="49"/>
      <c r="BX29" s="49"/>
      <c r="BY29" s="49"/>
      <c r="BZ29" s="49"/>
      <c r="CA29" s="49"/>
      <c r="CB29" s="49"/>
      <c r="CC29" s="49"/>
      <c r="CD29" s="49"/>
      <c r="CE29" s="49"/>
      <c r="CF29" s="49"/>
      <c r="CG29" s="49"/>
      <c r="CH29" s="49"/>
      <c r="CI29" s="49"/>
      <c r="CJ29" s="49"/>
      <c r="CK29" s="49"/>
      <c r="CL29" s="49"/>
      <c r="CM29" s="49"/>
      <c r="CN29" s="49"/>
      <c r="CO29" s="49"/>
      <c r="CP29" s="49"/>
      <c r="CQ29" s="49"/>
      <c r="CR29" s="49"/>
      <c r="CS29" s="49"/>
      <c r="CT29" s="49"/>
      <c r="CU29" s="49"/>
      <c r="CV29" s="49"/>
      <c r="CW29" s="49"/>
      <c r="CX29" s="49"/>
      <c r="CY29" s="49"/>
      <c r="CZ29" s="49"/>
    </row>
    <row r="30" spans="1:104" s="49" customFormat="1" x14ac:dyDescent="0.2">
      <c r="A30" s="55" t="s">
        <v>28</v>
      </c>
      <c r="B30" s="45" t="e">
        <f>INDEX('BalSht Data'!H$1:H$2999,MATCH(B$1,'BalSht Data'!A$2:A$2051,0)+MATCH(A30,'BalSht Data'!G$2:G$2051,0))</f>
        <v>#N/A</v>
      </c>
      <c r="C30" s="45" t="e">
        <f>INDEX('BalSht Data'!H$1:H$2999,MATCH(C$1,'BalSht Data'!A$2:A$2051,0)+MATCH(A30,'BalSht Data'!G$2:G$2051,0))</f>
        <v>#N/A</v>
      </c>
      <c r="D30" s="45" t="e">
        <f>INDEX('BalSht Data'!H$1:H$2999,MATCH(D$1,'BalSht Data'!A$2:A$2051,0)+MATCH(A30,'BalSht Data'!G$2:G$2051,0))</f>
        <v>#N/A</v>
      </c>
      <c r="E30" s="45" t="e">
        <f>INDEX('BalSht Data'!H$1:H$2999,MATCH(E$1,'BalSht Data'!A$2:A$2051,0)+MATCH(A30,'BalSht Data'!G$2:G$2051,0))</f>
        <v>#N/A</v>
      </c>
      <c r="F30" s="45" t="e">
        <f>INDEX('BalSht Data'!H$1:H$2999,MATCH(F$1,'BalSht Data'!A$2:A$2051,0)+MATCH(A30,'BalSht Data'!G$2:G$2051,0))</f>
        <v>#N/A</v>
      </c>
      <c r="G30" s="45" t="e">
        <f>INDEX('BalSht Data'!H$1:H$2999,MATCH(G$1,'BalSht Data'!A$2:A$2051,0)+MATCH(A30,'BalSht Data'!G$2:G$2051,0))</f>
        <v>#N/A</v>
      </c>
      <c r="H30" s="45" t="e">
        <f>INDEX('BalSht Data'!H$1:H$2999,MATCH(H$1,'BalSht Data'!A$2:A$2051,0)+MATCH(A30,'BalSht Data'!G$2:G$2051,0))</f>
        <v>#N/A</v>
      </c>
      <c r="I30" s="45" t="e">
        <f>INDEX('BalSht Data'!H$1:H$2999,MATCH(I$1,'BalSht Data'!A$2:A$2051,0)+MATCH(A30,'BalSht Data'!G$2:G$2051,0))</f>
        <v>#N/A</v>
      </c>
      <c r="J30" s="45" t="e">
        <f>INDEX('BalSht Data'!H$1:H$2999,MATCH(J$1,'BalSht Data'!A$2:A$2051,0)+MATCH(A30,'BalSht Data'!G$2:G$2051,0))</f>
        <v>#N/A</v>
      </c>
      <c r="K30" s="45" t="e">
        <f>INDEX('BalSht Data'!H$1:H$2999,MATCH(K$1,'BalSht Data'!A$2:A$2051,0)+MATCH(A30,'BalSht Data'!G$2:G$2051,0))</f>
        <v>#N/A</v>
      </c>
      <c r="L30" s="45" t="e">
        <f>INDEX('BalSht Data'!H$1:H$2999,MATCH(L$1,'BalSht Data'!A$2:A$2051,0)+MATCH(A30,'BalSht Data'!G$2:G$2051,0))</f>
        <v>#N/A</v>
      </c>
      <c r="M30" s="45" t="e">
        <f>INDEX('BalSht Data'!H$1:H$2999,MATCH(M$1,'BalSht Data'!A$2:A$2051,0)+MATCH(A30,'BalSht Data'!G$2:G$2051,0))</f>
        <v>#N/A</v>
      </c>
      <c r="N30" s="45" t="e">
        <f>INDEX('BalSht Data'!H$1:H$2999,MATCH(N$1,'BalSht Data'!A$2:A$2051,0)+MATCH(A30,'BalSht Data'!G$2:G$2051,0))</f>
        <v>#N/A</v>
      </c>
      <c r="O30" s="45" t="e">
        <f>INDEX('BalSht Data'!H$1:H$2999,MATCH(O$1,'BalSht Data'!A$2:A$2051,0)+MATCH(A30,'BalSht Data'!G$2:G$2051,0))</f>
        <v>#N/A</v>
      </c>
      <c r="P30" s="45" t="e">
        <f>INDEX('BalSht Data'!H$1:H$2999,MATCH(P$1,'BalSht Data'!A$2:A$2051,0)+MATCH(A30,'BalSht Data'!G$2:G$2051,0))</f>
        <v>#N/A</v>
      </c>
      <c r="Q30" s="45" t="e">
        <f>INDEX('BalSht Data'!H$1:H$2999,MATCH(Q$1,'BalSht Data'!A$2:A$2051,0)+MATCH(A30,'BalSht Data'!G$2:G$2051,0))</f>
        <v>#N/A</v>
      </c>
      <c r="R30" s="45" t="e">
        <f>INDEX('BalSht Data'!H$1:H$2999,MATCH(R$1,'BalSht Data'!A$2:A$2051,0)+MATCH(A30,'BalSht Data'!G$2:G$2051,0))</f>
        <v>#N/A</v>
      </c>
      <c r="S30" s="45" t="e">
        <f>INDEX('BalSht Data'!H$1:H$2999,MATCH(S$1,'BalSht Data'!A$2:A$2051,0)+MATCH(A30,'BalSht Data'!G$2:G$2051,0))</f>
        <v>#N/A</v>
      </c>
      <c r="T30" s="45" t="e">
        <f>INDEX('BalSht Data'!H$1:H$2999,MATCH(T$1,'BalSht Data'!A$2:A$2051,0)+MATCH(A30,'BalSht Data'!G$2:G$2051,0))</f>
        <v>#N/A</v>
      </c>
      <c r="U30" s="45" t="e">
        <f>INDEX('BalSht Data'!H$1:H$2999,MATCH(U$1,'BalSht Data'!A$2:A$2051,0)+MATCH(A30,'BalSht Data'!G$2:G$2051,0))</f>
        <v>#N/A</v>
      </c>
      <c r="V30" s="45" t="e">
        <f>INDEX('BalSht Data'!H$1:H$2999,MATCH(V$1,'BalSht Data'!A$2:A$2051,0)+MATCH(A30,'BalSht Data'!G$2:G$2051,0))</f>
        <v>#N/A</v>
      </c>
      <c r="W30" s="45" t="e">
        <f>INDEX('BalSht Data'!H$1:H$2999,MATCH(W$1,'BalSht Data'!A$2:A$2051,0)+MATCH(A30,'BalSht Data'!G$2:G$2051,0))</f>
        <v>#N/A</v>
      </c>
      <c r="X30" s="45" t="e">
        <f>INDEX('BalSht Data'!H$1:H$2999,MATCH(X$1,'BalSht Data'!A$2:A$2051,0)+MATCH(A30,'BalSht Data'!G$2:G$2051,0))</f>
        <v>#N/A</v>
      </c>
      <c r="Y30" s="45" t="e">
        <f>INDEX('BalSht Data'!H$1:H$2999,MATCH(Y$1,'BalSht Data'!A$2:A$2051,0)+MATCH(A30,'BalSht Data'!G$2:G$2051,0))</f>
        <v>#N/A</v>
      </c>
      <c r="Z30" s="45" t="e">
        <f>INDEX('BalSht Data'!H$1:H$2999,MATCH(Z$1,'BalSht Data'!A$2:A$2051,0)+MATCH(A30,'BalSht Data'!G$2:G$2051,0))</f>
        <v>#N/A</v>
      </c>
      <c r="AA30" s="45" t="e">
        <f>INDEX('BalSht Data'!H$1:H$2999,MATCH(AA$1,'BalSht Data'!A$2:A$2051,0)+MATCH(A30,'BalSht Data'!G$2:G$2051,0))</f>
        <v>#N/A</v>
      </c>
      <c r="AB30" s="45" t="e">
        <f>INDEX('BalSht Data'!H$1:H$2999,MATCH(AB$1,'BalSht Data'!A$2:A$2051,0)+MATCH(A30,'BalSht Data'!G$2:G$2051,0))</f>
        <v>#N/A</v>
      </c>
      <c r="AC30" s="45" t="e">
        <f>INDEX('BalSht Data'!H$1:H$2999,MATCH(AC$1,'BalSht Data'!A$2:A$2051,0)+MATCH(A30,'BalSht Data'!G$2:G$2051,0))</f>
        <v>#N/A</v>
      </c>
      <c r="AD30" s="45" t="e">
        <f>INDEX('BalSht Data'!H$1:H$2999,MATCH(AD$1,'BalSht Data'!A$2:A$2051,0)+MATCH(A30,'BalSht Data'!G$2:G$2051,0))</f>
        <v>#N/A</v>
      </c>
      <c r="AE30" s="45" t="e">
        <f>INDEX('BalSht Data'!H$1:H$2999,MATCH(AE$1,'BalSht Data'!A$2:A$2051,0)+MATCH(A30,'BalSht Data'!G$2:G$2051,0))</f>
        <v>#N/A</v>
      </c>
      <c r="AF30" s="45" t="e">
        <f>INDEX('BalSht Data'!H$1:H$2999,MATCH(AF$1,'BalSht Data'!A$2:A$2051,0)+MATCH(A30,'BalSht Data'!G$2:G$2051,0))</f>
        <v>#N/A</v>
      </c>
      <c r="AG30" s="45" t="e">
        <f>INDEX('BalSht Data'!H$1:H$2999,MATCH(AG$1,'BalSht Data'!A$2:A$2051,0)+MATCH(A30,'BalSht Data'!G$2:G$2051,0))</f>
        <v>#N/A</v>
      </c>
      <c r="AH30" s="45" t="e">
        <f>INDEX('BalSht Data'!H$1:H$2999,MATCH(AH$1,'BalSht Data'!A$2:A$2051,0)+MATCH(A30,'BalSht Data'!G$2:G$2051,0))</f>
        <v>#N/A</v>
      </c>
      <c r="AI30" s="45" t="e">
        <f>INDEX('BalSht Data'!H$1:H$2999,MATCH(AI$1,'BalSht Data'!A$2:A$2051,0)+MATCH(A30,'BalSht Data'!G$2:G$2051,0))</f>
        <v>#N/A</v>
      </c>
      <c r="AJ30" s="45" t="e">
        <f>INDEX('BalSht Data'!H$1:H$2999,MATCH(AJ$1,'BalSht Data'!A$2:A$2051,0)+MATCH(A30,'BalSht Data'!G$2:G$2051,0))</f>
        <v>#N/A</v>
      </c>
      <c r="AK30" s="45" t="e">
        <f>INDEX('BalSht Data'!H$1:H$2999,MATCH(AK$1,'BalSht Data'!A$2:A$2051,0)+MATCH(A30,'BalSht Data'!G$2:G$2051,0))</f>
        <v>#N/A</v>
      </c>
      <c r="AL30" s="45">
        <f>INDEX('BalSht Data'!H$1:H$2999,MATCH(AL$1,'BalSht Data'!A$2:A$2051,0)+MATCH(A30,'BalSht Data'!G$2:G$2051,0))</f>
        <v>0</v>
      </c>
      <c r="AM30" s="45">
        <f>INDEX('BalSht Data'!H$1:H$2999,MATCH(AM$1,'BalSht Data'!A$2:A$2051,0)+MATCH(A30,'BalSht Data'!G$2:G$2051,0))</f>
        <v>0</v>
      </c>
      <c r="AN30" s="45">
        <f>INDEX('BalSht Data'!H$1:H$2999,MATCH(AN$1,'BalSht Data'!A$2:A$2051,0)+MATCH(A30,'BalSht Data'!G$2:G$2051,0))</f>
        <v>0</v>
      </c>
      <c r="AO30" s="45">
        <f>INDEX('BalSht Data'!H$1:H$2999,MATCH(AO$1,'BalSht Data'!A$2:A$2051,0)+MATCH(A30,'BalSht Data'!G$2:G$2051,0))</f>
        <v>0</v>
      </c>
      <c r="AP30" s="45" t="e">
        <f>INDEX('BalSht Data'!H$1:H$2999,MATCH(AP$1,'BalSht Data'!A$2:A$2051,0)+MATCH(A30,'BalSht Data'!G$2:G$2051,0))</f>
        <v>#N/A</v>
      </c>
      <c r="AQ30" s="45" t="e">
        <f>INDEX('BalSht Data'!H$1:H$2999,MATCH(AQ$1,'BalSht Data'!A$2:A$2051,0)+MATCH(A30,'BalSht Data'!G$2:G$2051,0))</f>
        <v>#N/A</v>
      </c>
      <c r="AR30" s="45" t="e">
        <f>INDEX('BalSht Data'!H$1:H$2999,MATCH(AR$1,'BalSht Data'!A$2:A$2051,0)+MATCH(A30,'BalSht Data'!G$2:G$2051,0))</f>
        <v>#N/A</v>
      </c>
      <c r="AS30" s="45" t="e">
        <f>INDEX('BalSht Data'!H$1:H$2999,MATCH(AS$1,'BalSht Data'!A$2:A$2051,0)+MATCH(A30,'BalSht Data'!G$2:G$2051,0))</f>
        <v>#N/A</v>
      </c>
      <c r="AT30" s="45" t="e">
        <f>INDEX('BalSht Data'!H$1:H$2999,MATCH(AT$1,'BalSht Data'!A$2:A$2051,0)+MATCH(A30,'BalSht Data'!G$2:G$2051,0))</f>
        <v>#N/A</v>
      </c>
      <c r="AU30" s="45" t="e">
        <f>INDEX('BalSht Data'!H$1:H$2999,MATCH(AU$1,'BalSht Data'!A$2:A$2051,0)+MATCH(A30,'BalSht Data'!G$2:G$2051,0))</f>
        <v>#N/A</v>
      </c>
      <c r="AV30" s="45" t="e">
        <f>INDEX('BalSht Data'!H$1:H$2999,MATCH(AV$1,'BalSht Data'!A$2:A$2051,0)+MATCH(A30,'BalSht Data'!G$2:G$2051,0))</f>
        <v>#N/A</v>
      </c>
      <c r="AW30" s="45" t="e">
        <f>INDEX('BalSht Data'!H$1:H$2999,MATCH(AW$1,'BalSht Data'!A$2:A$2051,0)+MATCH(A30,'BalSht Data'!G$2:G$2051,0))</f>
        <v>#N/A</v>
      </c>
      <c r="AX30" s="45" t="e">
        <f>INDEX('BalSht Data'!H$1:H$2999,MATCH(AX$1,'BalSht Data'!A$2:A$2051,0)+MATCH(A30,'BalSht Data'!G$2:G$2051,0))</f>
        <v>#N/A</v>
      </c>
      <c r="AY30" s="45" t="e">
        <f>INDEX('BalSht Data'!H$1:H$2999,MATCH(AY$1,'BalSht Data'!A$2:A$2051,0)+MATCH(A30,'BalSht Data'!G$2:G$2051,0))</f>
        <v>#N/A</v>
      </c>
      <c r="AZ30" s="45" t="e">
        <f>INDEX('BalSht Data'!H$1:H$2999,MATCH(AZ$1,'BalSht Data'!A$2:A$2051,0)+MATCH(A30,'BalSht Data'!G$2:G$2051,0))</f>
        <v>#N/A</v>
      </c>
      <c r="BA30" s="45" t="e">
        <f>INDEX('BalSht Data'!H$1:H$2999,MATCH(BA$1,'BalSht Data'!A$2:A$2051,0)+MATCH(A30,'BalSht Data'!G$2:G$2051,0))</f>
        <v>#N/A</v>
      </c>
      <c r="BB30" s="45" t="e">
        <f>INDEX('BalSht Data'!H$1:H$2999,MATCH(BB$1,'BalSht Data'!A$2:A$2051,0)+MATCH(A30,'BalSht Data'!G$2:G$2051,0))</f>
        <v>#N/A</v>
      </c>
      <c r="BC30" s="45" t="e">
        <f>INDEX('BalSht Data'!H$1:H$2999,MATCH(BC$1,'BalSht Data'!A$2:A$2051,0)+MATCH(A30,'BalSht Data'!G$2:G$2051,0))</f>
        <v>#N/A</v>
      </c>
      <c r="BD30" s="45" t="e">
        <f>INDEX('BalSht Data'!H$1:H$2999,MATCH(BD$1,'BalSht Data'!A$2:A$2051,0)+MATCH(A30,'BalSht Data'!G$2:G$2051,0))</f>
        <v>#N/A</v>
      </c>
      <c r="BE30" s="45" t="e">
        <f>INDEX('BalSht Data'!H$1:H$2999,MATCH(BE$1,'BalSht Data'!A$2:A$2051,0)+MATCH(A30,'BalSht Data'!G$2:G$2051,0))</f>
        <v>#N/A</v>
      </c>
      <c r="BF30" s="45" t="e">
        <f>INDEX('BalSht Data'!H$1:H$2999,MATCH(BF$1,'BalSht Data'!A$2:A$2051,0)+MATCH(A30,'BalSht Data'!G$2:G$2051,0))</f>
        <v>#N/A</v>
      </c>
      <c r="BG30" s="45" t="e">
        <f>INDEX('BalSht Data'!H$1:H$2999,MATCH(BG$1,'BalSht Data'!A$2:A$2051,0)+MATCH(A30,'BalSht Data'!G$2:G$2051,0))</f>
        <v>#N/A</v>
      </c>
      <c r="BH30" s="45" t="e">
        <f>INDEX('BalSht Data'!H$1:H$2999,MATCH(BH$1,'BalSht Data'!A$2:A$2051,0)+MATCH(A30,'BalSht Data'!G$2:G$2051,0))</f>
        <v>#N/A</v>
      </c>
      <c r="BI30" s="45" t="e">
        <f>INDEX('BalSht Data'!H$1:H$2999,MATCH(BI$1,'BalSht Data'!A$2:A$2051,0)+MATCH(A30,'BalSht Data'!G$2:G$2051,0))</f>
        <v>#N/A</v>
      </c>
      <c r="BJ30" s="45" t="e">
        <f>INDEX('BalSht Data'!H$1:H$2999,MATCH(BJ$1,'BalSht Data'!A$2:A$2051,0)+MATCH(A30,'BalSht Data'!G$2:G$2051,0))</f>
        <v>#N/A</v>
      </c>
      <c r="BK30" s="45" t="e">
        <f>INDEX('BalSht Data'!H$1:H$2999,MATCH(BK$1,'BalSht Data'!A$2:A$2051,0)+MATCH(A30,'BalSht Data'!G$2:G$2051,0))</f>
        <v>#N/A</v>
      </c>
      <c r="BL30" s="45" t="e">
        <f>INDEX('BalSht Data'!H$1:H$2999,MATCH(BL$1,'BalSht Data'!A$2:A$2051,0)+MATCH(A30,'BalSht Data'!G$2:G$2051,0))</f>
        <v>#N/A</v>
      </c>
      <c r="BM30" s="45" t="e">
        <f>INDEX('BalSht Data'!H$1:H$2999,MATCH(BM$1,'BalSht Data'!A$2:A$2051,0)+MATCH(A30,'BalSht Data'!G$2:G$2051,0))</f>
        <v>#N/A</v>
      </c>
      <c r="BN30" s="45" t="e">
        <f>INDEX('BalSht Data'!H$1:H$2999,MATCH(BN$1,'BalSht Data'!A$2:A$2051,0)+MATCH(A30,'BalSht Data'!G$2:G$2051,0))</f>
        <v>#N/A</v>
      </c>
      <c r="BO30" s="45" t="e">
        <f>INDEX('BalSht Data'!H$1:H$2999,MATCH(BO$1,'BalSht Data'!A$2:A$2051,0)+MATCH(A30,'BalSht Data'!G$2:G$2051,0))</f>
        <v>#N/A</v>
      </c>
      <c r="BP30" s="45" t="e">
        <f>INDEX('BalSht Data'!H$1:H$2999,MATCH(BP$1,'BalSht Data'!A$2:A$2051,0)+MATCH(A30,'BalSht Data'!G$2:G$2051,0))</f>
        <v>#N/A</v>
      </c>
      <c r="BQ30" s="45" t="e">
        <f>INDEX('BalSht Data'!H$1:H$2999,MATCH(BQ$1,'BalSht Data'!A$2:A$2051,0)+MATCH(A30,'BalSht Data'!G$2:G$2051,0))</f>
        <v>#N/A</v>
      </c>
      <c r="BR30" s="45" t="e">
        <f>INDEX('BalSht Data'!H$1:H$2999,MATCH(BR$1,'BalSht Data'!A$2:A$2051,0)+MATCH(A30,'BalSht Data'!G$2:G$2051,0))</f>
        <v>#N/A</v>
      </c>
      <c r="BS30" s="45" t="e">
        <f>INDEX('BalSht Data'!H$1:H$2999,MATCH(BS$1,'BalSht Data'!A$2:A$2051,0)+MATCH(A30,'BalSht Data'!G$2:G$2051,0))</f>
        <v>#N/A</v>
      </c>
      <c r="BT30" s="45" t="e">
        <f>INDEX('BalSht Data'!H$1:H$2999,MATCH(BT$1,'BalSht Data'!A$2:A$2051,0)+MATCH(A30,'BalSht Data'!G$2:G$2051,0))</f>
        <v>#N/A</v>
      </c>
      <c r="BU30" s="45" t="e">
        <f>INDEX('BalSht Data'!H$1:H$2999,MATCH(BU$1,'BalSht Data'!A$2:A$2051,0)+MATCH(A30,'BalSht Data'!G$2:G$2051,0))</f>
        <v>#N/A</v>
      </c>
      <c r="BV30" s="45" t="e">
        <f>INDEX('BalSht Data'!H$1:H$2999,MATCH(BV$1,'BalSht Data'!A$2:A$2051,0)+MATCH(A30,'BalSht Data'!G$2:G$2051,0))</f>
        <v>#N/A</v>
      </c>
      <c r="BW30" s="45" t="e">
        <f>INDEX('BalSht Data'!H$1:H$2999,MATCH(BW$1,'BalSht Data'!A$2:A$2051,0)+MATCH(A30,'BalSht Data'!G$2:G$2051,0))</f>
        <v>#N/A</v>
      </c>
      <c r="BX30" s="45" t="e">
        <f>INDEX('BalSht Data'!H$1:H$2999,MATCH(BX$1,'BalSht Data'!A$2:A$2051,0)+MATCH(A30,'BalSht Data'!G$2:G$2051,0))</f>
        <v>#N/A</v>
      </c>
      <c r="BY30" s="45" t="e">
        <f>INDEX('BalSht Data'!H$1:H$2999,MATCH(BY$1,'BalSht Data'!A$2:A$2051,0)+MATCH(A30,'BalSht Data'!G$2:G$2051,0))</f>
        <v>#N/A</v>
      </c>
      <c r="BZ30" s="45" t="e">
        <f>INDEX('BalSht Data'!H$1:H$2999,MATCH(BZ$1,'BalSht Data'!A$2:A$2051,0)+MATCH(A30,'BalSht Data'!G$2:G$2051,0))</f>
        <v>#N/A</v>
      </c>
      <c r="CA30" s="45" t="e">
        <f>INDEX('BalSht Data'!H$1:H$2999,MATCH(CA$1,'BalSht Data'!A$2:A$2051,0)+MATCH(A30,'BalSht Data'!G$2:G$2051,0))</f>
        <v>#N/A</v>
      </c>
      <c r="CB30" s="45" t="e">
        <f>INDEX('BalSht Data'!H$1:H$2999,MATCH(CB$1,'BalSht Data'!A$2:A$2051,0)+MATCH(A30,'BalSht Data'!G$2:G$2051,0))</f>
        <v>#N/A</v>
      </c>
      <c r="CC30" s="45" t="e">
        <f>INDEX('BalSht Data'!H$1:H$2999,MATCH(CC$1,'BalSht Data'!A$2:A$2051,0)+MATCH(A30,'BalSht Data'!G$2:G$2051,0))</f>
        <v>#N/A</v>
      </c>
      <c r="CD30" s="45" t="e">
        <f>INDEX('BalSht Data'!H$1:H$2999,MATCH(CD$1,'BalSht Data'!A$2:A$2051,0)+MATCH(A30,'BalSht Data'!G$2:G$2051,0))</f>
        <v>#N/A</v>
      </c>
      <c r="CE30" s="45" t="e">
        <f>INDEX('BalSht Data'!H$1:H$2999,MATCH(CE$1,'BalSht Data'!A$2:A$2051,0)+MATCH(A30,'BalSht Data'!G$2:G$2051,0))</f>
        <v>#N/A</v>
      </c>
      <c r="CF30" s="45" t="e">
        <f>INDEX('BalSht Data'!H$1:H$2999,MATCH(CF$1,'BalSht Data'!A$2:A$2051,0)+MATCH(A30,'BalSht Data'!G$2:G$2051,0))</f>
        <v>#N/A</v>
      </c>
      <c r="CG30" s="45" t="e">
        <f>INDEX('BalSht Data'!H$1:H$2999,MATCH(CG$1,'BalSht Data'!A$2:A$2051,0)+MATCH(A30,'BalSht Data'!G$2:G$2051,0))</f>
        <v>#N/A</v>
      </c>
      <c r="CH30" s="45" t="e">
        <f>INDEX('BalSht Data'!H$1:H$2999,MATCH(CH$1,'BalSht Data'!A$2:A$2051,0)+MATCH(A30,'BalSht Data'!G$2:G$2051,0))</f>
        <v>#N/A</v>
      </c>
      <c r="CI30" s="45" t="e">
        <f>INDEX('BalSht Data'!H$1:H$2999,MATCH(CI$1,'BalSht Data'!A$2:A$2051,0)+MATCH(A30,'BalSht Data'!G$2:G$2051,0))</f>
        <v>#N/A</v>
      </c>
      <c r="CJ30" s="45" t="e">
        <f>INDEX('BalSht Data'!H$1:H$2999,MATCH(CJ$1,'BalSht Data'!A$2:A$2051,0)+MATCH(A30,'BalSht Data'!G$2:G$2051,0))</f>
        <v>#N/A</v>
      </c>
      <c r="CK30" s="45" t="e">
        <f>INDEX('BalSht Data'!H$1:H$2999,MATCH(CK$1,'BalSht Data'!A$2:A$2051,0)+MATCH(A30,'BalSht Data'!G$2:G$2051,0))</f>
        <v>#N/A</v>
      </c>
      <c r="CL30" s="45" t="e">
        <f>INDEX('BalSht Data'!H$1:H$2999,MATCH(CL$1,'BalSht Data'!A$2:A$2051,0)+MATCH(A30,'BalSht Data'!G$2:G$2051,0))</f>
        <v>#N/A</v>
      </c>
      <c r="CM30" s="45" t="e">
        <f>INDEX('BalSht Data'!H$1:H$2999,MATCH(CM$1,'BalSht Data'!A$2:A$2051,0)+MATCH(A30,'BalSht Data'!G$2:G$2051,0))</f>
        <v>#N/A</v>
      </c>
      <c r="CN30" s="45" t="e">
        <f>INDEX('BalSht Data'!H$1:H$2999,MATCH(CN$1,'BalSht Data'!A$2:A$2051,0)+MATCH(A30,'BalSht Data'!G$2:G$2051,0))</f>
        <v>#N/A</v>
      </c>
      <c r="CO30" s="45" t="e">
        <f>INDEX('BalSht Data'!H$1:H$2999,MATCH(CO$1,'BalSht Data'!A$2:A$2051,0)+MATCH(A30,'BalSht Data'!G$2:G$2051,0))</f>
        <v>#N/A</v>
      </c>
      <c r="CP30" s="45" t="e">
        <f>INDEX('BalSht Data'!H$1:H$2999,MATCH(CP$1,'BalSht Data'!A$2:A$2051,0)+MATCH(A30,'BalSht Data'!G$2:G$2051,0))</f>
        <v>#N/A</v>
      </c>
      <c r="CQ30" s="45" t="e">
        <f>INDEX('BalSht Data'!H$1:H$2999,MATCH(CQ$1,'BalSht Data'!A$2:A$2051,0)+MATCH(A30,'BalSht Data'!G$2:G$2051,0))</f>
        <v>#N/A</v>
      </c>
      <c r="CR30" s="45" t="e">
        <f>INDEX('BalSht Data'!H$1:H$2999,MATCH(CR$1,'BalSht Data'!A$2:A$2051,0)+MATCH(A30,'BalSht Data'!G$2:G$2051,0))</f>
        <v>#N/A</v>
      </c>
      <c r="CS30" s="45" t="e">
        <f>INDEX('BalSht Data'!H$1:H$2999,MATCH(CS$1,'BalSht Data'!A$2:A$2051,0)+MATCH(A30,'BalSht Data'!G$2:G$2051,0))</f>
        <v>#N/A</v>
      </c>
      <c r="CT30" s="45" t="e">
        <f>INDEX('BalSht Data'!H$1:H$2999,MATCH(CT$1,'BalSht Data'!A$2:A$2051,0)+MATCH(A30,'BalSht Data'!G$2:G$2051,0))</f>
        <v>#N/A</v>
      </c>
      <c r="CU30" s="45" t="e">
        <f>INDEX('BalSht Data'!H$1:H$2999,MATCH(CU$1,'BalSht Data'!A$2:A$2051,0)+MATCH(A30,'BalSht Data'!G$2:G$2051,0))</f>
        <v>#N/A</v>
      </c>
      <c r="CV30" s="45" t="e">
        <f>INDEX('BalSht Data'!H$1:H$2999,MATCH(CV$1,'BalSht Data'!A$2:A$2051,0)+MATCH(A30,'BalSht Data'!G$2:G$2051,0))</f>
        <v>#N/A</v>
      </c>
      <c r="CW30" s="45" t="e">
        <f>INDEX('BalSht Data'!H$1:H$2999,MATCH(CW$1,'BalSht Data'!A$2:A$2051,0)+MATCH(A30,'BalSht Data'!G$2:G$2051,0))</f>
        <v>#N/A</v>
      </c>
      <c r="CX30" s="45" t="e">
        <f>INDEX('BalSht Data'!H$1:H$2999,MATCH(CX$1,'BalSht Data'!A$2:A$2051,0)+MATCH(A30,'BalSht Data'!G$2:G$2051,0))</f>
        <v>#N/A</v>
      </c>
      <c r="CY30" s="45" t="e">
        <f>INDEX('BalSht Data'!H$1:H$2999,MATCH(CY$1,'BalSht Data'!A$2:A$2051,0)+MATCH(A30,'BalSht Data'!G$2:G$2051,0))</f>
        <v>#N/A</v>
      </c>
      <c r="CZ30" s="45" t="e">
        <f>INDEX('BalSht Data'!H$1:H$2999,MATCH(CZ$1,'BalSht Data'!A$2:A$2051,0)+MATCH(A30,'BalSht Data'!G$2:G$2051,0))</f>
        <v>#N/A</v>
      </c>
    </row>
    <row r="31" spans="1:104" s="46" customFormat="1" x14ac:dyDescent="0.2">
      <c r="A31" s="5" t="s">
        <v>29</v>
      </c>
      <c r="B31" s="49" t="e">
        <f>INDEX('BalSht Data'!H$1:H$2999,MATCH(B$1,'BalSht Data'!A$2:A$2051,0)+MATCH(A31,'BalSht Data'!G$2:G$2051,0))</f>
        <v>#N/A</v>
      </c>
      <c r="C31" s="49" t="e">
        <f>INDEX('BalSht Data'!H$1:H$2999,MATCH(C$1,'BalSht Data'!A$2:A$2051,0)+MATCH(A31,'BalSht Data'!G$2:G$2051,0))</f>
        <v>#N/A</v>
      </c>
      <c r="D31" s="49" t="e">
        <f>INDEX('BalSht Data'!H$1:H$2999,MATCH(D$1,'BalSht Data'!A$2:A$2051,0)+MATCH(A31,'BalSht Data'!G$2:G$2051,0))</f>
        <v>#N/A</v>
      </c>
      <c r="E31" s="49" t="e">
        <f>INDEX('BalSht Data'!H$1:H$2999,MATCH(E$1,'BalSht Data'!A$2:A$2051,0)+MATCH(A31,'BalSht Data'!G$2:G$2051,0))</f>
        <v>#N/A</v>
      </c>
      <c r="F31" s="49" t="e">
        <f>INDEX('BalSht Data'!H$1:H$2999,MATCH(F$1,'BalSht Data'!A$2:A$2051,0)+MATCH(A31,'BalSht Data'!G$2:G$2051,0))</f>
        <v>#N/A</v>
      </c>
      <c r="G31" s="49" t="e">
        <f>INDEX('BalSht Data'!H$1:H$2999,MATCH(G$1,'BalSht Data'!A$2:A$2051,0)+MATCH(A31,'BalSht Data'!G$2:G$2051,0))</f>
        <v>#N/A</v>
      </c>
      <c r="H31" s="49" t="e">
        <f>INDEX('BalSht Data'!H$1:H$2999,MATCH(H$1,'BalSht Data'!A$2:A$2051,0)+MATCH(A31,'BalSht Data'!G$2:G$2051,0))</f>
        <v>#N/A</v>
      </c>
      <c r="I31" s="49" t="e">
        <f>INDEX('BalSht Data'!H$1:H$2999,MATCH(I$1,'BalSht Data'!A$2:A$2051,0)+MATCH(A31,'BalSht Data'!G$2:G$2051,0))</f>
        <v>#N/A</v>
      </c>
      <c r="J31" s="49" t="e">
        <f>INDEX('BalSht Data'!H$1:H$2999,MATCH(J$1,'BalSht Data'!A$2:A$2051,0)+MATCH(A31,'BalSht Data'!G$2:G$2051,0))</f>
        <v>#N/A</v>
      </c>
      <c r="K31" s="49" t="e">
        <f>INDEX('BalSht Data'!H$1:H$2999,MATCH(K$1,'BalSht Data'!A$2:A$2051,0)+MATCH(A31,'BalSht Data'!G$2:G$2051,0))</f>
        <v>#N/A</v>
      </c>
      <c r="L31" s="49" t="e">
        <f>INDEX('BalSht Data'!H$1:H$2999,MATCH(L$1,'BalSht Data'!A$2:A$2051,0)+MATCH(A31,'BalSht Data'!G$2:G$2051,0))</f>
        <v>#N/A</v>
      </c>
      <c r="M31" s="49" t="e">
        <f>INDEX('BalSht Data'!H$1:H$2999,MATCH(M$1,'BalSht Data'!A$2:A$2051,0)+MATCH(A31,'BalSht Data'!G$2:G$2051,0))</f>
        <v>#N/A</v>
      </c>
      <c r="N31" s="49" t="e">
        <f>INDEX('BalSht Data'!H$1:H$2999,MATCH(N$1,'BalSht Data'!A$2:A$2051,0)+MATCH(A31,'BalSht Data'!G$2:G$2051,0))</f>
        <v>#N/A</v>
      </c>
      <c r="O31" s="49" t="e">
        <f>INDEX('BalSht Data'!H$1:H$2999,MATCH(O$1,'BalSht Data'!A$2:A$2051,0)+MATCH(A31,'BalSht Data'!G$2:G$2051,0))</f>
        <v>#N/A</v>
      </c>
      <c r="P31" s="49" t="e">
        <f>INDEX('BalSht Data'!H$1:H$2999,MATCH(P$1,'BalSht Data'!A$2:A$2051,0)+MATCH(A31,'BalSht Data'!G$2:G$2051,0))</f>
        <v>#N/A</v>
      </c>
      <c r="Q31" s="49" t="e">
        <f>INDEX('BalSht Data'!H$1:H$2999,MATCH(Q$1,'BalSht Data'!A$2:A$2051,0)+MATCH(A31,'BalSht Data'!G$2:G$2051,0))</f>
        <v>#N/A</v>
      </c>
      <c r="R31" s="49" t="e">
        <f>INDEX('BalSht Data'!H$1:H$2999,MATCH(R$1,'BalSht Data'!A$2:A$2051,0)+MATCH(A31,'BalSht Data'!G$2:G$2051,0))</f>
        <v>#N/A</v>
      </c>
      <c r="S31" s="49" t="e">
        <f>INDEX('BalSht Data'!H$1:H$2999,MATCH(S$1,'BalSht Data'!A$2:A$2051,0)+MATCH(A31,'BalSht Data'!G$2:G$2051,0))</f>
        <v>#N/A</v>
      </c>
      <c r="T31" s="49" t="e">
        <f>INDEX('BalSht Data'!H$1:H$2999,MATCH(T$1,'BalSht Data'!A$2:A$2051,0)+MATCH(A31,'BalSht Data'!G$2:G$2051,0))</f>
        <v>#N/A</v>
      </c>
      <c r="U31" s="49" t="e">
        <f>INDEX('BalSht Data'!H$1:H$2999,MATCH(U$1,'BalSht Data'!A$2:A$2051,0)+MATCH(A31,'BalSht Data'!G$2:G$2051,0))</f>
        <v>#N/A</v>
      </c>
      <c r="V31" s="49" t="e">
        <f>INDEX('BalSht Data'!H$1:H$2999,MATCH(V$1,'BalSht Data'!A$2:A$2051,0)+MATCH(A31,'BalSht Data'!G$2:G$2051,0))</f>
        <v>#N/A</v>
      </c>
      <c r="W31" s="49" t="e">
        <f>INDEX('BalSht Data'!H$1:H$2999,MATCH(W$1,'BalSht Data'!A$2:A$2051,0)+MATCH(A31,'BalSht Data'!G$2:G$2051,0))</f>
        <v>#N/A</v>
      </c>
      <c r="X31" s="49" t="e">
        <f>INDEX('BalSht Data'!H$1:H$2999,MATCH(X$1,'BalSht Data'!A$2:A$2051,0)+MATCH(A31,'BalSht Data'!G$2:G$2051,0))</f>
        <v>#N/A</v>
      </c>
      <c r="Y31" s="49" t="e">
        <f>INDEX('BalSht Data'!H$1:H$2999,MATCH(Y$1,'BalSht Data'!A$2:A$2051,0)+MATCH(A31,'BalSht Data'!G$2:G$2051,0))</f>
        <v>#N/A</v>
      </c>
      <c r="Z31" s="49" t="e">
        <f>INDEX('BalSht Data'!H$1:H$2999,MATCH(Z$1,'BalSht Data'!A$2:A$2051,0)+MATCH(A31,'BalSht Data'!G$2:G$2051,0))</f>
        <v>#N/A</v>
      </c>
      <c r="AA31" s="49" t="e">
        <f>INDEX('BalSht Data'!H$1:H$2999,MATCH(AA$1,'BalSht Data'!A$2:A$2051,0)+MATCH(A31,'BalSht Data'!G$2:G$2051,0))</f>
        <v>#N/A</v>
      </c>
      <c r="AB31" s="49" t="e">
        <f>INDEX('BalSht Data'!H$1:H$2999,MATCH(AB$1,'BalSht Data'!A$2:A$2051,0)+MATCH(A31,'BalSht Data'!G$2:G$2051,0))</f>
        <v>#N/A</v>
      </c>
      <c r="AC31" s="49" t="e">
        <f>INDEX('BalSht Data'!H$1:H$2999,MATCH(AC$1,'BalSht Data'!A$2:A$2051,0)+MATCH(A31,'BalSht Data'!G$2:G$2051,0))</f>
        <v>#N/A</v>
      </c>
      <c r="AD31" s="49" t="e">
        <f>INDEX('BalSht Data'!H$1:H$2999,MATCH(AD$1,'BalSht Data'!A$2:A$2051,0)+MATCH(A31,'BalSht Data'!G$2:G$2051,0))</f>
        <v>#N/A</v>
      </c>
      <c r="AE31" s="49" t="e">
        <f>INDEX('BalSht Data'!H$1:H$2999,MATCH(AE$1,'BalSht Data'!A$2:A$2051,0)+MATCH(A31,'BalSht Data'!G$2:G$2051,0))</f>
        <v>#N/A</v>
      </c>
      <c r="AF31" s="49" t="e">
        <f>INDEX('BalSht Data'!H$1:H$2999,MATCH(AF$1,'BalSht Data'!A$2:A$2051,0)+MATCH(A31,'BalSht Data'!G$2:G$2051,0))</f>
        <v>#N/A</v>
      </c>
      <c r="AG31" s="49" t="e">
        <f>INDEX('BalSht Data'!H$1:H$2999,MATCH(AG$1,'BalSht Data'!A$2:A$2051,0)+MATCH(A31,'BalSht Data'!G$2:G$2051,0))</f>
        <v>#N/A</v>
      </c>
      <c r="AH31" s="49" t="e">
        <f>INDEX('BalSht Data'!H$1:H$2999,MATCH(AH$1,'BalSht Data'!A$2:A$2051,0)+MATCH(A31,'BalSht Data'!G$2:G$2051,0))</f>
        <v>#N/A</v>
      </c>
      <c r="AI31" s="49" t="e">
        <f>INDEX('BalSht Data'!H$1:H$2999,MATCH(AI$1,'BalSht Data'!A$2:A$2051,0)+MATCH(A31,'BalSht Data'!G$2:G$2051,0))</f>
        <v>#N/A</v>
      </c>
      <c r="AJ31" s="49" t="e">
        <f>INDEX('BalSht Data'!H$1:H$2999,MATCH(AJ$1,'BalSht Data'!A$2:A$2051,0)+MATCH(A31,'BalSht Data'!G$2:G$2051,0))</f>
        <v>#N/A</v>
      </c>
      <c r="AK31" s="49" t="e">
        <f>INDEX('BalSht Data'!H$1:H$2999,MATCH(AK$1,'BalSht Data'!A$2:A$2051,0)+MATCH(A31,'BalSht Data'!G$2:G$2051,0))</f>
        <v>#N/A</v>
      </c>
      <c r="AL31" s="49">
        <f>INDEX('BalSht Data'!H$1:H$2999,MATCH(AL$1,'BalSht Data'!A$2:A$2051,0)+MATCH(A31,'BalSht Data'!G$2:G$2051,0))</f>
        <v>0</v>
      </c>
      <c r="AM31" s="49">
        <f>INDEX('BalSht Data'!H$1:H$2999,MATCH(AM$1,'BalSht Data'!A$2:A$2051,0)+MATCH(A31,'BalSht Data'!G$2:G$2051,0))</f>
        <v>0</v>
      </c>
      <c r="AN31" s="49">
        <f>INDEX('BalSht Data'!H$1:H$2999,MATCH(AN$1,'BalSht Data'!A$2:A$2051,0)+MATCH(A31,'BalSht Data'!G$2:G$2051,0))</f>
        <v>0</v>
      </c>
      <c r="AO31" s="49">
        <f>INDEX('BalSht Data'!H$1:H$2999,MATCH(AO$1,'BalSht Data'!A$2:A$2051,0)+MATCH(A31,'BalSht Data'!G$2:G$2051,0))</f>
        <v>0</v>
      </c>
      <c r="AP31" s="49" t="e">
        <f>INDEX('BalSht Data'!H$1:H$2999,MATCH(AP$1,'BalSht Data'!A$2:A$2051,0)+MATCH(A31,'BalSht Data'!G$2:G$2051,0))</f>
        <v>#N/A</v>
      </c>
      <c r="AQ31" s="49" t="e">
        <f>INDEX('BalSht Data'!H$1:H$2999,MATCH(AQ$1,'BalSht Data'!A$2:A$2051,0)+MATCH(A31,'BalSht Data'!G$2:G$2051,0))</f>
        <v>#N/A</v>
      </c>
      <c r="AR31" s="49" t="e">
        <f>INDEX('BalSht Data'!H$1:H$2999,MATCH(AR$1,'BalSht Data'!A$2:A$2051,0)+MATCH(A31,'BalSht Data'!G$2:G$2051,0))</f>
        <v>#N/A</v>
      </c>
      <c r="AS31" s="49" t="e">
        <f>INDEX('BalSht Data'!H$1:H$2999,MATCH(AS$1,'BalSht Data'!A$2:A$2051,0)+MATCH(A31,'BalSht Data'!G$2:G$2051,0))</f>
        <v>#N/A</v>
      </c>
      <c r="AT31" s="49" t="e">
        <f>INDEX('BalSht Data'!H$1:H$2999,MATCH(AT$1,'BalSht Data'!A$2:A$2051,0)+MATCH(A31,'BalSht Data'!G$2:G$2051,0))</f>
        <v>#N/A</v>
      </c>
      <c r="AU31" s="49" t="e">
        <f>INDEX('BalSht Data'!H$1:H$2999,MATCH(AU$1,'BalSht Data'!A$2:A$2051,0)+MATCH(A31,'BalSht Data'!G$2:G$2051,0))</f>
        <v>#N/A</v>
      </c>
      <c r="AV31" s="49" t="e">
        <f>INDEX('BalSht Data'!H$1:H$2999,MATCH(AV$1,'BalSht Data'!A$2:A$2051,0)+MATCH(A31,'BalSht Data'!G$2:G$2051,0))</f>
        <v>#N/A</v>
      </c>
      <c r="AW31" s="49" t="e">
        <f>INDEX('BalSht Data'!H$1:H$2999,MATCH(AW$1,'BalSht Data'!A$2:A$2051,0)+MATCH(A31,'BalSht Data'!G$2:G$2051,0))</f>
        <v>#N/A</v>
      </c>
      <c r="AX31" s="49" t="e">
        <f>INDEX('BalSht Data'!H$1:H$2999,MATCH(AX$1,'BalSht Data'!A$2:A$2051,0)+MATCH(A31,'BalSht Data'!G$2:G$2051,0))</f>
        <v>#N/A</v>
      </c>
      <c r="AY31" s="49" t="e">
        <f>INDEX('BalSht Data'!H$1:H$2999,MATCH(AY$1,'BalSht Data'!A$2:A$2051,0)+MATCH(A31,'BalSht Data'!G$2:G$2051,0))</f>
        <v>#N/A</v>
      </c>
      <c r="AZ31" s="49" t="e">
        <f>INDEX('BalSht Data'!H$1:H$2999,MATCH(AZ$1,'BalSht Data'!A$2:A$2051,0)+MATCH(A31,'BalSht Data'!G$2:G$2051,0))</f>
        <v>#N/A</v>
      </c>
      <c r="BA31" s="49" t="e">
        <f>INDEX('BalSht Data'!H$1:H$2999,MATCH(BA$1,'BalSht Data'!A$2:A$2051,0)+MATCH(A31,'BalSht Data'!G$2:G$2051,0))</f>
        <v>#N/A</v>
      </c>
      <c r="BB31" s="49" t="e">
        <f>INDEX('BalSht Data'!H$1:H$2999,MATCH(BB$1,'BalSht Data'!A$2:A$2051,0)+MATCH(A31,'BalSht Data'!G$2:G$2051,0))</f>
        <v>#N/A</v>
      </c>
      <c r="BC31" s="49" t="e">
        <f>INDEX('BalSht Data'!H$1:H$2999,MATCH(BC$1,'BalSht Data'!A$2:A$2051,0)+MATCH(A31,'BalSht Data'!G$2:G$2051,0))</f>
        <v>#N/A</v>
      </c>
      <c r="BD31" s="49" t="e">
        <f>INDEX('BalSht Data'!H$1:H$2999,MATCH(BD$1,'BalSht Data'!A$2:A$2051,0)+MATCH(A31,'BalSht Data'!G$2:G$2051,0))</f>
        <v>#N/A</v>
      </c>
      <c r="BE31" s="49" t="e">
        <f>INDEX('BalSht Data'!H$1:H$2999,MATCH(BE$1,'BalSht Data'!A$2:A$2051,0)+MATCH(A31,'BalSht Data'!G$2:G$2051,0))</f>
        <v>#N/A</v>
      </c>
      <c r="BF31" s="49" t="e">
        <f>INDEX('BalSht Data'!H$1:H$2999,MATCH(BF$1,'BalSht Data'!A$2:A$2051,0)+MATCH(A31,'BalSht Data'!G$2:G$2051,0))</f>
        <v>#N/A</v>
      </c>
      <c r="BG31" s="49" t="e">
        <f>INDEX('BalSht Data'!H$1:H$2999,MATCH(BG$1,'BalSht Data'!A$2:A$2051,0)+MATCH(A31,'BalSht Data'!G$2:G$2051,0))</f>
        <v>#N/A</v>
      </c>
      <c r="BH31" s="49" t="e">
        <f>INDEX('BalSht Data'!H$1:H$2999,MATCH(BH$1,'BalSht Data'!A$2:A$2051,0)+MATCH(A31,'BalSht Data'!G$2:G$2051,0))</f>
        <v>#N/A</v>
      </c>
      <c r="BI31" s="49" t="e">
        <f>INDEX('BalSht Data'!H$1:H$2999,MATCH(BI$1,'BalSht Data'!A$2:A$2051,0)+MATCH(A31,'BalSht Data'!G$2:G$2051,0))</f>
        <v>#N/A</v>
      </c>
      <c r="BJ31" s="49" t="e">
        <f>INDEX('BalSht Data'!H$1:H$2999,MATCH(BJ$1,'BalSht Data'!A$2:A$2051,0)+MATCH(A31,'BalSht Data'!G$2:G$2051,0))</f>
        <v>#N/A</v>
      </c>
      <c r="BK31" s="49" t="e">
        <f>INDEX('BalSht Data'!H$1:H$2999,MATCH(BK$1,'BalSht Data'!A$2:A$2051,0)+MATCH(A31,'BalSht Data'!G$2:G$2051,0))</f>
        <v>#N/A</v>
      </c>
      <c r="BL31" s="49" t="e">
        <f>INDEX('BalSht Data'!H$1:H$2999,MATCH(BL$1,'BalSht Data'!A$2:A$2051,0)+MATCH(A31,'BalSht Data'!G$2:G$2051,0))</f>
        <v>#N/A</v>
      </c>
      <c r="BM31" s="49" t="e">
        <f>INDEX('BalSht Data'!H$1:H$2999,MATCH(BM$1,'BalSht Data'!A$2:A$2051,0)+MATCH(A31,'BalSht Data'!G$2:G$2051,0))</f>
        <v>#N/A</v>
      </c>
      <c r="BN31" s="49" t="e">
        <f>INDEX('BalSht Data'!H$1:H$2999,MATCH(BN$1,'BalSht Data'!A$2:A$2051,0)+MATCH(A31,'BalSht Data'!G$2:G$2051,0))</f>
        <v>#N/A</v>
      </c>
      <c r="BO31" s="49" t="e">
        <f>INDEX('BalSht Data'!H$1:H$2999,MATCH(BO$1,'BalSht Data'!A$2:A$2051,0)+MATCH(A31,'BalSht Data'!G$2:G$2051,0))</f>
        <v>#N/A</v>
      </c>
      <c r="BP31" s="49" t="e">
        <f>INDEX('BalSht Data'!H$1:H$2999,MATCH(BP$1,'BalSht Data'!A$2:A$2051,0)+MATCH(A31,'BalSht Data'!G$2:G$2051,0))</f>
        <v>#N/A</v>
      </c>
      <c r="BQ31" s="49" t="e">
        <f>INDEX('BalSht Data'!H$1:H$2999,MATCH(BQ$1,'BalSht Data'!A$2:A$2051,0)+MATCH(A31,'BalSht Data'!G$2:G$2051,0))</f>
        <v>#N/A</v>
      </c>
      <c r="BR31" s="49" t="e">
        <f>INDEX('BalSht Data'!H$1:H$2999,MATCH(BR$1,'BalSht Data'!A$2:A$2051,0)+MATCH(A31,'BalSht Data'!G$2:G$2051,0))</f>
        <v>#N/A</v>
      </c>
      <c r="BS31" s="49" t="e">
        <f>INDEX('BalSht Data'!H$1:H$2999,MATCH(BS$1,'BalSht Data'!A$2:A$2051,0)+MATCH(A31,'BalSht Data'!G$2:G$2051,0))</f>
        <v>#N/A</v>
      </c>
      <c r="BT31" s="49" t="e">
        <f>INDEX('BalSht Data'!H$1:H$2999,MATCH(BT$1,'BalSht Data'!A$2:A$2051,0)+MATCH(A31,'BalSht Data'!G$2:G$2051,0))</f>
        <v>#N/A</v>
      </c>
      <c r="BU31" s="49" t="e">
        <f>INDEX('BalSht Data'!H$1:H$2999,MATCH(BU$1,'BalSht Data'!A$2:A$2051,0)+MATCH(A31,'BalSht Data'!G$2:G$2051,0))</f>
        <v>#N/A</v>
      </c>
      <c r="BV31" s="49" t="e">
        <f>INDEX('BalSht Data'!H$1:H$2999,MATCH(BV$1,'BalSht Data'!A$2:A$2051,0)+MATCH(A31,'BalSht Data'!G$2:G$2051,0))</f>
        <v>#N/A</v>
      </c>
      <c r="BW31" s="49" t="e">
        <f>INDEX('BalSht Data'!H$1:H$2999,MATCH(BW$1,'BalSht Data'!A$2:A$2051,0)+MATCH(A31,'BalSht Data'!G$2:G$2051,0))</f>
        <v>#N/A</v>
      </c>
      <c r="BX31" s="49" t="e">
        <f>INDEX('BalSht Data'!H$1:H$2999,MATCH(BX$1,'BalSht Data'!A$2:A$2051,0)+MATCH(A31,'BalSht Data'!G$2:G$2051,0))</f>
        <v>#N/A</v>
      </c>
      <c r="BY31" s="49" t="e">
        <f>INDEX('BalSht Data'!H$1:H$2999,MATCH(BY$1,'BalSht Data'!A$2:A$2051,0)+MATCH(A31,'BalSht Data'!G$2:G$2051,0))</f>
        <v>#N/A</v>
      </c>
      <c r="BZ31" s="49" t="e">
        <f>INDEX('BalSht Data'!H$1:H$2999,MATCH(BZ$1,'BalSht Data'!A$2:A$2051,0)+MATCH(A31,'BalSht Data'!G$2:G$2051,0))</f>
        <v>#N/A</v>
      </c>
      <c r="CA31" s="49" t="e">
        <f>INDEX('BalSht Data'!H$1:H$2999,MATCH(CA$1,'BalSht Data'!A$2:A$2051,0)+MATCH(A31,'BalSht Data'!G$2:G$2051,0))</f>
        <v>#N/A</v>
      </c>
      <c r="CB31" s="49" t="e">
        <f>INDEX('BalSht Data'!H$1:H$2999,MATCH(CB$1,'BalSht Data'!A$2:A$2051,0)+MATCH(A31,'BalSht Data'!G$2:G$2051,0))</f>
        <v>#N/A</v>
      </c>
      <c r="CC31" s="49" t="e">
        <f>INDEX('BalSht Data'!H$1:H$2999,MATCH(CC$1,'BalSht Data'!A$2:A$2051,0)+MATCH(A31,'BalSht Data'!G$2:G$2051,0))</f>
        <v>#N/A</v>
      </c>
      <c r="CD31" s="49" t="e">
        <f>INDEX('BalSht Data'!H$1:H$2999,MATCH(CD$1,'BalSht Data'!A$2:A$2051,0)+MATCH(A31,'BalSht Data'!G$2:G$2051,0))</f>
        <v>#N/A</v>
      </c>
      <c r="CE31" s="49" t="e">
        <f>INDEX('BalSht Data'!H$1:H$2999,MATCH(CE$1,'BalSht Data'!A$2:A$2051,0)+MATCH(A31,'BalSht Data'!G$2:G$2051,0))</f>
        <v>#N/A</v>
      </c>
      <c r="CF31" s="49" t="e">
        <f>INDEX('BalSht Data'!H$1:H$2999,MATCH(CF$1,'BalSht Data'!A$2:A$2051,0)+MATCH(A31,'BalSht Data'!G$2:G$2051,0))</f>
        <v>#N/A</v>
      </c>
      <c r="CG31" s="49" t="e">
        <f>INDEX('BalSht Data'!H$1:H$2999,MATCH(CG$1,'BalSht Data'!A$2:A$2051,0)+MATCH(A31,'BalSht Data'!G$2:G$2051,0))</f>
        <v>#N/A</v>
      </c>
      <c r="CH31" s="49" t="e">
        <f>INDEX('BalSht Data'!H$1:H$2999,MATCH(CH$1,'BalSht Data'!A$2:A$2051,0)+MATCH(A31,'BalSht Data'!G$2:G$2051,0))</f>
        <v>#N/A</v>
      </c>
      <c r="CI31" s="49" t="e">
        <f>INDEX('BalSht Data'!H$1:H$2999,MATCH(CI$1,'BalSht Data'!A$2:A$2051,0)+MATCH(A31,'BalSht Data'!G$2:G$2051,0))</f>
        <v>#N/A</v>
      </c>
      <c r="CJ31" s="49" t="e">
        <f>INDEX('BalSht Data'!H$1:H$2999,MATCH(CJ$1,'BalSht Data'!A$2:A$2051,0)+MATCH(A31,'BalSht Data'!G$2:G$2051,0))</f>
        <v>#N/A</v>
      </c>
      <c r="CK31" s="49" t="e">
        <f>INDEX('BalSht Data'!H$1:H$2999,MATCH(CK$1,'BalSht Data'!A$2:A$2051,0)+MATCH(A31,'BalSht Data'!G$2:G$2051,0))</f>
        <v>#N/A</v>
      </c>
      <c r="CL31" s="49" t="e">
        <f>INDEX('BalSht Data'!H$1:H$2999,MATCH(CL$1,'BalSht Data'!A$2:A$2051,0)+MATCH(A31,'BalSht Data'!G$2:G$2051,0))</f>
        <v>#N/A</v>
      </c>
      <c r="CM31" s="49" t="e">
        <f>INDEX('BalSht Data'!H$1:H$2999,MATCH(CM$1,'BalSht Data'!A$2:A$2051,0)+MATCH(A31,'BalSht Data'!G$2:G$2051,0))</f>
        <v>#N/A</v>
      </c>
      <c r="CN31" s="49" t="e">
        <f>INDEX('BalSht Data'!H$1:H$2999,MATCH(CN$1,'BalSht Data'!A$2:A$2051,0)+MATCH(A31,'BalSht Data'!G$2:G$2051,0))</f>
        <v>#N/A</v>
      </c>
      <c r="CO31" s="49" t="e">
        <f>INDEX('BalSht Data'!H$1:H$2999,MATCH(CO$1,'BalSht Data'!A$2:A$2051,0)+MATCH(A31,'BalSht Data'!G$2:G$2051,0))</f>
        <v>#N/A</v>
      </c>
      <c r="CP31" s="49" t="e">
        <f>INDEX('BalSht Data'!H$1:H$2999,MATCH(CP$1,'BalSht Data'!A$2:A$2051,0)+MATCH(A31,'BalSht Data'!G$2:G$2051,0))</f>
        <v>#N/A</v>
      </c>
      <c r="CQ31" s="49" t="e">
        <f>INDEX('BalSht Data'!H$1:H$2999,MATCH(CQ$1,'BalSht Data'!A$2:A$2051,0)+MATCH(A31,'BalSht Data'!G$2:G$2051,0))</f>
        <v>#N/A</v>
      </c>
      <c r="CR31" s="49" t="e">
        <f>INDEX('BalSht Data'!H$1:H$2999,MATCH(CR$1,'BalSht Data'!A$2:A$2051,0)+MATCH(A31,'BalSht Data'!G$2:G$2051,0))</f>
        <v>#N/A</v>
      </c>
      <c r="CS31" s="49" t="e">
        <f>INDEX('BalSht Data'!H$1:H$2999,MATCH(CS$1,'BalSht Data'!A$2:A$2051,0)+MATCH(A31,'BalSht Data'!G$2:G$2051,0))</f>
        <v>#N/A</v>
      </c>
      <c r="CT31" s="49" t="e">
        <f>INDEX('BalSht Data'!H$1:H$2999,MATCH(CT$1,'BalSht Data'!A$2:A$2051,0)+MATCH(A31,'BalSht Data'!G$2:G$2051,0))</f>
        <v>#N/A</v>
      </c>
      <c r="CU31" s="49" t="e">
        <f>INDEX('BalSht Data'!H$1:H$2999,MATCH(CU$1,'BalSht Data'!A$2:A$2051,0)+MATCH(A31,'BalSht Data'!G$2:G$2051,0))</f>
        <v>#N/A</v>
      </c>
      <c r="CV31" s="49" t="e">
        <f>INDEX('BalSht Data'!H$1:H$2999,MATCH(CV$1,'BalSht Data'!A$2:A$2051,0)+MATCH(A31,'BalSht Data'!G$2:G$2051,0))</f>
        <v>#N/A</v>
      </c>
      <c r="CW31" s="49" t="e">
        <f>INDEX('BalSht Data'!H$1:H$2999,MATCH(CW$1,'BalSht Data'!A$2:A$2051,0)+MATCH(A31,'BalSht Data'!G$2:G$2051,0))</f>
        <v>#N/A</v>
      </c>
      <c r="CX31" s="49" t="e">
        <f>INDEX('BalSht Data'!H$1:H$2999,MATCH(CX$1,'BalSht Data'!A$2:A$2051,0)+MATCH(A31,'BalSht Data'!G$2:G$2051,0))</f>
        <v>#N/A</v>
      </c>
      <c r="CY31" s="49" t="e">
        <f>INDEX('BalSht Data'!H$1:H$2999,MATCH(CY$1,'BalSht Data'!A$2:A$2051,0)+MATCH(A31,'BalSht Data'!G$2:G$2051,0))</f>
        <v>#N/A</v>
      </c>
      <c r="CZ31" s="49" t="e">
        <f>INDEX('BalSht Data'!H$1:H$2999,MATCH(CZ$1,'BalSht Data'!A$2:A$2051,0)+MATCH(A31,'BalSht Data'!G$2:G$2051,0))</f>
        <v>#N/A</v>
      </c>
    </row>
    <row r="32" spans="1:104" s="46" customFormat="1" x14ac:dyDescent="0.2">
      <c r="A32" s="5" t="s">
        <v>30</v>
      </c>
      <c r="B32" s="49" t="e">
        <f>INDEX('BalSht Data'!H$1:H$2999,MATCH(B$1,'BalSht Data'!A$2:A$2051,0)+MATCH(A32,'BalSht Data'!G$2:G$2051,0))</f>
        <v>#N/A</v>
      </c>
      <c r="C32" s="49" t="e">
        <f>INDEX('BalSht Data'!H$1:H$2999,MATCH(C$1,'BalSht Data'!A$2:A$2051,0)+MATCH(A32,'BalSht Data'!G$2:G$2051,0))</f>
        <v>#N/A</v>
      </c>
      <c r="D32" s="49" t="e">
        <f>INDEX('BalSht Data'!H$1:H$2999,MATCH(D$1,'BalSht Data'!A$2:A$2051,0)+MATCH(A32,'BalSht Data'!G$2:G$2051,0))</f>
        <v>#N/A</v>
      </c>
      <c r="E32" s="49" t="e">
        <f>INDEX('BalSht Data'!H$1:H$2999,MATCH(E$1,'BalSht Data'!A$2:A$2051,0)+MATCH(A32,'BalSht Data'!G$2:G$2051,0))</f>
        <v>#N/A</v>
      </c>
      <c r="F32" s="49" t="e">
        <f>INDEX('BalSht Data'!H$1:H$2999,MATCH(F$1,'BalSht Data'!A$2:A$2051,0)+MATCH(A32,'BalSht Data'!G$2:G$2051,0))</f>
        <v>#N/A</v>
      </c>
      <c r="G32" s="49" t="e">
        <f>INDEX('BalSht Data'!H$1:H$2999,MATCH(G$1,'BalSht Data'!A$2:A$2051,0)+MATCH(A32,'BalSht Data'!G$2:G$2051,0))</f>
        <v>#N/A</v>
      </c>
      <c r="H32" s="49" t="e">
        <f>INDEX('BalSht Data'!H$1:H$2999,MATCH(H$1,'BalSht Data'!A$2:A$2051,0)+MATCH(A32,'BalSht Data'!G$2:G$2051,0))</f>
        <v>#N/A</v>
      </c>
      <c r="I32" s="49" t="e">
        <f>INDEX('BalSht Data'!H$1:H$2999,MATCH(I$1,'BalSht Data'!A$2:A$2051,0)+MATCH(A32,'BalSht Data'!G$2:G$2051,0))</f>
        <v>#N/A</v>
      </c>
      <c r="J32" s="49" t="e">
        <f>INDEX('BalSht Data'!H$1:H$2999,MATCH(J$1,'BalSht Data'!A$2:A$2051,0)+MATCH(A32,'BalSht Data'!G$2:G$2051,0))</f>
        <v>#N/A</v>
      </c>
      <c r="K32" s="49" t="e">
        <f>INDEX('BalSht Data'!H$1:H$2999,MATCH(K$1,'BalSht Data'!A$2:A$2051,0)+MATCH(A32,'BalSht Data'!G$2:G$2051,0))</f>
        <v>#N/A</v>
      </c>
      <c r="L32" s="49" t="e">
        <f>INDEX('BalSht Data'!H$1:H$2999,MATCH(L$1,'BalSht Data'!A$2:A$2051,0)+MATCH(A32,'BalSht Data'!G$2:G$2051,0))</f>
        <v>#N/A</v>
      </c>
      <c r="M32" s="49" t="e">
        <f>INDEX('BalSht Data'!H$1:H$2999,MATCH(M$1,'BalSht Data'!A$2:A$2051,0)+MATCH(A32,'BalSht Data'!G$2:G$2051,0))</f>
        <v>#N/A</v>
      </c>
      <c r="N32" s="49" t="e">
        <f>INDEX('BalSht Data'!H$1:H$2999,MATCH(N$1,'BalSht Data'!A$2:A$2051,0)+MATCH(A32,'BalSht Data'!G$2:G$2051,0))</f>
        <v>#N/A</v>
      </c>
      <c r="O32" s="49" t="e">
        <f>INDEX('BalSht Data'!H$1:H$2999,MATCH(O$1,'BalSht Data'!A$2:A$2051,0)+MATCH(A32,'BalSht Data'!G$2:G$2051,0))</f>
        <v>#N/A</v>
      </c>
      <c r="P32" s="49" t="e">
        <f>INDEX('BalSht Data'!H$1:H$2999,MATCH(P$1,'BalSht Data'!A$2:A$2051,0)+MATCH(A32,'BalSht Data'!G$2:G$2051,0))</f>
        <v>#N/A</v>
      </c>
      <c r="Q32" s="49" t="e">
        <f>INDEX('BalSht Data'!H$1:H$2999,MATCH(Q$1,'BalSht Data'!A$2:A$2051,0)+MATCH(A32,'BalSht Data'!G$2:G$2051,0))</f>
        <v>#N/A</v>
      </c>
      <c r="R32" s="49" t="e">
        <f>INDEX('BalSht Data'!H$1:H$2999,MATCH(R$1,'BalSht Data'!A$2:A$2051,0)+MATCH(A32,'BalSht Data'!G$2:G$2051,0))</f>
        <v>#N/A</v>
      </c>
      <c r="S32" s="49" t="e">
        <f>INDEX('BalSht Data'!H$1:H$2999,MATCH(S$1,'BalSht Data'!A$2:A$2051,0)+MATCH(A32,'BalSht Data'!G$2:G$2051,0))</f>
        <v>#N/A</v>
      </c>
      <c r="T32" s="49" t="e">
        <f>INDEX('BalSht Data'!H$1:H$2999,MATCH(T$1,'BalSht Data'!A$2:A$2051,0)+MATCH(A32,'BalSht Data'!G$2:G$2051,0))</f>
        <v>#N/A</v>
      </c>
      <c r="U32" s="49" t="e">
        <f>INDEX('BalSht Data'!H$1:H$2999,MATCH(U$1,'BalSht Data'!A$2:A$2051,0)+MATCH(A32,'BalSht Data'!G$2:G$2051,0))</f>
        <v>#N/A</v>
      </c>
      <c r="V32" s="49" t="e">
        <f>INDEX('BalSht Data'!H$1:H$2999,MATCH(V$1,'BalSht Data'!A$2:A$2051,0)+MATCH(A32,'BalSht Data'!G$2:G$2051,0))</f>
        <v>#N/A</v>
      </c>
      <c r="W32" s="49" t="e">
        <f>INDEX('BalSht Data'!H$1:H$2999,MATCH(W$1,'BalSht Data'!A$2:A$2051,0)+MATCH(A32,'BalSht Data'!G$2:G$2051,0))</f>
        <v>#N/A</v>
      </c>
      <c r="X32" s="49" t="e">
        <f>INDEX('BalSht Data'!H$1:H$2999,MATCH(X$1,'BalSht Data'!A$2:A$2051,0)+MATCH(A32,'BalSht Data'!G$2:G$2051,0))</f>
        <v>#N/A</v>
      </c>
      <c r="Y32" s="49" t="e">
        <f>INDEX('BalSht Data'!H$1:H$2999,MATCH(Y$1,'BalSht Data'!A$2:A$2051,0)+MATCH(A32,'BalSht Data'!G$2:G$2051,0))</f>
        <v>#N/A</v>
      </c>
      <c r="Z32" s="49" t="e">
        <f>INDEX('BalSht Data'!H$1:H$2999,MATCH(Z$1,'BalSht Data'!A$2:A$2051,0)+MATCH(A32,'BalSht Data'!G$2:G$2051,0))</f>
        <v>#N/A</v>
      </c>
      <c r="AA32" s="49" t="e">
        <f>INDEX('BalSht Data'!H$1:H$2999,MATCH(AA$1,'BalSht Data'!A$2:A$2051,0)+MATCH(A32,'BalSht Data'!G$2:G$2051,0))</f>
        <v>#N/A</v>
      </c>
      <c r="AB32" s="49" t="e">
        <f>INDEX('BalSht Data'!H$1:H$2999,MATCH(AB$1,'BalSht Data'!A$2:A$2051,0)+MATCH(A32,'BalSht Data'!G$2:G$2051,0))</f>
        <v>#N/A</v>
      </c>
      <c r="AC32" s="49" t="e">
        <f>INDEX('BalSht Data'!H$1:H$2999,MATCH(AC$1,'BalSht Data'!A$2:A$2051,0)+MATCH(A32,'BalSht Data'!G$2:G$2051,0))</f>
        <v>#N/A</v>
      </c>
      <c r="AD32" s="49" t="e">
        <f>INDEX('BalSht Data'!H$1:H$2999,MATCH(AD$1,'BalSht Data'!A$2:A$2051,0)+MATCH(A32,'BalSht Data'!G$2:G$2051,0))</f>
        <v>#N/A</v>
      </c>
      <c r="AE32" s="49" t="e">
        <f>INDEX('BalSht Data'!H$1:H$2999,MATCH(AE$1,'BalSht Data'!A$2:A$2051,0)+MATCH(A32,'BalSht Data'!G$2:G$2051,0))</f>
        <v>#N/A</v>
      </c>
      <c r="AF32" s="49" t="e">
        <f>INDEX('BalSht Data'!H$1:H$2999,MATCH(AF$1,'BalSht Data'!A$2:A$2051,0)+MATCH(A32,'BalSht Data'!G$2:G$2051,0))</f>
        <v>#N/A</v>
      </c>
      <c r="AG32" s="49" t="e">
        <f>INDEX('BalSht Data'!H$1:H$2999,MATCH(AG$1,'BalSht Data'!A$2:A$2051,0)+MATCH(A32,'BalSht Data'!G$2:G$2051,0))</f>
        <v>#N/A</v>
      </c>
      <c r="AH32" s="49" t="e">
        <f>INDEX('BalSht Data'!H$1:H$2999,MATCH(AH$1,'BalSht Data'!A$2:A$2051,0)+MATCH(A32,'BalSht Data'!G$2:G$2051,0))</f>
        <v>#N/A</v>
      </c>
      <c r="AI32" s="49" t="e">
        <f>INDEX('BalSht Data'!H$1:H$2999,MATCH(AI$1,'BalSht Data'!A$2:A$2051,0)+MATCH(A32,'BalSht Data'!G$2:G$2051,0))</f>
        <v>#N/A</v>
      </c>
      <c r="AJ32" s="49" t="e">
        <f>INDEX('BalSht Data'!H$1:H$2999,MATCH(AJ$1,'BalSht Data'!A$2:A$2051,0)+MATCH(A32,'BalSht Data'!G$2:G$2051,0))</f>
        <v>#N/A</v>
      </c>
      <c r="AK32" s="49" t="e">
        <f>INDEX('BalSht Data'!H$1:H$2999,MATCH(AK$1,'BalSht Data'!A$2:A$2051,0)+MATCH(A32,'BalSht Data'!G$2:G$2051,0))</f>
        <v>#N/A</v>
      </c>
      <c r="AL32" s="49">
        <f>INDEX('BalSht Data'!H$1:H$2999,MATCH(AL$1,'BalSht Data'!A$2:A$2051,0)+MATCH(A32,'BalSht Data'!G$2:G$2051,0))</f>
        <v>0</v>
      </c>
      <c r="AM32" s="49">
        <f>INDEX('BalSht Data'!H$1:H$2999,MATCH(AM$1,'BalSht Data'!A$2:A$2051,0)+MATCH(A32,'BalSht Data'!G$2:G$2051,0))</f>
        <v>0</v>
      </c>
      <c r="AN32" s="49">
        <f>INDEX('BalSht Data'!H$1:H$2999,MATCH(AN$1,'BalSht Data'!A$2:A$2051,0)+MATCH(A32,'BalSht Data'!G$2:G$2051,0))</f>
        <v>0</v>
      </c>
      <c r="AO32" s="49">
        <f>INDEX('BalSht Data'!H$1:H$2999,MATCH(AO$1,'BalSht Data'!A$2:A$2051,0)+MATCH(A32,'BalSht Data'!G$2:G$2051,0))</f>
        <v>0</v>
      </c>
      <c r="AP32" s="49" t="e">
        <f>INDEX('BalSht Data'!H$1:H$2999,MATCH(AP$1,'BalSht Data'!A$2:A$2051,0)+MATCH(A32,'BalSht Data'!G$2:G$2051,0))</f>
        <v>#N/A</v>
      </c>
      <c r="AQ32" s="49" t="e">
        <f>INDEX('BalSht Data'!H$1:H$2999,MATCH(AQ$1,'BalSht Data'!A$2:A$2051,0)+MATCH(A32,'BalSht Data'!G$2:G$2051,0))</f>
        <v>#N/A</v>
      </c>
      <c r="AR32" s="49" t="e">
        <f>INDEX('BalSht Data'!H$1:H$2999,MATCH(AR$1,'BalSht Data'!A$2:A$2051,0)+MATCH(A32,'BalSht Data'!G$2:G$2051,0))</f>
        <v>#N/A</v>
      </c>
      <c r="AS32" s="49" t="e">
        <f>INDEX('BalSht Data'!H$1:H$2999,MATCH(AS$1,'BalSht Data'!A$2:A$2051,0)+MATCH(A32,'BalSht Data'!G$2:G$2051,0))</f>
        <v>#N/A</v>
      </c>
      <c r="AT32" s="49" t="e">
        <f>INDEX('BalSht Data'!H$1:H$2999,MATCH(AT$1,'BalSht Data'!A$2:A$2051,0)+MATCH(A32,'BalSht Data'!G$2:G$2051,0))</f>
        <v>#N/A</v>
      </c>
      <c r="AU32" s="49" t="e">
        <f>INDEX('BalSht Data'!H$1:H$2999,MATCH(AU$1,'BalSht Data'!A$2:A$2051,0)+MATCH(A32,'BalSht Data'!G$2:G$2051,0))</f>
        <v>#N/A</v>
      </c>
      <c r="AV32" s="49" t="e">
        <f>INDEX('BalSht Data'!H$1:H$2999,MATCH(AV$1,'BalSht Data'!A$2:A$2051,0)+MATCH(A32,'BalSht Data'!G$2:G$2051,0))</f>
        <v>#N/A</v>
      </c>
      <c r="AW32" s="49" t="e">
        <f>INDEX('BalSht Data'!H$1:H$2999,MATCH(AW$1,'BalSht Data'!A$2:A$2051,0)+MATCH(A32,'BalSht Data'!G$2:G$2051,0))</f>
        <v>#N/A</v>
      </c>
      <c r="AX32" s="49" t="e">
        <f>INDEX('BalSht Data'!H$1:H$2999,MATCH(AX$1,'BalSht Data'!A$2:A$2051,0)+MATCH(A32,'BalSht Data'!G$2:G$2051,0))</f>
        <v>#N/A</v>
      </c>
      <c r="AY32" s="49" t="e">
        <f>INDEX('BalSht Data'!H$1:H$2999,MATCH(AY$1,'BalSht Data'!A$2:A$2051,0)+MATCH(A32,'BalSht Data'!G$2:G$2051,0))</f>
        <v>#N/A</v>
      </c>
      <c r="AZ32" s="49" t="e">
        <f>INDEX('BalSht Data'!H$1:H$2999,MATCH(AZ$1,'BalSht Data'!A$2:A$2051,0)+MATCH(A32,'BalSht Data'!G$2:G$2051,0))</f>
        <v>#N/A</v>
      </c>
      <c r="BA32" s="49" t="e">
        <f>INDEX('BalSht Data'!H$1:H$2999,MATCH(BA$1,'BalSht Data'!A$2:A$2051,0)+MATCH(A32,'BalSht Data'!G$2:G$2051,0))</f>
        <v>#N/A</v>
      </c>
      <c r="BB32" s="49" t="e">
        <f>INDEX('BalSht Data'!H$1:H$2999,MATCH(BB$1,'BalSht Data'!A$2:A$2051,0)+MATCH(A32,'BalSht Data'!G$2:G$2051,0))</f>
        <v>#N/A</v>
      </c>
      <c r="BC32" s="49" t="e">
        <f>INDEX('BalSht Data'!H$1:H$2999,MATCH(BC$1,'BalSht Data'!A$2:A$2051,0)+MATCH(A32,'BalSht Data'!G$2:G$2051,0))</f>
        <v>#N/A</v>
      </c>
      <c r="BD32" s="49" t="e">
        <f>INDEX('BalSht Data'!H$1:H$2999,MATCH(BD$1,'BalSht Data'!A$2:A$2051,0)+MATCH(A32,'BalSht Data'!G$2:G$2051,0))</f>
        <v>#N/A</v>
      </c>
      <c r="BE32" s="49" t="e">
        <f>INDEX('BalSht Data'!H$1:H$2999,MATCH(BE$1,'BalSht Data'!A$2:A$2051,0)+MATCH(A32,'BalSht Data'!G$2:G$2051,0))</f>
        <v>#N/A</v>
      </c>
      <c r="BF32" s="49" t="e">
        <f>INDEX('BalSht Data'!H$1:H$2999,MATCH(BF$1,'BalSht Data'!A$2:A$2051,0)+MATCH(A32,'BalSht Data'!G$2:G$2051,0))</f>
        <v>#N/A</v>
      </c>
      <c r="BG32" s="49" t="e">
        <f>INDEX('BalSht Data'!H$1:H$2999,MATCH(BG$1,'BalSht Data'!A$2:A$2051,0)+MATCH(A32,'BalSht Data'!G$2:G$2051,0))</f>
        <v>#N/A</v>
      </c>
      <c r="BH32" s="49" t="e">
        <f>INDEX('BalSht Data'!H$1:H$2999,MATCH(BH$1,'BalSht Data'!A$2:A$2051,0)+MATCH(A32,'BalSht Data'!G$2:G$2051,0))</f>
        <v>#N/A</v>
      </c>
      <c r="BI32" s="49" t="e">
        <f>INDEX('BalSht Data'!H$1:H$2999,MATCH(BI$1,'BalSht Data'!A$2:A$2051,0)+MATCH(A32,'BalSht Data'!G$2:G$2051,0))</f>
        <v>#N/A</v>
      </c>
      <c r="BJ32" s="49" t="e">
        <f>INDEX('BalSht Data'!H$1:H$2999,MATCH(BJ$1,'BalSht Data'!A$2:A$2051,0)+MATCH(A32,'BalSht Data'!G$2:G$2051,0))</f>
        <v>#N/A</v>
      </c>
      <c r="BK32" s="49" t="e">
        <f>INDEX('BalSht Data'!H$1:H$2999,MATCH(BK$1,'BalSht Data'!A$2:A$2051,0)+MATCH(A32,'BalSht Data'!G$2:G$2051,0))</f>
        <v>#N/A</v>
      </c>
      <c r="BL32" s="49" t="e">
        <f>INDEX('BalSht Data'!H$1:H$2999,MATCH(BL$1,'BalSht Data'!A$2:A$2051,0)+MATCH(A32,'BalSht Data'!G$2:G$2051,0))</f>
        <v>#N/A</v>
      </c>
      <c r="BM32" s="49" t="e">
        <f>INDEX('BalSht Data'!H$1:H$2999,MATCH(BM$1,'BalSht Data'!A$2:A$2051,0)+MATCH(A32,'BalSht Data'!G$2:G$2051,0))</f>
        <v>#N/A</v>
      </c>
      <c r="BN32" s="49" t="e">
        <f>INDEX('BalSht Data'!H$1:H$2999,MATCH(BN$1,'BalSht Data'!A$2:A$2051,0)+MATCH(A32,'BalSht Data'!G$2:G$2051,0))</f>
        <v>#N/A</v>
      </c>
      <c r="BO32" s="49" t="e">
        <f>INDEX('BalSht Data'!H$1:H$2999,MATCH(BO$1,'BalSht Data'!A$2:A$2051,0)+MATCH(A32,'BalSht Data'!G$2:G$2051,0))</f>
        <v>#N/A</v>
      </c>
      <c r="BP32" s="49" t="e">
        <f>INDEX('BalSht Data'!H$1:H$2999,MATCH(BP$1,'BalSht Data'!A$2:A$2051,0)+MATCH(A32,'BalSht Data'!G$2:G$2051,0))</f>
        <v>#N/A</v>
      </c>
      <c r="BQ32" s="49" t="e">
        <f>INDEX('BalSht Data'!H$1:H$2999,MATCH(BQ$1,'BalSht Data'!A$2:A$2051,0)+MATCH(A32,'BalSht Data'!G$2:G$2051,0))</f>
        <v>#N/A</v>
      </c>
      <c r="BR32" s="49" t="e">
        <f>INDEX('BalSht Data'!H$1:H$2999,MATCH(BR$1,'BalSht Data'!A$2:A$2051,0)+MATCH(A32,'BalSht Data'!G$2:G$2051,0))</f>
        <v>#N/A</v>
      </c>
      <c r="BS32" s="49" t="e">
        <f>INDEX('BalSht Data'!H$1:H$2999,MATCH(BS$1,'BalSht Data'!A$2:A$2051,0)+MATCH(A32,'BalSht Data'!G$2:G$2051,0))</f>
        <v>#N/A</v>
      </c>
      <c r="BT32" s="49" t="e">
        <f>INDEX('BalSht Data'!H$1:H$2999,MATCH(BT$1,'BalSht Data'!A$2:A$2051,0)+MATCH(A32,'BalSht Data'!G$2:G$2051,0))</f>
        <v>#N/A</v>
      </c>
      <c r="BU32" s="49" t="e">
        <f>INDEX('BalSht Data'!H$1:H$2999,MATCH(BU$1,'BalSht Data'!A$2:A$2051,0)+MATCH(A32,'BalSht Data'!G$2:G$2051,0))</f>
        <v>#N/A</v>
      </c>
      <c r="BV32" s="49" t="e">
        <f>INDEX('BalSht Data'!H$1:H$2999,MATCH(BV$1,'BalSht Data'!A$2:A$2051,0)+MATCH(A32,'BalSht Data'!G$2:G$2051,0))</f>
        <v>#N/A</v>
      </c>
      <c r="BW32" s="49" t="e">
        <f>INDEX('BalSht Data'!H$1:H$2999,MATCH(BW$1,'BalSht Data'!A$2:A$2051,0)+MATCH(A32,'BalSht Data'!G$2:G$2051,0))</f>
        <v>#N/A</v>
      </c>
      <c r="BX32" s="49" t="e">
        <f>INDEX('BalSht Data'!H$1:H$2999,MATCH(BX$1,'BalSht Data'!A$2:A$2051,0)+MATCH(A32,'BalSht Data'!G$2:G$2051,0))</f>
        <v>#N/A</v>
      </c>
      <c r="BY32" s="49" t="e">
        <f>INDEX('BalSht Data'!H$1:H$2999,MATCH(BY$1,'BalSht Data'!A$2:A$2051,0)+MATCH(A32,'BalSht Data'!G$2:G$2051,0))</f>
        <v>#N/A</v>
      </c>
      <c r="BZ32" s="49" t="e">
        <f>INDEX('BalSht Data'!H$1:H$2999,MATCH(BZ$1,'BalSht Data'!A$2:A$2051,0)+MATCH(A32,'BalSht Data'!G$2:G$2051,0))</f>
        <v>#N/A</v>
      </c>
      <c r="CA32" s="49" t="e">
        <f>INDEX('BalSht Data'!H$1:H$2999,MATCH(CA$1,'BalSht Data'!A$2:A$2051,0)+MATCH(A32,'BalSht Data'!G$2:G$2051,0))</f>
        <v>#N/A</v>
      </c>
      <c r="CB32" s="49" t="e">
        <f>INDEX('BalSht Data'!H$1:H$2999,MATCH(CB$1,'BalSht Data'!A$2:A$2051,0)+MATCH(A32,'BalSht Data'!G$2:G$2051,0))</f>
        <v>#N/A</v>
      </c>
      <c r="CC32" s="49" t="e">
        <f>INDEX('BalSht Data'!H$1:H$2999,MATCH(CC$1,'BalSht Data'!A$2:A$2051,0)+MATCH(A32,'BalSht Data'!G$2:G$2051,0))</f>
        <v>#N/A</v>
      </c>
      <c r="CD32" s="49" t="e">
        <f>INDEX('BalSht Data'!H$1:H$2999,MATCH(CD$1,'BalSht Data'!A$2:A$2051,0)+MATCH(A32,'BalSht Data'!G$2:G$2051,0))</f>
        <v>#N/A</v>
      </c>
      <c r="CE32" s="49" t="e">
        <f>INDEX('BalSht Data'!H$1:H$2999,MATCH(CE$1,'BalSht Data'!A$2:A$2051,0)+MATCH(A32,'BalSht Data'!G$2:G$2051,0))</f>
        <v>#N/A</v>
      </c>
      <c r="CF32" s="49" t="e">
        <f>INDEX('BalSht Data'!H$1:H$2999,MATCH(CF$1,'BalSht Data'!A$2:A$2051,0)+MATCH(A32,'BalSht Data'!G$2:G$2051,0))</f>
        <v>#N/A</v>
      </c>
      <c r="CG32" s="49" t="e">
        <f>INDEX('BalSht Data'!H$1:H$2999,MATCH(CG$1,'BalSht Data'!A$2:A$2051,0)+MATCH(A32,'BalSht Data'!G$2:G$2051,0))</f>
        <v>#N/A</v>
      </c>
      <c r="CH32" s="49" t="e">
        <f>INDEX('BalSht Data'!H$1:H$2999,MATCH(CH$1,'BalSht Data'!A$2:A$2051,0)+MATCH(A32,'BalSht Data'!G$2:G$2051,0))</f>
        <v>#N/A</v>
      </c>
      <c r="CI32" s="49" t="e">
        <f>INDEX('BalSht Data'!H$1:H$2999,MATCH(CI$1,'BalSht Data'!A$2:A$2051,0)+MATCH(A32,'BalSht Data'!G$2:G$2051,0))</f>
        <v>#N/A</v>
      </c>
      <c r="CJ32" s="49" t="e">
        <f>INDEX('BalSht Data'!H$1:H$2999,MATCH(CJ$1,'BalSht Data'!A$2:A$2051,0)+MATCH(A32,'BalSht Data'!G$2:G$2051,0))</f>
        <v>#N/A</v>
      </c>
      <c r="CK32" s="49" t="e">
        <f>INDEX('BalSht Data'!H$1:H$2999,MATCH(CK$1,'BalSht Data'!A$2:A$2051,0)+MATCH(A32,'BalSht Data'!G$2:G$2051,0))</f>
        <v>#N/A</v>
      </c>
      <c r="CL32" s="49" t="e">
        <f>INDEX('BalSht Data'!H$1:H$2999,MATCH(CL$1,'BalSht Data'!A$2:A$2051,0)+MATCH(A32,'BalSht Data'!G$2:G$2051,0))</f>
        <v>#N/A</v>
      </c>
      <c r="CM32" s="49" t="e">
        <f>INDEX('BalSht Data'!H$1:H$2999,MATCH(CM$1,'BalSht Data'!A$2:A$2051,0)+MATCH(A32,'BalSht Data'!G$2:G$2051,0))</f>
        <v>#N/A</v>
      </c>
      <c r="CN32" s="49" t="e">
        <f>INDEX('BalSht Data'!H$1:H$2999,MATCH(CN$1,'BalSht Data'!A$2:A$2051,0)+MATCH(A32,'BalSht Data'!G$2:G$2051,0))</f>
        <v>#N/A</v>
      </c>
      <c r="CO32" s="49" t="e">
        <f>INDEX('BalSht Data'!H$1:H$2999,MATCH(CO$1,'BalSht Data'!A$2:A$2051,0)+MATCH(A32,'BalSht Data'!G$2:G$2051,0))</f>
        <v>#N/A</v>
      </c>
      <c r="CP32" s="49" t="e">
        <f>INDEX('BalSht Data'!H$1:H$2999,MATCH(CP$1,'BalSht Data'!A$2:A$2051,0)+MATCH(A32,'BalSht Data'!G$2:G$2051,0))</f>
        <v>#N/A</v>
      </c>
      <c r="CQ32" s="49" t="e">
        <f>INDEX('BalSht Data'!H$1:H$2999,MATCH(CQ$1,'BalSht Data'!A$2:A$2051,0)+MATCH(A32,'BalSht Data'!G$2:G$2051,0))</f>
        <v>#N/A</v>
      </c>
      <c r="CR32" s="49" t="e">
        <f>INDEX('BalSht Data'!H$1:H$2999,MATCH(CR$1,'BalSht Data'!A$2:A$2051,0)+MATCH(A32,'BalSht Data'!G$2:G$2051,0))</f>
        <v>#N/A</v>
      </c>
      <c r="CS32" s="49" t="e">
        <f>INDEX('BalSht Data'!H$1:H$2999,MATCH(CS$1,'BalSht Data'!A$2:A$2051,0)+MATCH(A32,'BalSht Data'!G$2:G$2051,0))</f>
        <v>#N/A</v>
      </c>
      <c r="CT32" s="49" t="e">
        <f>INDEX('BalSht Data'!H$1:H$2999,MATCH(CT$1,'BalSht Data'!A$2:A$2051,0)+MATCH(A32,'BalSht Data'!G$2:G$2051,0))</f>
        <v>#N/A</v>
      </c>
      <c r="CU32" s="49" t="e">
        <f>INDEX('BalSht Data'!H$1:H$2999,MATCH(CU$1,'BalSht Data'!A$2:A$2051,0)+MATCH(A32,'BalSht Data'!G$2:G$2051,0))</f>
        <v>#N/A</v>
      </c>
      <c r="CV32" s="49" t="e">
        <f>INDEX('BalSht Data'!H$1:H$2999,MATCH(CV$1,'BalSht Data'!A$2:A$2051,0)+MATCH(A32,'BalSht Data'!G$2:G$2051,0))</f>
        <v>#N/A</v>
      </c>
      <c r="CW32" s="49" t="e">
        <f>INDEX('BalSht Data'!H$1:H$2999,MATCH(CW$1,'BalSht Data'!A$2:A$2051,0)+MATCH(A32,'BalSht Data'!G$2:G$2051,0))</f>
        <v>#N/A</v>
      </c>
      <c r="CX32" s="49" t="e">
        <f>INDEX('BalSht Data'!H$1:H$2999,MATCH(CX$1,'BalSht Data'!A$2:A$2051,0)+MATCH(A32,'BalSht Data'!G$2:G$2051,0))</f>
        <v>#N/A</v>
      </c>
      <c r="CY32" s="49" t="e">
        <f>INDEX('BalSht Data'!H$1:H$2999,MATCH(CY$1,'BalSht Data'!A$2:A$2051,0)+MATCH(A32,'BalSht Data'!G$2:G$2051,0))</f>
        <v>#N/A</v>
      </c>
      <c r="CZ32" s="49" t="e">
        <f>INDEX('BalSht Data'!H$1:H$2999,MATCH(CZ$1,'BalSht Data'!A$2:A$2051,0)+MATCH(A32,'BalSht Data'!G$2:G$2051,0))</f>
        <v>#N/A</v>
      </c>
    </row>
    <row r="33" spans="1:104" s="46" customFormat="1" x14ac:dyDescent="0.2">
      <c r="A33" s="5" t="s">
        <v>31</v>
      </c>
      <c r="B33" s="49" t="e">
        <f>INDEX('BalSht Data'!H$1:H$2999,MATCH(B$1,'BalSht Data'!A$2:A$2051,0)+MATCH(A33,'BalSht Data'!G$2:G$2051,0))</f>
        <v>#N/A</v>
      </c>
      <c r="C33" s="49" t="e">
        <f>INDEX('BalSht Data'!H$1:H$2999,MATCH(C$1,'BalSht Data'!A$2:A$2051,0)+MATCH(A33,'BalSht Data'!G$2:G$2051,0))</f>
        <v>#N/A</v>
      </c>
      <c r="D33" s="49" t="e">
        <f>INDEX('BalSht Data'!H$1:H$2999,MATCH(D$1,'BalSht Data'!A$2:A$2051,0)+MATCH(A33,'BalSht Data'!G$2:G$2051,0))</f>
        <v>#N/A</v>
      </c>
      <c r="E33" s="49" t="e">
        <f>INDEX('BalSht Data'!H$1:H$2999,MATCH(E$1,'BalSht Data'!A$2:A$2051,0)+MATCH(A33,'BalSht Data'!G$2:G$2051,0))</f>
        <v>#N/A</v>
      </c>
      <c r="F33" s="49" t="e">
        <f>INDEX('BalSht Data'!H$1:H$2999,MATCH(F$1,'BalSht Data'!A$2:A$2051,0)+MATCH(A33,'BalSht Data'!G$2:G$2051,0))</f>
        <v>#N/A</v>
      </c>
      <c r="G33" s="49" t="e">
        <f>INDEX('BalSht Data'!H$1:H$2999,MATCH(G$1,'BalSht Data'!A$2:A$2051,0)+MATCH(A33,'BalSht Data'!G$2:G$2051,0))</f>
        <v>#N/A</v>
      </c>
      <c r="H33" s="49" t="e">
        <f>INDEX('BalSht Data'!H$1:H$2999,MATCH(H$1,'BalSht Data'!A$2:A$2051,0)+MATCH(A33,'BalSht Data'!G$2:G$2051,0))</f>
        <v>#N/A</v>
      </c>
      <c r="I33" s="49" t="e">
        <f>INDEX('BalSht Data'!H$1:H$2999,MATCH(I$1,'BalSht Data'!A$2:A$2051,0)+MATCH(A33,'BalSht Data'!G$2:G$2051,0))</f>
        <v>#N/A</v>
      </c>
      <c r="J33" s="49" t="e">
        <f>INDEX('BalSht Data'!H$1:H$2999,MATCH(J$1,'BalSht Data'!A$2:A$2051,0)+MATCH(A33,'BalSht Data'!G$2:G$2051,0))</f>
        <v>#N/A</v>
      </c>
      <c r="K33" s="49" t="e">
        <f>INDEX('BalSht Data'!H$1:H$2999,MATCH(K$1,'BalSht Data'!A$2:A$2051,0)+MATCH(A33,'BalSht Data'!G$2:G$2051,0))</f>
        <v>#N/A</v>
      </c>
      <c r="L33" s="49" t="e">
        <f>INDEX('BalSht Data'!H$1:H$2999,MATCH(L$1,'BalSht Data'!A$2:A$2051,0)+MATCH(A33,'BalSht Data'!G$2:G$2051,0))</f>
        <v>#N/A</v>
      </c>
      <c r="M33" s="49" t="e">
        <f>INDEX('BalSht Data'!H$1:H$2999,MATCH(M$1,'BalSht Data'!A$2:A$2051,0)+MATCH(A33,'BalSht Data'!G$2:G$2051,0))</f>
        <v>#N/A</v>
      </c>
      <c r="N33" s="49" t="e">
        <f>INDEX('BalSht Data'!H$1:H$2999,MATCH(N$1,'BalSht Data'!A$2:A$2051,0)+MATCH(A33,'BalSht Data'!G$2:G$2051,0))</f>
        <v>#N/A</v>
      </c>
      <c r="O33" s="49" t="e">
        <f>INDEX('BalSht Data'!H$1:H$2999,MATCH(O$1,'BalSht Data'!A$2:A$2051,0)+MATCH(A33,'BalSht Data'!G$2:G$2051,0))</f>
        <v>#N/A</v>
      </c>
      <c r="P33" s="49" t="e">
        <f>INDEX('BalSht Data'!H$1:H$2999,MATCH(P$1,'BalSht Data'!A$2:A$2051,0)+MATCH(A33,'BalSht Data'!G$2:G$2051,0))</f>
        <v>#N/A</v>
      </c>
      <c r="Q33" s="49" t="e">
        <f>INDEX('BalSht Data'!H$1:H$2999,MATCH(Q$1,'BalSht Data'!A$2:A$2051,0)+MATCH(A33,'BalSht Data'!G$2:G$2051,0))</f>
        <v>#N/A</v>
      </c>
      <c r="R33" s="49" t="e">
        <f>INDEX('BalSht Data'!H$1:H$2999,MATCH(R$1,'BalSht Data'!A$2:A$2051,0)+MATCH(A33,'BalSht Data'!G$2:G$2051,0))</f>
        <v>#N/A</v>
      </c>
      <c r="S33" s="49" t="e">
        <f>INDEX('BalSht Data'!H$1:H$2999,MATCH(S$1,'BalSht Data'!A$2:A$2051,0)+MATCH(A33,'BalSht Data'!G$2:G$2051,0))</f>
        <v>#N/A</v>
      </c>
      <c r="T33" s="49" t="e">
        <f>INDEX('BalSht Data'!H$1:H$2999,MATCH(T$1,'BalSht Data'!A$2:A$2051,0)+MATCH(A33,'BalSht Data'!G$2:G$2051,0))</f>
        <v>#N/A</v>
      </c>
      <c r="U33" s="49" t="e">
        <f>INDEX('BalSht Data'!H$1:H$2999,MATCH(U$1,'BalSht Data'!A$2:A$2051,0)+MATCH(A33,'BalSht Data'!G$2:G$2051,0))</f>
        <v>#N/A</v>
      </c>
      <c r="V33" s="49" t="e">
        <f>INDEX('BalSht Data'!H$1:H$2999,MATCH(V$1,'BalSht Data'!A$2:A$2051,0)+MATCH(A33,'BalSht Data'!G$2:G$2051,0))</f>
        <v>#N/A</v>
      </c>
      <c r="W33" s="49" t="e">
        <f>INDEX('BalSht Data'!H$1:H$2999,MATCH(W$1,'BalSht Data'!A$2:A$2051,0)+MATCH(A33,'BalSht Data'!G$2:G$2051,0))</f>
        <v>#N/A</v>
      </c>
      <c r="X33" s="49" t="e">
        <f>INDEX('BalSht Data'!H$1:H$2999,MATCH(X$1,'BalSht Data'!A$2:A$2051,0)+MATCH(A33,'BalSht Data'!G$2:G$2051,0))</f>
        <v>#N/A</v>
      </c>
      <c r="Y33" s="49" t="e">
        <f>INDEX('BalSht Data'!H$1:H$2999,MATCH(Y$1,'BalSht Data'!A$2:A$2051,0)+MATCH(A33,'BalSht Data'!G$2:G$2051,0))</f>
        <v>#N/A</v>
      </c>
      <c r="Z33" s="49" t="e">
        <f>INDEX('BalSht Data'!H$1:H$2999,MATCH(Z$1,'BalSht Data'!A$2:A$2051,0)+MATCH(A33,'BalSht Data'!G$2:G$2051,0))</f>
        <v>#N/A</v>
      </c>
      <c r="AA33" s="49" t="e">
        <f>INDEX('BalSht Data'!H$1:H$2999,MATCH(AA$1,'BalSht Data'!A$2:A$2051,0)+MATCH(A33,'BalSht Data'!G$2:G$2051,0))</f>
        <v>#N/A</v>
      </c>
      <c r="AB33" s="49" t="e">
        <f>INDEX('BalSht Data'!H$1:H$2999,MATCH(AB$1,'BalSht Data'!A$2:A$2051,0)+MATCH(A33,'BalSht Data'!G$2:G$2051,0))</f>
        <v>#N/A</v>
      </c>
      <c r="AC33" s="49" t="e">
        <f>INDEX('BalSht Data'!H$1:H$2999,MATCH(AC$1,'BalSht Data'!A$2:A$2051,0)+MATCH(A33,'BalSht Data'!G$2:G$2051,0))</f>
        <v>#N/A</v>
      </c>
      <c r="AD33" s="49" t="e">
        <f>INDEX('BalSht Data'!H$1:H$2999,MATCH(AD$1,'BalSht Data'!A$2:A$2051,0)+MATCH(A33,'BalSht Data'!G$2:G$2051,0))</f>
        <v>#N/A</v>
      </c>
      <c r="AE33" s="49" t="e">
        <f>INDEX('BalSht Data'!H$1:H$2999,MATCH(AE$1,'BalSht Data'!A$2:A$2051,0)+MATCH(A33,'BalSht Data'!G$2:G$2051,0))</f>
        <v>#N/A</v>
      </c>
      <c r="AF33" s="49" t="e">
        <f>INDEX('BalSht Data'!H$1:H$2999,MATCH(AF$1,'BalSht Data'!A$2:A$2051,0)+MATCH(A33,'BalSht Data'!G$2:G$2051,0))</f>
        <v>#N/A</v>
      </c>
      <c r="AG33" s="49" t="e">
        <f>INDEX('BalSht Data'!H$1:H$2999,MATCH(AG$1,'BalSht Data'!A$2:A$2051,0)+MATCH(A33,'BalSht Data'!G$2:G$2051,0))</f>
        <v>#N/A</v>
      </c>
      <c r="AH33" s="49" t="e">
        <f>INDEX('BalSht Data'!H$1:H$2999,MATCH(AH$1,'BalSht Data'!A$2:A$2051,0)+MATCH(A33,'BalSht Data'!G$2:G$2051,0))</f>
        <v>#N/A</v>
      </c>
      <c r="AI33" s="49" t="e">
        <f>INDEX('BalSht Data'!H$1:H$2999,MATCH(AI$1,'BalSht Data'!A$2:A$2051,0)+MATCH(A33,'BalSht Data'!G$2:G$2051,0))</f>
        <v>#N/A</v>
      </c>
      <c r="AJ33" s="49" t="e">
        <f>INDEX('BalSht Data'!H$1:H$2999,MATCH(AJ$1,'BalSht Data'!A$2:A$2051,0)+MATCH(A33,'BalSht Data'!G$2:G$2051,0))</f>
        <v>#N/A</v>
      </c>
      <c r="AK33" s="49" t="e">
        <f>INDEX('BalSht Data'!H$1:H$2999,MATCH(AK$1,'BalSht Data'!A$2:A$2051,0)+MATCH(A33,'BalSht Data'!G$2:G$2051,0))</f>
        <v>#N/A</v>
      </c>
      <c r="AL33" s="49">
        <f>INDEX('BalSht Data'!H$1:H$2999,MATCH(AL$1,'BalSht Data'!A$2:A$2051,0)+MATCH(A33,'BalSht Data'!G$2:G$2051,0))</f>
        <v>0</v>
      </c>
      <c r="AM33" s="49">
        <f>INDEX('BalSht Data'!H$1:H$2999,MATCH(AM$1,'BalSht Data'!A$2:A$2051,0)+MATCH(A33,'BalSht Data'!G$2:G$2051,0))</f>
        <v>0</v>
      </c>
      <c r="AN33" s="49">
        <f>INDEX('BalSht Data'!H$1:H$2999,MATCH(AN$1,'BalSht Data'!A$2:A$2051,0)+MATCH(A33,'BalSht Data'!G$2:G$2051,0))</f>
        <v>0</v>
      </c>
      <c r="AO33" s="49">
        <f>INDEX('BalSht Data'!H$1:H$2999,MATCH(AO$1,'BalSht Data'!A$2:A$2051,0)+MATCH(A33,'BalSht Data'!G$2:G$2051,0))</f>
        <v>0</v>
      </c>
      <c r="AP33" s="49" t="e">
        <f>INDEX('BalSht Data'!H$1:H$2999,MATCH(AP$1,'BalSht Data'!A$2:A$2051,0)+MATCH(A33,'BalSht Data'!G$2:G$2051,0))</f>
        <v>#N/A</v>
      </c>
      <c r="AQ33" s="49" t="e">
        <f>INDEX('BalSht Data'!H$1:H$2999,MATCH(AQ$1,'BalSht Data'!A$2:A$2051,0)+MATCH(A33,'BalSht Data'!G$2:G$2051,0))</f>
        <v>#N/A</v>
      </c>
      <c r="AR33" s="49" t="e">
        <f>INDEX('BalSht Data'!H$1:H$2999,MATCH(AR$1,'BalSht Data'!A$2:A$2051,0)+MATCH(A33,'BalSht Data'!G$2:G$2051,0))</f>
        <v>#N/A</v>
      </c>
      <c r="AS33" s="49" t="e">
        <f>INDEX('BalSht Data'!H$1:H$2999,MATCH(AS$1,'BalSht Data'!A$2:A$2051,0)+MATCH(A33,'BalSht Data'!G$2:G$2051,0))</f>
        <v>#N/A</v>
      </c>
      <c r="AT33" s="49" t="e">
        <f>INDEX('BalSht Data'!H$1:H$2999,MATCH(AT$1,'BalSht Data'!A$2:A$2051,0)+MATCH(A33,'BalSht Data'!G$2:G$2051,0))</f>
        <v>#N/A</v>
      </c>
      <c r="AU33" s="49" t="e">
        <f>INDEX('BalSht Data'!H$1:H$2999,MATCH(AU$1,'BalSht Data'!A$2:A$2051,0)+MATCH(A33,'BalSht Data'!G$2:G$2051,0))</f>
        <v>#N/A</v>
      </c>
      <c r="AV33" s="49" t="e">
        <f>INDEX('BalSht Data'!H$1:H$2999,MATCH(AV$1,'BalSht Data'!A$2:A$2051,0)+MATCH(A33,'BalSht Data'!G$2:G$2051,0))</f>
        <v>#N/A</v>
      </c>
      <c r="AW33" s="49" t="e">
        <f>INDEX('BalSht Data'!H$1:H$2999,MATCH(AW$1,'BalSht Data'!A$2:A$2051,0)+MATCH(A33,'BalSht Data'!G$2:G$2051,0))</f>
        <v>#N/A</v>
      </c>
      <c r="AX33" s="49" t="e">
        <f>INDEX('BalSht Data'!H$1:H$2999,MATCH(AX$1,'BalSht Data'!A$2:A$2051,0)+MATCH(A33,'BalSht Data'!G$2:G$2051,0))</f>
        <v>#N/A</v>
      </c>
      <c r="AY33" s="49" t="e">
        <f>INDEX('BalSht Data'!H$1:H$2999,MATCH(AY$1,'BalSht Data'!A$2:A$2051,0)+MATCH(A33,'BalSht Data'!G$2:G$2051,0))</f>
        <v>#N/A</v>
      </c>
      <c r="AZ33" s="49" t="e">
        <f>INDEX('BalSht Data'!H$1:H$2999,MATCH(AZ$1,'BalSht Data'!A$2:A$2051,0)+MATCH(A33,'BalSht Data'!G$2:G$2051,0))</f>
        <v>#N/A</v>
      </c>
      <c r="BA33" s="49" t="e">
        <f>INDEX('BalSht Data'!H$1:H$2999,MATCH(BA$1,'BalSht Data'!A$2:A$2051,0)+MATCH(A33,'BalSht Data'!G$2:G$2051,0))</f>
        <v>#N/A</v>
      </c>
      <c r="BB33" s="49" t="e">
        <f>INDEX('BalSht Data'!H$1:H$2999,MATCH(BB$1,'BalSht Data'!A$2:A$2051,0)+MATCH(A33,'BalSht Data'!G$2:G$2051,0))</f>
        <v>#N/A</v>
      </c>
      <c r="BC33" s="49" t="e">
        <f>INDEX('BalSht Data'!H$1:H$2999,MATCH(BC$1,'BalSht Data'!A$2:A$2051,0)+MATCH(A33,'BalSht Data'!G$2:G$2051,0))</f>
        <v>#N/A</v>
      </c>
      <c r="BD33" s="49" t="e">
        <f>INDEX('BalSht Data'!H$1:H$2999,MATCH(BD$1,'BalSht Data'!A$2:A$2051,0)+MATCH(A33,'BalSht Data'!G$2:G$2051,0))</f>
        <v>#N/A</v>
      </c>
      <c r="BE33" s="49" t="e">
        <f>INDEX('BalSht Data'!H$1:H$2999,MATCH(BE$1,'BalSht Data'!A$2:A$2051,0)+MATCH(A33,'BalSht Data'!G$2:G$2051,0))</f>
        <v>#N/A</v>
      </c>
      <c r="BF33" s="49" t="e">
        <f>INDEX('BalSht Data'!H$1:H$2999,MATCH(BF$1,'BalSht Data'!A$2:A$2051,0)+MATCH(A33,'BalSht Data'!G$2:G$2051,0))</f>
        <v>#N/A</v>
      </c>
      <c r="BG33" s="49" t="e">
        <f>INDEX('BalSht Data'!H$1:H$2999,MATCH(BG$1,'BalSht Data'!A$2:A$2051,0)+MATCH(A33,'BalSht Data'!G$2:G$2051,0))</f>
        <v>#N/A</v>
      </c>
      <c r="BH33" s="49" t="e">
        <f>INDEX('BalSht Data'!H$1:H$2999,MATCH(BH$1,'BalSht Data'!A$2:A$2051,0)+MATCH(A33,'BalSht Data'!G$2:G$2051,0))</f>
        <v>#N/A</v>
      </c>
      <c r="BI33" s="49" t="e">
        <f>INDEX('BalSht Data'!H$1:H$2999,MATCH(BI$1,'BalSht Data'!A$2:A$2051,0)+MATCH(A33,'BalSht Data'!G$2:G$2051,0))</f>
        <v>#N/A</v>
      </c>
      <c r="BJ33" s="49" t="e">
        <f>INDEX('BalSht Data'!H$1:H$2999,MATCH(BJ$1,'BalSht Data'!A$2:A$2051,0)+MATCH(A33,'BalSht Data'!G$2:G$2051,0))</f>
        <v>#N/A</v>
      </c>
      <c r="BK33" s="49" t="e">
        <f>INDEX('BalSht Data'!H$1:H$2999,MATCH(BK$1,'BalSht Data'!A$2:A$2051,0)+MATCH(A33,'BalSht Data'!G$2:G$2051,0))</f>
        <v>#N/A</v>
      </c>
      <c r="BL33" s="49" t="e">
        <f>INDEX('BalSht Data'!H$1:H$2999,MATCH(BL$1,'BalSht Data'!A$2:A$2051,0)+MATCH(A33,'BalSht Data'!G$2:G$2051,0))</f>
        <v>#N/A</v>
      </c>
      <c r="BM33" s="49" t="e">
        <f>INDEX('BalSht Data'!H$1:H$2999,MATCH(BM$1,'BalSht Data'!A$2:A$2051,0)+MATCH(A33,'BalSht Data'!G$2:G$2051,0))</f>
        <v>#N/A</v>
      </c>
      <c r="BN33" s="49" t="e">
        <f>INDEX('BalSht Data'!H$1:H$2999,MATCH(BN$1,'BalSht Data'!A$2:A$2051,0)+MATCH(A33,'BalSht Data'!G$2:G$2051,0))</f>
        <v>#N/A</v>
      </c>
      <c r="BO33" s="49" t="e">
        <f>INDEX('BalSht Data'!H$1:H$2999,MATCH(BO$1,'BalSht Data'!A$2:A$2051,0)+MATCH(A33,'BalSht Data'!G$2:G$2051,0))</f>
        <v>#N/A</v>
      </c>
      <c r="BP33" s="49" t="e">
        <f>INDEX('BalSht Data'!H$1:H$2999,MATCH(BP$1,'BalSht Data'!A$2:A$2051,0)+MATCH(A33,'BalSht Data'!G$2:G$2051,0))</f>
        <v>#N/A</v>
      </c>
      <c r="BQ33" s="49" t="e">
        <f>INDEX('BalSht Data'!H$1:H$2999,MATCH(BQ$1,'BalSht Data'!A$2:A$2051,0)+MATCH(A33,'BalSht Data'!G$2:G$2051,0))</f>
        <v>#N/A</v>
      </c>
      <c r="BR33" s="49" t="e">
        <f>INDEX('BalSht Data'!H$1:H$2999,MATCH(BR$1,'BalSht Data'!A$2:A$2051,0)+MATCH(A33,'BalSht Data'!G$2:G$2051,0))</f>
        <v>#N/A</v>
      </c>
      <c r="BS33" s="49" t="e">
        <f>INDEX('BalSht Data'!H$1:H$2999,MATCH(BS$1,'BalSht Data'!A$2:A$2051,0)+MATCH(A33,'BalSht Data'!G$2:G$2051,0))</f>
        <v>#N/A</v>
      </c>
      <c r="BT33" s="49" t="e">
        <f>INDEX('BalSht Data'!H$1:H$2999,MATCH(BT$1,'BalSht Data'!A$2:A$2051,0)+MATCH(A33,'BalSht Data'!G$2:G$2051,0))</f>
        <v>#N/A</v>
      </c>
      <c r="BU33" s="49" t="e">
        <f>INDEX('BalSht Data'!H$1:H$2999,MATCH(BU$1,'BalSht Data'!A$2:A$2051,0)+MATCH(A33,'BalSht Data'!G$2:G$2051,0))</f>
        <v>#N/A</v>
      </c>
      <c r="BV33" s="49" t="e">
        <f>INDEX('BalSht Data'!H$1:H$2999,MATCH(BV$1,'BalSht Data'!A$2:A$2051,0)+MATCH(A33,'BalSht Data'!G$2:G$2051,0))</f>
        <v>#N/A</v>
      </c>
      <c r="BW33" s="49" t="e">
        <f>INDEX('BalSht Data'!H$1:H$2999,MATCH(BW$1,'BalSht Data'!A$2:A$2051,0)+MATCH(A33,'BalSht Data'!G$2:G$2051,0))</f>
        <v>#N/A</v>
      </c>
      <c r="BX33" s="49" t="e">
        <f>INDEX('BalSht Data'!H$1:H$2999,MATCH(BX$1,'BalSht Data'!A$2:A$2051,0)+MATCH(A33,'BalSht Data'!G$2:G$2051,0))</f>
        <v>#N/A</v>
      </c>
      <c r="BY33" s="49" t="e">
        <f>INDEX('BalSht Data'!H$1:H$2999,MATCH(BY$1,'BalSht Data'!A$2:A$2051,0)+MATCH(A33,'BalSht Data'!G$2:G$2051,0))</f>
        <v>#N/A</v>
      </c>
      <c r="BZ33" s="49" t="e">
        <f>INDEX('BalSht Data'!H$1:H$2999,MATCH(BZ$1,'BalSht Data'!A$2:A$2051,0)+MATCH(A33,'BalSht Data'!G$2:G$2051,0))</f>
        <v>#N/A</v>
      </c>
      <c r="CA33" s="49" t="e">
        <f>INDEX('BalSht Data'!H$1:H$2999,MATCH(CA$1,'BalSht Data'!A$2:A$2051,0)+MATCH(A33,'BalSht Data'!G$2:G$2051,0))</f>
        <v>#N/A</v>
      </c>
      <c r="CB33" s="49" t="e">
        <f>INDEX('BalSht Data'!H$1:H$2999,MATCH(CB$1,'BalSht Data'!A$2:A$2051,0)+MATCH(A33,'BalSht Data'!G$2:G$2051,0))</f>
        <v>#N/A</v>
      </c>
      <c r="CC33" s="49" t="e">
        <f>INDEX('BalSht Data'!H$1:H$2999,MATCH(CC$1,'BalSht Data'!A$2:A$2051,0)+MATCH(A33,'BalSht Data'!G$2:G$2051,0))</f>
        <v>#N/A</v>
      </c>
      <c r="CD33" s="49" t="e">
        <f>INDEX('BalSht Data'!H$1:H$2999,MATCH(CD$1,'BalSht Data'!A$2:A$2051,0)+MATCH(A33,'BalSht Data'!G$2:G$2051,0))</f>
        <v>#N/A</v>
      </c>
      <c r="CE33" s="49" t="e">
        <f>INDEX('BalSht Data'!H$1:H$2999,MATCH(CE$1,'BalSht Data'!A$2:A$2051,0)+MATCH(A33,'BalSht Data'!G$2:G$2051,0))</f>
        <v>#N/A</v>
      </c>
      <c r="CF33" s="49" t="e">
        <f>INDEX('BalSht Data'!H$1:H$2999,MATCH(CF$1,'BalSht Data'!A$2:A$2051,0)+MATCH(A33,'BalSht Data'!G$2:G$2051,0))</f>
        <v>#N/A</v>
      </c>
      <c r="CG33" s="49" t="e">
        <f>INDEX('BalSht Data'!H$1:H$2999,MATCH(CG$1,'BalSht Data'!A$2:A$2051,0)+MATCH(A33,'BalSht Data'!G$2:G$2051,0))</f>
        <v>#N/A</v>
      </c>
      <c r="CH33" s="49" t="e">
        <f>INDEX('BalSht Data'!H$1:H$2999,MATCH(CH$1,'BalSht Data'!A$2:A$2051,0)+MATCH(A33,'BalSht Data'!G$2:G$2051,0))</f>
        <v>#N/A</v>
      </c>
      <c r="CI33" s="49" t="e">
        <f>INDEX('BalSht Data'!H$1:H$2999,MATCH(CI$1,'BalSht Data'!A$2:A$2051,0)+MATCH(A33,'BalSht Data'!G$2:G$2051,0))</f>
        <v>#N/A</v>
      </c>
      <c r="CJ33" s="49" t="e">
        <f>INDEX('BalSht Data'!H$1:H$2999,MATCH(CJ$1,'BalSht Data'!A$2:A$2051,0)+MATCH(A33,'BalSht Data'!G$2:G$2051,0))</f>
        <v>#N/A</v>
      </c>
      <c r="CK33" s="49" t="e">
        <f>INDEX('BalSht Data'!H$1:H$2999,MATCH(CK$1,'BalSht Data'!A$2:A$2051,0)+MATCH(A33,'BalSht Data'!G$2:G$2051,0))</f>
        <v>#N/A</v>
      </c>
      <c r="CL33" s="49" t="e">
        <f>INDEX('BalSht Data'!H$1:H$2999,MATCH(CL$1,'BalSht Data'!A$2:A$2051,0)+MATCH(A33,'BalSht Data'!G$2:G$2051,0))</f>
        <v>#N/A</v>
      </c>
      <c r="CM33" s="49" t="e">
        <f>INDEX('BalSht Data'!H$1:H$2999,MATCH(CM$1,'BalSht Data'!A$2:A$2051,0)+MATCH(A33,'BalSht Data'!G$2:G$2051,0))</f>
        <v>#N/A</v>
      </c>
      <c r="CN33" s="49" t="e">
        <f>INDEX('BalSht Data'!H$1:H$2999,MATCH(CN$1,'BalSht Data'!A$2:A$2051,0)+MATCH(A33,'BalSht Data'!G$2:G$2051,0))</f>
        <v>#N/A</v>
      </c>
      <c r="CO33" s="49" t="e">
        <f>INDEX('BalSht Data'!H$1:H$2999,MATCH(CO$1,'BalSht Data'!A$2:A$2051,0)+MATCH(A33,'BalSht Data'!G$2:G$2051,0))</f>
        <v>#N/A</v>
      </c>
      <c r="CP33" s="49" t="e">
        <f>INDEX('BalSht Data'!H$1:H$2999,MATCH(CP$1,'BalSht Data'!A$2:A$2051,0)+MATCH(A33,'BalSht Data'!G$2:G$2051,0))</f>
        <v>#N/A</v>
      </c>
      <c r="CQ33" s="49" t="e">
        <f>INDEX('BalSht Data'!H$1:H$2999,MATCH(CQ$1,'BalSht Data'!A$2:A$2051,0)+MATCH(A33,'BalSht Data'!G$2:G$2051,0))</f>
        <v>#N/A</v>
      </c>
      <c r="CR33" s="49" t="e">
        <f>INDEX('BalSht Data'!H$1:H$2999,MATCH(CR$1,'BalSht Data'!A$2:A$2051,0)+MATCH(A33,'BalSht Data'!G$2:G$2051,0))</f>
        <v>#N/A</v>
      </c>
      <c r="CS33" s="49" t="e">
        <f>INDEX('BalSht Data'!H$1:H$2999,MATCH(CS$1,'BalSht Data'!A$2:A$2051,0)+MATCH(A33,'BalSht Data'!G$2:G$2051,0))</f>
        <v>#N/A</v>
      </c>
      <c r="CT33" s="49" t="e">
        <f>INDEX('BalSht Data'!H$1:H$2999,MATCH(CT$1,'BalSht Data'!A$2:A$2051,0)+MATCH(A33,'BalSht Data'!G$2:G$2051,0))</f>
        <v>#N/A</v>
      </c>
      <c r="CU33" s="49" t="e">
        <f>INDEX('BalSht Data'!H$1:H$2999,MATCH(CU$1,'BalSht Data'!A$2:A$2051,0)+MATCH(A33,'BalSht Data'!G$2:G$2051,0))</f>
        <v>#N/A</v>
      </c>
      <c r="CV33" s="49" t="e">
        <f>INDEX('BalSht Data'!H$1:H$2999,MATCH(CV$1,'BalSht Data'!A$2:A$2051,0)+MATCH(A33,'BalSht Data'!G$2:G$2051,0))</f>
        <v>#N/A</v>
      </c>
      <c r="CW33" s="49" t="e">
        <f>INDEX('BalSht Data'!H$1:H$2999,MATCH(CW$1,'BalSht Data'!A$2:A$2051,0)+MATCH(A33,'BalSht Data'!G$2:G$2051,0))</f>
        <v>#N/A</v>
      </c>
      <c r="CX33" s="49" t="e">
        <f>INDEX('BalSht Data'!H$1:H$2999,MATCH(CX$1,'BalSht Data'!A$2:A$2051,0)+MATCH(A33,'BalSht Data'!G$2:G$2051,0))</f>
        <v>#N/A</v>
      </c>
      <c r="CY33" s="49" t="e">
        <f>INDEX('BalSht Data'!H$1:H$2999,MATCH(CY$1,'BalSht Data'!A$2:A$2051,0)+MATCH(A33,'BalSht Data'!G$2:G$2051,0))</f>
        <v>#N/A</v>
      </c>
      <c r="CZ33" s="49" t="e">
        <f>INDEX('BalSht Data'!H$1:H$2999,MATCH(CZ$1,'BalSht Data'!A$2:A$2051,0)+MATCH(A33,'BalSht Data'!G$2:G$2051,0))</f>
        <v>#N/A</v>
      </c>
    </row>
    <row r="34" spans="1:104" s="46" customFormat="1" x14ac:dyDescent="0.2">
      <c r="A34" s="5" t="s">
        <v>32</v>
      </c>
      <c r="B34" s="49" t="e">
        <f>INDEX('BalSht Data'!H$1:H$2999,MATCH(B$1,'BalSht Data'!A$2:A$2051,0)+MATCH(A34,'BalSht Data'!G$2:G$2051,0))</f>
        <v>#N/A</v>
      </c>
      <c r="C34" s="49" t="e">
        <f>INDEX('BalSht Data'!H$1:H$2999,MATCH(C$1,'BalSht Data'!A$2:A$2051,0)+MATCH(A34,'BalSht Data'!G$2:G$2051,0))</f>
        <v>#N/A</v>
      </c>
      <c r="D34" s="49" t="e">
        <f>INDEX('BalSht Data'!H$1:H$2999,MATCH(D$1,'BalSht Data'!A$2:A$2051,0)+MATCH(A34,'BalSht Data'!G$2:G$2051,0))</f>
        <v>#N/A</v>
      </c>
      <c r="E34" s="49" t="e">
        <f>INDEX('BalSht Data'!H$1:H$2999,MATCH(E$1,'BalSht Data'!A$2:A$2051,0)+MATCH(A34,'BalSht Data'!G$2:G$2051,0))</f>
        <v>#N/A</v>
      </c>
      <c r="F34" s="49" t="e">
        <f>INDEX('BalSht Data'!H$1:H$2999,MATCH(F$1,'BalSht Data'!A$2:A$2051,0)+MATCH(A34,'BalSht Data'!G$2:G$2051,0))</f>
        <v>#N/A</v>
      </c>
      <c r="G34" s="49" t="e">
        <f>INDEX('BalSht Data'!H$1:H$2999,MATCH(G$1,'BalSht Data'!A$2:A$2051,0)+MATCH(A34,'BalSht Data'!G$2:G$2051,0))</f>
        <v>#N/A</v>
      </c>
      <c r="H34" s="49" t="e">
        <f>INDEX('BalSht Data'!H$1:H$2999,MATCH(H$1,'BalSht Data'!A$2:A$2051,0)+MATCH(A34,'BalSht Data'!G$2:G$2051,0))</f>
        <v>#N/A</v>
      </c>
      <c r="I34" s="49" t="e">
        <f>INDEX('BalSht Data'!H$1:H$2999,MATCH(I$1,'BalSht Data'!A$2:A$2051,0)+MATCH(A34,'BalSht Data'!G$2:G$2051,0))</f>
        <v>#N/A</v>
      </c>
      <c r="J34" s="49" t="e">
        <f>INDEX('BalSht Data'!H$1:H$2999,MATCH(J$1,'BalSht Data'!A$2:A$2051,0)+MATCH(A34,'BalSht Data'!G$2:G$2051,0))</f>
        <v>#N/A</v>
      </c>
      <c r="K34" s="49" t="e">
        <f>INDEX('BalSht Data'!H$1:H$2999,MATCH(K$1,'BalSht Data'!A$2:A$2051,0)+MATCH(A34,'BalSht Data'!G$2:G$2051,0))</f>
        <v>#N/A</v>
      </c>
      <c r="L34" s="49" t="e">
        <f>INDEX('BalSht Data'!H$1:H$2999,MATCH(L$1,'BalSht Data'!A$2:A$2051,0)+MATCH(A34,'BalSht Data'!G$2:G$2051,0))</f>
        <v>#N/A</v>
      </c>
      <c r="M34" s="49" t="e">
        <f>INDEX('BalSht Data'!H$1:H$2999,MATCH(M$1,'BalSht Data'!A$2:A$2051,0)+MATCH(A34,'BalSht Data'!G$2:G$2051,0))</f>
        <v>#N/A</v>
      </c>
      <c r="N34" s="49" t="e">
        <f>INDEX('BalSht Data'!H$1:H$2999,MATCH(N$1,'BalSht Data'!A$2:A$2051,0)+MATCH(A34,'BalSht Data'!G$2:G$2051,0))</f>
        <v>#N/A</v>
      </c>
      <c r="O34" s="49" t="e">
        <f>INDEX('BalSht Data'!H$1:H$2999,MATCH(O$1,'BalSht Data'!A$2:A$2051,0)+MATCH(A34,'BalSht Data'!G$2:G$2051,0))</f>
        <v>#N/A</v>
      </c>
      <c r="P34" s="49" t="e">
        <f>INDEX('BalSht Data'!H$1:H$2999,MATCH(P$1,'BalSht Data'!A$2:A$2051,0)+MATCH(A34,'BalSht Data'!G$2:G$2051,0))</f>
        <v>#N/A</v>
      </c>
      <c r="Q34" s="49" t="e">
        <f>INDEX('BalSht Data'!H$1:H$2999,MATCH(Q$1,'BalSht Data'!A$2:A$2051,0)+MATCH(A34,'BalSht Data'!G$2:G$2051,0))</f>
        <v>#N/A</v>
      </c>
      <c r="R34" s="49" t="e">
        <f>INDEX('BalSht Data'!H$1:H$2999,MATCH(R$1,'BalSht Data'!A$2:A$2051,0)+MATCH(A34,'BalSht Data'!G$2:G$2051,0))</f>
        <v>#N/A</v>
      </c>
      <c r="S34" s="49" t="e">
        <f>INDEX('BalSht Data'!H$1:H$2999,MATCH(S$1,'BalSht Data'!A$2:A$2051,0)+MATCH(A34,'BalSht Data'!G$2:G$2051,0))</f>
        <v>#N/A</v>
      </c>
      <c r="T34" s="49" t="e">
        <f>INDEX('BalSht Data'!H$1:H$2999,MATCH(T$1,'BalSht Data'!A$2:A$2051,0)+MATCH(A34,'BalSht Data'!G$2:G$2051,0))</f>
        <v>#N/A</v>
      </c>
      <c r="U34" s="49" t="e">
        <f>INDEX('BalSht Data'!H$1:H$2999,MATCH(U$1,'BalSht Data'!A$2:A$2051,0)+MATCH(A34,'BalSht Data'!G$2:G$2051,0))</f>
        <v>#N/A</v>
      </c>
      <c r="V34" s="49" t="e">
        <f>INDEX('BalSht Data'!H$1:H$2999,MATCH(V$1,'BalSht Data'!A$2:A$2051,0)+MATCH(A34,'BalSht Data'!G$2:G$2051,0))</f>
        <v>#N/A</v>
      </c>
      <c r="W34" s="49" t="e">
        <f>INDEX('BalSht Data'!H$1:H$2999,MATCH(W$1,'BalSht Data'!A$2:A$2051,0)+MATCH(A34,'BalSht Data'!G$2:G$2051,0))</f>
        <v>#N/A</v>
      </c>
      <c r="X34" s="49" t="e">
        <f>INDEX('BalSht Data'!H$1:H$2999,MATCH(X$1,'BalSht Data'!A$2:A$2051,0)+MATCH(A34,'BalSht Data'!G$2:G$2051,0))</f>
        <v>#N/A</v>
      </c>
      <c r="Y34" s="49" t="e">
        <f>INDEX('BalSht Data'!H$1:H$2999,MATCH(Y$1,'BalSht Data'!A$2:A$2051,0)+MATCH(A34,'BalSht Data'!G$2:G$2051,0))</f>
        <v>#N/A</v>
      </c>
      <c r="Z34" s="49" t="e">
        <f>INDEX('BalSht Data'!H$1:H$2999,MATCH(Z$1,'BalSht Data'!A$2:A$2051,0)+MATCH(A34,'BalSht Data'!G$2:G$2051,0))</f>
        <v>#N/A</v>
      </c>
      <c r="AA34" s="49" t="e">
        <f>INDEX('BalSht Data'!H$1:H$2999,MATCH(AA$1,'BalSht Data'!A$2:A$2051,0)+MATCH(A34,'BalSht Data'!G$2:G$2051,0))</f>
        <v>#N/A</v>
      </c>
      <c r="AB34" s="49" t="e">
        <f>INDEX('BalSht Data'!H$1:H$2999,MATCH(AB$1,'BalSht Data'!A$2:A$2051,0)+MATCH(A34,'BalSht Data'!G$2:G$2051,0))</f>
        <v>#N/A</v>
      </c>
      <c r="AC34" s="49" t="e">
        <f>INDEX('BalSht Data'!H$1:H$2999,MATCH(AC$1,'BalSht Data'!A$2:A$2051,0)+MATCH(A34,'BalSht Data'!G$2:G$2051,0))</f>
        <v>#N/A</v>
      </c>
      <c r="AD34" s="49" t="e">
        <f>INDEX('BalSht Data'!H$1:H$2999,MATCH(AD$1,'BalSht Data'!A$2:A$2051,0)+MATCH(A34,'BalSht Data'!G$2:G$2051,0))</f>
        <v>#N/A</v>
      </c>
      <c r="AE34" s="49" t="e">
        <f>INDEX('BalSht Data'!H$1:H$2999,MATCH(AE$1,'BalSht Data'!A$2:A$2051,0)+MATCH(A34,'BalSht Data'!G$2:G$2051,0))</f>
        <v>#N/A</v>
      </c>
      <c r="AF34" s="49" t="e">
        <f>INDEX('BalSht Data'!H$1:H$2999,MATCH(AF$1,'BalSht Data'!A$2:A$2051,0)+MATCH(A34,'BalSht Data'!G$2:G$2051,0))</f>
        <v>#N/A</v>
      </c>
      <c r="AG34" s="49" t="e">
        <f>INDEX('BalSht Data'!H$1:H$2999,MATCH(AG$1,'BalSht Data'!A$2:A$2051,0)+MATCH(A34,'BalSht Data'!G$2:G$2051,0))</f>
        <v>#N/A</v>
      </c>
      <c r="AH34" s="49" t="e">
        <f>INDEX('BalSht Data'!H$1:H$2999,MATCH(AH$1,'BalSht Data'!A$2:A$2051,0)+MATCH(A34,'BalSht Data'!G$2:G$2051,0))</f>
        <v>#N/A</v>
      </c>
      <c r="AI34" s="49" t="e">
        <f>INDEX('BalSht Data'!H$1:H$2999,MATCH(AI$1,'BalSht Data'!A$2:A$2051,0)+MATCH(A34,'BalSht Data'!G$2:G$2051,0))</f>
        <v>#N/A</v>
      </c>
      <c r="AJ34" s="49" t="e">
        <f>INDEX('BalSht Data'!H$1:H$2999,MATCH(AJ$1,'BalSht Data'!A$2:A$2051,0)+MATCH(A34,'BalSht Data'!G$2:G$2051,0))</f>
        <v>#N/A</v>
      </c>
      <c r="AK34" s="49" t="e">
        <f>INDEX('BalSht Data'!H$1:H$2999,MATCH(AK$1,'BalSht Data'!A$2:A$2051,0)+MATCH(A34,'BalSht Data'!G$2:G$2051,0))</f>
        <v>#N/A</v>
      </c>
      <c r="AL34" s="49">
        <f>INDEX('BalSht Data'!H$1:H$2999,MATCH(AL$1,'BalSht Data'!A$2:A$2051,0)+MATCH(A34,'BalSht Data'!G$2:G$2051,0))</f>
        <v>0</v>
      </c>
      <c r="AM34" s="49">
        <f>INDEX('BalSht Data'!H$1:H$2999,MATCH(AM$1,'BalSht Data'!A$2:A$2051,0)+MATCH(A34,'BalSht Data'!G$2:G$2051,0))</f>
        <v>0</v>
      </c>
      <c r="AN34" s="49">
        <f>INDEX('BalSht Data'!H$1:H$2999,MATCH(AN$1,'BalSht Data'!A$2:A$2051,0)+MATCH(A34,'BalSht Data'!G$2:G$2051,0))</f>
        <v>0</v>
      </c>
      <c r="AO34" s="49">
        <f>INDEX('BalSht Data'!H$1:H$2999,MATCH(AO$1,'BalSht Data'!A$2:A$2051,0)+MATCH(A34,'BalSht Data'!G$2:G$2051,0))</f>
        <v>0</v>
      </c>
      <c r="AP34" s="49" t="e">
        <f>INDEX('BalSht Data'!H$1:H$2999,MATCH(AP$1,'BalSht Data'!A$2:A$2051,0)+MATCH(A34,'BalSht Data'!G$2:G$2051,0))</f>
        <v>#N/A</v>
      </c>
      <c r="AQ34" s="49" t="e">
        <f>INDEX('BalSht Data'!H$1:H$2999,MATCH(AQ$1,'BalSht Data'!A$2:A$2051,0)+MATCH(A34,'BalSht Data'!G$2:G$2051,0))</f>
        <v>#N/A</v>
      </c>
      <c r="AR34" s="49" t="e">
        <f>INDEX('BalSht Data'!H$1:H$2999,MATCH(AR$1,'BalSht Data'!A$2:A$2051,0)+MATCH(A34,'BalSht Data'!G$2:G$2051,0))</f>
        <v>#N/A</v>
      </c>
      <c r="AS34" s="49" t="e">
        <f>INDEX('BalSht Data'!H$1:H$2999,MATCH(AS$1,'BalSht Data'!A$2:A$2051,0)+MATCH(A34,'BalSht Data'!G$2:G$2051,0))</f>
        <v>#N/A</v>
      </c>
      <c r="AT34" s="49" t="e">
        <f>INDEX('BalSht Data'!H$1:H$2999,MATCH(AT$1,'BalSht Data'!A$2:A$2051,0)+MATCH(A34,'BalSht Data'!G$2:G$2051,0))</f>
        <v>#N/A</v>
      </c>
      <c r="AU34" s="49" t="e">
        <f>INDEX('BalSht Data'!H$1:H$2999,MATCH(AU$1,'BalSht Data'!A$2:A$2051,0)+MATCH(A34,'BalSht Data'!G$2:G$2051,0))</f>
        <v>#N/A</v>
      </c>
      <c r="AV34" s="49" t="e">
        <f>INDEX('BalSht Data'!H$1:H$2999,MATCH(AV$1,'BalSht Data'!A$2:A$2051,0)+MATCH(A34,'BalSht Data'!G$2:G$2051,0))</f>
        <v>#N/A</v>
      </c>
      <c r="AW34" s="49" t="e">
        <f>INDEX('BalSht Data'!H$1:H$2999,MATCH(AW$1,'BalSht Data'!A$2:A$2051,0)+MATCH(A34,'BalSht Data'!G$2:G$2051,0))</f>
        <v>#N/A</v>
      </c>
      <c r="AX34" s="49" t="e">
        <f>INDEX('BalSht Data'!H$1:H$2999,MATCH(AX$1,'BalSht Data'!A$2:A$2051,0)+MATCH(A34,'BalSht Data'!G$2:G$2051,0))</f>
        <v>#N/A</v>
      </c>
      <c r="AY34" s="49" t="e">
        <f>INDEX('BalSht Data'!H$1:H$2999,MATCH(AY$1,'BalSht Data'!A$2:A$2051,0)+MATCH(A34,'BalSht Data'!G$2:G$2051,0))</f>
        <v>#N/A</v>
      </c>
      <c r="AZ34" s="49" t="e">
        <f>INDEX('BalSht Data'!H$1:H$2999,MATCH(AZ$1,'BalSht Data'!A$2:A$2051,0)+MATCH(A34,'BalSht Data'!G$2:G$2051,0))</f>
        <v>#N/A</v>
      </c>
      <c r="BA34" s="49" t="e">
        <f>INDEX('BalSht Data'!H$1:H$2999,MATCH(BA$1,'BalSht Data'!A$2:A$2051,0)+MATCH(A34,'BalSht Data'!G$2:G$2051,0))</f>
        <v>#N/A</v>
      </c>
      <c r="BB34" s="49" t="e">
        <f>INDEX('BalSht Data'!H$1:H$2999,MATCH(BB$1,'BalSht Data'!A$2:A$2051,0)+MATCH(A34,'BalSht Data'!G$2:G$2051,0))</f>
        <v>#N/A</v>
      </c>
      <c r="BC34" s="49" t="e">
        <f>INDEX('BalSht Data'!H$1:H$2999,MATCH(BC$1,'BalSht Data'!A$2:A$2051,0)+MATCH(A34,'BalSht Data'!G$2:G$2051,0))</f>
        <v>#N/A</v>
      </c>
      <c r="BD34" s="49" t="e">
        <f>INDEX('BalSht Data'!H$1:H$2999,MATCH(BD$1,'BalSht Data'!A$2:A$2051,0)+MATCH(A34,'BalSht Data'!G$2:G$2051,0))</f>
        <v>#N/A</v>
      </c>
      <c r="BE34" s="49" t="e">
        <f>INDEX('BalSht Data'!H$1:H$2999,MATCH(BE$1,'BalSht Data'!A$2:A$2051,0)+MATCH(A34,'BalSht Data'!G$2:G$2051,0))</f>
        <v>#N/A</v>
      </c>
      <c r="BF34" s="49" t="e">
        <f>INDEX('BalSht Data'!H$1:H$2999,MATCH(BF$1,'BalSht Data'!A$2:A$2051,0)+MATCH(A34,'BalSht Data'!G$2:G$2051,0))</f>
        <v>#N/A</v>
      </c>
      <c r="BG34" s="49" t="e">
        <f>INDEX('BalSht Data'!H$1:H$2999,MATCH(BG$1,'BalSht Data'!A$2:A$2051,0)+MATCH(A34,'BalSht Data'!G$2:G$2051,0))</f>
        <v>#N/A</v>
      </c>
      <c r="BH34" s="49" t="e">
        <f>INDEX('BalSht Data'!H$1:H$2999,MATCH(BH$1,'BalSht Data'!A$2:A$2051,0)+MATCH(A34,'BalSht Data'!G$2:G$2051,0))</f>
        <v>#N/A</v>
      </c>
      <c r="BI34" s="49" t="e">
        <f>INDEX('BalSht Data'!H$1:H$2999,MATCH(BI$1,'BalSht Data'!A$2:A$2051,0)+MATCH(A34,'BalSht Data'!G$2:G$2051,0))</f>
        <v>#N/A</v>
      </c>
      <c r="BJ34" s="49" t="e">
        <f>INDEX('BalSht Data'!H$1:H$2999,MATCH(BJ$1,'BalSht Data'!A$2:A$2051,0)+MATCH(A34,'BalSht Data'!G$2:G$2051,0))</f>
        <v>#N/A</v>
      </c>
      <c r="BK34" s="49" t="e">
        <f>INDEX('BalSht Data'!H$1:H$2999,MATCH(BK$1,'BalSht Data'!A$2:A$2051,0)+MATCH(A34,'BalSht Data'!G$2:G$2051,0))</f>
        <v>#N/A</v>
      </c>
      <c r="BL34" s="49" t="e">
        <f>INDEX('BalSht Data'!H$1:H$2999,MATCH(BL$1,'BalSht Data'!A$2:A$2051,0)+MATCH(A34,'BalSht Data'!G$2:G$2051,0))</f>
        <v>#N/A</v>
      </c>
      <c r="BM34" s="49" t="e">
        <f>INDEX('BalSht Data'!H$1:H$2999,MATCH(BM$1,'BalSht Data'!A$2:A$2051,0)+MATCH(A34,'BalSht Data'!G$2:G$2051,0))</f>
        <v>#N/A</v>
      </c>
      <c r="BN34" s="49" t="e">
        <f>INDEX('BalSht Data'!H$1:H$2999,MATCH(BN$1,'BalSht Data'!A$2:A$2051,0)+MATCH(A34,'BalSht Data'!G$2:G$2051,0))</f>
        <v>#N/A</v>
      </c>
      <c r="BO34" s="49" t="e">
        <f>INDEX('BalSht Data'!H$1:H$2999,MATCH(BO$1,'BalSht Data'!A$2:A$2051,0)+MATCH(A34,'BalSht Data'!G$2:G$2051,0))</f>
        <v>#N/A</v>
      </c>
      <c r="BP34" s="49" t="e">
        <f>INDEX('BalSht Data'!H$1:H$2999,MATCH(BP$1,'BalSht Data'!A$2:A$2051,0)+MATCH(A34,'BalSht Data'!G$2:G$2051,0))</f>
        <v>#N/A</v>
      </c>
      <c r="BQ34" s="49" t="e">
        <f>INDEX('BalSht Data'!H$1:H$2999,MATCH(BQ$1,'BalSht Data'!A$2:A$2051,0)+MATCH(A34,'BalSht Data'!G$2:G$2051,0))</f>
        <v>#N/A</v>
      </c>
      <c r="BR34" s="49" t="e">
        <f>INDEX('BalSht Data'!H$1:H$2999,MATCH(BR$1,'BalSht Data'!A$2:A$2051,0)+MATCH(A34,'BalSht Data'!G$2:G$2051,0))</f>
        <v>#N/A</v>
      </c>
      <c r="BS34" s="49" t="e">
        <f>INDEX('BalSht Data'!H$1:H$2999,MATCH(BS$1,'BalSht Data'!A$2:A$2051,0)+MATCH(A34,'BalSht Data'!G$2:G$2051,0))</f>
        <v>#N/A</v>
      </c>
      <c r="BT34" s="49" t="e">
        <f>INDEX('BalSht Data'!H$1:H$2999,MATCH(BT$1,'BalSht Data'!A$2:A$2051,0)+MATCH(A34,'BalSht Data'!G$2:G$2051,0))</f>
        <v>#N/A</v>
      </c>
      <c r="BU34" s="49" t="e">
        <f>INDEX('BalSht Data'!H$1:H$2999,MATCH(BU$1,'BalSht Data'!A$2:A$2051,0)+MATCH(A34,'BalSht Data'!G$2:G$2051,0))</f>
        <v>#N/A</v>
      </c>
      <c r="BV34" s="49" t="e">
        <f>INDEX('BalSht Data'!H$1:H$2999,MATCH(BV$1,'BalSht Data'!A$2:A$2051,0)+MATCH(A34,'BalSht Data'!G$2:G$2051,0))</f>
        <v>#N/A</v>
      </c>
      <c r="BW34" s="49" t="e">
        <f>INDEX('BalSht Data'!H$1:H$2999,MATCH(BW$1,'BalSht Data'!A$2:A$2051,0)+MATCH(A34,'BalSht Data'!G$2:G$2051,0))</f>
        <v>#N/A</v>
      </c>
      <c r="BX34" s="49" t="e">
        <f>INDEX('BalSht Data'!H$1:H$2999,MATCH(BX$1,'BalSht Data'!A$2:A$2051,0)+MATCH(A34,'BalSht Data'!G$2:G$2051,0))</f>
        <v>#N/A</v>
      </c>
      <c r="BY34" s="49" t="e">
        <f>INDEX('BalSht Data'!H$1:H$2999,MATCH(BY$1,'BalSht Data'!A$2:A$2051,0)+MATCH(A34,'BalSht Data'!G$2:G$2051,0))</f>
        <v>#N/A</v>
      </c>
      <c r="BZ34" s="49" t="e">
        <f>INDEX('BalSht Data'!H$1:H$2999,MATCH(BZ$1,'BalSht Data'!A$2:A$2051,0)+MATCH(A34,'BalSht Data'!G$2:G$2051,0))</f>
        <v>#N/A</v>
      </c>
      <c r="CA34" s="49" t="e">
        <f>INDEX('BalSht Data'!H$1:H$2999,MATCH(CA$1,'BalSht Data'!A$2:A$2051,0)+MATCH(A34,'BalSht Data'!G$2:G$2051,0))</f>
        <v>#N/A</v>
      </c>
      <c r="CB34" s="49" t="e">
        <f>INDEX('BalSht Data'!H$1:H$2999,MATCH(CB$1,'BalSht Data'!A$2:A$2051,0)+MATCH(A34,'BalSht Data'!G$2:G$2051,0))</f>
        <v>#N/A</v>
      </c>
      <c r="CC34" s="49" t="e">
        <f>INDEX('BalSht Data'!H$1:H$2999,MATCH(CC$1,'BalSht Data'!A$2:A$2051,0)+MATCH(A34,'BalSht Data'!G$2:G$2051,0))</f>
        <v>#N/A</v>
      </c>
      <c r="CD34" s="49" t="e">
        <f>INDEX('BalSht Data'!H$1:H$2999,MATCH(CD$1,'BalSht Data'!A$2:A$2051,0)+MATCH(A34,'BalSht Data'!G$2:G$2051,0))</f>
        <v>#N/A</v>
      </c>
      <c r="CE34" s="49" t="e">
        <f>INDEX('BalSht Data'!H$1:H$2999,MATCH(CE$1,'BalSht Data'!A$2:A$2051,0)+MATCH(A34,'BalSht Data'!G$2:G$2051,0))</f>
        <v>#N/A</v>
      </c>
      <c r="CF34" s="49" t="e">
        <f>INDEX('BalSht Data'!H$1:H$2999,MATCH(CF$1,'BalSht Data'!A$2:A$2051,0)+MATCH(A34,'BalSht Data'!G$2:G$2051,0))</f>
        <v>#N/A</v>
      </c>
      <c r="CG34" s="49" t="e">
        <f>INDEX('BalSht Data'!H$1:H$2999,MATCH(CG$1,'BalSht Data'!A$2:A$2051,0)+MATCH(A34,'BalSht Data'!G$2:G$2051,0))</f>
        <v>#N/A</v>
      </c>
      <c r="CH34" s="49" t="e">
        <f>INDEX('BalSht Data'!H$1:H$2999,MATCH(CH$1,'BalSht Data'!A$2:A$2051,0)+MATCH(A34,'BalSht Data'!G$2:G$2051,0))</f>
        <v>#N/A</v>
      </c>
      <c r="CI34" s="49" t="e">
        <f>INDEX('BalSht Data'!H$1:H$2999,MATCH(CI$1,'BalSht Data'!A$2:A$2051,0)+MATCH(A34,'BalSht Data'!G$2:G$2051,0))</f>
        <v>#N/A</v>
      </c>
      <c r="CJ34" s="49" t="e">
        <f>INDEX('BalSht Data'!H$1:H$2999,MATCH(CJ$1,'BalSht Data'!A$2:A$2051,0)+MATCH(A34,'BalSht Data'!G$2:G$2051,0))</f>
        <v>#N/A</v>
      </c>
      <c r="CK34" s="49" t="e">
        <f>INDEX('BalSht Data'!H$1:H$2999,MATCH(CK$1,'BalSht Data'!A$2:A$2051,0)+MATCH(A34,'BalSht Data'!G$2:G$2051,0))</f>
        <v>#N/A</v>
      </c>
      <c r="CL34" s="49" t="e">
        <f>INDEX('BalSht Data'!H$1:H$2999,MATCH(CL$1,'BalSht Data'!A$2:A$2051,0)+MATCH(A34,'BalSht Data'!G$2:G$2051,0))</f>
        <v>#N/A</v>
      </c>
      <c r="CM34" s="49" t="e">
        <f>INDEX('BalSht Data'!H$1:H$2999,MATCH(CM$1,'BalSht Data'!A$2:A$2051,0)+MATCH(A34,'BalSht Data'!G$2:G$2051,0))</f>
        <v>#N/A</v>
      </c>
      <c r="CN34" s="49" t="e">
        <f>INDEX('BalSht Data'!H$1:H$2999,MATCH(CN$1,'BalSht Data'!A$2:A$2051,0)+MATCH(A34,'BalSht Data'!G$2:G$2051,0))</f>
        <v>#N/A</v>
      </c>
      <c r="CO34" s="49" t="e">
        <f>INDEX('BalSht Data'!H$1:H$2999,MATCH(CO$1,'BalSht Data'!A$2:A$2051,0)+MATCH(A34,'BalSht Data'!G$2:G$2051,0))</f>
        <v>#N/A</v>
      </c>
      <c r="CP34" s="49" t="e">
        <f>INDEX('BalSht Data'!H$1:H$2999,MATCH(CP$1,'BalSht Data'!A$2:A$2051,0)+MATCH(A34,'BalSht Data'!G$2:G$2051,0))</f>
        <v>#N/A</v>
      </c>
      <c r="CQ34" s="49" t="e">
        <f>INDEX('BalSht Data'!H$1:H$2999,MATCH(CQ$1,'BalSht Data'!A$2:A$2051,0)+MATCH(A34,'BalSht Data'!G$2:G$2051,0))</f>
        <v>#N/A</v>
      </c>
      <c r="CR34" s="49" t="e">
        <f>INDEX('BalSht Data'!H$1:H$2999,MATCH(CR$1,'BalSht Data'!A$2:A$2051,0)+MATCH(A34,'BalSht Data'!G$2:G$2051,0))</f>
        <v>#N/A</v>
      </c>
      <c r="CS34" s="49" t="e">
        <f>INDEX('BalSht Data'!H$1:H$2999,MATCH(CS$1,'BalSht Data'!A$2:A$2051,0)+MATCH(A34,'BalSht Data'!G$2:G$2051,0))</f>
        <v>#N/A</v>
      </c>
      <c r="CT34" s="49" t="e">
        <f>INDEX('BalSht Data'!H$1:H$2999,MATCH(CT$1,'BalSht Data'!A$2:A$2051,0)+MATCH(A34,'BalSht Data'!G$2:G$2051,0))</f>
        <v>#N/A</v>
      </c>
      <c r="CU34" s="49" t="e">
        <f>INDEX('BalSht Data'!H$1:H$2999,MATCH(CU$1,'BalSht Data'!A$2:A$2051,0)+MATCH(A34,'BalSht Data'!G$2:G$2051,0))</f>
        <v>#N/A</v>
      </c>
      <c r="CV34" s="49" t="e">
        <f>INDEX('BalSht Data'!H$1:H$2999,MATCH(CV$1,'BalSht Data'!A$2:A$2051,0)+MATCH(A34,'BalSht Data'!G$2:G$2051,0))</f>
        <v>#N/A</v>
      </c>
      <c r="CW34" s="49" t="e">
        <f>INDEX('BalSht Data'!H$1:H$2999,MATCH(CW$1,'BalSht Data'!A$2:A$2051,0)+MATCH(A34,'BalSht Data'!G$2:G$2051,0))</f>
        <v>#N/A</v>
      </c>
      <c r="CX34" s="49" t="e">
        <f>INDEX('BalSht Data'!H$1:H$2999,MATCH(CX$1,'BalSht Data'!A$2:A$2051,0)+MATCH(A34,'BalSht Data'!G$2:G$2051,0))</f>
        <v>#N/A</v>
      </c>
      <c r="CY34" s="49" t="e">
        <f>INDEX('BalSht Data'!H$1:H$2999,MATCH(CY$1,'BalSht Data'!A$2:A$2051,0)+MATCH(A34,'BalSht Data'!G$2:G$2051,0))</f>
        <v>#N/A</v>
      </c>
      <c r="CZ34" s="49" t="e">
        <f>INDEX('BalSht Data'!H$1:H$2999,MATCH(CZ$1,'BalSht Data'!A$2:A$2051,0)+MATCH(A34,'BalSht Data'!G$2:G$2051,0))</f>
        <v>#N/A</v>
      </c>
    </row>
    <row r="35" spans="1:104" s="46" customFormat="1" x14ac:dyDescent="0.2">
      <c r="A35" s="5" t="s">
        <v>33</v>
      </c>
      <c r="B35" s="49" t="e">
        <f>INDEX('BalSht Data'!H$1:H$2999,MATCH(B$1,'BalSht Data'!A$2:A$2051,0)+MATCH(A35,'BalSht Data'!G$2:G$2051,0))</f>
        <v>#N/A</v>
      </c>
      <c r="C35" s="49" t="e">
        <f>INDEX('BalSht Data'!H$1:H$2999,MATCH(C$1,'BalSht Data'!A$2:A$2051,0)+MATCH(A35,'BalSht Data'!G$2:G$2051,0))</f>
        <v>#N/A</v>
      </c>
      <c r="D35" s="49" t="e">
        <f>INDEX('BalSht Data'!H$1:H$2999,MATCH(D$1,'BalSht Data'!A$2:A$2051,0)+MATCH(A35,'BalSht Data'!G$2:G$2051,0))</f>
        <v>#N/A</v>
      </c>
      <c r="E35" s="49" t="e">
        <f>INDEX('BalSht Data'!H$1:H$2999,MATCH(E$1,'BalSht Data'!A$2:A$2051,0)+MATCH(A35,'BalSht Data'!G$2:G$2051,0))</f>
        <v>#N/A</v>
      </c>
      <c r="F35" s="49" t="e">
        <f>INDEX('BalSht Data'!H$1:H$2999,MATCH(F$1,'BalSht Data'!A$2:A$2051,0)+MATCH(A35,'BalSht Data'!G$2:G$2051,0))</f>
        <v>#N/A</v>
      </c>
      <c r="G35" s="49" t="e">
        <f>INDEX('BalSht Data'!H$1:H$2999,MATCH(G$1,'BalSht Data'!A$2:A$2051,0)+MATCH(A35,'BalSht Data'!G$2:G$2051,0))</f>
        <v>#N/A</v>
      </c>
      <c r="H35" s="49" t="e">
        <f>INDEX('BalSht Data'!H$1:H$2999,MATCH(H$1,'BalSht Data'!A$2:A$2051,0)+MATCH(A35,'BalSht Data'!G$2:G$2051,0))</f>
        <v>#N/A</v>
      </c>
      <c r="I35" s="49" t="e">
        <f>INDEX('BalSht Data'!H$1:H$2999,MATCH(I$1,'BalSht Data'!A$2:A$2051,0)+MATCH(A35,'BalSht Data'!G$2:G$2051,0))</f>
        <v>#N/A</v>
      </c>
      <c r="J35" s="49" t="e">
        <f>INDEX('BalSht Data'!H$1:H$2999,MATCH(J$1,'BalSht Data'!A$2:A$2051,0)+MATCH(A35,'BalSht Data'!G$2:G$2051,0))</f>
        <v>#N/A</v>
      </c>
      <c r="K35" s="49" t="e">
        <f>INDEX('BalSht Data'!H$1:H$2999,MATCH(K$1,'BalSht Data'!A$2:A$2051,0)+MATCH(A35,'BalSht Data'!G$2:G$2051,0))</f>
        <v>#N/A</v>
      </c>
      <c r="L35" s="49" t="e">
        <f>INDEX('BalSht Data'!H$1:H$2999,MATCH(L$1,'BalSht Data'!A$2:A$2051,0)+MATCH(A35,'BalSht Data'!G$2:G$2051,0))</f>
        <v>#N/A</v>
      </c>
      <c r="M35" s="49" t="e">
        <f>INDEX('BalSht Data'!H$1:H$2999,MATCH(M$1,'BalSht Data'!A$2:A$2051,0)+MATCH(A35,'BalSht Data'!G$2:G$2051,0))</f>
        <v>#N/A</v>
      </c>
      <c r="N35" s="49" t="e">
        <f>INDEX('BalSht Data'!H$1:H$2999,MATCH(N$1,'BalSht Data'!A$2:A$2051,0)+MATCH(A35,'BalSht Data'!G$2:G$2051,0))</f>
        <v>#N/A</v>
      </c>
      <c r="O35" s="49" t="e">
        <f>INDEX('BalSht Data'!H$1:H$2999,MATCH(O$1,'BalSht Data'!A$2:A$2051,0)+MATCH(A35,'BalSht Data'!G$2:G$2051,0))</f>
        <v>#N/A</v>
      </c>
      <c r="P35" s="49" t="e">
        <f>INDEX('BalSht Data'!H$1:H$2999,MATCH(P$1,'BalSht Data'!A$2:A$2051,0)+MATCH(A35,'BalSht Data'!G$2:G$2051,0))</f>
        <v>#N/A</v>
      </c>
      <c r="Q35" s="49" t="e">
        <f>INDEX('BalSht Data'!H$1:H$2999,MATCH(Q$1,'BalSht Data'!A$2:A$2051,0)+MATCH(A35,'BalSht Data'!G$2:G$2051,0))</f>
        <v>#N/A</v>
      </c>
      <c r="R35" s="49" t="e">
        <f>INDEX('BalSht Data'!H$1:H$2999,MATCH(R$1,'BalSht Data'!A$2:A$2051,0)+MATCH(A35,'BalSht Data'!G$2:G$2051,0))</f>
        <v>#N/A</v>
      </c>
      <c r="S35" s="49" t="e">
        <f>INDEX('BalSht Data'!H$1:H$2999,MATCH(S$1,'BalSht Data'!A$2:A$2051,0)+MATCH(A35,'BalSht Data'!G$2:G$2051,0))</f>
        <v>#N/A</v>
      </c>
      <c r="T35" s="49" t="e">
        <f>INDEX('BalSht Data'!H$1:H$2999,MATCH(T$1,'BalSht Data'!A$2:A$2051,0)+MATCH(A35,'BalSht Data'!G$2:G$2051,0))</f>
        <v>#N/A</v>
      </c>
      <c r="U35" s="49" t="e">
        <f>INDEX('BalSht Data'!H$1:H$2999,MATCH(U$1,'BalSht Data'!A$2:A$2051,0)+MATCH(A35,'BalSht Data'!G$2:G$2051,0))</f>
        <v>#N/A</v>
      </c>
      <c r="V35" s="49" t="e">
        <f>INDEX('BalSht Data'!H$1:H$2999,MATCH(V$1,'BalSht Data'!A$2:A$2051,0)+MATCH(A35,'BalSht Data'!G$2:G$2051,0))</f>
        <v>#N/A</v>
      </c>
      <c r="W35" s="49" t="e">
        <f>INDEX('BalSht Data'!H$1:H$2999,MATCH(W$1,'BalSht Data'!A$2:A$2051,0)+MATCH(A35,'BalSht Data'!G$2:G$2051,0))</f>
        <v>#N/A</v>
      </c>
      <c r="X35" s="49" t="e">
        <f>INDEX('BalSht Data'!H$1:H$2999,MATCH(X$1,'BalSht Data'!A$2:A$2051,0)+MATCH(A35,'BalSht Data'!G$2:G$2051,0))</f>
        <v>#N/A</v>
      </c>
      <c r="Y35" s="49" t="e">
        <f>INDEX('BalSht Data'!H$1:H$2999,MATCH(Y$1,'BalSht Data'!A$2:A$2051,0)+MATCH(A35,'BalSht Data'!G$2:G$2051,0))</f>
        <v>#N/A</v>
      </c>
      <c r="Z35" s="49" t="e">
        <f>INDEX('BalSht Data'!H$1:H$2999,MATCH(Z$1,'BalSht Data'!A$2:A$2051,0)+MATCH(A35,'BalSht Data'!G$2:G$2051,0))</f>
        <v>#N/A</v>
      </c>
      <c r="AA35" s="49" t="e">
        <f>INDEX('BalSht Data'!H$1:H$2999,MATCH(AA$1,'BalSht Data'!A$2:A$2051,0)+MATCH(A35,'BalSht Data'!G$2:G$2051,0))</f>
        <v>#N/A</v>
      </c>
      <c r="AB35" s="49" t="e">
        <f>INDEX('BalSht Data'!H$1:H$2999,MATCH(AB$1,'BalSht Data'!A$2:A$2051,0)+MATCH(A35,'BalSht Data'!G$2:G$2051,0))</f>
        <v>#N/A</v>
      </c>
      <c r="AC35" s="49" t="e">
        <f>INDEX('BalSht Data'!H$1:H$2999,MATCH(AC$1,'BalSht Data'!A$2:A$2051,0)+MATCH(A35,'BalSht Data'!G$2:G$2051,0))</f>
        <v>#N/A</v>
      </c>
      <c r="AD35" s="49" t="e">
        <f>INDEX('BalSht Data'!H$1:H$2999,MATCH(AD$1,'BalSht Data'!A$2:A$2051,0)+MATCH(A35,'BalSht Data'!G$2:G$2051,0))</f>
        <v>#N/A</v>
      </c>
      <c r="AE35" s="49" t="e">
        <f>INDEX('BalSht Data'!H$1:H$2999,MATCH(AE$1,'BalSht Data'!A$2:A$2051,0)+MATCH(A35,'BalSht Data'!G$2:G$2051,0))</f>
        <v>#N/A</v>
      </c>
      <c r="AF35" s="49" t="e">
        <f>INDEX('BalSht Data'!H$1:H$2999,MATCH(AF$1,'BalSht Data'!A$2:A$2051,0)+MATCH(A35,'BalSht Data'!G$2:G$2051,0))</f>
        <v>#N/A</v>
      </c>
      <c r="AG35" s="49" t="e">
        <f>INDEX('BalSht Data'!H$1:H$2999,MATCH(AG$1,'BalSht Data'!A$2:A$2051,0)+MATCH(A35,'BalSht Data'!G$2:G$2051,0))</f>
        <v>#N/A</v>
      </c>
      <c r="AH35" s="49" t="e">
        <f>INDEX('BalSht Data'!H$1:H$2999,MATCH(AH$1,'BalSht Data'!A$2:A$2051,0)+MATCH(A35,'BalSht Data'!G$2:G$2051,0))</f>
        <v>#N/A</v>
      </c>
      <c r="AI35" s="49" t="e">
        <f>INDEX('BalSht Data'!H$1:H$2999,MATCH(AI$1,'BalSht Data'!A$2:A$2051,0)+MATCH(A35,'BalSht Data'!G$2:G$2051,0))</f>
        <v>#N/A</v>
      </c>
      <c r="AJ35" s="49" t="e">
        <f>INDEX('BalSht Data'!H$1:H$2999,MATCH(AJ$1,'BalSht Data'!A$2:A$2051,0)+MATCH(A35,'BalSht Data'!G$2:G$2051,0))</f>
        <v>#N/A</v>
      </c>
      <c r="AK35" s="49" t="e">
        <f>INDEX('BalSht Data'!H$1:H$2999,MATCH(AK$1,'BalSht Data'!A$2:A$2051,0)+MATCH(A35,'BalSht Data'!G$2:G$2051,0))</f>
        <v>#N/A</v>
      </c>
      <c r="AL35" s="49">
        <f>INDEX('BalSht Data'!H$1:H$2999,MATCH(AL$1,'BalSht Data'!A$2:A$2051,0)+MATCH(A35,'BalSht Data'!G$2:G$2051,0))</f>
        <v>0</v>
      </c>
      <c r="AM35" s="49">
        <f>INDEX('BalSht Data'!H$1:H$2999,MATCH(AM$1,'BalSht Data'!A$2:A$2051,0)+MATCH(A35,'BalSht Data'!G$2:G$2051,0))</f>
        <v>0</v>
      </c>
      <c r="AN35" s="49">
        <f>INDEX('BalSht Data'!H$1:H$2999,MATCH(AN$1,'BalSht Data'!A$2:A$2051,0)+MATCH(A35,'BalSht Data'!G$2:G$2051,0))</f>
        <v>0</v>
      </c>
      <c r="AO35" s="49">
        <f>INDEX('BalSht Data'!H$1:H$2999,MATCH(AO$1,'BalSht Data'!A$2:A$2051,0)+MATCH(A35,'BalSht Data'!G$2:G$2051,0))</f>
        <v>0</v>
      </c>
      <c r="AP35" s="49" t="e">
        <f>INDEX('BalSht Data'!H$1:H$2999,MATCH(AP$1,'BalSht Data'!A$2:A$2051,0)+MATCH(A35,'BalSht Data'!G$2:G$2051,0))</f>
        <v>#N/A</v>
      </c>
      <c r="AQ35" s="49" t="e">
        <f>INDEX('BalSht Data'!H$1:H$2999,MATCH(AQ$1,'BalSht Data'!A$2:A$2051,0)+MATCH(A35,'BalSht Data'!G$2:G$2051,0))</f>
        <v>#N/A</v>
      </c>
      <c r="AR35" s="49" t="e">
        <f>INDEX('BalSht Data'!H$1:H$2999,MATCH(AR$1,'BalSht Data'!A$2:A$2051,0)+MATCH(A35,'BalSht Data'!G$2:G$2051,0))</f>
        <v>#N/A</v>
      </c>
      <c r="AS35" s="49" t="e">
        <f>INDEX('BalSht Data'!H$1:H$2999,MATCH(AS$1,'BalSht Data'!A$2:A$2051,0)+MATCH(A35,'BalSht Data'!G$2:G$2051,0))</f>
        <v>#N/A</v>
      </c>
      <c r="AT35" s="49" t="e">
        <f>INDEX('BalSht Data'!H$1:H$2999,MATCH(AT$1,'BalSht Data'!A$2:A$2051,0)+MATCH(A35,'BalSht Data'!G$2:G$2051,0))</f>
        <v>#N/A</v>
      </c>
      <c r="AU35" s="49" t="e">
        <f>INDEX('BalSht Data'!H$1:H$2999,MATCH(AU$1,'BalSht Data'!A$2:A$2051,0)+MATCH(A35,'BalSht Data'!G$2:G$2051,0))</f>
        <v>#N/A</v>
      </c>
      <c r="AV35" s="49" t="e">
        <f>INDEX('BalSht Data'!H$1:H$2999,MATCH(AV$1,'BalSht Data'!A$2:A$2051,0)+MATCH(A35,'BalSht Data'!G$2:G$2051,0))</f>
        <v>#N/A</v>
      </c>
      <c r="AW35" s="49" t="e">
        <f>INDEX('BalSht Data'!H$1:H$2999,MATCH(AW$1,'BalSht Data'!A$2:A$2051,0)+MATCH(A35,'BalSht Data'!G$2:G$2051,0))</f>
        <v>#N/A</v>
      </c>
      <c r="AX35" s="49" t="e">
        <f>INDEX('BalSht Data'!H$1:H$2999,MATCH(AX$1,'BalSht Data'!A$2:A$2051,0)+MATCH(A35,'BalSht Data'!G$2:G$2051,0))</f>
        <v>#N/A</v>
      </c>
      <c r="AY35" s="49" t="e">
        <f>INDEX('BalSht Data'!H$1:H$2999,MATCH(AY$1,'BalSht Data'!A$2:A$2051,0)+MATCH(A35,'BalSht Data'!G$2:G$2051,0))</f>
        <v>#N/A</v>
      </c>
      <c r="AZ35" s="49" t="e">
        <f>INDEX('BalSht Data'!H$1:H$2999,MATCH(AZ$1,'BalSht Data'!A$2:A$2051,0)+MATCH(A35,'BalSht Data'!G$2:G$2051,0))</f>
        <v>#N/A</v>
      </c>
      <c r="BA35" s="49" t="e">
        <f>INDEX('BalSht Data'!H$1:H$2999,MATCH(BA$1,'BalSht Data'!A$2:A$2051,0)+MATCH(A35,'BalSht Data'!G$2:G$2051,0))</f>
        <v>#N/A</v>
      </c>
      <c r="BB35" s="49" t="e">
        <f>INDEX('BalSht Data'!H$1:H$2999,MATCH(BB$1,'BalSht Data'!A$2:A$2051,0)+MATCH(A35,'BalSht Data'!G$2:G$2051,0))</f>
        <v>#N/A</v>
      </c>
      <c r="BC35" s="49" t="e">
        <f>INDEX('BalSht Data'!H$1:H$2999,MATCH(BC$1,'BalSht Data'!A$2:A$2051,0)+MATCH(A35,'BalSht Data'!G$2:G$2051,0))</f>
        <v>#N/A</v>
      </c>
      <c r="BD35" s="49" t="e">
        <f>INDEX('BalSht Data'!H$1:H$2999,MATCH(BD$1,'BalSht Data'!A$2:A$2051,0)+MATCH(A35,'BalSht Data'!G$2:G$2051,0))</f>
        <v>#N/A</v>
      </c>
      <c r="BE35" s="49" t="e">
        <f>INDEX('BalSht Data'!H$1:H$2999,MATCH(BE$1,'BalSht Data'!A$2:A$2051,0)+MATCH(A35,'BalSht Data'!G$2:G$2051,0))</f>
        <v>#N/A</v>
      </c>
      <c r="BF35" s="49" t="e">
        <f>INDEX('BalSht Data'!H$1:H$2999,MATCH(BF$1,'BalSht Data'!A$2:A$2051,0)+MATCH(A35,'BalSht Data'!G$2:G$2051,0))</f>
        <v>#N/A</v>
      </c>
      <c r="BG35" s="49" t="e">
        <f>INDEX('BalSht Data'!H$1:H$2999,MATCH(BG$1,'BalSht Data'!A$2:A$2051,0)+MATCH(A35,'BalSht Data'!G$2:G$2051,0))</f>
        <v>#N/A</v>
      </c>
      <c r="BH35" s="49" t="e">
        <f>INDEX('BalSht Data'!H$1:H$2999,MATCH(BH$1,'BalSht Data'!A$2:A$2051,0)+MATCH(A35,'BalSht Data'!G$2:G$2051,0))</f>
        <v>#N/A</v>
      </c>
      <c r="BI35" s="49" t="e">
        <f>INDEX('BalSht Data'!H$1:H$2999,MATCH(BI$1,'BalSht Data'!A$2:A$2051,0)+MATCH(A35,'BalSht Data'!G$2:G$2051,0))</f>
        <v>#N/A</v>
      </c>
      <c r="BJ35" s="49" t="e">
        <f>INDEX('BalSht Data'!H$1:H$2999,MATCH(BJ$1,'BalSht Data'!A$2:A$2051,0)+MATCH(A35,'BalSht Data'!G$2:G$2051,0))</f>
        <v>#N/A</v>
      </c>
      <c r="BK35" s="49" t="e">
        <f>INDEX('BalSht Data'!H$1:H$2999,MATCH(BK$1,'BalSht Data'!A$2:A$2051,0)+MATCH(A35,'BalSht Data'!G$2:G$2051,0))</f>
        <v>#N/A</v>
      </c>
      <c r="BL35" s="49" t="e">
        <f>INDEX('BalSht Data'!H$1:H$2999,MATCH(BL$1,'BalSht Data'!A$2:A$2051,0)+MATCH(A35,'BalSht Data'!G$2:G$2051,0))</f>
        <v>#N/A</v>
      </c>
      <c r="BM35" s="49" t="e">
        <f>INDEX('BalSht Data'!H$1:H$2999,MATCH(BM$1,'BalSht Data'!A$2:A$2051,0)+MATCH(A35,'BalSht Data'!G$2:G$2051,0))</f>
        <v>#N/A</v>
      </c>
      <c r="BN35" s="49" t="e">
        <f>INDEX('BalSht Data'!H$1:H$2999,MATCH(BN$1,'BalSht Data'!A$2:A$2051,0)+MATCH(A35,'BalSht Data'!G$2:G$2051,0))</f>
        <v>#N/A</v>
      </c>
      <c r="BO35" s="49" t="e">
        <f>INDEX('BalSht Data'!H$1:H$2999,MATCH(BO$1,'BalSht Data'!A$2:A$2051,0)+MATCH(A35,'BalSht Data'!G$2:G$2051,0))</f>
        <v>#N/A</v>
      </c>
      <c r="BP35" s="49" t="e">
        <f>INDEX('BalSht Data'!H$1:H$2999,MATCH(BP$1,'BalSht Data'!A$2:A$2051,0)+MATCH(A35,'BalSht Data'!G$2:G$2051,0))</f>
        <v>#N/A</v>
      </c>
      <c r="BQ35" s="49" t="e">
        <f>INDEX('BalSht Data'!H$1:H$2999,MATCH(BQ$1,'BalSht Data'!A$2:A$2051,0)+MATCH(A35,'BalSht Data'!G$2:G$2051,0))</f>
        <v>#N/A</v>
      </c>
      <c r="BR35" s="49" t="e">
        <f>INDEX('BalSht Data'!H$1:H$2999,MATCH(BR$1,'BalSht Data'!A$2:A$2051,0)+MATCH(A35,'BalSht Data'!G$2:G$2051,0))</f>
        <v>#N/A</v>
      </c>
      <c r="BS35" s="49" t="e">
        <f>INDEX('BalSht Data'!H$1:H$2999,MATCH(BS$1,'BalSht Data'!A$2:A$2051,0)+MATCH(A35,'BalSht Data'!G$2:G$2051,0))</f>
        <v>#N/A</v>
      </c>
      <c r="BT35" s="49" t="e">
        <f>INDEX('BalSht Data'!H$1:H$2999,MATCH(BT$1,'BalSht Data'!A$2:A$2051,0)+MATCH(A35,'BalSht Data'!G$2:G$2051,0))</f>
        <v>#N/A</v>
      </c>
      <c r="BU35" s="49" t="e">
        <f>INDEX('BalSht Data'!H$1:H$2999,MATCH(BU$1,'BalSht Data'!A$2:A$2051,0)+MATCH(A35,'BalSht Data'!G$2:G$2051,0))</f>
        <v>#N/A</v>
      </c>
      <c r="BV35" s="49" t="e">
        <f>INDEX('BalSht Data'!H$1:H$2999,MATCH(BV$1,'BalSht Data'!A$2:A$2051,0)+MATCH(A35,'BalSht Data'!G$2:G$2051,0))</f>
        <v>#N/A</v>
      </c>
      <c r="BW35" s="49" t="e">
        <f>INDEX('BalSht Data'!H$1:H$2999,MATCH(BW$1,'BalSht Data'!A$2:A$2051,0)+MATCH(A35,'BalSht Data'!G$2:G$2051,0))</f>
        <v>#N/A</v>
      </c>
      <c r="BX35" s="49" t="e">
        <f>INDEX('BalSht Data'!H$1:H$2999,MATCH(BX$1,'BalSht Data'!A$2:A$2051,0)+MATCH(A35,'BalSht Data'!G$2:G$2051,0))</f>
        <v>#N/A</v>
      </c>
      <c r="BY35" s="49" t="e">
        <f>INDEX('BalSht Data'!H$1:H$2999,MATCH(BY$1,'BalSht Data'!A$2:A$2051,0)+MATCH(A35,'BalSht Data'!G$2:G$2051,0))</f>
        <v>#N/A</v>
      </c>
      <c r="BZ35" s="49" t="e">
        <f>INDEX('BalSht Data'!H$1:H$2999,MATCH(BZ$1,'BalSht Data'!A$2:A$2051,0)+MATCH(A35,'BalSht Data'!G$2:G$2051,0))</f>
        <v>#N/A</v>
      </c>
      <c r="CA35" s="49" t="e">
        <f>INDEX('BalSht Data'!H$1:H$2999,MATCH(CA$1,'BalSht Data'!A$2:A$2051,0)+MATCH(A35,'BalSht Data'!G$2:G$2051,0))</f>
        <v>#N/A</v>
      </c>
      <c r="CB35" s="49" t="e">
        <f>INDEX('BalSht Data'!H$1:H$2999,MATCH(CB$1,'BalSht Data'!A$2:A$2051,0)+MATCH(A35,'BalSht Data'!G$2:G$2051,0))</f>
        <v>#N/A</v>
      </c>
      <c r="CC35" s="49" t="e">
        <f>INDEX('BalSht Data'!H$1:H$2999,MATCH(CC$1,'BalSht Data'!A$2:A$2051,0)+MATCH(A35,'BalSht Data'!G$2:G$2051,0))</f>
        <v>#N/A</v>
      </c>
      <c r="CD35" s="49" t="e">
        <f>INDEX('BalSht Data'!H$1:H$2999,MATCH(CD$1,'BalSht Data'!A$2:A$2051,0)+MATCH(A35,'BalSht Data'!G$2:G$2051,0))</f>
        <v>#N/A</v>
      </c>
      <c r="CE35" s="49" t="e">
        <f>INDEX('BalSht Data'!H$1:H$2999,MATCH(CE$1,'BalSht Data'!A$2:A$2051,0)+MATCH(A35,'BalSht Data'!G$2:G$2051,0))</f>
        <v>#N/A</v>
      </c>
      <c r="CF35" s="49" t="e">
        <f>INDEX('BalSht Data'!H$1:H$2999,MATCH(CF$1,'BalSht Data'!A$2:A$2051,0)+MATCH(A35,'BalSht Data'!G$2:G$2051,0))</f>
        <v>#N/A</v>
      </c>
      <c r="CG35" s="49" t="e">
        <f>INDEX('BalSht Data'!H$1:H$2999,MATCH(CG$1,'BalSht Data'!A$2:A$2051,0)+MATCH(A35,'BalSht Data'!G$2:G$2051,0))</f>
        <v>#N/A</v>
      </c>
      <c r="CH35" s="49" t="e">
        <f>INDEX('BalSht Data'!H$1:H$2999,MATCH(CH$1,'BalSht Data'!A$2:A$2051,0)+MATCH(A35,'BalSht Data'!G$2:G$2051,0))</f>
        <v>#N/A</v>
      </c>
      <c r="CI35" s="49" t="e">
        <f>INDEX('BalSht Data'!H$1:H$2999,MATCH(CI$1,'BalSht Data'!A$2:A$2051,0)+MATCH(A35,'BalSht Data'!G$2:G$2051,0))</f>
        <v>#N/A</v>
      </c>
      <c r="CJ35" s="49" t="e">
        <f>INDEX('BalSht Data'!H$1:H$2999,MATCH(CJ$1,'BalSht Data'!A$2:A$2051,0)+MATCH(A35,'BalSht Data'!G$2:G$2051,0))</f>
        <v>#N/A</v>
      </c>
      <c r="CK35" s="49" t="e">
        <f>INDEX('BalSht Data'!H$1:H$2999,MATCH(CK$1,'BalSht Data'!A$2:A$2051,0)+MATCH(A35,'BalSht Data'!G$2:G$2051,0))</f>
        <v>#N/A</v>
      </c>
      <c r="CL35" s="49" t="e">
        <f>INDEX('BalSht Data'!H$1:H$2999,MATCH(CL$1,'BalSht Data'!A$2:A$2051,0)+MATCH(A35,'BalSht Data'!G$2:G$2051,0))</f>
        <v>#N/A</v>
      </c>
      <c r="CM35" s="49" t="e">
        <f>INDEX('BalSht Data'!H$1:H$2999,MATCH(CM$1,'BalSht Data'!A$2:A$2051,0)+MATCH(A35,'BalSht Data'!G$2:G$2051,0))</f>
        <v>#N/A</v>
      </c>
      <c r="CN35" s="49" t="e">
        <f>INDEX('BalSht Data'!H$1:H$2999,MATCH(CN$1,'BalSht Data'!A$2:A$2051,0)+MATCH(A35,'BalSht Data'!G$2:G$2051,0))</f>
        <v>#N/A</v>
      </c>
      <c r="CO35" s="49" t="e">
        <f>INDEX('BalSht Data'!H$1:H$2999,MATCH(CO$1,'BalSht Data'!A$2:A$2051,0)+MATCH(A35,'BalSht Data'!G$2:G$2051,0))</f>
        <v>#N/A</v>
      </c>
      <c r="CP35" s="49" t="e">
        <f>INDEX('BalSht Data'!H$1:H$2999,MATCH(CP$1,'BalSht Data'!A$2:A$2051,0)+MATCH(A35,'BalSht Data'!G$2:G$2051,0))</f>
        <v>#N/A</v>
      </c>
      <c r="CQ35" s="49" t="e">
        <f>INDEX('BalSht Data'!H$1:H$2999,MATCH(CQ$1,'BalSht Data'!A$2:A$2051,0)+MATCH(A35,'BalSht Data'!G$2:G$2051,0))</f>
        <v>#N/A</v>
      </c>
      <c r="CR35" s="49" t="e">
        <f>INDEX('BalSht Data'!H$1:H$2999,MATCH(CR$1,'BalSht Data'!A$2:A$2051,0)+MATCH(A35,'BalSht Data'!G$2:G$2051,0))</f>
        <v>#N/A</v>
      </c>
      <c r="CS35" s="49" t="e">
        <f>INDEX('BalSht Data'!H$1:H$2999,MATCH(CS$1,'BalSht Data'!A$2:A$2051,0)+MATCH(A35,'BalSht Data'!G$2:G$2051,0))</f>
        <v>#N/A</v>
      </c>
      <c r="CT35" s="49" t="e">
        <f>INDEX('BalSht Data'!H$1:H$2999,MATCH(CT$1,'BalSht Data'!A$2:A$2051,0)+MATCH(A35,'BalSht Data'!G$2:G$2051,0))</f>
        <v>#N/A</v>
      </c>
      <c r="CU35" s="49" t="e">
        <f>INDEX('BalSht Data'!H$1:H$2999,MATCH(CU$1,'BalSht Data'!A$2:A$2051,0)+MATCH(A35,'BalSht Data'!G$2:G$2051,0))</f>
        <v>#N/A</v>
      </c>
      <c r="CV35" s="49" t="e">
        <f>INDEX('BalSht Data'!H$1:H$2999,MATCH(CV$1,'BalSht Data'!A$2:A$2051,0)+MATCH(A35,'BalSht Data'!G$2:G$2051,0))</f>
        <v>#N/A</v>
      </c>
      <c r="CW35" s="49" t="e">
        <f>INDEX('BalSht Data'!H$1:H$2999,MATCH(CW$1,'BalSht Data'!A$2:A$2051,0)+MATCH(A35,'BalSht Data'!G$2:G$2051,0))</f>
        <v>#N/A</v>
      </c>
      <c r="CX35" s="49" t="e">
        <f>INDEX('BalSht Data'!H$1:H$2999,MATCH(CX$1,'BalSht Data'!A$2:A$2051,0)+MATCH(A35,'BalSht Data'!G$2:G$2051,0))</f>
        <v>#N/A</v>
      </c>
      <c r="CY35" s="49" t="e">
        <f>INDEX('BalSht Data'!H$1:H$2999,MATCH(CY$1,'BalSht Data'!A$2:A$2051,0)+MATCH(A35,'BalSht Data'!G$2:G$2051,0))</f>
        <v>#N/A</v>
      </c>
      <c r="CZ35" s="49" t="e">
        <f>INDEX('BalSht Data'!H$1:H$2999,MATCH(CZ$1,'BalSht Data'!A$2:A$2051,0)+MATCH(A35,'BalSht Data'!G$2:G$2051,0))</f>
        <v>#N/A</v>
      </c>
    </row>
    <row r="36" spans="1:104" s="46" customFormat="1" x14ac:dyDescent="0.2">
      <c r="A36" s="5" t="s">
        <v>34</v>
      </c>
      <c r="B36" s="49" t="e">
        <f>INDEX('BalSht Data'!H$1:H$2999,MATCH(B$1,'BalSht Data'!A$2:A$2051,0)+MATCH(A36,'BalSht Data'!G$2:G$2051,0))</f>
        <v>#N/A</v>
      </c>
      <c r="C36" s="49" t="e">
        <f>INDEX('BalSht Data'!H$1:H$2999,MATCH(C$1,'BalSht Data'!A$2:A$2051,0)+MATCH(A36,'BalSht Data'!G$2:G$2051,0))</f>
        <v>#N/A</v>
      </c>
      <c r="D36" s="49" t="e">
        <f>INDEX('BalSht Data'!H$1:H$2999,MATCH(D$1,'BalSht Data'!A$2:A$2051,0)+MATCH(A36,'BalSht Data'!G$2:G$2051,0))</f>
        <v>#N/A</v>
      </c>
      <c r="E36" s="49" t="e">
        <f>INDEX('BalSht Data'!H$1:H$2999,MATCH(E$1,'BalSht Data'!A$2:A$2051,0)+MATCH(A36,'BalSht Data'!G$2:G$2051,0))</f>
        <v>#N/A</v>
      </c>
      <c r="F36" s="49" t="e">
        <f>INDEX('BalSht Data'!H$1:H$2999,MATCH(F$1,'BalSht Data'!A$2:A$2051,0)+MATCH(A36,'BalSht Data'!G$2:G$2051,0))</f>
        <v>#N/A</v>
      </c>
      <c r="G36" s="49" t="e">
        <f>INDEX('BalSht Data'!H$1:H$2999,MATCH(G$1,'BalSht Data'!A$2:A$2051,0)+MATCH(A36,'BalSht Data'!G$2:G$2051,0))</f>
        <v>#N/A</v>
      </c>
      <c r="H36" s="49" t="e">
        <f>INDEX('BalSht Data'!H$1:H$2999,MATCH(H$1,'BalSht Data'!A$2:A$2051,0)+MATCH(A36,'BalSht Data'!G$2:G$2051,0))</f>
        <v>#N/A</v>
      </c>
      <c r="I36" s="49" t="e">
        <f>INDEX('BalSht Data'!H$1:H$2999,MATCH(I$1,'BalSht Data'!A$2:A$2051,0)+MATCH(A36,'BalSht Data'!G$2:G$2051,0))</f>
        <v>#N/A</v>
      </c>
      <c r="J36" s="49" t="e">
        <f>INDEX('BalSht Data'!H$1:H$2999,MATCH(J$1,'BalSht Data'!A$2:A$2051,0)+MATCH(A36,'BalSht Data'!G$2:G$2051,0))</f>
        <v>#N/A</v>
      </c>
      <c r="K36" s="49" t="e">
        <f>INDEX('BalSht Data'!H$1:H$2999,MATCH(K$1,'BalSht Data'!A$2:A$2051,0)+MATCH(A36,'BalSht Data'!G$2:G$2051,0))</f>
        <v>#N/A</v>
      </c>
      <c r="L36" s="49" t="e">
        <f>INDEX('BalSht Data'!H$1:H$2999,MATCH(L$1,'BalSht Data'!A$2:A$2051,0)+MATCH(A36,'BalSht Data'!G$2:G$2051,0))</f>
        <v>#N/A</v>
      </c>
      <c r="M36" s="49" t="e">
        <f>INDEX('BalSht Data'!H$1:H$2999,MATCH(M$1,'BalSht Data'!A$2:A$2051,0)+MATCH(A36,'BalSht Data'!G$2:G$2051,0))</f>
        <v>#N/A</v>
      </c>
      <c r="N36" s="49" t="e">
        <f>INDEX('BalSht Data'!H$1:H$2999,MATCH(N$1,'BalSht Data'!A$2:A$2051,0)+MATCH(A36,'BalSht Data'!G$2:G$2051,0))</f>
        <v>#N/A</v>
      </c>
      <c r="O36" s="49" t="e">
        <f>INDEX('BalSht Data'!H$1:H$2999,MATCH(O$1,'BalSht Data'!A$2:A$2051,0)+MATCH(A36,'BalSht Data'!G$2:G$2051,0))</f>
        <v>#N/A</v>
      </c>
      <c r="P36" s="49" t="e">
        <f>INDEX('BalSht Data'!H$1:H$2999,MATCH(P$1,'BalSht Data'!A$2:A$2051,0)+MATCH(A36,'BalSht Data'!G$2:G$2051,0))</f>
        <v>#N/A</v>
      </c>
      <c r="Q36" s="49" t="e">
        <f>INDEX('BalSht Data'!H$1:H$2999,MATCH(Q$1,'BalSht Data'!A$2:A$2051,0)+MATCH(A36,'BalSht Data'!G$2:G$2051,0))</f>
        <v>#N/A</v>
      </c>
      <c r="R36" s="49" t="e">
        <f>INDEX('BalSht Data'!H$1:H$2999,MATCH(R$1,'BalSht Data'!A$2:A$2051,0)+MATCH(A36,'BalSht Data'!G$2:G$2051,0))</f>
        <v>#N/A</v>
      </c>
      <c r="S36" s="49" t="e">
        <f>INDEX('BalSht Data'!H$1:H$2999,MATCH(S$1,'BalSht Data'!A$2:A$2051,0)+MATCH(A36,'BalSht Data'!G$2:G$2051,0))</f>
        <v>#N/A</v>
      </c>
      <c r="T36" s="49" t="e">
        <f>INDEX('BalSht Data'!H$1:H$2999,MATCH(T$1,'BalSht Data'!A$2:A$2051,0)+MATCH(A36,'BalSht Data'!G$2:G$2051,0))</f>
        <v>#N/A</v>
      </c>
      <c r="U36" s="49" t="e">
        <f>INDEX('BalSht Data'!H$1:H$2999,MATCH(U$1,'BalSht Data'!A$2:A$2051,0)+MATCH(A36,'BalSht Data'!G$2:G$2051,0))</f>
        <v>#N/A</v>
      </c>
      <c r="V36" s="49" t="e">
        <f>INDEX('BalSht Data'!H$1:H$2999,MATCH(V$1,'BalSht Data'!A$2:A$2051,0)+MATCH(A36,'BalSht Data'!G$2:G$2051,0))</f>
        <v>#N/A</v>
      </c>
      <c r="W36" s="49" t="e">
        <f>INDEX('BalSht Data'!H$1:H$2999,MATCH(W$1,'BalSht Data'!A$2:A$2051,0)+MATCH(A36,'BalSht Data'!G$2:G$2051,0))</f>
        <v>#N/A</v>
      </c>
      <c r="X36" s="49" t="e">
        <f>INDEX('BalSht Data'!H$1:H$2999,MATCH(X$1,'BalSht Data'!A$2:A$2051,0)+MATCH(A36,'BalSht Data'!G$2:G$2051,0))</f>
        <v>#N/A</v>
      </c>
      <c r="Y36" s="49" t="e">
        <f>INDEX('BalSht Data'!H$1:H$2999,MATCH(Y$1,'BalSht Data'!A$2:A$2051,0)+MATCH(A36,'BalSht Data'!G$2:G$2051,0))</f>
        <v>#N/A</v>
      </c>
      <c r="Z36" s="49" t="e">
        <f>INDEX('BalSht Data'!H$1:H$2999,MATCH(Z$1,'BalSht Data'!A$2:A$2051,0)+MATCH(A36,'BalSht Data'!G$2:G$2051,0))</f>
        <v>#N/A</v>
      </c>
      <c r="AA36" s="49" t="e">
        <f>INDEX('BalSht Data'!H$1:H$2999,MATCH(AA$1,'BalSht Data'!A$2:A$2051,0)+MATCH(A36,'BalSht Data'!G$2:G$2051,0))</f>
        <v>#N/A</v>
      </c>
      <c r="AB36" s="49" t="e">
        <f>INDEX('BalSht Data'!H$1:H$2999,MATCH(AB$1,'BalSht Data'!A$2:A$2051,0)+MATCH(A36,'BalSht Data'!G$2:G$2051,0))</f>
        <v>#N/A</v>
      </c>
      <c r="AC36" s="49" t="e">
        <f>INDEX('BalSht Data'!H$1:H$2999,MATCH(AC$1,'BalSht Data'!A$2:A$2051,0)+MATCH(A36,'BalSht Data'!G$2:G$2051,0))</f>
        <v>#N/A</v>
      </c>
      <c r="AD36" s="49" t="e">
        <f>INDEX('BalSht Data'!H$1:H$2999,MATCH(AD$1,'BalSht Data'!A$2:A$2051,0)+MATCH(A36,'BalSht Data'!G$2:G$2051,0))</f>
        <v>#N/A</v>
      </c>
      <c r="AE36" s="49" t="e">
        <f>INDEX('BalSht Data'!H$1:H$2999,MATCH(AE$1,'BalSht Data'!A$2:A$2051,0)+MATCH(A36,'BalSht Data'!G$2:G$2051,0))</f>
        <v>#N/A</v>
      </c>
      <c r="AF36" s="49" t="e">
        <f>INDEX('BalSht Data'!H$1:H$2999,MATCH(AF$1,'BalSht Data'!A$2:A$2051,0)+MATCH(A36,'BalSht Data'!G$2:G$2051,0))</f>
        <v>#N/A</v>
      </c>
      <c r="AG36" s="49" t="e">
        <f>INDEX('BalSht Data'!H$1:H$2999,MATCH(AG$1,'BalSht Data'!A$2:A$2051,0)+MATCH(A36,'BalSht Data'!G$2:G$2051,0))</f>
        <v>#N/A</v>
      </c>
      <c r="AH36" s="49" t="e">
        <f>INDEX('BalSht Data'!H$1:H$2999,MATCH(AH$1,'BalSht Data'!A$2:A$2051,0)+MATCH(A36,'BalSht Data'!G$2:G$2051,0))</f>
        <v>#N/A</v>
      </c>
      <c r="AI36" s="49" t="e">
        <f>INDEX('BalSht Data'!H$1:H$2999,MATCH(AI$1,'BalSht Data'!A$2:A$2051,0)+MATCH(A36,'BalSht Data'!G$2:G$2051,0))</f>
        <v>#N/A</v>
      </c>
      <c r="AJ36" s="49" t="e">
        <f>INDEX('BalSht Data'!H$1:H$2999,MATCH(AJ$1,'BalSht Data'!A$2:A$2051,0)+MATCH(A36,'BalSht Data'!G$2:G$2051,0))</f>
        <v>#N/A</v>
      </c>
      <c r="AK36" s="49" t="e">
        <f>INDEX('BalSht Data'!H$1:H$2999,MATCH(AK$1,'BalSht Data'!A$2:A$2051,0)+MATCH(A36,'BalSht Data'!G$2:G$2051,0))</f>
        <v>#N/A</v>
      </c>
      <c r="AL36" s="49">
        <f>INDEX('BalSht Data'!H$1:H$2999,MATCH(AL$1,'BalSht Data'!A$2:A$2051,0)+MATCH(A36,'BalSht Data'!G$2:G$2051,0))</f>
        <v>0</v>
      </c>
      <c r="AM36" s="49">
        <f>INDEX('BalSht Data'!H$1:H$2999,MATCH(AM$1,'BalSht Data'!A$2:A$2051,0)+MATCH(A36,'BalSht Data'!G$2:G$2051,0))</f>
        <v>0</v>
      </c>
      <c r="AN36" s="49">
        <f>INDEX('BalSht Data'!H$1:H$2999,MATCH(AN$1,'BalSht Data'!A$2:A$2051,0)+MATCH(A36,'BalSht Data'!G$2:G$2051,0))</f>
        <v>0</v>
      </c>
      <c r="AO36" s="49">
        <f>INDEX('BalSht Data'!H$1:H$2999,MATCH(AO$1,'BalSht Data'!A$2:A$2051,0)+MATCH(A36,'BalSht Data'!G$2:G$2051,0))</f>
        <v>0</v>
      </c>
      <c r="AP36" s="49" t="e">
        <f>INDEX('BalSht Data'!H$1:H$2999,MATCH(AP$1,'BalSht Data'!A$2:A$2051,0)+MATCH(A36,'BalSht Data'!G$2:G$2051,0))</f>
        <v>#N/A</v>
      </c>
      <c r="AQ36" s="49" t="e">
        <f>INDEX('BalSht Data'!H$1:H$2999,MATCH(AQ$1,'BalSht Data'!A$2:A$2051,0)+MATCH(A36,'BalSht Data'!G$2:G$2051,0))</f>
        <v>#N/A</v>
      </c>
      <c r="AR36" s="49" t="e">
        <f>INDEX('BalSht Data'!H$1:H$2999,MATCH(AR$1,'BalSht Data'!A$2:A$2051,0)+MATCH(A36,'BalSht Data'!G$2:G$2051,0))</f>
        <v>#N/A</v>
      </c>
      <c r="AS36" s="49" t="e">
        <f>INDEX('BalSht Data'!H$1:H$2999,MATCH(AS$1,'BalSht Data'!A$2:A$2051,0)+MATCH(A36,'BalSht Data'!G$2:G$2051,0))</f>
        <v>#N/A</v>
      </c>
      <c r="AT36" s="49" t="e">
        <f>INDEX('BalSht Data'!H$1:H$2999,MATCH(AT$1,'BalSht Data'!A$2:A$2051,0)+MATCH(A36,'BalSht Data'!G$2:G$2051,0))</f>
        <v>#N/A</v>
      </c>
      <c r="AU36" s="49" t="e">
        <f>INDEX('BalSht Data'!H$1:H$2999,MATCH(AU$1,'BalSht Data'!A$2:A$2051,0)+MATCH(A36,'BalSht Data'!G$2:G$2051,0))</f>
        <v>#N/A</v>
      </c>
      <c r="AV36" s="49" t="e">
        <f>INDEX('BalSht Data'!H$1:H$2999,MATCH(AV$1,'BalSht Data'!A$2:A$2051,0)+MATCH(A36,'BalSht Data'!G$2:G$2051,0))</f>
        <v>#N/A</v>
      </c>
      <c r="AW36" s="49" t="e">
        <f>INDEX('BalSht Data'!H$1:H$2999,MATCH(AW$1,'BalSht Data'!A$2:A$2051,0)+MATCH(A36,'BalSht Data'!G$2:G$2051,0))</f>
        <v>#N/A</v>
      </c>
      <c r="AX36" s="49" t="e">
        <f>INDEX('BalSht Data'!H$1:H$2999,MATCH(AX$1,'BalSht Data'!A$2:A$2051,0)+MATCH(A36,'BalSht Data'!G$2:G$2051,0))</f>
        <v>#N/A</v>
      </c>
      <c r="AY36" s="49" t="e">
        <f>INDEX('BalSht Data'!H$1:H$2999,MATCH(AY$1,'BalSht Data'!A$2:A$2051,0)+MATCH(A36,'BalSht Data'!G$2:G$2051,0))</f>
        <v>#N/A</v>
      </c>
      <c r="AZ36" s="49" t="e">
        <f>INDEX('BalSht Data'!H$1:H$2999,MATCH(AZ$1,'BalSht Data'!A$2:A$2051,0)+MATCH(A36,'BalSht Data'!G$2:G$2051,0))</f>
        <v>#N/A</v>
      </c>
      <c r="BA36" s="49" t="e">
        <f>INDEX('BalSht Data'!H$1:H$2999,MATCH(BA$1,'BalSht Data'!A$2:A$2051,0)+MATCH(A36,'BalSht Data'!G$2:G$2051,0))</f>
        <v>#N/A</v>
      </c>
      <c r="BB36" s="49" t="e">
        <f>INDEX('BalSht Data'!H$1:H$2999,MATCH(BB$1,'BalSht Data'!A$2:A$2051,0)+MATCH(A36,'BalSht Data'!G$2:G$2051,0))</f>
        <v>#N/A</v>
      </c>
      <c r="BC36" s="49" t="e">
        <f>INDEX('BalSht Data'!H$1:H$2999,MATCH(BC$1,'BalSht Data'!A$2:A$2051,0)+MATCH(A36,'BalSht Data'!G$2:G$2051,0))</f>
        <v>#N/A</v>
      </c>
      <c r="BD36" s="49" t="e">
        <f>INDEX('BalSht Data'!H$1:H$2999,MATCH(BD$1,'BalSht Data'!A$2:A$2051,0)+MATCH(A36,'BalSht Data'!G$2:G$2051,0))</f>
        <v>#N/A</v>
      </c>
      <c r="BE36" s="49" t="e">
        <f>INDEX('BalSht Data'!H$1:H$2999,MATCH(BE$1,'BalSht Data'!A$2:A$2051,0)+MATCH(A36,'BalSht Data'!G$2:G$2051,0))</f>
        <v>#N/A</v>
      </c>
      <c r="BF36" s="49" t="e">
        <f>INDEX('BalSht Data'!H$1:H$2999,MATCH(BF$1,'BalSht Data'!A$2:A$2051,0)+MATCH(A36,'BalSht Data'!G$2:G$2051,0))</f>
        <v>#N/A</v>
      </c>
      <c r="BG36" s="49" t="e">
        <f>INDEX('BalSht Data'!H$1:H$2999,MATCH(BG$1,'BalSht Data'!A$2:A$2051,0)+MATCH(A36,'BalSht Data'!G$2:G$2051,0))</f>
        <v>#N/A</v>
      </c>
      <c r="BH36" s="49" t="e">
        <f>INDEX('BalSht Data'!H$1:H$2999,MATCH(BH$1,'BalSht Data'!A$2:A$2051,0)+MATCH(A36,'BalSht Data'!G$2:G$2051,0))</f>
        <v>#N/A</v>
      </c>
      <c r="BI36" s="49" t="e">
        <f>INDEX('BalSht Data'!H$1:H$2999,MATCH(BI$1,'BalSht Data'!A$2:A$2051,0)+MATCH(A36,'BalSht Data'!G$2:G$2051,0))</f>
        <v>#N/A</v>
      </c>
      <c r="BJ36" s="49" t="e">
        <f>INDEX('BalSht Data'!H$1:H$2999,MATCH(BJ$1,'BalSht Data'!A$2:A$2051,0)+MATCH(A36,'BalSht Data'!G$2:G$2051,0))</f>
        <v>#N/A</v>
      </c>
      <c r="BK36" s="49" t="e">
        <f>INDEX('BalSht Data'!H$1:H$2999,MATCH(BK$1,'BalSht Data'!A$2:A$2051,0)+MATCH(A36,'BalSht Data'!G$2:G$2051,0))</f>
        <v>#N/A</v>
      </c>
      <c r="BL36" s="49" t="e">
        <f>INDEX('BalSht Data'!H$1:H$2999,MATCH(BL$1,'BalSht Data'!A$2:A$2051,0)+MATCH(A36,'BalSht Data'!G$2:G$2051,0))</f>
        <v>#N/A</v>
      </c>
      <c r="BM36" s="49" t="e">
        <f>INDEX('BalSht Data'!H$1:H$2999,MATCH(BM$1,'BalSht Data'!A$2:A$2051,0)+MATCH(A36,'BalSht Data'!G$2:G$2051,0))</f>
        <v>#N/A</v>
      </c>
      <c r="BN36" s="49" t="e">
        <f>INDEX('BalSht Data'!H$1:H$2999,MATCH(BN$1,'BalSht Data'!A$2:A$2051,0)+MATCH(A36,'BalSht Data'!G$2:G$2051,0))</f>
        <v>#N/A</v>
      </c>
      <c r="BO36" s="49" t="e">
        <f>INDEX('BalSht Data'!H$1:H$2999,MATCH(BO$1,'BalSht Data'!A$2:A$2051,0)+MATCH(A36,'BalSht Data'!G$2:G$2051,0))</f>
        <v>#N/A</v>
      </c>
      <c r="BP36" s="49" t="e">
        <f>INDEX('BalSht Data'!H$1:H$2999,MATCH(BP$1,'BalSht Data'!A$2:A$2051,0)+MATCH(A36,'BalSht Data'!G$2:G$2051,0))</f>
        <v>#N/A</v>
      </c>
      <c r="BQ36" s="49" t="e">
        <f>INDEX('BalSht Data'!H$1:H$2999,MATCH(BQ$1,'BalSht Data'!A$2:A$2051,0)+MATCH(A36,'BalSht Data'!G$2:G$2051,0))</f>
        <v>#N/A</v>
      </c>
      <c r="BR36" s="49" t="e">
        <f>INDEX('BalSht Data'!H$1:H$2999,MATCH(BR$1,'BalSht Data'!A$2:A$2051,0)+MATCH(A36,'BalSht Data'!G$2:G$2051,0))</f>
        <v>#N/A</v>
      </c>
      <c r="BS36" s="49" t="e">
        <f>INDEX('BalSht Data'!H$1:H$2999,MATCH(BS$1,'BalSht Data'!A$2:A$2051,0)+MATCH(A36,'BalSht Data'!G$2:G$2051,0))</f>
        <v>#N/A</v>
      </c>
      <c r="BT36" s="49" t="e">
        <f>INDEX('BalSht Data'!H$1:H$2999,MATCH(BT$1,'BalSht Data'!A$2:A$2051,0)+MATCH(A36,'BalSht Data'!G$2:G$2051,0))</f>
        <v>#N/A</v>
      </c>
      <c r="BU36" s="49" t="e">
        <f>INDEX('BalSht Data'!H$1:H$2999,MATCH(BU$1,'BalSht Data'!A$2:A$2051,0)+MATCH(A36,'BalSht Data'!G$2:G$2051,0))</f>
        <v>#N/A</v>
      </c>
      <c r="BV36" s="49" t="e">
        <f>INDEX('BalSht Data'!H$1:H$2999,MATCH(BV$1,'BalSht Data'!A$2:A$2051,0)+MATCH(A36,'BalSht Data'!G$2:G$2051,0))</f>
        <v>#N/A</v>
      </c>
      <c r="BW36" s="49" t="e">
        <f>INDEX('BalSht Data'!H$1:H$2999,MATCH(BW$1,'BalSht Data'!A$2:A$2051,0)+MATCH(A36,'BalSht Data'!G$2:G$2051,0))</f>
        <v>#N/A</v>
      </c>
      <c r="BX36" s="49" t="e">
        <f>INDEX('BalSht Data'!H$1:H$2999,MATCH(BX$1,'BalSht Data'!A$2:A$2051,0)+MATCH(A36,'BalSht Data'!G$2:G$2051,0))</f>
        <v>#N/A</v>
      </c>
      <c r="BY36" s="49" t="e">
        <f>INDEX('BalSht Data'!H$1:H$2999,MATCH(BY$1,'BalSht Data'!A$2:A$2051,0)+MATCH(A36,'BalSht Data'!G$2:G$2051,0))</f>
        <v>#N/A</v>
      </c>
      <c r="BZ36" s="49" t="e">
        <f>INDEX('BalSht Data'!H$1:H$2999,MATCH(BZ$1,'BalSht Data'!A$2:A$2051,0)+MATCH(A36,'BalSht Data'!G$2:G$2051,0))</f>
        <v>#N/A</v>
      </c>
      <c r="CA36" s="49" t="e">
        <f>INDEX('BalSht Data'!H$1:H$2999,MATCH(CA$1,'BalSht Data'!A$2:A$2051,0)+MATCH(A36,'BalSht Data'!G$2:G$2051,0))</f>
        <v>#N/A</v>
      </c>
      <c r="CB36" s="49" t="e">
        <f>INDEX('BalSht Data'!H$1:H$2999,MATCH(CB$1,'BalSht Data'!A$2:A$2051,0)+MATCH(A36,'BalSht Data'!G$2:G$2051,0))</f>
        <v>#N/A</v>
      </c>
      <c r="CC36" s="49" t="e">
        <f>INDEX('BalSht Data'!H$1:H$2999,MATCH(CC$1,'BalSht Data'!A$2:A$2051,0)+MATCH(A36,'BalSht Data'!G$2:G$2051,0))</f>
        <v>#N/A</v>
      </c>
      <c r="CD36" s="49" t="e">
        <f>INDEX('BalSht Data'!H$1:H$2999,MATCH(CD$1,'BalSht Data'!A$2:A$2051,0)+MATCH(A36,'BalSht Data'!G$2:G$2051,0))</f>
        <v>#N/A</v>
      </c>
      <c r="CE36" s="49" t="e">
        <f>INDEX('BalSht Data'!H$1:H$2999,MATCH(CE$1,'BalSht Data'!A$2:A$2051,0)+MATCH(A36,'BalSht Data'!G$2:G$2051,0))</f>
        <v>#N/A</v>
      </c>
      <c r="CF36" s="49" t="e">
        <f>INDEX('BalSht Data'!H$1:H$2999,MATCH(CF$1,'BalSht Data'!A$2:A$2051,0)+MATCH(A36,'BalSht Data'!G$2:G$2051,0))</f>
        <v>#N/A</v>
      </c>
      <c r="CG36" s="49" t="e">
        <f>INDEX('BalSht Data'!H$1:H$2999,MATCH(CG$1,'BalSht Data'!A$2:A$2051,0)+MATCH(A36,'BalSht Data'!G$2:G$2051,0))</f>
        <v>#N/A</v>
      </c>
      <c r="CH36" s="49" t="e">
        <f>INDEX('BalSht Data'!H$1:H$2999,MATCH(CH$1,'BalSht Data'!A$2:A$2051,0)+MATCH(A36,'BalSht Data'!G$2:G$2051,0))</f>
        <v>#N/A</v>
      </c>
      <c r="CI36" s="49" t="e">
        <f>INDEX('BalSht Data'!H$1:H$2999,MATCH(CI$1,'BalSht Data'!A$2:A$2051,0)+MATCH(A36,'BalSht Data'!G$2:G$2051,0))</f>
        <v>#N/A</v>
      </c>
      <c r="CJ36" s="49" t="e">
        <f>INDEX('BalSht Data'!H$1:H$2999,MATCH(CJ$1,'BalSht Data'!A$2:A$2051,0)+MATCH(A36,'BalSht Data'!G$2:G$2051,0))</f>
        <v>#N/A</v>
      </c>
      <c r="CK36" s="49" t="e">
        <f>INDEX('BalSht Data'!H$1:H$2999,MATCH(CK$1,'BalSht Data'!A$2:A$2051,0)+MATCH(A36,'BalSht Data'!G$2:G$2051,0))</f>
        <v>#N/A</v>
      </c>
      <c r="CL36" s="49" t="e">
        <f>INDEX('BalSht Data'!H$1:H$2999,MATCH(CL$1,'BalSht Data'!A$2:A$2051,0)+MATCH(A36,'BalSht Data'!G$2:G$2051,0))</f>
        <v>#N/A</v>
      </c>
      <c r="CM36" s="49" t="e">
        <f>INDEX('BalSht Data'!H$1:H$2999,MATCH(CM$1,'BalSht Data'!A$2:A$2051,0)+MATCH(A36,'BalSht Data'!G$2:G$2051,0))</f>
        <v>#N/A</v>
      </c>
      <c r="CN36" s="49" t="e">
        <f>INDEX('BalSht Data'!H$1:H$2999,MATCH(CN$1,'BalSht Data'!A$2:A$2051,0)+MATCH(A36,'BalSht Data'!G$2:G$2051,0))</f>
        <v>#N/A</v>
      </c>
      <c r="CO36" s="49" t="e">
        <f>INDEX('BalSht Data'!H$1:H$2999,MATCH(CO$1,'BalSht Data'!A$2:A$2051,0)+MATCH(A36,'BalSht Data'!G$2:G$2051,0))</f>
        <v>#N/A</v>
      </c>
      <c r="CP36" s="49" t="e">
        <f>INDEX('BalSht Data'!H$1:H$2999,MATCH(CP$1,'BalSht Data'!A$2:A$2051,0)+MATCH(A36,'BalSht Data'!G$2:G$2051,0))</f>
        <v>#N/A</v>
      </c>
      <c r="CQ36" s="49" t="e">
        <f>INDEX('BalSht Data'!H$1:H$2999,MATCH(CQ$1,'BalSht Data'!A$2:A$2051,0)+MATCH(A36,'BalSht Data'!G$2:G$2051,0))</f>
        <v>#N/A</v>
      </c>
      <c r="CR36" s="49" t="e">
        <f>INDEX('BalSht Data'!H$1:H$2999,MATCH(CR$1,'BalSht Data'!A$2:A$2051,0)+MATCH(A36,'BalSht Data'!G$2:G$2051,0))</f>
        <v>#N/A</v>
      </c>
      <c r="CS36" s="49" t="e">
        <f>INDEX('BalSht Data'!H$1:H$2999,MATCH(CS$1,'BalSht Data'!A$2:A$2051,0)+MATCH(A36,'BalSht Data'!G$2:G$2051,0))</f>
        <v>#N/A</v>
      </c>
      <c r="CT36" s="49" t="e">
        <f>INDEX('BalSht Data'!H$1:H$2999,MATCH(CT$1,'BalSht Data'!A$2:A$2051,0)+MATCH(A36,'BalSht Data'!G$2:G$2051,0))</f>
        <v>#N/A</v>
      </c>
      <c r="CU36" s="49" t="e">
        <f>INDEX('BalSht Data'!H$1:H$2999,MATCH(CU$1,'BalSht Data'!A$2:A$2051,0)+MATCH(A36,'BalSht Data'!G$2:G$2051,0))</f>
        <v>#N/A</v>
      </c>
      <c r="CV36" s="49" t="e">
        <f>INDEX('BalSht Data'!H$1:H$2999,MATCH(CV$1,'BalSht Data'!A$2:A$2051,0)+MATCH(A36,'BalSht Data'!G$2:G$2051,0))</f>
        <v>#N/A</v>
      </c>
      <c r="CW36" s="49" t="e">
        <f>INDEX('BalSht Data'!H$1:H$2999,MATCH(CW$1,'BalSht Data'!A$2:A$2051,0)+MATCH(A36,'BalSht Data'!G$2:G$2051,0))</f>
        <v>#N/A</v>
      </c>
      <c r="CX36" s="49" t="e">
        <f>INDEX('BalSht Data'!H$1:H$2999,MATCH(CX$1,'BalSht Data'!A$2:A$2051,0)+MATCH(A36,'BalSht Data'!G$2:G$2051,0))</f>
        <v>#N/A</v>
      </c>
      <c r="CY36" s="49" t="e">
        <f>INDEX('BalSht Data'!H$1:H$2999,MATCH(CY$1,'BalSht Data'!A$2:A$2051,0)+MATCH(A36,'BalSht Data'!G$2:G$2051,0))</f>
        <v>#N/A</v>
      </c>
      <c r="CZ36" s="49" t="e">
        <f>INDEX('BalSht Data'!H$1:H$2999,MATCH(CZ$1,'BalSht Data'!A$2:A$2051,0)+MATCH(A36,'BalSht Data'!G$2:G$2051,0))</f>
        <v>#N/A</v>
      </c>
    </row>
    <row r="37" spans="1:104" s="46" customFormat="1" x14ac:dyDescent="0.2">
      <c r="A37" s="5" t="s">
        <v>35</v>
      </c>
      <c r="B37" s="49" t="e">
        <f>INDEX('BalSht Data'!H$1:H$2999,MATCH(B$1,'BalSht Data'!A$2:A$2051,0)+MATCH(A37,'BalSht Data'!G$2:G$2051,0))</f>
        <v>#N/A</v>
      </c>
      <c r="C37" s="49" t="e">
        <f>INDEX('BalSht Data'!H$1:H$2999,MATCH(C$1,'BalSht Data'!A$2:A$2051,0)+MATCH(A37,'BalSht Data'!G$2:G$2051,0))</f>
        <v>#N/A</v>
      </c>
      <c r="D37" s="49" t="e">
        <f>INDEX('BalSht Data'!H$1:H$2999,MATCH(D$1,'BalSht Data'!A$2:A$2051,0)+MATCH(A37,'BalSht Data'!G$2:G$2051,0))</f>
        <v>#N/A</v>
      </c>
      <c r="E37" s="49" t="e">
        <f>INDEX('BalSht Data'!H$1:H$2999,MATCH(E$1,'BalSht Data'!A$2:A$2051,0)+MATCH(A37,'BalSht Data'!G$2:G$2051,0))</f>
        <v>#N/A</v>
      </c>
      <c r="F37" s="49" t="e">
        <f>INDEX('BalSht Data'!H$1:H$2999,MATCH(F$1,'BalSht Data'!A$2:A$2051,0)+MATCH(A37,'BalSht Data'!G$2:G$2051,0))</f>
        <v>#N/A</v>
      </c>
      <c r="G37" s="49" t="e">
        <f>INDEX('BalSht Data'!H$1:H$2999,MATCH(G$1,'BalSht Data'!A$2:A$2051,0)+MATCH(A37,'BalSht Data'!G$2:G$2051,0))</f>
        <v>#N/A</v>
      </c>
      <c r="H37" s="49" t="e">
        <f>INDEX('BalSht Data'!H$1:H$2999,MATCH(H$1,'BalSht Data'!A$2:A$2051,0)+MATCH(A37,'BalSht Data'!G$2:G$2051,0))</f>
        <v>#N/A</v>
      </c>
      <c r="I37" s="49" t="e">
        <f>INDEX('BalSht Data'!H$1:H$2999,MATCH(I$1,'BalSht Data'!A$2:A$2051,0)+MATCH(A37,'BalSht Data'!G$2:G$2051,0))</f>
        <v>#N/A</v>
      </c>
      <c r="J37" s="49" t="e">
        <f>INDEX('BalSht Data'!H$1:H$2999,MATCH(J$1,'BalSht Data'!A$2:A$2051,0)+MATCH(A37,'BalSht Data'!G$2:G$2051,0))</f>
        <v>#N/A</v>
      </c>
      <c r="K37" s="49" t="e">
        <f>INDEX('BalSht Data'!H$1:H$2999,MATCH(K$1,'BalSht Data'!A$2:A$2051,0)+MATCH(A37,'BalSht Data'!G$2:G$2051,0))</f>
        <v>#N/A</v>
      </c>
      <c r="L37" s="49" t="e">
        <f>INDEX('BalSht Data'!H$1:H$2999,MATCH(L$1,'BalSht Data'!A$2:A$2051,0)+MATCH(A37,'BalSht Data'!G$2:G$2051,0))</f>
        <v>#N/A</v>
      </c>
      <c r="M37" s="49" t="e">
        <f>INDEX('BalSht Data'!H$1:H$2999,MATCH(M$1,'BalSht Data'!A$2:A$2051,0)+MATCH(A37,'BalSht Data'!G$2:G$2051,0))</f>
        <v>#N/A</v>
      </c>
      <c r="N37" s="49" t="e">
        <f>INDEX('BalSht Data'!H$1:H$2999,MATCH(N$1,'BalSht Data'!A$2:A$2051,0)+MATCH(A37,'BalSht Data'!G$2:G$2051,0))</f>
        <v>#N/A</v>
      </c>
      <c r="O37" s="49" t="e">
        <f>INDEX('BalSht Data'!H$1:H$2999,MATCH(O$1,'BalSht Data'!A$2:A$2051,0)+MATCH(A37,'BalSht Data'!G$2:G$2051,0))</f>
        <v>#N/A</v>
      </c>
      <c r="P37" s="49" t="e">
        <f>INDEX('BalSht Data'!H$1:H$2999,MATCH(P$1,'BalSht Data'!A$2:A$2051,0)+MATCH(A37,'BalSht Data'!G$2:G$2051,0))</f>
        <v>#N/A</v>
      </c>
      <c r="Q37" s="49" t="e">
        <f>INDEX('BalSht Data'!H$1:H$2999,MATCH(Q$1,'BalSht Data'!A$2:A$2051,0)+MATCH(A37,'BalSht Data'!G$2:G$2051,0))</f>
        <v>#N/A</v>
      </c>
      <c r="R37" s="49" t="e">
        <f>INDEX('BalSht Data'!H$1:H$2999,MATCH(R$1,'BalSht Data'!A$2:A$2051,0)+MATCH(A37,'BalSht Data'!G$2:G$2051,0))</f>
        <v>#N/A</v>
      </c>
      <c r="S37" s="49" t="e">
        <f>INDEX('BalSht Data'!H$1:H$2999,MATCH(S$1,'BalSht Data'!A$2:A$2051,0)+MATCH(A37,'BalSht Data'!G$2:G$2051,0))</f>
        <v>#N/A</v>
      </c>
      <c r="T37" s="49" t="e">
        <f>INDEX('BalSht Data'!H$1:H$2999,MATCH(T$1,'BalSht Data'!A$2:A$2051,0)+MATCH(A37,'BalSht Data'!G$2:G$2051,0))</f>
        <v>#N/A</v>
      </c>
      <c r="U37" s="49" t="e">
        <f>INDEX('BalSht Data'!H$1:H$2999,MATCH(U$1,'BalSht Data'!A$2:A$2051,0)+MATCH(A37,'BalSht Data'!G$2:G$2051,0))</f>
        <v>#N/A</v>
      </c>
      <c r="V37" s="49" t="e">
        <f>INDEX('BalSht Data'!H$1:H$2999,MATCH(V$1,'BalSht Data'!A$2:A$2051,0)+MATCH(A37,'BalSht Data'!G$2:G$2051,0))</f>
        <v>#N/A</v>
      </c>
      <c r="W37" s="49" t="e">
        <f>INDEX('BalSht Data'!H$1:H$2999,MATCH(W$1,'BalSht Data'!A$2:A$2051,0)+MATCH(A37,'BalSht Data'!G$2:G$2051,0))</f>
        <v>#N/A</v>
      </c>
      <c r="X37" s="49" t="e">
        <f>INDEX('BalSht Data'!H$1:H$2999,MATCH(X$1,'BalSht Data'!A$2:A$2051,0)+MATCH(A37,'BalSht Data'!G$2:G$2051,0))</f>
        <v>#N/A</v>
      </c>
      <c r="Y37" s="49" t="e">
        <f>INDEX('BalSht Data'!H$1:H$2999,MATCH(Y$1,'BalSht Data'!A$2:A$2051,0)+MATCH(A37,'BalSht Data'!G$2:G$2051,0))</f>
        <v>#N/A</v>
      </c>
      <c r="Z37" s="49" t="e">
        <f>INDEX('BalSht Data'!H$1:H$2999,MATCH(Z$1,'BalSht Data'!A$2:A$2051,0)+MATCH(A37,'BalSht Data'!G$2:G$2051,0))</f>
        <v>#N/A</v>
      </c>
      <c r="AA37" s="49" t="e">
        <f>INDEX('BalSht Data'!H$1:H$2999,MATCH(AA$1,'BalSht Data'!A$2:A$2051,0)+MATCH(A37,'BalSht Data'!G$2:G$2051,0))</f>
        <v>#N/A</v>
      </c>
      <c r="AB37" s="49" t="e">
        <f>INDEX('BalSht Data'!H$1:H$2999,MATCH(AB$1,'BalSht Data'!A$2:A$2051,0)+MATCH(A37,'BalSht Data'!G$2:G$2051,0))</f>
        <v>#N/A</v>
      </c>
      <c r="AC37" s="49" t="e">
        <f>INDEX('BalSht Data'!H$1:H$2999,MATCH(AC$1,'BalSht Data'!A$2:A$2051,0)+MATCH(A37,'BalSht Data'!G$2:G$2051,0))</f>
        <v>#N/A</v>
      </c>
      <c r="AD37" s="49" t="e">
        <f>INDEX('BalSht Data'!H$1:H$2999,MATCH(AD$1,'BalSht Data'!A$2:A$2051,0)+MATCH(A37,'BalSht Data'!G$2:G$2051,0))</f>
        <v>#N/A</v>
      </c>
      <c r="AE37" s="49" t="e">
        <f>INDEX('BalSht Data'!H$1:H$2999,MATCH(AE$1,'BalSht Data'!A$2:A$2051,0)+MATCH(A37,'BalSht Data'!G$2:G$2051,0))</f>
        <v>#N/A</v>
      </c>
      <c r="AF37" s="49" t="e">
        <f>INDEX('BalSht Data'!H$1:H$2999,MATCH(AF$1,'BalSht Data'!A$2:A$2051,0)+MATCH(A37,'BalSht Data'!G$2:G$2051,0))</f>
        <v>#N/A</v>
      </c>
      <c r="AG37" s="49" t="e">
        <f>INDEX('BalSht Data'!H$1:H$2999,MATCH(AG$1,'BalSht Data'!A$2:A$2051,0)+MATCH(A37,'BalSht Data'!G$2:G$2051,0))</f>
        <v>#N/A</v>
      </c>
      <c r="AH37" s="49" t="e">
        <f>INDEX('BalSht Data'!H$1:H$2999,MATCH(AH$1,'BalSht Data'!A$2:A$2051,0)+MATCH(A37,'BalSht Data'!G$2:G$2051,0))</f>
        <v>#N/A</v>
      </c>
      <c r="AI37" s="49" t="e">
        <f>INDEX('BalSht Data'!H$1:H$2999,MATCH(AI$1,'BalSht Data'!A$2:A$2051,0)+MATCH(A37,'BalSht Data'!G$2:G$2051,0))</f>
        <v>#N/A</v>
      </c>
      <c r="AJ37" s="49" t="e">
        <f>INDEX('BalSht Data'!H$1:H$2999,MATCH(AJ$1,'BalSht Data'!A$2:A$2051,0)+MATCH(A37,'BalSht Data'!G$2:G$2051,0))</f>
        <v>#N/A</v>
      </c>
      <c r="AK37" s="49" t="e">
        <f>INDEX('BalSht Data'!H$1:H$2999,MATCH(AK$1,'BalSht Data'!A$2:A$2051,0)+MATCH(A37,'BalSht Data'!G$2:G$2051,0))</f>
        <v>#N/A</v>
      </c>
      <c r="AL37" s="49">
        <f>INDEX('BalSht Data'!H$1:H$2999,MATCH(AL$1,'BalSht Data'!A$2:A$2051,0)+MATCH(A37,'BalSht Data'!G$2:G$2051,0))</f>
        <v>0</v>
      </c>
      <c r="AM37" s="49">
        <f>INDEX('BalSht Data'!H$1:H$2999,MATCH(AM$1,'BalSht Data'!A$2:A$2051,0)+MATCH(A37,'BalSht Data'!G$2:G$2051,0))</f>
        <v>0</v>
      </c>
      <c r="AN37" s="49">
        <f>INDEX('BalSht Data'!H$1:H$2999,MATCH(AN$1,'BalSht Data'!A$2:A$2051,0)+MATCH(A37,'BalSht Data'!G$2:G$2051,0))</f>
        <v>0</v>
      </c>
      <c r="AO37" s="49">
        <f>INDEX('BalSht Data'!H$1:H$2999,MATCH(AO$1,'BalSht Data'!A$2:A$2051,0)+MATCH(A37,'BalSht Data'!G$2:G$2051,0))</f>
        <v>0</v>
      </c>
      <c r="AP37" s="49" t="e">
        <f>INDEX('BalSht Data'!H$1:H$2999,MATCH(AP$1,'BalSht Data'!A$2:A$2051,0)+MATCH(A37,'BalSht Data'!G$2:G$2051,0))</f>
        <v>#N/A</v>
      </c>
      <c r="AQ37" s="49" t="e">
        <f>INDEX('BalSht Data'!H$1:H$2999,MATCH(AQ$1,'BalSht Data'!A$2:A$2051,0)+MATCH(A37,'BalSht Data'!G$2:G$2051,0))</f>
        <v>#N/A</v>
      </c>
      <c r="AR37" s="49" t="e">
        <f>INDEX('BalSht Data'!H$1:H$2999,MATCH(AR$1,'BalSht Data'!A$2:A$2051,0)+MATCH(A37,'BalSht Data'!G$2:G$2051,0))</f>
        <v>#N/A</v>
      </c>
      <c r="AS37" s="49" t="e">
        <f>INDEX('BalSht Data'!H$1:H$2999,MATCH(AS$1,'BalSht Data'!A$2:A$2051,0)+MATCH(A37,'BalSht Data'!G$2:G$2051,0))</f>
        <v>#N/A</v>
      </c>
      <c r="AT37" s="49" t="e">
        <f>INDEX('BalSht Data'!H$1:H$2999,MATCH(AT$1,'BalSht Data'!A$2:A$2051,0)+MATCH(A37,'BalSht Data'!G$2:G$2051,0))</f>
        <v>#N/A</v>
      </c>
      <c r="AU37" s="49" t="e">
        <f>INDEX('BalSht Data'!H$1:H$2999,MATCH(AU$1,'BalSht Data'!A$2:A$2051,0)+MATCH(A37,'BalSht Data'!G$2:G$2051,0))</f>
        <v>#N/A</v>
      </c>
      <c r="AV37" s="49" t="e">
        <f>INDEX('BalSht Data'!H$1:H$2999,MATCH(AV$1,'BalSht Data'!A$2:A$2051,0)+MATCH(A37,'BalSht Data'!G$2:G$2051,0))</f>
        <v>#N/A</v>
      </c>
      <c r="AW37" s="49" t="e">
        <f>INDEX('BalSht Data'!H$1:H$2999,MATCH(AW$1,'BalSht Data'!A$2:A$2051,0)+MATCH(A37,'BalSht Data'!G$2:G$2051,0))</f>
        <v>#N/A</v>
      </c>
      <c r="AX37" s="49" t="e">
        <f>INDEX('BalSht Data'!H$1:H$2999,MATCH(AX$1,'BalSht Data'!A$2:A$2051,0)+MATCH(A37,'BalSht Data'!G$2:G$2051,0))</f>
        <v>#N/A</v>
      </c>
      <c r="AY37" s="49" t="e">
        <f>INDEX('BalSht Data'!H$1:H$2999,MATCH(AY$1,'BalSht Data'!A$2:A$2051,0)+MATCH(A37,'BalSht Data'!G$2:G$2051,0))</f>
        <v>#N/A</v>
      </c>
      <c r="AZ37" s="49" t="e">
        <f>INDEX('BalSht Data'!H$1:H$2999,MATCH(AZ$1,'BalSht Data'!A$2:A$2051,0)+MATCH(A37,'BalSht Data'!G$2:G$2051,0))</f>
        <v>#N/A</v>
      </c>
      <c r="BA37" s="49" t="e">
        <f>INDEX('BalSht Data'!H$1:H$2999,MATCH(BA$1,'BalSht Data'!A$2:A$2051,0)+MATCH(A37,'BalSht Data'!G$2:G$2051,0))</f>
        <v>#N/A</v>
      </c>
      <c r="BB37" s="49" t="e">
        <f>INDEX('BalSht Data'!H$1:H$2999,MATCH(BB$1,'BalSht Data'!A$2:A$2051,0)+MATCH(A37,'BalSht Data'!G$2:G$2051,0))</f>
        <v>#N/A</v>
      </c>
      <c r="BC37" s="49" t="e">
        <f>INDEX('BalSht Data'!H$1:H$2999,MATCH(BC$1,'BalSht Data'!A$2:A$2051,0)+MATCH(A37,'BalSht Data'!G$2:G$2051,0))</f>
        <v>#N/A</v>
      </c>
      <c r="BD37" s="49" t="e">
        <f>INDEX('BalSht Data'!H$1:H$2999,MATCH(BD$1,'BalSht Data'!A$2:A$2051,0)+MATCH(A37,'BalSht Data'!G$2:G$2051,0))</f>
        <v>#N/A</v>
      </c>
      <c r="BE37" s="49" t="e">
        <f>INDEX('BalSht Data'!H$1:H$2999,MATCH(BE$1,'BalSht Data'!A$2:A$2051,0)+MATCH(A37,'BalSht Data'!G$2:G$2051,0))</f>
        <v>#N/A</v>
      </c>
      <c r="BF37" s="49" t="e">
        <f>INDEX('BalSht Data'!H$1:H$2999,MATCH(BF$1,'BalSht Data'!A$2:A$2051,0)+MATCH(A37,'BalSht Data'!G$2:G$2051,0))</f>
        <v>#N/A</v>
      </c>
      <c r="BG37" s="49" t="e">
        <f>INDEX('BalSht Data'!H$1:H$2999,MATCH(BG$1,'BalSht Data'!A$2:A$2051,0)+MATCH(A37,'BalSht Data'!G$2:G$2051,0))</f>
        <v>#N/A</v>
      </c>
      <c r="BH37" s="49" t="e">
        <f>INDEX('BalSht Data'!H$1:H$2999,MATCH(BH$1,'BalSht Data'!A$2:A$2051,0)+MATCH(A37,'BalSht Data'!G$2:G$2051,0))</f>
        <v>#N/A</v>
      </c>
      <c r="BI37" s="49" t="e">
        <f>INDEX('BalSht Data'!H$1:H$2999,MATCH(BI$1,'BalSht Data'!A$2:A$2051,0)+MATCH(A37,'BalSht Data'!G$2:G$2051,0))</f>
        <v>#N/A</v>
      </c>
      <c r="BJ37" s="49" t="e">
        <f>INDEX('BalSht Data'!H$1:H$2999,MATCH(BJ$1,'BalSht Data'!A$2:A$2051,0)+MATCH(A37,'BalSht Data'!G$2:G$2051,0))</f>
        <v>#N/A</v>
      </c>
      <c r="BK37" s="49" t="e">
        <f>INDEX('BalSht Data'!H$1:H$2999,MATCH(BK$1,'BalSht Data'!A$2:A$2051,0)+MATCH(A37,'BalSht Data'!G$2:G$2051,0))</f>
        <v>#N/A</v>
      </c>
      <c r="BL37" s="49" t="e">
        <f>INDEX('BalSht Data'!H$1:H$2999,MATCH(BL$1,'BalSht Data'!A$2:A$2051,0)+MATCH(A37,'BalSht Data'!G$2:G$2051,0))</f>
        <v>#N/A</v>
      </c>
      <c r="BM37" s="49" t="e">
        <f>INDEX('BalSht Data'!H$1:H$2999,MATCH(BM$1,'BalSht Data'!A$2:A$2051,0)+MATCH(A37,'BalSht Data'!G$2:G$2051,0))</f>
        <v>#N/A</v>
      </c>
      <c r="BN37" s="49" t="e">
        <f>INDEX('BalSht Data'!H$1:H$2999,MATCH(BN$1,'BalSht Data'!A$2:A$2051,0)+MATCH(A37,'BalSht Data'!G$2:G$2051,0))</f>
        <v>#N/A</v>
      </c>
      <c r="BO37" s="49" t="e">
        <f>INDEX('BalSht Data'!H$1:H$2999,MATCH(BO$1,'BalSht Data'!A$2:A$2051,0)+MATCH(A37,'BalSht Data'!G$2:G$2051,0))</f>
        <v>#N/A</v>
      </c>
      <c r="BP37" s="49" t="e">
        <f>INDEX('BalSht Data'!H$1:H$2999,MATCH(BP$1,'BalSht Data'!A$2:A$2051,0)+MATCH(A37,'BalSht Data'!G$2:G$2051,0))</f>
        <v>#N/A</v>
      </c>
      <c r="BQ37" s="49" t="e">
        <f>INDEX('BalSht Data'!H$1:H$2999,MATCH(BQ$1,'BalSht Data'!A$2:A$2051,0)+MATCH(A37,'BalSht Data'!G$2:G$2051,0))</f>
        <v>#N/A</v>
      </c>
      <c r="BR37" s="49" t="e">
        <f>INDEX('BalSht Data'!H$1:H$2999,MATCH(BR$1,'BalSht Data'!A$2:A$2051,0)+MATCH(A37,'BalSht Data'!G$2:G$2051,0))</f>
        <v>#N/A</v>
      </c>
      <c r="BS37" s="49" t="e">
        <f>INDEX('BalSht Data'!H$1:H$2999,MATCH(BS$1,'BalSht Data'!A$2:A$2051,0)+MATCH(A37,'BalSht Data'!G$2:G$2051,0))</f>
        <v>#N/A</v>
      </c>
      <c r="BT37" s="49" t="e">
        <f>INDEX('BalSht Data'!H$1:H$2999,MATCH(BT$1,'BalSht Data'!A$2:A$2051,0)+MATCH(A37,'BalSht Data'!G$2:G$2051,0))</f>
        <v>#N/A</v>
      </c>
      <c r="BU37" s="49" t="e">
        <f>INDEX('BalSht Data'!H$1:H$2999,MATCH(BU$1,'BalSht Data'!A$2:A$2051,0)+MATCH(A37,'BalSht Data'!G$2:G$2051,0))</f>
        <v>#N/A</v>
      </c>
      <c r="BV37" s="49" t="e">
        <f>INDEX('BalSht Data'!H$1:H$2999,MATCH(BV$1,'BalSht Data'!A$2:A$2051,0)+MATCH(A37,'BalSht Data'!G$2:G$2051,0))</f>
        <v>#N/A</v>
      </c>
      <c r="BW37" s="49" t="e">
        <f>INDEX('BalSht Data'!H$1:H$2999,MATCH(BW$1,'BalSht Data'!A$2:A$2051,0)+MATCH(A37,'BalSht Data'!G$2:G$2051,0))</f>
        <v>#N/A</v>
      </c>
      <c r="BX37" s="49" t="e">
        <f>INDEX('BalSht Data'!H$1:H$2999,MATCH(BX$1,'BalSht Data'!A$2:A$2051,0)+MATCH(A37,'BalSht Data'!G$2:G$2051,0))</f>
        <v>#N/A</v>
      </c>
      <c r="BY37" s="49" t="e">
        <f>INDEX('BalSht Data'!H$1:H$2999,MATCH(BY$1,'BalSht Data'!A$2:A$2051,0)+MATCH(A37,'BalSht Data'!G$2:G$2051,0))</f>
        <v>#N/A</v>
      </c>
      <c r="BZ37" s="49" t="e">
        <f>INDEX('BalSht Data'!H$1:H$2999,MATCH(BZ$1,'BalSht Data'!A$2:A$2051,0)+MATCH(A37,'BalSht Data'!G$2:G$2051,0))</f>
        <v>#N/A</v>
      </c>
      <c r="CA37" s="49" t="e">
        <f>INDEX('BalSht Data'!H$1:H$2999,MATCH(CA$1,'BalSht Data'!A$2:A$2051,0)+MATCH(A37,'BalSht Data'!G$2:G$2051,0))</f>
        <v>#N/A</v>
      </c>
      <c r="CB37" s="49" t="e">
        <f>INDEX('BalSht Data'!H$1:H$2999,MATCH(CB$1,'BalSht Data'!A$2:A$2051,0)+MATCH(A37,'BalSht Data'!G$2:G$2051,0))</f>
        <v>#N/A</v>
      </c>
      <c r="CC37" s="49" t="e">
        <f>INDEX('BalSht Data'!H$1:H$2999,MATCH(CC$1,'BalSht Data'!A$2:A$2051,0)+MATCH(A37,'BalSht Data'!G$2:G$2051,0))</f>
        <v>#N/A</v>
      </c>
      <c r="CD37" s="49" t="e">
        <f>INDEX('BalSht Data'!H$1:H$2999,MATCH(CD$1,'BalSht Data'!A$2:A$2051,0)+MATCH(A37,'BalSht Data'!G$2:G$2051,0))</f>
        <v>#N/A</v>
      </c>
      <c r="CE37" s="49" t="e">
        <f>INDEX('BalSht Data'!H$1:H$2999,MATCH(CE$1,'BalSht Data'!A$2:A$2051,0)+MATCH(A37,'BalSht Data'!G$2:G$2051,0))</f>
        <v>#N/A</v>
      </c>
      <c r="CF37" s="49" t="e">
        <f>INDEX('BalSht Data'!H$1:H$2999,MATCH(CF$1,'BalSht Data'!A$2:A$2051,0)+MATCH(A37,'BalSht Data'!G$2:G$2051,0))</f>
        <v>#N/A</v>
      </c>
      <c r="CG37" s="49" t="e">
        <f>INDEX('BalSht Data'!H$1:H$2999,MATCH(CG$1,'BalSht Data'!A$2:A$2051,0)+MATCH(A37,'BalSht Data'!G$2:G$2051,0))</f>
        <v>#N/A</v>
      </c>
      <c r="CH37" s="49" t="e">
        <f>INDEX('BalSht Data'!H$1:H$2999,MATCH(CH$1,'BalSht Data'!A$2:A$2051,0)+MATCH(A37,'BalSht Data'!G$2:G$2051,0))</f>
        <v>#N/A</v>
      </c>
      <c r="CI37" s="49" t="e">
        <f>INDEX('BalSht Data'!H$1:H$2999,MATCH(CI$1,'BalSht Data'!A$2:A$2051,0)+MATCH(A37,'BalSht Data'!G$2:G$2051,0))</f>
        <v>#N/A</v>
      </c>
      <c r="CJ37" s="49" t="e">
        <f>INDEX('BalSht Data'!H$1:H$2999,MATCH(CJ$1,'BalSht Data'!A$2:A$2051,0)+MATCH(A37,'BalSht Data'!G$2:G$2051,0))</f>
        <v>#N/A</v>
      </c>
      <c r="CK37" s="49" t="e">
        <f>INDEX('BalSht Data'!H$1:H$2999,MATCH(CK$1,'BalSht Data'!A$2:A$2051,0)+MATCH(A37,'BalSht Data'!G$2:G$2051,0))</f>
        <v>#N/A</v>
      </c>
      <c r="CL37" s="49" t="e">
        <f>INDEX('BalSht Data'!H$1:H$2999,MATCH(CL$1,'BalSht Data'!A$2:A$2051,0)+MATCH(A37,'BalSht Data'!G$2:G$2051,0))</f>
        <v>#N/A</v>
      </c>
      <c r="CM37" s="49" t="e">
        <f>INDEX('BalSht Data'!H$1:H$2999,MATCH(CM$1,'BalSht Data'!A$2:A$2051,0)+MATCH(A37,'BalSht Data'!G$2:G$2051,0))</f>
        <v>#N/A</v>
      </c>
      <c r="CN37" s="49" t="e">
        <f>INDEX('BalSht Data'!H$1:H$2999,MATCH(CN$1,'BalSht Data'!A$2:A$2051,0)+MATCH(A37,'BalSht Data'!G$2:G$2051,0))</f>
        <v>#N/A</v>
      </c>
      <c r="CO37" s="49" t="e">
        <f>INDEX('BalSht Data'!H$1:H$2999,MATCH(CO$1,'BalSht Data'!A$2:A$2051,0)+MATCH(A37,'BalSht Data'!G$2:G$2051,0))</f>
        <v>#N/A</v>
      </c>
      <c r="CP37" s="49" t="e">
        <f>INDEX('BalSht Data'!H$1:H$2999,MATCH(CP$1,'BalSht Data'!A$2:A$2051,0)+MATCH(A37,'BalSht Data'!G$2:G$2051,0))</f>
        <v>#N/A</v>
      </c>
      <c r="CQ37" s="49" t="e">
        <f>INDEX('BalSht Data'!H$1:H$2999,MATCH(CQ$1,'BalSht Data'!A$2:A$2051,0)+MATCH(A37,'BalSht Data'!G$2:G$2051,0))</f>
        <v>#N/A</v>
      </c>
      <c r="CR37" s="49" t="e">
        <f>INDEX('BalSht Data'!H$1:H$2999,MATCH(CR$1,'BalSht Data'!A$2:A$2051,0)+MATCH(A37,'BalSht Data'!G$2:G$2051,0))</f>
        <v>#N/A</v>
      </c>
      <c r="CS37" s="49" t="e">
        <f>INDEX('BalSht Data'!H$1:H$2999,MATCH(CS$1,'BalSht Data'!A$2:A$2051,0)+MATCH(A37,'BalSht Data'!G$2:G$2051,0))</f>
        <v>#N/A</v>
      </c>
      <c r="CT37" s="49" t="e">
        <f>INDEX('BalSht Data'!H$1:H$2999,MATCH(CT$1,'BalSht Data'!A$2:A$2051,0)+MATCH(A37,'BalSht Data'!G$2:G$2051,0))</f>
        <v>#N/A</v>
      </c>
      <c r="CU37" s="49" t="e">
        <f>INDEX('BalSht Data'!H$1:H$2999,MATCH(CU$1,'BalSht Data'!A$2:A$2051,0)+MATCH(A37,'BalSht Data'!G$2:G$2051,0))</f>
        <v>#N/A</v>
      </c>
      <c r="CV37" s="49" t="e">
        <f>INDEX('BalSht Data'!H$1:H$2999,MATCH(CV$1,'BalSht Data'!A$2:A$2051,0)+MATCH(A37,'BalSht Data'!G$2:G$2051,0))</f>
        <v>#N/A</v>
      </c>
      <c r="CW37" s="49" t="e">
        <f>INDEX('BalSht Data'!H$1:H$2999,MATCH(CW$1,'BalSht Data'!A$2:A$2051,0)+MATCH(A37,'BalSht Data'!G$2:G$2051,0))</f>
        <v>#N/A</v>
      </c>
      <c r="CX37" s="49" t="e">
        <f>INDEX('BalSht Data'!H$1:H$2999,MATCH(CX$1,'BalSht Data'!A$2:A$2051,0)+MATCH(A37,'BalSht Data'!G$2:G$2051,0))</f>
        <v>#N/A</v>
      </c>
      <c r="CY37" s="49" t="e">
        <f>INDEX('BalSht Data'!H$1:H$2999,MATCH(CY$1,'BalSht Data'!A$2:A$2051,0)+MATCH(A37,'BalSht Data'!G$2:G$2051,0))</f>
        <v>#N/A</v>
      </c>
      <c r="CZ37" s="49" t="e">
        <f>INDEX('BalSht Data'!H$1:H$2999,MATCH(CZ$1,'BalSht Data'!A$2:A$2051,0)+MATCH(A37,'BalSht Data'!G$2:G$2051,0))</f>
        <v>#N/A</v>
      </c>
    </row>
    <row r="38" spans="1:104" s="48" customFormat="1" ht="15" x14ac:dyDescent="0.35">
      <c r="A38" s="5" t="s">
        <v>36</v>
      </c>
      <c r="B38" s="59" t="e">
        <f>INDEX('BalSht Data'!H$1:H$2999,MATCH(B$1,'BalSht Data'!A$2:A$2051,0)+MATCH(A38,'BalSht Data'!G$2:G$2051,0))</f>
        <v>#N/A</v>
      </c>
      <c r="C38" s="59" t="e">
        <f>INDEX('BalSht Data'!H$1:H$2999,MATCH(C$1,'BalSht Data'!A$2:A$2051,0)+MATCH(A38,'BalSht Data'!G$2:G$2051,0))</f>
        <v>#N/A</v>
      </c>
      <c r="D38" s="59" t="e">
        <f>INDEX('BalSht Data'!H$1:H$2999,MATCH(D$1,'BalSht Data'!A$2:A$2051,0)+MATCH(A38,'BalSht Data'!G$2:G$2051,0))</f>
        <v>#N/A</v>
      </c>
      <c r="E38" s="59" t="e">
        <f>INDEX('BalSht Data'!H$1:H$2999,MATCH(E$1,'BalSht Data'!A$2:A$2051,0)+MATCH(A38,'BalSht Data'!G$2:G$2051,0))</f>
        <v>#N/A</v>
      </c>
      <c r="F38" s="59" t="e">
        <f>INDEX('BalSht Data'!H$1:H$2999,MATCH(F$1,'BalSht Data'!A$2:A$2051,0)+MATCH(A38,'BalSht Data'!G$2:G$2051,0))</f>
        <v>#N/A</v>
      </c>
      <c r="G38" s="59" t="e">
        <f>INDEX('BalSht Data'!H$1:H$2999,MATCH(G$1,'BalSht Data'!A$2:A$2051,0)+MATCH(A38,'BalSht Data'!G$2:G$2051,0))</f>
        <v>#N/A</v>
      </c>
      <c r="H38" s="59" t="e">
        <f>INDEX('BalSht Data'!H$1:H$2999,MATCH(H$1,'BalSht Data'!A$2:A$2051,0)+MATCH(A38,'BalSht Data'!G$2:G$2051,0))</f>
        <v>#N/A</v>
      </c>
      <c r="I38" s="59" t="e">
        <f>INDEX('BalSht Data'!H$1:H$2999,MATCH(I$1,'BalSht Data'!A$2:A$2051,0)+MATCH(A38,'BalSht Data'!G$2:G$2051,0))</f>
        <v>#N/A</v>
      </c>
      <c r="J38" s="59" t="e">
        <f>INDEX('BalSht Data'!H$1:H$2999,MATCH(J$1,'BalSht Data'!A$2:A$2051,0)+MATCH(A38,'BalSht Data'!G$2:G$2051,0))</f>
        <v>#N/A</v>
      </c>
      <c r="K38" s="59" t="e">
        <f>INDEX('BalSht Data'!H$1:H$2999,MATCH(K$1,'BalSht Data'!A$2:A$2051,0)+MATCH(A38,'BalSht Data'!G$2:G$2051,0))</f>
        <v>#N/A</v>
      </c>
      <c r="L38" s="59" t="e">
        <f>INDEX('BalSht Data'!H$1:H$2999,MATCH(L$1,'BalSht Data'!A$2:A$2051,0)+MATCH(A38,'BalSht Data'!G$2:G$2051,0))</f>
        <v>#N/A</v>
      </c>
      <c r="M38" s="59" t="e">
        <f>INDEX('BalSht Data'!H$1:H$2999,MATCH(M$1,'BalSht Data'!A$2:A$2051,0)+MATCH(A38,'BalSht Data'!G$2:G$2051,0))</f>
        <v>#N/A</v>
      </c>
      <c r="N38" s="59" t="e">
        <f>INDEX('BalSht Data'!H$1:H$2999,MATCH(N$1,'BalSht Data'!A$2:A$2051,0)+MATCH(A38,'BalSht Data'!G$2:G$2051,0))</f>
        <v>#N/A</v>
      </c>
      <c r="O38" s="59" t="e">
        <f>INDEX('BalSht Data'!H$1:H$2999,MATCH(O$1,'BalSht Data'!A$2:A$2051,0)+MATCH(A38,'BalSht Data'!G$2:G$2051,0))</f>
        <v>#N/A</v>
      </c>
      <c r="P38" s="59" t="e">
        <f>INDEX('BalSht Data'!H$1:H$2999,MATCH(P$1,'BalSht Data'!A$2:A$2051,0)+MATCH(A38,'BalSht Data'!G$2:G$2051,0))</f>
        <v>#N/A</v>
      </c>
      <c r="Q38" s="59" t="e">
        <f>INDEX('BalSht Data'!H$1:H$2999,MATCH(Q$1,'BalSht Data'!A$2:A$2051,0)+MATCH(A38,'BalSht Data'!G$2:G$2051,0))</f>
        <v>#N/A</v>
      </c>
      <c r="R38" s="59" t="e">
        <f>INDEX('BalSht Data'!H$1:H$2999,MATCH(R$1,'BalSht Data'!A$2:A$2051,0)+MATCH(A38,'BalSht Data'!G$2:G$2051,0))</f>
        <v>#N/A</v>
      </c>
      <c r="S38" s="59" t="e">
        <f>INDEX('BalSht Data'!H$1:H$2999,MATCH(S$1,'BalSht Data'!A$2:A$2051,0)+MATCH(A38,'BalSht Data'!G$2:G$2051,0))</f>
        <v>#N/A</v>
      </c>
      <c r="T38" s="59" t="e">
        <f>INDEX('BalSht Data'!H$1:H$2999,MATCH(T$1,'BalSht Data'!A$2:A$2051,0)+MATCH(A38,'BalSht Data'!G$2:G$2051,0))</f>
        <v>#N/A</v>
      </c>
      <c r="U38" s="59" t="e">
        <f>INDEX('BalSht Data'!H$1:H$2999,MATCH(U$1,'BalSht Data'!A$2:A$2051,0)+MATCH(A38,'BalSht Data'!G$2:G$2051,0))</f>
        <v>#N/A</v>
      </c>
      <c r="V38" s="59" t="e">
        <f>INDEX('BalSht Data'!H$1:H$2999,MATCH(V$1,'BalSht Data'!A$2:A$2051,0)+MATCH(A38,'BalSht Data'!G$2:G$2051,0))</f>
        <v>#N/A</v>
      </c>
      <c r="W38" s="59" t="e">
        <f>INDEX('BalSht Data'!H$1:H$2999,MATCH(W$1,'BalSht Data'!A$2:A$2051,0)+MATCH(A38,'BalSht Data'!G$2:G$2051,0))</f>
        <v>#N/A</v>
      </c>
      <c r="X38" s="59" t="e">
        <f>INDEX('BalSht Data'!H$1:H$2999,MATCH(X$1,'BalSht Data'!A$2:A$2051,0)+MATCH(A38,'BalSht Data'!G$2:G$2051,0))</f>
        <v>#N/A</v>
      </c>
      <c r="Y38" s="59" t="e">
        <f>INDEX('BalSht Data'!H$1:H$2999,MATCH(Y$1,'BalSht Data'!A$2:A$2051,0)+MATCH(A38,'BalSht Data'!G$2:G$2051,0))</f>
        <v>#N/A</v>
      </c>
      <c r="Z38" s="59" t="e">
        <f>INDEX('BalSht Data'!H$1:H$2999,MATCH(Z$1,'BalSht Data'!A$2:A$2051,0)+MATCH(A38,'BalSht Data'!G$2:G$2051,0))</f>
        <v>#N/A</v>
      </c>
      <c r="AA38" s="59" t="e">
        <f>INDEX('BalSht Data'!H$1:H$2999,MATCH(AA$1,'BalSht Data'!A$2:A$2051,0)+MATCH(A38,'BalSht Data'!G$2:G$2051,0))</f>
        <v>#N/A</v>
      </c>
      <c r="AB38" s="59" t="e">
        <f>INDEX('BalSht Data'!H$1:H$2999,MATCH(AB$1,'BalSht Data'!A$2:A$2051,0)+MATCH(A38,'BalSht Data'!G$2:G$2051,0))</f>
        <v>#N/A</v>
      </c>
      <c r="AC38" s="59" t="e">
        <f>INDEX('BalSht Data'!H$1:H$2999,MATCH(AC$1,'BalSht Data'!A$2:A$2051,0)+MATCH(A38,'BalSht Data'!G$2:G$2051,0))</f>
        <v>#N/A</v>
      </c>
      <c r="AD38" s="59" t="e">
        <f>INDEX('BalSht Data'!H$1:H$2999,MATCH(AD$1,'BalSht Data'!A$2:A$2051,0)+MATCH(A38,'BalSht Data'!G$2:G$2051,0))</f>
        <v>#N/A</v>
      </c>
      <c r="AE38" s="59" t="e">
        <f>INDEX('BalSht Data'!H$1:H$2999,MATCH(AE$1,'BalSht Data'!A$2:A$2051,0)+MATCH(A38,'BalSht Data'!G$2:G$2051,0))</f>
        <v>#N/A</v>
      </c>
      <c r="AF38" s="59" t="e">
        <f>INDEX('BalSht Data'!H$1:H$2999,MATCH(AF$1,'BalSht Data'!A$2:A$2051,0)+MATCH(A38,'BalSht Data'!G$2:G$2051,0))</f>
        <v>#N/A</v>
      </c>
      <c r="AG38" s="59" t="e">
        <f>INDEX('BalSht Data'!H$1:H$2999,MATCH(AG$1,'BalSht Data'!A$2:A$2051,0)+MATCH(A38,'BalSht Data'!G$2:G$2051,0))</f>
        <v>#N/A</v>
      </c>
      <c r="AH38" s="59" t="e">
        <f>INDEX('BalSht Data'!H$1:H$2999,MATCH(AH$1,'BalSht Data'!A$2:A$2051,0)+MATCH(A38,'BalSht Data'!G$2:G$2051,0))</f>
        <v>#N/A</v>
      </c>
      <c r="AI38" s="59" t="e">
        <f>INDEX('BalSht Data'!H$1:H$2999,MATCH(AI$1,'BalSht Data'!A$2:A$2051,0)+MATCH(A38,'BalSht Data'!G$2:G$2051,0))</f>
        <v>#N/A</v>
      </c>
      <c r="AJ38" s="59" t="e">
        <f>INDEX('BalSht Data'!H$1:H$2999,MATCH(AJ$1,'BalSht Data'!A$2:A$2051,0)+MATCH(A38,'BalSht Data'!G$2:G$2051,0))</f>
        <v>#N/A</v>
      </c>
      <c r="AK38" s="59" t="e">
        <f>INDEX('BalSht Data'!H$1:H$2999,MATCH(AK$1,'BalSht Data'!A$2:A$2051,0)+MATCH(A38,'BalSht Data'!G$2:G$2051,0))</f>
        <v>#N/A</v>
      </c>
      <c r="AL38" s="59">
        <f>INDEX('BalSht Data'!H$1:H$2999,MATCH(AL$1,'BalSht Data'!A$2:A$2051,0)+MATCH(A38,'BalSht Data'!G$2:G$2051,0))</f>
        <v>0</v>
      </c>
      <c r="AM38" s="59">
        <f>INDEX('BalSht Data'!H$1:H$2999,MATCH(AM$1,'BalSht Data'!A$2:A$2051,0)+MATCH(A38,'BalSht Data'!G$2:G$2051,0))</f>
        <v>0</v>
      </c>
      <c r="AN38" s="59">
        <f>INDEX('BalSht Data'!H$1:H$2999,MATCH(AN$1,'BalSht Data'!A$2:A$2051,0)+MATCH(A38,'BalSht Data'!G$2:G$2051,0))</f>
        <v>0</v>
      </c>
      <c r="AO38" s="59">
        <f>INDEX('BalSht Data'!H$1:H$2999,MATCH(AO$1,'BalSht Data'!A$2:A$2051,0)+MATCH(A38,'BalSht Data'!G$2:G$2051,0))</f>
        <v>0</v>
      </c>
      <c r="AP38" s="59" t="e">
        <f>INDEX('BalSht Data'!H$1:H$2999,MATCH(AP$1,'BalSht Data'!A$2:A$2051,0)+MATCH(A38,'BalSht Data'!G$2:G$2051,0))</f>
        <v>#N/A</v>
      </c>
      <c r="AQ38" s="59" t="e">
        <f>INDEX('BalSht Data'!H$1:H$2999,MATCH(AQ$1,'BalSht Data'!A$2:A$2051,0)+MATCH(A38,'BalSht Data'!G$2:G$2051,0))</f>
        <v>#N/A</v>
      </c>
      <c r="AR38" s="59" t="e">
        <f>INDEX('BalSht Data'!H$1:H$2999,MATCH(AR$1,'BalSht Data'!A$2:A$2051,0)+MATCH(A38,'BalSht Data'!G$2:G$2051,0))</f>
        <v>#N/A</v>
      </c>
      <c r="AS38" s="59" t="e">
        <f>INDEX('BalSht Data'!H$1:H$2999,MATCH(AS$1,'BalSht Data'!A$2:A$2051,0)+MATCH(A38,'BalSht Data'!G$2:G$2051,0))</f>
        <v>#N/A</v>
      </c>
      <c r="AT38" s="59" t="e">
        <f>INDEX('BalSht Data'!H$1:H$2999,MATCH(AT$1,'BalSht Data'!A$2:A$2051,0)+MATCH(A38,'BalSht Data'!G$2:G$2051,0))</f>
        <v>#N/A</v>
      </c>
      <c r="AU38" s="59" t="e">
        <f>INDEX('BalSht Data'!H$1:H$2999,MATCH(AU$1,'BalSht Data'!A$2:A$2051,0)+MATCH(A38,'BalSht Data'!G$2:G$2051,0))</f>
        <v>#N/A</v>
      </c>
      <c r="AV38" s="59" t="e">
        <f>INDEX('BalSht Data'!H$1:H$2999,MATCH(AV$1,'BalSht Data'!A$2:A$2051,0)+MATCH(A38,'BalSht Data'!G$2:G$2051,0))</f>
        <v>#N/A</v>
      </c>
      <c r="AW38" s="59" t="e">
        <f>INDEX('BalSht Data'!H$1:H$2999,MATCH(AW$1,'BalSht Data'!A$2:A$2051,0)+MATCH(A38,'BalSht Data'!G$2:G$2051,0))</f>
        <v>#N/A</v>
      </c>
      <c r="AX38" s="59" t="e">
        <f>INDEX('BalSht Data'!H$1:H$2999,MATCH(AX$1,'BalSht Data'!A$2:A$2051,0)+MATCH(A38,'BalSht Data'!G$2:G$2051,0))</f>
        <v>#N/A</v>
      </c>
      <c r="AY38" s="59" t="e">
        <f>INDEX('BalSht Data'!H$1:H$2999,MATCH(AY$1,'BalSht Data'!A$2:A$2051,0)+MATCH(A38,'BalSht Data'!G$2:G$2051,0))</f>
        <v>#N/A</v>
      </c>
      <c r="AZ38" s="59" t="e">
        <f>INDEX('BalSht Data'!H$1:H$2999,MATCH(AZ$1,'BalSht Data'!A$2:A$2051,0)+MATCH(A38,'BalSht Data'!G$2:G$2051,0))</f>
        <v>#N/A</v>
      </c>
      <c r="BA38" s="59" t="e">
        <f>INDEX('BalSht Data'!H$1:H$2999,MATCH(BA$1,'BalSht Data'!A$2:A$2051,0)+MATCH(A38,'BalSht Data'!G$2:G$2051,0))</f>
        <v>#N/A</v>
      </c>
      <c r="BB38" s="59" t="e">
        <f>INDEX('BalSht Data'!H$1:H$2999,MATCH(BB$1,'BalSht Data'!A$2:A$2051,0)+MATCH(A38,'BalSht Data'!G$2:G$2051,0))</f>
        <v>#N/A</v>
      </c>
      <c r="BC38" s="59" t="e">
        <f>INDEX('BalSht Data'!H$1:H$2999,MATCH(BC$1,'BalSht Data'!A$2:A$2051,0)+MATCH(A38,'BalSht Data'!G$2:G$2051,0))</f>
        <v>#N/A</v>
      </c>
      <c r="BD38" s="59" t="e">
        <f>INDEX('BalSht Data'!H$1:H$2999,MATCH(BD$1,'BalSht Data'!A$2:A$2051,0)+MATCH(A38,'BalSht Data'!G$2:G$2051,0))</f>
        <v>#N/A</v>
      </c>
      <c r="BE38" s="59" t="e">
        <f>INDEX('BalSht Data'!H$1:H$2999,MATCH(BE$1,'BalSht Data'!A$2:A$2051,0)+MATCH(A38,'BalSht Data'!G$2:G$2051,0))</f>
        <v>#N/A</v>
      </c>
      <c r="BF38" s="59" t="e">
        <f>INDEX('BalSht Data'!H$1:H$2999,MATCH(BF$1,'BalSht Data'!A$2:A$2051,0)+MATCH(A38,'BalSht Data'!G$2:G$2051,0))</f>
        <v>#N/A</v>
      </c>
      <c r="BG38" s="59" t="e">
        <f>INDEX('BalSht Data'!H$1:H$2999,MATCH(BG$1,'BalSht Data'!A$2:A$2051,0)+MATCH(A38,'BalSht Data'!G$2:G$2051,0))</f>
        <v>#N/A</v>
      </c>
      <c r="BH38" s="59" t="e">
        <f>INDEX('BalSht Data'!H$1:H$2999,MATCH(BH$1,'BalSht Data'!A$2:A$2051,0)+MATCH(A38,'BalSht Data'!G$2:G$2051,0))</f>
        <v>#N/A</v>
      </c>
      <c r="BI38" s="59" t="e">
        <f>INDEX('BalSht Data'!H$1:H$2999,MATCH(BI$1,'BalSht Data'!A$2:A$2051,0)+MATCH(A38,'BalSht Data'!G$2:G$2051,0))</f>
        <v>#N/A</v>
      </c>
      <c r="BJ38" s="59" t="e">
        <f>INDEX('BalSht Data'!H$1:H$2999,MATCH(BJ$1,'BalSht Data'!A$2:A$2051,0)+MATCH(A38,'BalSht Data'!G$2:G$2051,0))</f>
        <v>#N/A</v>
      </c>
      <c r="BK38" s="59" t="e">
        <f>INDEX('BalSht Data'!H$1:H$2999,MATCH(BK$1,'BalSht Data'!A$2:A$2051,0)+MATCH(A38,'BalSht Data'!G$2:G$2051,0))</f>
        <v>#N/A</v>
      </c>
      <c r="BL38" s="59" t="e">
        <f>INDEX('BalSht Data'!H$1:H$2999,MATCH(BL$1,'BalSht Data'!A$2:A$2051,0)+MATCH(A38,'BalSht Data'!G$2:G$2051,0))</f>
        <v>#N/A</v>
      </c>
      <c r="BM38" s="59" t="e">
        <f>INDEX('BalSht Data'!H$1:H$2999,MATCH(BM$1,'BalSht Data'!A$2:A$2051,0)+MATCH(A38,'BalSht Data'!G$2:G$2051,0))</f>
        <v>#N/A</v>
      </c>
      <c r="BN38" s="59" t="e">
        <f>INDEX('BalSht Data'!H$1:H$2999,MATCH(BN$1,'BalSht Data'!A$2:A$2051,0)+MATCH(A38,'BalSht Data'!G$2:G$2051,0))</f>
        <v>#N/A</v>
      </c>
      <c r="BO38" s="59" t="e">
        <f>INDEX('BalSht Data'!H$1:H$2999,MATCH(BO$1,'BalSht Data'!A$2:A$2051,0)+MATCH(A38,'BalSht Data'!G$2:G$2051,0))</f>
        <v>#N/A</v>
      </c>
      <c r="BP38" s="59" t="e">
        <f>INDEX('BalSht Data'!H$1:H$2999,MATCH(BP$1,'BalSht Data'!A$2:A$2051,0)+MATCH(A38,'BalSht Data'!G$2:G$2051,0))</f>
        <v>#N/A</v>
      </c>
      <c r="BQ38" s="59" t="e">
        <f>INDEX('BalSht Data'!H$1:H$2999,MATCH(BQ$1,'BalSht Data'!A$2:A$2051,0)+MATCH(A38,'BalSht Data'!G$2:G$2051,0))</f>
        <v>#N/A</v>
      </c>
      <c r="BR38" s="59" t="e">
        <f>INDEX('BalSht Data'!H$1:H$2999,MATCH(BR$1,'BalSht Data'!A$2:A$2051,0)+MATCH(A38,'BalSht Data'!G$2:G$2051,0))</f>
        <v>#N/A</v>
      </c>
      <c r="BS38" s="59" t="e">
        <f>INDEX('BalSht Data'!H$1:H$2999,MATCH(BS$1,'BalSht Data'!A$2:A$2051,0)+MATCH(A38,'BalSht Data'!G$2:G$2051,0))</f>
        <v>#N/A</v>
      </c>
      <c r="BT38" s="59" t="e">
        <f>INDEX('BalSht Data'!H$1:H$2999,MATCH(BT$1,'BalSht Data'!A$2:A$2051,0)+MATCH(A38,'BalSht Data'!G$2:G$2051,0))</f>
        <v>#N/A</v>
      </c>
      <c r="BU38" s="59" t="e">
        <f>INDEX('BalSht Data'!H$1:H$2999,MATCH(BU$1,'BalSht Data'!A$2:A$2051,0)+MATCH(A38,'BalSht Data'!G$2:G$2051,0))</f>
        <v>#N/A</v>
      </c>
      <c r="BV38" s="59" t="e">
        <f>INDEX('BalSht Data'!H$1:H$2999,MATCH(BV$1,'BalSht Data'!A$2:A$2051,0)+MATCH(A38,'BalSht Data'!G$2:G$2051,0))</f>
        <v>#N/A</v>
      </c>
      <c r="BW38" s="59" t="e">
        <f>INDEX('BalSht Data'!H$1:H$2999,MATCH(BW$1,'BalSht Data'!A$2:A$2051,0)+MATCH(A38,'BalSht Data'!G$2:G$2051,0))</f>
        <v>#N/A</v>
      </c>
      <c r="BX38" s="59" t="e">
        <f>INDEX('BalSht Data'!H$1:H$2999,MATCH(BX$1,'BalSht Data'!A$2:A$2051,0)+MATCH(A38,'BalSht Data'!G$2:G$2051,0))</f>
        <v>#N/A</v>
      </c>
      <c r="BY38" s="59" t="e">
        <f>INDEX('BalSht Data'!H$1:H$2999,MATCH(BY$1,'BalSht Data'!A$2:A$2051,0)+MATCH(A38,'BalSht Data'!G$2:G$2051,0))</f>
        <v>#N/A</v>
      </c>
      <c r="BZ38" s="59" t="e">
        <f>INDEX('BalSht Data'!H$1:H$2999,MATCH(BZ$1,'BalSht Data'!A$2:A$2051,0)+MATCH(A38,'BalSht Data'!G$2:G$2051,0))</f>
        <v>#N/A</v>
      </c>
      <c r="CA38" s="59" t="e">
        <f>INDEX('BalSht Data'!H$1:H$2999,MATCH(CA$1,'BalSht Data'!A$2:A$2051,0)+MATCH(A38,'BalSht Data'!G$2:G$2051,0))</f>
        <v>#N/A</v>
      </c>
      <c r="CB38" s="59" t="e">
        <f>INDEX('BalSht Data'!H$1:H$2999,MATCH(CB$1,'BalSht Data'!A$2:A$2051,0)+MATCH(A38,'BalSht Data'!G$2:G$2051,0))</f>
        <v>#N/A</v>
      </c>
      <c r="CC38" s="59" t="e">
        <f>INDEX('BalSht Data'!H$1:H$2999,MATCH(CC$1,'BalSht Data'!A$2:A$2051,0)+MATCH(A38,'BalSht Data'!G$2:G$2051,0))</f>
        <v>#N/A</v>
      </c>
      <c r="CD38" s="59" t="e">
        <f>INDEX('BalSht Data'!H$1:H$2999,MATCH(CD$1,'BalSht Data'!A$2:A$2051,0)+MATCH(A38,'BalSht Data'!G$2:G$2051,0))</f>
        <v>#N/A</v>
      </c>
      <c r="CE38" s="59" t="e">
        <f>INDEX('BalSht Data'!H$1:H$2999,MATCH(CE$1,'BalSht Data'!A$2:A$2051,0)+MATCH(A38,'BalSht Data'!G$2:G$2051,0))</f>
        <v>#N/A</v>
      </c>
      <c r="CF38" s="59" t="e">
        <f>INDEX('BalSht Data'!H$1:H$2999,MATCH(CF$1,'BalSht Data'!A$2:A$2051,0)+MATCH(A38,'BalSht Data'!G$2:G$2051,0))</f>
        <v>#N/A</v>
      </c>
      <c r="CG38" s="59" t="e">
        <f>INDEX('BalSht Data'!H$1:H$2999,MATCH(CG$1,'BalSht Data'!A$2:A$2051,0)+MATCH(A38,'BalSht Data'!G$2:G$2051,0))</f>
        <v>#N/A</v>
      </c>
      <c r="CH38" s="59" t="e">
        <f>INDEX('BalSht Data'!H$1:H$2999,MATCH(CH$1,'BalSht Data'!A$2:A$2051,0)+MATCH(A38,'BalSht Data'!G$2:G$2051,0))</f>
        <v>#N/A</v>
      </c>
      <c r="CI38" s="59" t="e">
        <f>INDEX('BalSht Data'!H$1:H$2999,MATCH(CI$1,'BalSht Data'!A$2:A$2051,0)+MATCH(A38,'BalSht Data'!G$2:G$2051,0))</f>
        <v>#N/A</v>
      </c>
      <c r="CJ38" s="59" t="e">
        <f>INDEX('BalSht Data'!H$1:H$2999,MATCH(CJ$1,'BalSht Data'!A$2:A$2051,0)+MATCH(A38,'BalSht Data'!G$2:G$2051,0))</f>
        <v>#N/A</v>
      </c>
      <c r="CK38" s="59" t="e">
        <f>INDEX('BalSht Data'!H$1:H$2999,MATCH(CK$1,'BalSht Data'!A$2:A$2051,0)+MATCH(A38,'BalSht Data'!G$2:G$2051,0))</f>
        <v>#N/A</v>
      </c>
      <c r="CL38" s="59" t="e">
        <f>INDEX('BalSht Data'!H$1:H$2999,MATCH(CL$1,'BalSht Data'!A$2:A$2051,0)+MATCH(A38,'BalSht Data'!G$2:G$2051,0))</f>
        <v>#N/A</v>
      </c>
      <c r="CM38" s="59" t="e">
        <f>INDEX('BalSht Data'!H$1:H$2999,MATCH(CM$1,'BalSht Data'!A$2:A$2051,0)+MATCH(A38,'BalSht Data'!G$2:G$2051,0))</f>
        <v>#N/A</v>
      </c>
      <c r="CN38" s="59" t="e">
        <f>INDEX('BalSht Data'!H$1:H$2999,MATCH(CN$1,'BalSht Data'!A$2:A$2051,0)+MATCH(A38,'BalSht Data'!G$2:G$2051,0))</f>
        <v>#N/A</v>
      </c>
      <c r="CO38" s="59" t="e">
        <f>INDEX('BalSht Data'!H$1:H$2999,MATCH(CO$1,'BalSht Data'!A$2:A$2051,0)+MATCH(A38,'BalSht Data'!G$2:G$2051,0))</f>
        <v>#N/A</v>
      </c>
      <c r="CP38" s="59" t="e">
        <f>INDEX('BalSht Data'!H$1:H$2999,MATCH(CP$1,'BalSht Data'!A$2:A$2051,0)+MATCH(A38,'BalSht Data'!G$2:G$2051,0))</f>
        <v>#N/A</v>
      </c>
      <c r="CQ38" s="59" t="e">
        <f>INDEX('BalSht Data'!H$1:H$2999,MATCH(CQ$1,'BalSht Data'!A$2:A$2051,0)+MATCH(A38,'BalSht Data'!G$2:G$2051,0))</f>
        <v>#N/A</v>
      </c>
      <c r="CR38" s="59" t="e">
        <f>INDEX('BalSht Data'!H$1:H$2999,MATCH(CR$1,'BalSht Data'!A$2:A$2051,0)+MATCH(A38,'BalSht Data'!G$2:G$2051,0))</f>
        <v>#N/A</v>
      </c>
      <c r="CS38" s="59" t="e">
        <f>INDEX('BalSht Data'!H$1:H$2999,MATCH(CS$1,'BalSht Data'!A$2:A$2051,0)+MATCH(A38,'BalSht Data'!G$2:G$2051,0))</f>
        <v>#N/A</v>
      </c>
      <c r="CT38" s="59" t="e">
        <f>INDEX('BalSht Data'!H$1:H$2999,MATCH(CT$1,'BalSht Data'!A$2:A$2051,0)+MATCH(A38,'BalSht Data'!G$2:G$2051,0))</f>
        <v>#N/A</v>
      </c>
      <c r="CU38" s="59" t="e">
        <f>INDEX('BalSht Data'!H$1:H$2999,MATCH(CU$1,'BalSht Data'!A$2:A$2051,0)+MATCH(A38,'BalSht Data'!G$2:G$2051,0))</f>
        <v>#N/A</v>
      </c>
      <c r="CV38" s="59" t="e">
        <f>INDEX('BalSht Data'!H$1:H$2999,MATCH(CV$1,'BalSht Data'!A$2:A$2051,0)+MATCH(A38,'BalSht Data'!G$2:G$2051,0))</f>
        <v>#N/A</v>
      </c>
      <c r="CW38" s="59" t="e">
        <f>INDEX('BalSht Data'!H$1:H$2999,MATCH(CW$1,'BalSht Data'!A$2:A$2051,0)+MATCH(A38,'BalSht Data'!G$2:G$2051,0))</f>
        <v>#N/A</v>
      </c>
      <c r="CX38" s="59" t="e">
        <f>INDEX('BalSht Data'!H$1:H$2999,MATCH(CX$1,'BalSht Data'!A$2:A$2051,0)+MATCH(A38,'BalSht Data'!G$2:G$2051,0))</f>
        <v>#N/A</v>
      </c>
      <c r="CY38" s="59" t="e">
        <f>INDEX('BalSht Data'!H$1:H$2999,MATCH(CY$1,'BalSht Data'!A$2:A$2051,0)+MATCH(A38,'BalSht Data'!G$2:G$2051,0))</f>
        <v>#N/A</v>
      </c>
      <c r="CZ38" s="59" t="e">
        <f>INDEX('BalSht Data'!H$1:H$2999,MATCH(CZ$1,'BalSht Data'!A$2:A$2051,0)+MATCH(A38,'BalSht Data'!G$2:G$2051,0))</f>
        <v>#N/A</v>
      </c>
    </row>
    <row r="39" spans="1:104" s="46" customFormat="1" x14ac:dyDescent="0.2">
      <c r="A39" s="5"/>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row>
    <row r="40" spans="1:104" s="46" customFormat="1" x14ac:dyDescent="0.2">
      <c r="A40" s="5" t="s">
        <v>149</v>
      </c>
      <c r="B40" s="46" t="e">
        <f>SUM((B30:B38))</f>
        <v>#N/A</v>
      </c>
      <c r="C40" s="46" t="e">
        <f>SUM((C30:C38))</f>
        <v>#N/A</v>
      </c>
      <c r="D40" s="46" t="e">
        <f t="shared" ref="D40:BN40" si="8">SUM((D30:D38))</f>
        <v>#N/A</v>
      </c>
      <c r="E40" s="46" t="e">
        <f t="shared" si="8"/>
        <v>#N/A</v>
      </c>
      <c r="F40" s="46" t="e">
        <f t="shared" si="8"/>
        <v>#N/A</v>
      </c>
      <c r="G40" s="46" t="e">
        <f t="shared" si="8"/>
        <v>#N/A</v>
      </c>
      <c r="H40" s="46" t="e">
        <f t="shared" si="8"/>
        <v>#N/A</v>
      </c>
      <c r="I40" s="46" t="e">
        <f t="shared" si="8"/>
        <v>#N/A</v>
      </c>
      <c r="J40" s="46" t="e">
        <f t="shared" si="8"/>
        <v>#N/A</v>
      </c>
      <c r="K40" s="46" t="e">
        <f t="shared" si="8"/>
        <v>#N/A</v>
      </c>
      <c r="L40" s="46" t="e">
        <f t="shared" si="8"/>
        <v>#N/A</v>
      </c>
      <c r="M40" s="46" t="e">
        <f t="shared" si="8"/>
        <v>#N/A</v>
      </c>
      <c r="N40" s="46" t="e">
        <f t="shared" si="8"/>
        <v>#N/A</v>
      </c>
      <c r="O40" s="46" t="e">
        <f t="shared" si="8"/>
        <v>#N/A</v>
      </c>
      <c r="P40" s="46" t="e">
        <f t="shared" si="8"/>
        <v>#N/A</v>
      </c>
      <c r="Q40" s="46" t="e">
        <f t="shared" si="8"/>
        <v>#N/A</v>
      </c>
      <c r="R40" s="46" t="e">
        <f t="shared" si="8"/>
        <v>#N/A</v>
      </c>
      <c r="S40" s="46" t="e">
        <f t="shared" si="8"/>
        <v>#N/A</v>
      </c>
      <c r="T40" s="46" t="e">
        <f t="shared" si="8"/>
        <v>#N/A</v>
      </c>
      <c r="U40" s="46" t="e">
        <f t="shared" si="8"/>
        <v>#N/A</v>
      </c>
      <c r="V40" s="46" t="e">
        <f t="shared" si="8"/>
        <v>#N/A</v>
      </c>
      <c r="W40" s="46" t="e">
        <f t="shared" si="8"/>
        <v>#N/A</v>
      </c>
      <c r="X40" s="46" t="e">
        <f t="shared" si="8"/>
        <v>#N/A</v>
      </c>
      <c r="Y40" s="46" t="e">
        <f t="shared" si="8"/>
        <v>#N/A</v>
      </c>
      <c r="Z40" s="46" t="e">
        <f t="shared" si="8"/>
        <v>#N/A</v>
      </c>
      <c r="AA40" s="46" t="e">
        <f t="shared" si="8"/>
        <v>#N/A</v>
      </c>
      <c r="AB40" s="46" t="e">
        <f t="shared" si="8"/>
        <v>#N/A</v>
      </c>
      <c r="AC40" s="46" t="e">
        <f t="shared" si="8"/>
        <v>#N/A</v>
      </c>
      <c r="AD40" s="46" t="e">
        <f t="shared" si="8"/>
        <v>#N/A</v>
      </c>
      <c r="AE40" s="46" t="e">
        <f t="shared" si="8"/>
        <v>#N/A</v>
      </c>
      <c r="AF40" s="46" t="e">
        <f t="shared" si="8"/>
        <v>#N/A</v>
      </c>
      <c r="AG40" s="46" t="e">
        <f t="shared" si="8"/>
        <v>#N/A</v>
      </c>
      <c r="AH40" s="46" t="e">
        <f t="shared" si="8"/>
        <v>#N/A</v>
      </c>
      <c r="AI40" s="46" t="e">
        <f t="shared" si="8"/>
        <v>#N/A</v>
      </c>
      <c r="AJ40" s="46" t="e">
        <f t="shared" si="8"/>
        <v>#N/A</v>
      </c>
      <c r="AK40" s="46" t="e">
        <f t="shared" si="8"/>
        <v>#N/A</v>
      </c>
      <c r="AL40" s="46">
        <f t="shared" si="8"/>
        <v>0</v>
      </c>
      <c r="AM40" s="46">
        <f t="shared" si="8"/>
        <v>0</v>
      </c>
      <c r="AN40" s="46">
        <f t="shared" si="8"/>
        <v>0</v>
      </c>
      <c r="AO40" s="46">
        <f t="shared" si="8"/>
        <v>0</v>
      </c>
      <c r="AP40" s="46" t="e">
        <f t="shared" si="8"/>
        <v>#N/A</v>
      </c>
      <c r="AQ40" s="46" t="e">
        <f t="shared" si="8"/>
        <v>#N/A</v>
      </c>
      <c r="AR40" s="46" t="e">
        <f t="shared" si="8"/>
        <v>#N/A</v>
      </c>
      <c r="AS40" s="46" t="e">
        <f t="shared" si="8"/>
        <v>#N/A</v>
      </c>
      <c r="AT40" s="46" t="e">
        <f t="shared" si="8"/>
        <v>#N/A</v>
      </c>
      <c r="AU40" s="46" t="e">
        <f t="shared" si="8"/>
        <v>#N/A</v>
      </c>
      <c r="AV40" s="46" t="e">
        <f t="shared" si="8"/>
        <v>#N/A</v>
      </c>
      <c r="AW40" s="46" t="e">
        <f t="shared" si="8"/>
        <v>#N/A</v>
      </c>
      <c r="AX40" s="46" t="e">
        <f t="shared" si="8"/>
        <v>#N/A</v>
      </c>
      <c r="AY40" s="46" t="e">
        <f t="shared" si="8"/>
        <v>#N/A</v>
      </c>
      <c r="AZ40" s="46" t="e">
        <f t="shared" si="8"/>
        <v>#N/A</v>
      </c>
      <c r="BA40" s="46" t="e">
        <f t="shared" si="8"/>
        <v>#N/A</v>
      </c>
      <c r="BB40" s="46" t="e">
        <f t="shared" si="8"/>
        <v>#N/A</v>
      </c>
      <c r="BC40" s="46" t="e">
        <f t="shared" si="8"/>
        <v>#N/A</v>
      </c>
      <c r="BD40" s="46" t="e">
        <f t="shared" si="8"/>
        <v>#N/A</v>
      </c>
      <c r="BE40" s="46" t="e">
        <f t="shared" si="8"/>
        <v>#N/A</v>
      </c>
      <c r="BF40" s="46" t="e">
        <f t="shared" si="8"/>
        <v>#N/A</v>
      </c>
      <c r="BG40" s="46" t="e">
        <f t="shared" si="8"/>
        <v>#N/A</v>
      </c>
      <c r="BH40" s="46" t="e">
        <f t="shared" si="8"/>
        <v>#N/A</v>
      </c>
      <c r="BI40" s="46" t="e">
        <f t="shared" si="8"/>
        <v>#N/A</v>
      </c>
      <c r="BJ40" s="46" t="e">
        <f t="shared" si="8"/>
        <v>#N/A</v>
      </c>
      <c r="BK40" s="46" t="e">
        <f t="shared" si="8"/>
        <v>#N/A</v>
      </c>
      <c r="BL40" s="46" t="e">
        <f t="shared" si="8"/>
        <v>#N/A</v>
      </c>
      <c r="BM40" s="46" t="e">
        <f t="shared" si="8"/>
        <v>#N/A</v>
      </c>
      <c r="BN40" s="46" t="e">
        <f t="shared" si="8"/>
        <v>#N/A</v>
      </c>
      <c r="BO40" s="46" t="e">
        <f t="shared" ref="BO40:CZ40" si="9">SUM((BO30:BO38))</f>
        <v>#N/A</v>
      </c>
      <c r="BP40" s="46" t="e">
        <f t="shared" si="9"/>
        <v>#N/A</v>
      </c>
      <c r="BQ40" s="46" t="e">
        <f t="shared" si="9"/>
        <v>#N/A</v>
      </c>
      <c r="BR40" s="46" t="e">
        <f t="shared" si="9"/>
        <v>#N/A</v>
      </c>
      <c r="BS40" s="46" t="e">
        <f t="shared" si="9"/>
        <v>#N/A</v>
      </c>
      <c r="BT40" s="46" t="e">
        <f t="shared" si="9"/>
        <v>#N/A</v>
      </c>
      <c r="BU40" s="46" t="e">
        <f t="shared" si="9"/>
        <v>#N/A</v>
      </c>
      <c r="BV40" s="46" t="e">
        <f t="shared" si="9"/>
        <v>#N/A</v>
      </c>
      <c r="BW40" s="46" t="e">
        <f t="shared" si="9"/>
        <v>#N/A</v>
      </c>
      <c r="BX40" s="46" t="e">
        <f t="shared" si="9"/>
        <v>#N/A</v>
      </c>
      <c r="BY40" s="46" t="e">
        <f t="shared" si="9"/>
        <v>#N/A</v>
      </c>
      <c r="BZ40" s="46" t="e">
        <f t="shared" si="9"/>
        <v>#N/A</v>
      </c>
      <c r="CA40" s="46" t="e">
        <f t="shared" si="9"/>
        <v>#N/A</v>
      </c>
      <c r="CB40" s="46" t="e">
        <f t="shared" si="9"/>
        <v>#N/A</v>
      </c>
      <c r="CC40" s="46" t="e">
        <f t="shared" si="9"/>
        <v>#N/A</v>
      </c>
      <c r="CD40" s="46" t="e">
        <f t="shared" si="9"/>
        <v>#N/A</v>
      </c>
      <c r="CE40" s="46" t="e">
        <f t="shared" si="9"/>
        <v>#N/A</v>
      </c>
      <c r="CF40" s="46" t="e">
        <f t="shared" si="9"/>
        <v>#N/A</v>
      </c>
      <c r="CG40" s="46" t="e">
        <f t="shared" si="9"/>
        <v>#N/A</v>
      </c>
      <c r="CH40" s="46" t="e">
        <f t="shared" si="9"/>
        <v>#N/A</v>
      </c>
      <c r="CI40" s="46" t="e">
        <f t="shared" si="9"/>
        <v>#N/A</v>
      </c>
      <c r="CJ40" s="46" t="e">
        <f t="shared" si="9"/>
        <v>#N/A</v>
      </c>
      <c r="CK40" s="46" t="e">
        <f t="shared" si="9"/>
        <v>#N/A</v>
      </c>
      <c r="CL40" s="46" t="e">
        <f t="shared" si="9"/>
        <v>#N/A</v>
      </c>
      <c r="CM40" s="46" t="e">
        <f t="shared" si="9"/>
        <v>#N/A</v>
      </c>
      <c r="CN40" s="46" t="e">
        <f t="shared" si="9"/>
        <v>#N/A</v>
      </c>
      <c r="CO40" s="46" t="e">
        <f t="shared" si="9"/>
        <v>#N/A</v>
      </c>
      <c r="CP40" s="46" t="e">
        <f t="shared" si="9"/>
        <v>#N/A</v>
      </c>
      <c r="CQ40" s="46" t="e">
        <f t="shared" si="9"/>
        <v>#N/A</v>
      </c>
      <c r="CR40" s="46" t="e">
        <f t="shared" si="9"/>
        <v>#N/A</v>
      </c>
      <c r="CS40" s="46" t="e">
        <f t="shared" si="9"/>
        <v>#N/A</v>
      </c>
      <c r="CT40" s="46" t="e">
        <f t="shared" si="9"/>
        <v>#N/A</v>
      </c>
      <c r="CU40" s="46" t="e">
        <f t="shared" si="9"/>
        <v>#N/A</v>
      </c>
      <c r="CV40" s="46" t="e">
        <f t="shared" si="9"/>
        <v>#N/A</v>
      </c>
      <c r="CW40" s="46" t="e">
        <f t="shared" si="9"/>
        <v>#N/A</v>
      </c>
      <c r="CX40" s="46" t="e">
        <f t="shared" si="9"/>
        <v>#N/A</v>
      </c>
      <c r="CY40" s="46" t="e">
        <f t="shared" si="9"/>
        <v>#N/A</v>
      </c>
      <c r="CZ40" s="46" t="e">
        <f t="shared" si="9"/>
        <v>#N/A</v>
      </c>
    </row>
    <row r="41" spans="1:104" s="46" customFormat="1" x14ac:dyDescent="0.2">
      <c r="A41" s="3"/>
      <c r="B41" s="49"/>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c r="BX41" s="49"/>
      <c r="BY41" s="49"/>
      <c r="BZ41" s="49"/>
      <c r="CA41" s="49"/>
      <c r="CB41" s="49"/>
      <c r="CC41" s="49"/>
      <c r="CD41" s="49"/>
      <c r="CE41" s="49"/>
      <c r="CF41" s="49"/>
      <c r="CG41" s="49"/>
      <c r="CH41" s="49"/>
      <c r="CI41" s="49"/>
      <c r="CJ41" s="49"/>
      <c r="CK41" s="49"/>
      <c r="CL41" s="49"/>
      <c r="CM41" s="49"/>
      <c r="CN41" s="49"/>
      <c r="CO41" s="49"/>
      <c r="CP41" s="49"/>
      <c r="CQ41" s="49"/>
      <c r="CR41" s="49"/>
      <c r="CS41" s="49"/>
      <c r="CT41" s="49"/>
      <c r="CU41" s="49"/>
      <c r="CV41" s="49"/>
      <c r="CW41" s="49"/>
      <c r="CX41" s="49"/>
      <c r="CY41" s="49"/>
      <c r="CZ41" s="49"/>
    </row>
    <row r="42" spans="1:104" s="48" customFormat="1" ht="15" x14ac:dyDescent="0.35">
      <c r="A42" s="2" t="s">
        <v>37</v>
      </c>
      <c r="B42" s="59" t="e">
        <f>INDEX('BalSht Data'!H$1:H$2999,MATCH(B$1,'BalSht Data'!A$2:A$2051,0)+MATCH(A42,'BalSht Data'!G$2:G$2051,0))</f>
        <v>#N/A</v>
      </c>
      <c r="C42" s="59" t="e">
        <f>INDEX('BalSht Data'!H$1:H$2999,MATCH(C$1,'BalSht Data'!A$2:A$2051,0)+MATCH(A42,'BalSht Data'!G$2:G$2051,0))</f>
        <v>#N/A</v>
      </c>
      <c r="D42" s="59" t="e">
        <f>INDEX('BalSht Data'!H$1:H$2999,MATCH(D$1,'BalSht Data'!A$2:A$2051,0)+MATCH(A42,'BalSht Data'!G$2:G$2051,0))</f>
        <v>#N/A</v>
      </c>
      <c r="E42" s="59" t="e">
        <f>INDEX('BalSht Data'!H$1:H$2999,MATCH(E$1,'BalSht Data'!A$2:A$2051,0)+MATCH(A42,'BalSht Data'!G$2:G$2051,0))</f>
        <v>#N/A</v>
      </c>
      <c r="F42" s="59" t="e">
        <f>INDEX('BalSht Data'!H$1:H$2999,MATCH(F$1,'BalSht Data'!A$2:A$2051,0)+MATCH(A42,'BalSht Data'!G$2:G$2051,0))</f>
        <v>#N/A</v>
      </c>
      <c r="G42" s="59" t="e">
        <f>INDEX('BalSht Data'!H$1:H$2999,MATCH(G$1,'BalSht Data'!A$2:A$2051,0)+MATCH(A42,'BalSht Data'!G$2:G$2051,0))</f>
        <v>#N/A</v>
      </c>
      <c r="H42" s="59" t="e">
        <f>INDEX('BalSht Data'!H$1:H$2999,MATCH(H$1,'BalSht Data'!A$2:A$2051,0)+MATCH(A42,'BalSht Data'!G$2:G$2051,0))</f>
        <v>#N/A</v>
      </c>
      <c r="I42" s="59" t="e">
        <f>INDEX('BalSht Data'!H$1:H$2999,MATCH(I$1,'BalSht Data'!A$2:A$2051,0)+MATCH(A42,'BalSht Data'!G$2:G$2051,0))</f>
        <v>#N/A</v>
      </c>
      <c r="J42" s="59" t="e">
        <f>INDEX('BalSht Data'!H$1:H$2999,MATCH(J$1,'BalSht Data'!A$2:A$2051,0)+MATCH(A42,'BalSht Data'!G$2:G$2051,0))</f>
        <v>#N/A</v>
      </c>
      <c r="K42" s="59" t="e">
        <f>INDEX('BalSht Data'!H$1:H$2999,MATCH(K$1,'BalSht Data'!A$2:A$2051,0)+MATCH(A42,'BalSht Data'!G$2:G$2051,0))</f>
        <v>#N/A</v>
      </c>
      <c r="L42" s="59" t="e">
        <f>INDEX('BalSht Data'!H$1:H$2999,MATCH(L$1,'BalSht Data'!A$2:A$2051,0)+MATCH(A42,'BalSht Data'!G$2:G$2051,0))</f>
        <v>#N/A</v>
      </c>
      <c r="M42" s="59" t="e">
        <f>INDEX('BalSht Data'!H$1:H$2999,MATCH(M$1,'BalSht Data'!A$2:A$2051,0)+MATCH(A42,'BalSht Data'!G$2:G$2051,0))</f>
        <v>#N/A</v>
      </c>
      <c r="N42" s="59" t="e">
        <f>INDEX('BalSht Data'!H$1:H$2999,MATCH(N$1,'BalSht Data'!A$2:A$2051,0)+MATCH(A42,'BalSht Data'!G$2:G$2051,0))</f>
        <v>#N/A</v>
      </c>
      <c r="O42" s="59" t="e">
        <f>INDEX('BalSht Data'!H$1:H$2999,MATCH(O$1,'BalSht Data'!A$2:A$2051,0)+MATCH(A42,'BalSht Data'!G$2:G$2051,0))</f>
        <v>#N/A</v>
      </c>
      <c r="P42" s="59" t="e">
        <f>INDEX('BalSht Data'!H$1:H$2999,MATCH(P$1,'BalSht Data'!A$2:A$2051,0)+MATCH(A42,'BalSht Data'!G$2:G$2051,0))</f>
        <v>#N/A</v>
      </c>
      <c r="Q42" s="59" t="e">
        <f>INDEX('BalSht Data'!H$1:H$2999,MATCH(Q$1,'BalSht Data'!A$2:A$2051,0)+MATCH(A42,'BalSht Data'!G$2:G$2051,0))</f>
        <v>#N/A</v>
      </c>
      <c r="R42" s="59" t="e">
        <f>INDEX('BalSht Data'!H$1:H$2999,MATCH(R$1,'BalSht Data'!A$2:A$2051,0)+MATCH(A42,'BalSht Data'!G$2:G$2051,0))</f>
        <v>#N/A</v>
      </c>
      <c r="S42" s="59" t="e">
        <f>INDEX('BalSht Data'!H$1:H$2999,MATCH(S$1,'BalSht Data'!A$2:A$2051,0)+MATCH(A42,'BalSht Data'!G$2:G$2051,0))</f>
        <v>#N/A</v>
      </c>
      <c r="T42" s="59" t="e">
        <f>INDEX('BalSht Data'!H$1:H$2999,MATCH(T$1,'BalSht Data'!A$2:A$2051,0)+MATCH(A42,'BalSht Data'!G$2:G$2051,0))</f>
        <v>#N/A</v>
      </c>
      <c r="U42" s="59" t="e">
        <f>INDEX('BalSht Data'!H$1:H$2999,MATCH(U$1,'BalSht Data'!A$2:A$2051,0)+MATCH(A42,'BalSht Data'!G$2:G$2051,0))</f>
        <v>#N/A</v>
      </c>
      <c r="V42" s="59" t="e">
        <f>INDEX('BalSht Data'!H$1:H$2999,MATCH(V$1,'BalSht Data'!A$2:A$2051,0)+MATCH(A42,'BalSht Data'!G$2:G$2051,0))</f>
        <v>#N/A</v>
      </c>
      <c r="W42" s="59" t="e">
        <f>INDEX('BalSht Data'!H$1:H$2999,MATCH(W$1,'BalSht Data'!A$2:A$2051,0)+MATCH(A42,'BalSht Data'!G$2:G$2051,0))</f>
        <v>#N/A</v>
      </c>
      <c r="X42" s="59" t="e">
        <f>INDEX('BalSht Data'!H$1:H$2999,MATCH(X$1,'BalSht Data'!A$2:A$2051,0)+MATCH(A42,'BalSht Data'!G$2:G$2051,0))</f>
        <v>#N/A</v>
      </c>
      <c r="Y42" s="59" t="e">
        <f>INDEX('BalSht Data'!H$1:H$2999,MATCH(Y$1,'BalSht Data'!A$2:A$2051,0)+MATCH(A42,'BalSht Data'!G$2:G$2051,0))</f>
        <v>#N/A</v>
      </c>
      <c r="Z42" s="59" t="e">
        <f>INDEX('BalSht Data'!H$1:H$2999,MATCH(Z$1,'BalSht Data'!A$2:A$2051,0)+MATCH(A42,'BalSht Data'!G$2:G$2051,0))</f>
        <v>#N/A</v>
      </c>
      <c r="AA42" s="59" t="e">
        <f>INDEX('BalSht Data'!H$1:H$2999,MATCH(AA$1,'BalSht Data'!A$2:A$2051,0)+MATCH(A42,'BalSht Data'!G$2:G$2051,0))</f>
        <v>#N/A</v>
      </c>
      <c r="AB42" s="59" t="e">
        <f>INDEX('BalSht Data'!H$1:H$2999,MATCH(AB$1,'BalSht Data'!A$2:A$2051,0)+MATCH(A42,'BalSht Data'!G$2:G$2051,0))</f>
        <v>#N/A</v>
      </c>
      <c r="AC42" s="59" t="e">
        <f>INDEX('BalSht Data'!H$1:H$2999,MATCH(AC$1,'BalSht Data'!A$2:A$2051,0)+MATCH(A42,'BalSht Data'!G$2:G$2051,0))</f>
        <v>#N/A</v>
      </c>
      <c r="AD42" s="59" t="e">
        <f>INDEX('BalSht Data'!H$1:H$2999,MATCH(AD$1,'BalSht Data'!A$2:A$2051,0)+MATCH(A42,'BalSht Data'!G$2:G$2051,0))</f>
        <v>#N/A</v>
      </c>
      <c r="AE42" s="59" t="e">
        <f>INDEX('BalSht Data'!H$1:H$2999,MATCH(AE$1,'BalSht Data'!A$2:A$2051,0)+MATCH(A42,'BalSht Data'!G$2:G$2051,0))</f>
        <v>#N/A</v>
      </c>
      <c r="AF42" s="59" t="e">
        <f>INDEX('BalSht Data'!H$1:H$2999,MATCH(AF$1,'BalSht Data'!A$2:A$2051,0)+MATCH(A42,'BalSht Data'!G$2:G$2051,0))</f>
        <v>#N/A</v>
      </c>
      <c r="AG42" s="59" t="e">
        <f>INDEX('BalSht Data'!H$1:H$2999,MATCH(AG$1,'BalSht Data'!A$2:A$2051,0)+MATCH(A42,'BalSht Data'!G$2:G$2051,0))</f>
        <v>#N/A</v>
      </c>
      <c r="AH42" s="59" t="e">
        <f>INDEX('BalSht Data'!H$1:H$2999,MATCH(AH$1,'BalSht Data'!A$2:A$2051,0)+MATCH(A42,'BalSht Data'!G$2:G$2051,0))</f>
        <v>#N/A</v>
      </c>
      <c r="AI42" s="59" t="e">
        <f>INDEX('BalSht Data'!H$1:H$2999,MATCH(AI$1,'BalSht Data'!A$2:A$2051,0)+MATCH(A42,'BalSht Data'!G$2:G$2051,0))</f>
        <v>#N/A</v>
      </c>
      <c r="AJ42" s="59" t="e">
        <f>INDEX('BalSht Data'!H$1:H$2999,MATCH(AJ$1,'BalSht Data'!A$2:A$2051,0)+MATCH(A42,'BalSht Data'!G$2:G$2051,0))</f>
        <v>#N/A</v>
      </c>
      <c r="AK42" s="59" t="e">
        <f>INDEX('BalSht Data'!H$1:H$2999,MATCH(AK$1,'BalSht Data'!A$2:A$2051,0)+MATCH(A42,'BalSht Data'!G$2:G$2051,0))</f>
        <v>#N/A</v>
      </c>
      <c r="AL42" s="59">
        <f>INDEX('BalSht Data'!H$1:H$2999,MATCH(AL$1,'BalSht Data'!A$2:A$2051,0)+MATCH(A42,'BalSht Data'!G$2:G$2051,0))</f>
        <v>0</v>
      </c>
      <c r="AM42" s="59">
        <f>INDEX('BalSht Data'!H$1:H$2999,MATCH(AM$1,'BalSht Data'!A$2:A$2051,0)+MATCH(A42,'BalSht Data'!G$2:G$2051,0))</f>
        <v>0</v>
      </c>
      <c r="AN42" s="59">
        <f>INDEX('BalSht Data'!H$1:H$2999,MATCH(AN$1,'BalSht Data'!A$2:A$2051,0)+MATCH(A42,'BalSht Data'!G$2:G$2051,0))</f>
        <v>0</v>
      </c>
      <c r="AO42" s="59">
        <f>INDEX('BalSht Data'!H$1:H$2999,MATCH(AO$1,'BalSht Data'!A$2:A$2051,0)+MATCH(A42,'BalSht Data'!G$2:G$2051,0))</f>
        <v>0</v>
      </c>
      <c r="AP42" s="59" t="e">
        <f>INDEX('BalSht Data'!H$1:H$2999,MATCH(AP$1,'BalSht Data'!A$2:A$2051,0)+MATCH(A42,'BalSht Data'!G$2:G$2051,0))</f>
        <v>#N/A</v>
      </c>
      <c r="AQ42" s="59" t="e">
        <f>INDEX('BalSht Data'!H$1:H$2999,MATCH(AQ$1,'BalSht Data'!A$2:A$2051,0)+MATCH(A42,'BalSht Data'!G$2:G$2051,0))</f>
        <v>#N/A</v>
      </c>
      <c r="AR42" s="59" t="e">
        <f>INDEX('BalSht Data'!H$1:H$2999,MATCH(AR$1,'BalSht Data'!A$2:A$2051,0)+MATCH(A42,'BalSht Data'!G$2:G$2051,0))</f>
        <v>#N/A</v>
      </c>
      <c r="AS42" s="59" t="e">
        <f>INDEX('BalSht Data'!H$1:H$2999,MATCH(AS$1,'BalSht Data'!A$2:A$2051,0)+MATCH(A42,'BalSht Data'!G$2:G$2051,0))</f>
        <v>#N/A</v>
      </c>
      <c r="AT42" s="59" t="e">
        <f>INDEX('BalSht Data'!H$1:H$2999,MATCH(AT$1,'BalSht Data'!A$2:A$2051,0)+MATCH(A42,'BalSht Data'!G$2:G$2051,0))</f>
        <v>#N/A</v>
      </c>
      <c r="AU42" s="59" t="e">
        <f>INDEX('BalSht Data'!H$1:H$2999,MATCH(AU$1,'BalSht Data'!A$2:A$2051,0)+MATCH(A42,'BalSht Data'!G$2:G$2051,0))</f>
        <v>#N/A</v>
      </c>
      <c r="AV42" s="59" t="e">
        <f>INDEX('BalSht Data'!H$1:H$2999,MATCH(AV$1,'BalSht Data'!A$2:A$2051,0)+MATCH(A42,'BalSht Data'!G$2:G$2051,0))</f>
        <v>#N/A</v>
      </c>
      <c r="AW42" s="59" t="e">
        <f>INDEX('BalSht Data'!H$1:H$2999,MATCH(AW$1,'BalSht Data'!A$2:A$2051,0)+MATCH(A42,'BalSht Data'!G$2:G$2051,0))</f>
        <v>#N/A</v>
      </c>
      <c r="AX42" s="59" t="e">
        <f>INDEX('BalSht Data'!H$1:H$2999,MATCH(AX$1,'BalSht Data'!A$2:A$2051,0)+MATCH(A42,'BalSht Data'!G$2:G$2051,0))</f>
        <v>#N/A</v>
      </c>
      <c r="AY42" s="59" t="e">
        <f>INDEX('BalSht Data'!H$1:H$2999,MATCH(AY$1,'BalSht Data'!A$2:A$2051,0)+MATCH(A42,'BalSht Data'!G$2:G$2051,0))</f>
        <v>#N/A</v>
      </c>
      <c r="AZ42" s="59" t="e">
        <f>INDEX('BalSht Data'!H$1:H$2999,MATCH(AZ$1,'BalSht Data'!A$2:A$2051,0)+MATCH(A42,'BalSht Data'!G$2:G$2051,0))</f>
        <v>#N/A</v>
      </c>
      <c r="BA42" s="59" t="e">
        <f>INDEX('BalSht Data'!H$1:H$2999,MATCH(BA$1,'BalSht Data'!A$2:A$2051,0)+MATCH(A42,'BalSht Data'!G$2:G$2051,0))</f>
        <v>#N/A</v>
      </c>
      <c r="BB42" s="59" t="e">
        <f>INDEX('BalSht Data'!H$1:H$2999,MATCH(BB$1,'BalSht Data'!A$2:A$2051,0)+MATCH(A42,'BalSht Data'!G$2:G$2051,0))</f>
        <v>#N/A</v>
      </c>
      <c r="BC42" s="59" t="e">
        <f>INDEX('BalSht Data'!H$1:H$2999,MATCH(BC$1,'BalSht Data'!A$2:A$2051,0)+MATCH(A42,'BalSht Data'!G$2:G$2051,0))</f>
        <v>#N/A</v>
      </c>
      <c r="BD42" s="59" t="e">
        <f>INDEX('BalSht Data'!H$1:H$2999,MATCH(BD$1,'BalSht Data'!A$2:A$2051,0)+MATCH(A42,'BalSht Data'!G$2:G$2051,0))</f>
        <v>#N/A</v>
      </c>
      <c r="BE42" s="59" t="e">
        <f>INDEX('BalSht Data'!H$1:H$2999,MATCH(BE$1,'BalSht Data'!A$2:A$2051,0)+MATCH(A42,'BalSht Data'!G$2:G$2051,0))</f>
        <v>#N/A</v>
      </c>
      <c r="BF42" s="59" t="e">
        <f>INDEX('BalSht Data'!H$1:H$2999,MATCH(BF$1,'BalSht Data'!A$2:A$2051,0)+MATCH(A42,'BalSht Data'!G$2:G$2051,0))</f>
        <v>#N/A</v>
      </c>
      <c r="BG42" s="59" t="e">
        <f>INDEX('BalSht Data'!H$1:H$2999,MATCH(BG$1,'BalSht Data'!A$2:A$2051,0)+MATCH(A42,'BalSht Data'!G$2:G$2051,0))</f>
        <v>#N/A</v>
      </c>
      <c r="BH42" s="59" t="e">
        <f>INDEX('BalSht Data'!H$1:H$2999,MATCH(BH$1,'BalSht Data'!A$2:A$2051,0)+MATCH(A42,'BalSht Data'!G$2:G$2051,0))</f>
        <v>#N/A</v>
      </c>
      <c r="BI42" s="59" t="e">
        <f>INDEX('BalSht Data'!H$1:H$2999,MATCH(BI$1,'BalSht Data'!A$2:A$2051,0)+MATCH(A42,'BalSht Data'!G$2:G$2051,0))</f>
        <v>#N/A</v>
      </c>
      <c r="BJ42" s="59" t="e">
        <f>INDEX('BalSht Data'!H$1:H$2999,MATCH(BJ$1,'BalSht Data'!A$2:A$2051,0)+MATCH(A42,'BalSht Data'!G$2:G$2051,0))</f>
        <v>#N/A</v>
      </c>
      <c r="BK42" s="59" t="e">
        <f>INDEX('BalSht Data'!H$1:H$2999,MATCH(BK$1,'BalSht Data'!A$2:A$2051,0)+MATCH(A42,'BalSht Data'!G$2:G$2051,0))</f>
        <v>#N/A</v>
      </c>
      <c r="BL42" s="59" t="e">
        <f>INDEX('BalSht Data'!H$1:H$2999,MATCH(BL$1,'BalSht Data'!A$2:A$2051,0)+MATCH(A42,'BalSht Data'!G$2:G$2051,0))</f>
        <v>#N/A</v>
      </c>
      <c r="BM42" s="59" t="e">
        <f>INDEX('BalSht Data'!H$1:H$2999,MATCH(BM$1,'BalSht Data'!A$2:A$2051,0)+MATCH(A42,'BalSht Data'!G$2:G$2051,0))</f>
        <v>#N/A</v>
      </c>
      <c r="BN42" s="59" t="e">
        <f>INDEX('BalSht Data'!H$1:H$2999,MATCH(BN$1,'BalSht Data'!A$2:A$2051,0)+MATCH(A42,'BalSht Data'!G$2:G$2051,0))</f>
        <v>#N/A</v>
      </c>
      <c r="BO42" s="59" t="e">
        <f>INDEX('BalSht Data'!H$1:H$2999,MATCH(BO$1,'BalSht Data'!A$2:A$2051,0)+MATCH(A42,'BalSht Data'!G$2:G$2051,0))</f>
        <v>#N/A</v>
      </c>
      <c r="BP42" s="59" t="e">
        <f>INDEX('BalSht Data'!H$1:H$2999,MATCH(BP$1,'BalSht Data'!A$2:A$2051,0)+MATCH(A42,'BalSht Data'!G$2:G$2051,0))</f>
        <v>#N/A</v>
      </c>
      <c r="BQ42" s="59" t="e">
        <f>INDEX('BalSht Data'!H$1:H$2999,MATCH(BQ$1,'BalSht Data'!A$2:A$2051,0)+MATCH(A42,'BalSht Data'!G$2:G$2051,0))</f>
        <v>#N/A</v>
      </c>
      <c r="BR42" s="59" t="e">
        <f>INDEX('BalSht Data'!H$1:H$2999,MATCH(BR$1,'BalSht Data'!A$2:A$2051,0)+MATCH(A42,'BalSht Data'!G$2:G$2051,0))</f>
        <v>#N/A</v>
      </c>
      <c r="BS42" s="59" t="e">
        <f>INDEX('BalSht Data'!H$1:H$2999,MATCH(BS$1,'BalSht Data'!A$2:A$2051,0)+MATCH(A42,'BalSht Data'!G$2:G$2051,0))</f>
        <v>#N/A</v>
      </c>
      <c r="BT42" s="59" t="e">
        <f>INDEX('BalSht Data'!H$1:H$2999,MATCH(BT$1,'BalSht Data'!A$2:A$2051,0)+MATCH(A42,'BalSht Data'!G$2:G$2051,0))</f>
        <v>#N/A</v>
      </c>
      <c r="BU42" s="59" t="e">
        <f>INDEX('BalSht Data'!H$1:H$2999,MATCH(BU$1,'BalSht Data'!A$2:A$2051,0)+MATCH(A42,'BalSht Data'!G$2:G$2051,0))</f>
        <v>#N/A</v>
      </c>
      <c r="BV42" s="59" t="e">
        <f>INDEX('BalSht Data'!H$1:H$2999,MATCH(BV$1,'BalSht Data'!A$2:A$2051,0)+MATCH(A42,'BalSht Data'!G$2:G$2051,0))</f>
        <v>#N/A</v>
      </c>
      <c r="BW42" s="59" t="e">
        <f>INDEX('BalSht Data'!H$1:H$2999,MATCH(BW$1,'BalSht Data'!A$2:A$2051,0)+MATCH(A42,'BalSht Data'!G$2:G$2051,0))</f>
        <v>#N/A</v>
      </c>
      <c r="BX42" s="59" t="e">
        <f>INDEX('BalSht Data'!H$1:H$2999,MATCH(BX$1,'BalSht Data'!A$2:A$2051,0)+MATCH(A42,'BalSht Data'!G$2:G$2051,0))</f>
        <v>#N/A</v>
      </c>
      <c r="BY42" s="59" t="e">
        <f>INDEX('BalSht Data'!H$1:H$2999,MATCH(BY$1,'BalSht Data'!A$2:A$2051,0)+MATCH(A42,'BalSht Data'!G$2:G$2051,0))</f>
        <v>#N/A</v>
      </c>
      <c r="BZ42" s="59" t="e">
        <f>INDEX('BalSht Data'!H$1:H$2999,MATCH(BZ$1,'BalSht Data'!A$2:A$2051,0)+MATCH(A42,'BalSht Data'!G$2:G$2051,0))</f>
        <v>#N/A</v>
      </c>
      <c r="CA42" s="59" t="e">
        <f>INDEX('BalSht Data'!H$1:H$2999,MATCH(CA$1,'BalSht Data'!A$2:A$2051,0)+MATCH(A42,'BalSht Data'!G$2:G$2051,0))</f>
        <v>#N/A</v>
      </c>
      <c r="CB42" s="59" t="e">
        <f>INDEX('BalSht Data'!H$1:H$2999,MATCH(CB$1,'BalSht Data'!A$2:A$2051,0)+MATCH(A42,'BalSht Data'!G$2:G$2051,0))</f>
        <v>#N/A</v>
      </c>
      <c r="CC42" s="59" t="e">
        <f>INDEX('BalSht Data'!H$1:H$2999,MATCH(CC$1,'BalSht Data'!A$2:A$2051,0)+MATCH(A42,'BalSht Data'!G$2:G$2051,0))</f>
        <v>#N/A</v>
      </c>
      <c r="CD42" s="59" t="e">
        <f>INDEX('BalSht Data'!H$1:H$2999,MATCH(CD$1,'BalSht Data'!A$2:A$2051,0)+MATCH(A42,'BalSht Data'!G$2:G$2051,0))</f>
        <v>#N/A</v>
      </c>
      <c r="CE42" s="59" t="e">
        <f>INDEX('BalSht Data'!H$1:H$2999,MATCH(CE$1,'BalSht Data'!A$2:A$2051,0)+MATCH(A42,'BalSht Data'!G$2:G$2051,0))</f>
        <v>#N/A</v>
      </c>
      <c r="CF42" s="59" t="e">
        <f>INDEX('BalSht Data'!H$1:H$2999,MATCH(CF$1,'BalSht Data'!A$2:A$2051,0)+MATCH(A42,'BalSht Data'!G$2:G$2051,0))</f>
        <v>#N/A</v>
      </c>
      <c r="CG42" s="59" t="e">
        <f>INDEX('BalSht Data'!H$1:H$2999,MATCH(CG$1,'BalSht Data'!A$2:A$2051,0)+MATCH(A42,'BalSht Data'!G$2:G$2051,0))</f>
        <v>#N/A</v>
      </c>
      <c r="CH42" s="59" t="e">
        <f>INDEX('BalSht Data'!H$1:H$2999,MATCH(CH$1,'BalSht Data'!A$2:A$2051,0)+MATCH(A42,'BalSht Data'!G$2:G$2051,0))</f>
        <v>#N/A</v>
      </c>
      <c r="CI42" s="59" t="e">
        <f>INDEX('BalSht Data'!H$1:H$2999,MATCH(CI$1,'BalSht Data'!A$2:A$2051,0)+MATCH(A42,'BalSht Data'!G$2:G$2051,0))</f>
        <v>#N/A</v>
      </c>
      <c r="CJ42" s="59" t="e">
        <f>INDEX('BalSht Data'!H$1:H$2999,MATCH(CJ$1,'BalSht Data'!A$2:A$2051,0)+MATCH(A42,'BalSht Data'!G$2:G$2051,0))</f>
        <v>#N/A</v>
      </c>
      <c r="CK42" s="59" t="e">
        <f>INDEX('BalSht Data'!H$1:H$2999,MATCH(CK$1,'BalSht Data'!A$2:A$2051,0)+MATCH(A42,'BalSht Data'!G$2:G$2051,0))</f>
        <v>#N/A</v>
      </c>
      <c r="CL42" s="59" t="e">
        <f>INDEX('BalSht Data'!H$1:H$2999,MATCH(CL$1,'BalSht Data'!A$2:A$2051,0)+MATCH(A42,'BalSht Data'!G$2:G$2051,0))</f>
        <v>#N/A</v>
      </c>
      <c r="CM42" s="59" t="e">
        <f>INDEX('BalSht Data'!H$1:H$2999,MATCH(CM$1,'BalSht Data'!A$2:A$2051,0)+MATCH(A42,'BalSht Data'!G$2:G$2051,0))</f>
        <v>#N/A</v>
      </c>
      <c r="CN42" s="59" t="e">
        <f>INDEX('BalSht Data'!H$1:H$2999,MATCH(CN$1,'BalSht Data'!A$2:A$2051,0)+MATCH(A42,'BalSht Data'!G$2:G$2051,0))</f>
        <v>#N/A</v>
      </c>
      <c r="CO42" s="59" t="e">
        <f>INDEX('BalSht Data'!H$1:H$2999,MATCH(CO$1,'BalSht Data'!A$2:A$2051,0)+MATCH(A42,'BalSht Data'!G$2:G$2051,0))</f>
        <v>#N/A</v>
      </c>
      <c r="CP42" s="59" t="e">
        <f>INDEX('BalSht Data'!H$1:H$2999,MATCH(CP$1,'BalSht Data'!A$2:A$2051,0)+MATCH(A42,'BalSht Data'!G$2:G$2051,0))</f>
        <v>#N/A</v>
      </c>
      <c r="CQ42" s="59" t="e">
        <f>INDEX('BalSht Data'!H$1:H$2999,MATCH(CQ$1,'BalSht Data'!A$2:A$2051,0)+MATCH(A42,'BalSht Data'!G$2:G$2051,0))</f>
        <v>#N/A</v>
      </c>
      <c r="CR42" s="59" t="e">
        <f>INDEX('BalSht Data'!H$1:H$2999,MATCH(CR$1,'BalSht Data'!A$2:A$2051,0)+MATCH(A42,'BalSht Data'!G$2:G$2051,0))</f>
        <v>#N/A</v>
      </c>
      <c r="CS42" s="59" t="e">
        <f>INDEX('BalSht Data'!H$1:H$2999,MATCH(CS$1,'BalSht Data'!A$2:A$2051,0)+MATCH(A42,'BalSht Data'!G$2:G$2051,0))</f>
        <v>#N/A</v>
      </c>
      <c r="CT42" s="59" t="e">
        <f>INDEX('BalSht Data'!H$1:H$2999,MATCH(CT$1,'BalSht Data'!A$2:A$2051,0)+MATCH(A42,'BalSht Data'!G$2:G$2051,0))</f>
        <v>#N/A</v>
      </c>
      <c r="CU42" s="59" t="e">
        <f>INDEX('BalSht Data'!H$1:H$2999,MATCH(CU$1,'BalSht Data'!A$2:A$2051,0)+MATCH(A42,'BalSht Data'!G$2:G$2051,0))</f>
        <v>#N/A</v>
      </c>
      <c r="CV42" s="59" t="e">
        <f>INDEX('BalSht Data'!H$1:H$2999,MATCH(CV$1,'BalSht Data'!A$2:A$2051,0)+MATCH(A42,'BalSht Data'!G$2:G$2051,0))</f>
        <v>#N/A</v>
      </c>
      <c r="CW42" s="59" t="e">
        <f>INDEX('BalSht Data'!H$1:H$2999,MATCH(CW$1,'BalSht Data'!A$2:A$2051,0)+MATCH(A42,'BalSht Data'!G$2:G$2051,0))</f>
        <v>#N/A</v>
      </c>
      <c r="CX42" s="59" t="e">
        <f>INDEX('BalSht Data'!H$1:H$2999,MATCH(CX$1,'BalSht Data'!A$2:A$2051,0)+MATCH(A42,'BalSht Data'!G$2:G$2051,0))</f>
        <v>#N/A</v>
      </c>
      <c r="CY42" s="59" t="e">
        <f>INDEX('BalSht Data'!H$1:H$2999,MATCH(CY$1,'BalSht Data'!A$2:A$2051,0)+MATCH(A42,'BalSht Data'!G$2:G$2051,0))</f>
        <v>#N/A</v>
      </c>
      <c r="CZ42" s="59" t="e">
        <f>INDEX('BalSht Data'!H$1:H$2999,MATCH(CZ$1,'BalSht Data'!A$2:A$2051,0)+MATCH(A42,'BalSht Data'!G$2:G$2051,0))</f>
        <v>#N/A</v>
      </c>
    </row>
    <row r="43" spans="1:104" s="46" customFormat="1" x14ac:dyDescent="0.2">
      <c r="A43" s="3"/>
    </row>
    <row r="44" spans="1:104" s="48" customFormat="1" ht="15" x14ac:dyDescent="0.35">
      <c r="A44" s="4" t="s">
        <v>150</v>
      </c>
      <c r="B44" s="61" t="e">
        <f>+B40+B42</f>
        <v>#N/A</v>
      </c>
      <c r="C44" s="61" t="e">
        <f t="shared" ref="C44:BN44" si="10">+C40+C42</f>
        <v>#N/A</v>
      </c>
      <c r="D44" s="61" t="e">
        <f t="shared" si="10"/>
        <v>#N/A</v>
      </c>
      <c r="E44" s="61" t="e">
        <f t="shared" si="10"/>
        <v>#N/A</v>
      </c>
      <c r="F44" s="61" t="e">
        <f t="shared" si="10"/>
        <v>#N/A</v>
      </c>
      <c r="G44" s="61" t="e">
        <f t="shared" si="10"/>
        <v>#N/A</v>
      </c>
      <c r="H44" s="61" t="e">
        <f t="shared" si="10"/>
        <v>#N/A</v>
      </c>
      <c r="I44" s="61" t="e">
        <f t="shared" si="10"/>
        <v>#N/A</v>
      </c>
      <c r="J44" s="61" t="e">
        <f t="shared" si="10"/>
        <v>#N/A</v>
      </c>
      <c r="K44" s="61" t="e">
        <f t="shared" si="10"/>
        <v>#N/A</v>
      </c>
      <c r="L44" s="61" t="e">
        <f t="shared" si="10"/>
        <v>#N/A</v>
      </c>
      <c r="M44" s="61" t="e">
        <f t="shared" si="10"/>
        <v>#N/A</v>
      </c>
      <c r="N44" s="61" t="e">
        <f t="shared" si="10"/>
        <v>#N/A</v>
      </c>
      <c r="O44" s="61" t="e">
        <f t="shared" si="10"/>
        <v>#N/A</v>
      </c>
      <c r="P44" s="61" t="e">
        <f t="shared" si="10"/>
        <v>#N/A</v>
      </c>
      <c r="Q44" s="61" t="e">
        <f t="shared" si="10"/>
        <v>#N/A</v>
      </c>
      <c r="R44" s="61" t="e">
        <f t="shared" si="10"/>
        <v>#N/A</v>
      </c>
      <c r="S44" s="61" t="e">
        <f t="shared" si="10"/>
        <v>#N/A</v>
      </c>
      <c r="T44" s="61" t="e">
        <f t="shared" si="10"/>
        <v>#N/A</v>
      </c>
      <c r="U44" s="61" t="e">
        <f t="shared" si="10"/>
        <v>#N/A</v>
      </c>
      <c r="V44" s="61" t="e">
        <f t="shared" si="10"/>
        <v>#N/A</v>
      </c>
      <c r="W44" s="61" t="e">
        <f t="shared" si="10"/>
        <v>#N/A</v>
      </c>
      <c r="X44" s="61" t="e">
        <f t="shared" si="10"/>
        <v>#N/A</v>
      </c>
      <c r="Y44" s="61" t="e">
        <f t="shared" si="10"/>
        <v>#N/A</v>
      </c>
      <c r="Z44" s="61" t="e">
        <f t="shared" si="10"/>
        <v>#N/A</v>
      </c>
      <c r="AA44" s="61" t="e">
        <f t="shared" si="10"/>
        <v>#N/A</v>
      </c>
      <c r="AB44" s="61" t="e">
        <f t="shared" si="10"/>
        <v>#N/A</v>
      </c>
      <c r="AC44" s="61" t="e">
        <f t="shared" si="10"/>
        <v>#N/A</v>
      </c>
      <c r="AD44" s="61" t="e">
        <f t="shared" si="10"/>
        <v>#N/A</v>
      </c>
      <c r="AE44" s="61" t="e">
        <f t="shared" si="10"/>
        <v>#N/A</v>
      </c>
      <c r="AF44" s="61" t="e">
        <f t="shared" si="10"/>
        <v>#N/A</v>
      </c>
      <c r="AG44" s="61" t="e">
        <f t="shared" si="10"/>
        <v>#N/A</v>
      </c>
      <c r="AH44" s="61" t="e">
        <f t="shared" si="10"/>
        <v>#N/A</v>
      </c>
      <c r="AI44" s="61" t="e">
        <f t="shared" si="10"/>
        <v>#N/A</v>
      </c>
      <c r="AJ44" s="61" t="e">
        <f t="shared" si="10"/>
        <v>#N/A</v>
      </c>
      <c r="AK44" s="61" t="e">
        <f t="shared" si="10"/>
        <v>#N/A</v>
      </c>
      <c r="AL44" s="61">
        <f t="shared" si="10"/>
        <v>0</v>
      </c>
      <c r="AM44" s="61">
        <f t="shared" si="10"/>
        <v>0</v>
      </c>
      <c r="AN44" s="61">
        <f t="shared" si="10"/>
        <v>0</v>
      </c>
      <c r="AO44" s="61">
        <f t="shared" si="10"/>
        <v>0</v>
      </c>
      <c r="AP44" s="61" t="e">
        <f t="shared" si="10"/>
        <v>#N/A</v>
      </c>
      <c r="AQ44" s="61" t="e">
        <f t="shared" si="10"/>
        <v>#N/A</v>
      </c>
      <c r="AR44" s="61" t="e">
        <f t="shared" si="10"/>
        <v>#N/A</v>
      </c>
      <c r="AS44" s="61" t="e">
        <f t="shared" si="10"/>
        <v>#N/A</v>
      </c>
      <c r="AT44" s="61" t="e">
        <f t="shared" si="10"/>
        <v>#N/A</v>
      </c>
      <c r="AU44" s="61" t="e">
        <f t="shared" si="10"/>
        <v>#N/A</v>
      </c>
      <c r="AV44" s="61" t="e">
        <f t="shared" si="10"/>
        <v>#N/A</v>
      </c>
      <c r="AW44" s="61" t="e">
        <f t="shared" si="10"/>
        <v>#N/A</v>
      </c>
      <c r="AX44" s="61" t="e">
        <f t="shared" si="10"/>
        <v>#N/A</v>
      </c>
      <c r="AY44" s="61" t="e">
        <f t="shared" si="10"/>
        <v>#N/A</v>
      </c>
      <c r="AZ44" s="61" t="e">
        <f t="shared" si="10"/>
        <v>#N/A</v>
      </c>
      <c r="BA44" s="61" t="e">
        <f t="shared" si="10"/>
        <v>#N/A</v>
      </c>
      <c r="BB44" s="61" t="e">
        <f t="shared" si="10"/>
        <v>#N/A</v>
      </c>
      <c r="BC44" s="61" t="e">
        <f t="shared" si="10"/>
        <v>#N/A</v>
      </c>
      <c r="BD44" s="61" t="e">
        <f t="shared" si="10"/>
        <v>#N/A</v>
      </c>
      <c r="BE44" s="61" t="e">
        <f t="shared" si="10"/>
        <v>#N/A</v>
      </c>
      <c r="BF44" s="61" t="e">
        <f t="shared" si="10"/>
        <v>#N/A</v>
      </c>
      <c r="BG44" s="61" t="e">
        <f t="shared" si="10"/>
        <v>#N/A</v>
      </c>
      <c r="BH44" s="61" t="e">
        <f t="shared" si="10"/>
        <v>#N/A</v>
      </c>
      <c r="BI44" s="61" t="e">
        <f t="shared" si="10"/>
        <v>#N/A</v>
      </c>
      <c r="BJ44" s="61" t="e">
        <f t="shared" si="10"/>
        <v>#N/A</v>
      </c>
      <c r="BK44" s="61" t="e">
        <f t="shared" si="10"/>
        <v>#N/A</v>
      </c>
      <c r="BL44" s="61" t="e">
        <f t="shared" si="10"/>
        <v>#N/A</v>
      </c>
      <c r="BM44" s="61" t="e">
        <f t="shared" si="10"/>
        <v>#N/A</v>
      </c>
      <c r="BN44" s="61" t="e">
        <f t="shared" si="10"/>
        <v>#N/A</v>
      </c>
      <c r="BO44" s="61" t="e">
        <f t="shared" ref="BO44:CZ44" si="11">+BO40+BO42</f>
        <v>#N/A</v>
      </c>
      <c r="BP44" s="61" t="e">
        <f t="shared" si="11"/>
        <v>#N/A</v>
      </c>
      <c r="BQ44" s="61" t="e">
        <f t="shared" si="11"/>
        <v>#N/A</v>
      </c>
      <c r="BR44" s="61" t="e">
        <f t="shared" si="11"/>
        <v>#N/A</v>
      </c>
      <c r="BS44" s="61" t="e">
        <f t="shared" si="11"/>
        <v>#N/A</v>
      </c>
      <c r="BT44" s="61" t="e">
        <f t="shared" si="11"/>
        <v>#N/A</v>
      </c>
      <c r="BU44" s="61" t="e">
        <f t="shared" si="11"/>
        <v>#N/A</v>
      </c>
      <c r="BV44" s="61" t="e">
        <f t="shared" si="11"/>
        <v>#N/A</v>
      </c>
      <c r="BW44" s="61" t="e">
        <f t="shared" si="11"/>
        <v>#N/A</v>
      </c>
      <c r="BX44" s="61" t="e">
        <f t="shared" si="11"/>
        <v>#N/A</v>
      </c>
      <c r="BY44" s="61" t="e">
        <f t="shared" si="11"/>
        <v>#N/A</v>
      </c>
      <c r="BZ44" s="61" t="e">
        <f t="shared" si="11"/>
        <v>#N/A</v>
      </c>
      <c r="CA44" s="61" t="e">
        <f t="shared" si="11"/>
        <v>#N/A</v>
      </c>
      <c r="CB44" s="61" t="e">
        <f t="shared" si="11"/>
        <v>#N/A</v>
      </c>
      <c r="CC44" s="61" t="e">
        <f t="shared" si="11"/>
        <v>#N/A</v>
      </c>
      <c r="CD44" s="61" t="e">
        <f t="shared" si="11"/>
        <v>#N/A</v>
      </c>
      <c r="CE44" s="61" t="e">
        <f t="shared" si="11"/>
        <v>#N/A</v>
      </c>
      <c r="CF44" s="61" t="e">
        <f t="shared" si="11"/>
        <v>#N/A</v>
      </c>
      <c r="CG44" s="61" t="e">
        <f t="shared" si="11"/>
        <v>#N/A</v>
      </c>
      <c r="CH44" s="61" t="e">
        <f t="shared" si="11"/>
        <v>#N/A</v>
      </c>
      <c r="CI44" s="61" t="e">
        <f t="shared" si="11"/>
        <v>#N/A</v>
      </c>
      <c r="CJ44" s="61" t="e">
        <f t="shared" si="11"/>
        <v>#N/A</v>
      </c>
      <c r="CK44" s="61" t="e">
        <f t="shared" si="11"/>
        <v>#N/A</v>
      </c>
      <c r="CL44" s="61" t="e">
        <f t="shared" si="11"/>
        <v>#N/A</v>
      </c>
      <c r="CM44" s="61" t="e">
        <f t="shared" si="11"/>
        <v>#N/A</v>
      </c>
      <c r="CN44" s="61" t="e">
        <f t="shared" si="11"/>
        <v>#N/A</v>
      </c>
      <c r="CO44" s="61" t="e">
        <f t="shared" si="11"/>
        <v>#N/A</v>
      </c>
      <c r="CP44" s="61" t="e">
        <f t="shared" si="11"/>
        <v>#N/A</v>
      </c>
      <c r="CQ44" s="61" t="e">
        <f t="shared" si="11"/>
        <v>#N/A</v>
      </c>
      <c r="CR44" s="61" t="e">
        <f t="shared" si="11"/>
        <v>#N/A</v>
      </c>
      <c r="CS44" s="61" t="e">
        <f t="shared" si="11"/>
        <v>#N/A</v>
      </c>
      <c r="CT44" s="61" t="e">
        <f t="shared" si="11"/>
        <v>#N/A</v>
      </c>
      <c r="CU44" s="61" t="e">
        <f t="shared" si="11"/>
        <v>#N/A</v>
      </c>
      <c r="CV44" s="61" t="e">
        <f t="shared" si="11"/>
        <v>#N/A</v>
      </c>
      <c r="CW44" s="61" t="e">
        <f t="shared" si="11"/>
        <v>#N/A</v>
      </c>
      <c r="CX44" s="61" t="e">
        <f t="shared" si="11"/>
        <v>#N/A</v>
      </c>
      <c r="CY44" s="61" t="e">
        <f t="shared" si="11"/>
        <v>#N/A</v>
      </c>
      <c r="CZ44" s="61" t="e">
        <f t="shared" si="11"/>
        <v>#N/A</v>
      </c>
    </row>
    <row r="45" spans="1:104" x14ac:dyDescent="0.2">
      <c r="B45" s="46"/>
      <c r="C45" s="46"/>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row>
    <row r="46" spans="1:104" x14ac:dyDescent="0.2">
      <c r="A46" s="5"/>
      <c r="B46" s="46"/>
      <c r="C46" s="46"/>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c r="CJ46" s="46"/>
      <c r="CK46" s="46"/>
      <c r="CL46" s="46"/>
      <c r="CM46" s="46"/>
      <c r="CN46" s="46"/>
      <c r="CO46" s="46"/>
      <c r="CP46" s="46"/>
      <c r="CQ46" s="46"/>
      <c r="CR46" s="46"/>
      <c r="CS46" s="46"/>
      <c r="CT46" s="46"/>
      <c r="CU46" s="46"/>
      <c r="CV46" s="46"/>
      <c r="CW46" s="46"/>
      <c r="CX46" s="46"/>
      <c r="CY46" s="46"/>
      <c r="CZ46" s="46"/>
    </row>
    <row r="47" spans="1:104" x14ac:dyDescent="0.2">
      <c r="A47" s="5"/>
      <c r="B47" s="46"/>
      <c r="C47" s="46"/>
      <c r="D47" s="46"/>
      <c r="E47" s="46"/>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46"/>
      <c r="BH47" s="46"/>
      <c r="BI47" s="46"/>
      <c r="BJ47" s="46"/>
      <c r="BK47" s="46"/>
      <c r="BL47" s="46"/>
      <c r="BM47" s="46"/>
      <c r="BN47" s="46"/>
      <c r="BO47" s="46"/>
      <c r="BP47" s="46"/>
      <c r="BQ47" s="46"/>
      <c r="BR47" s="46"/>
      <c r="BS47" s="46"/>
      <c r="BT47" s="46"/>
      <c r="BU47" s="46"/>
      <c r="BV47" s="46"/>
      <c r="BW47" s="46"/>
      <c r="BX47" s="46"/>
      <c r="BY47" s="46"/>
      <c r="BZ47" s="46"/>
      <c r="CA47" s="46"/>
      <c r="CB47" s="46"/>
      <c r="CC47" s="46"/>
      <c r="CD47" s="46"/>
      <c r="CE47" s="46"/>
      <c r="CF47" s="46"/>
      <c r="CG47" s="46"/>
      <c r="CH47" s="46"/>
      <c r="CI47" s="46"/>
      <c r="CJ47" s="46"/>
      <c r="CK47" s="46"/>
      <c r="CL47" s="46"/>
      <c r="CM47" s="46"/>
      <c r="CN47" s="46"/>
      <c r="CO47" s="46"/>
      <c r="CP47" s="46"/>
      <c r="CQ47" s="46"/>
      <c r="CR47" s="46"/>
      <c r="CS47" s="46"/>
      <c r="CT47" s="46"/>
      <c r="CU47" s="46"/>
      <c r="CV47" s="46"/>
      <c r="CW47" s="46"/>
      <c r="CX47" s="46"/>
      <c r="CY47" s="46"/>
      <c r="CZ47" s="46"/>
    </row>
    <row r="48" spans="1:104" s="56" customFormat="1" x14ac:dyDescent="0.2">
      <c r="A48" s="55"/>
    </row>
    <row r="49" spans="1:104" x14ac:dyDescent="0.2">
      <c r="A49" s="5"/>
      <c r="B49" s="46"/>
      <c r="C49" s="46"/>
      <c r="D49" s="46"/>
      <c r="E49" s="46"/>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c r="BF49" s="46"/>
      <c r="BG49" s="46"/>
      <c r="BH49" s="46"/>
      <c r="BI49" s="46"/>
      <c r="BJ49" s="46"/>
      <c r="BK49" s="46"/>
      <c r="BL49" s="46"/>
      <c r="BM49" s="46"/>
      <c r="BN49" s="46"/>
      <c r="BO49" s="46"/>
      <c r="BP49" s="46"/>
      <c r="BQ49" s="46"/>
      <c r="BR49" s="46"/>
      <c r="BS49" s="46"/>
      <c r="BT49" s="46"/>
      <c r="BU49" s="46"/>
      <c r="BV49" s="46"/>
      <c r="BW49" s="46"/>
      <c r="BX49" s="46"/>
      <c r="BY49" s="46"/>
      <c r="BZ49" s="46"/>
      <c r="CA49" s="46"/>
      <c r="CB49" s="46"/>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row>
    <row r="50" spans="1:104" x14ac:dyDescent="0.2">
      <c r="B50" s="46"/>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93"/>
  <sheetViews>
    <sheetView workbookViewId="0">
      <selection activeCell="A2" sqref="A2"/>
    </sheetView>
  </sheetViews>
  <sheetFormatPr defaultRowHeight="15" x14ac:dyDescent="0.25"/>
  <cols>
    <col min="1" max="1" width="9.140625" bestFit="1" customWidth="1"/>
    <col min="2" max="2" width="12.42578125" bestFit="1" customWidth="1"/>
    <col min="3" max="3" width="8.42578125" bestFit="1" customWidth="1"/>
    <col min="4" max="4" width="3.5703125" bestFit="1" customWidth="1"/>
    <col min="5" max="5" width="19.85546875" bestFit="1" customWidth="1"/>
    <col min="6" max="6" width="32" bestFit="1" customWidth="1"/>
    <col min="7" max="7" width="35" bestFit="1" customWidth="1"/>
    <col min="8" max="8" width="7.85546875" bestFit="1" customWidth="1"/>
  </cols>
  <sheetData>
    <row r="1" spans="1:8" x14ac:dyDescent="0.25">
      <c r="A1" s="1" t="s">
        <v>6</v>
      </c>
      <c r="B1" s="1" t="s">
        <v>4</v>
      </c>
      <c r="C1" s="1" t="s">
        <v>7</v>
      </c>
      <c r="D1" s="1" t="s">
        <v>8</v>
      </c>
      <c r="E1" s="1" t="s">
        <v>5</v>
      </c>
      <c r="F1" s="1" t="s">
        <v>9</v>
      </c>
      <c r="G1" s="1" t="s">
        <v>10</v>
      </c>
      <c r="H1" s="1" t="s">
        <v>11</v>
      </c>
    </row>
    <row r="2" spans="1:8" x14ac:dyDescent="0.25">
      <c r="A2">
        <v>70416</v>
      </c>
      <c r="B2" t="s">
        <v>153</v>
      </c>
      <c r="C2" t="s">
        <v>154</v>
      </c>
      <c r="D2">
        <v>2</v>
      </c>
      <c r="E2">
        <v>0</v>
      </c>
      <c r="F2" t="s">
        <v>155</v>
      </c>
      <c r="G2" t="s">
        <v>12</v>
      </c>
    </row>
    <row r="3" spans="1:8" x14ac:dyDescent="0.25">
      <c r="A3">
        <v>70416</v>
      </c>
      <c r="B3" t="s">
        <v>153</v>
      </c>
      <c r="C3" t="s">
        <v>154</v>
      </c>
      <c r="D3">
        <v>2</v>
      </c>
      <c r="E3">
        <v>0</v>
      </c>
      <c r="F3" t="s">
        <v>155</v>
      </c>
      <c r="G3" t="s">
        <v>13</v>
      </c>
    </row>
    <row r="4" spans="1:8" x14ac:dyDescent="0.25">
      <c r="A4">
        <v>70416</v>
      </c>
      <c r="B4" t="s">
        <v>153</v>
      </c>
      <c r="C4" t="s">
        <v>154</v>
      </c>
      <c r="D4">
        <v>2</v>
      </c>
      <c r="E4">
        <v>0</v>
      </c>
      <c r="F4" t="s">
        <v>155</v>
      </c>
      <c r="G4" t="s">
        <v>14</v>
      </c>
    </row>
    <row r="5" spans="1:8" x14ac:dyDescent="0.25">
      <c r="A5">
        <v>70416</v>
      </c>
      <c r="B5" t="s">
        <v>153</v>
      </c>
      <c r="C5" t="s">
        <v>154</v>
      </c>
      <c r="D5">
        <v>2</v>
      </c>
      <c r="E5">
        <v>0</v>
      </c>
      <c r="F5" t="s">
        <v>155</v>
      </c>
      <c r="G5" t="s">
        <v>15</v>
      </c>
    </row>
    <row r="6" spans="1:8" x14ac:dyDescent="0.25">
      <c r="A6">
        <v>70416</v>
      </c>
      <c r="B6" t="s">
        <v>153</v>
      </c>
      <c r="C6" t="s">
        <v>154</v>
      </c>
      <c r="D6">
        <v>2</v>
      </c>
      <c r="E6">
        <v>0</v>
      </c>
      <c r="F6" t="s">
        <v>155</v>
      </c>
      <c r="G6" t="s">
        <v>16</v>
      </c>
    </row>
    <row r="7" spans="1:8" x14ac:dyDescent="0.25">
      <c r="A7">
        <v>70416</v>
      </c>
      <c r="B7" t="s">
        <v>153</v>
      </c>
      <c r="C7" t="s">
        <v>154</v>
      </c>
      <c r="D7">
        <v>2</v>
      </c>
      <c r="E7">
        <v>0</v>
      </c>
      <c r="F7" t="s">
        <v>156</v>
      </c>
      <c r="G7" t="s">
        <v>28</v>
      </c>
    </row>
    <row r="8" spans="1:8" x14ac:dyDescent="0.25">
      <c r="A8">
        <v>70416</v>
      </c>
      <c r="B8" t="s">
        <v>153</v>
      </c>
      <c r="C8" t="s">
        <v>154</v>
      </c>
      <c r="D8">
        <v>2</v>
      </c>
      <c r="E8">
        <v>0</v>
      </c>
      <c r="F8" t="s">
        <v>156</v>
      </c>
      <c r="G8" t="s">
        <v>29</v>
      </c>
    </row>
    <row r="9" spans="1:8" x14ac:dyDescent="0.25">
      <c r="A9">
        <v>70416</v>
      </c>
      <c r="B9" t="s">
        <v>153</v>
      </c>
      <c r="C9" t="s">
        <v>154</v>
      </c>
      <c r="D9">
        <v>2</v>
      </c>
      <c r="E9">
        <v>0</v>
      </c>
      <c r="F9" t="s">
        <v>156</v>
      </c>
      <c r="G9" t="s">
        <v>30</v>
      </c>
    </row>
    <row r="10" spans="1:8" x14ac:dyDescent="0.25">
      <c r="A10">
        <v>70416</v>
      </c>
      <c r="B10" t="s">
        <v>153</v>
      </c>
      <c r="C10" t="s">
        <v>154</v>
      </c>
      <c r="D10">
        <v>2</v>
      </c>
      <c r="E10">
        <v>0</v>
      </c>
      <c r="F10" t="s">
        <v>156</v>
      </c>
      <c r="G10" t="s">
        <v>31</v>
      </c>
    </row>
    <row r="11" spans="1:8" x14ac:dyDescent="0.25">
      <c r="A11">
        <v>70416</v>
      </c>
      <c r="B11" t="s">
        <v>153</v>
      </c>
      <c r="C11" t="s">
        <v>154</v>
      </c>
      <c r="D11">
        <v>2</v>
      </c>
      <c r="E11">
        <v>0</v>
      </c>
      <c r="F11" t="s">
        <v>156</v>
      </c>
      <c r="G11" t="s">
        <v>32</v>
      </c>
    </row>
    <row r="12" spans="1:8" x14ac:dyDescent="0.25">
      <c r="A12">
        <v>70416</v>
      </c>
      <c r="B12" t="s">
        <v>153</v>
      </c>
      <c r="C12" t="s">
        <v>154</v>
      </c>
      <c r="D12">
        <v>2</v>
      </c>
      <c r="E12">
        <v>0</v>
      </c>
      <c r="F12" t="s">
        <v>156</v>
      </c>
      <c r="G12" t="s">
        <v>33</v>
      </c>
    </row>
    <row r="13" spans="1:8" x14ac:dyDescent="0.25">
      <c r="A13">
        <v>70416</v>
      </c>
      <c r="B13" t="s">
        <v>153</v>
      </c>
      <c r="C13" t="s">
        <v>154</v>
      </c>
      <c r="D13">
        <v>2</v>
      </c>
      <c r="E13">
        <v>0</v>
      </c>
      <c r="F13" t="s">
        <v>156</v>
      </c>
      <c r="G13" t="s">
        <v>34</v>
      </c>
    </row>
    <row r="14" spans="1:8" x14ac:dyDescent="0.25">
      <c r="A14">
        <v>70416</v>
      </c>
      <c r="B14" t="s">
        <v>153</v>
      </c>
      <c r="C14" t="s">
        <v>154</v>
      </c>
      <c r="D14">
        <v>2</v>
      </c>
      <c r="E14">
        <v>0</v>
      </c>
      <c r="F14" t="s">
        <v>156</v>
      </c>
      <c r="G14" t="s">
        <v>35</v>
      </c>
    </row>
    <row r="15" spans="1:8" x14ac:dyDescent="0.25">
      <c r="A15">
        <v>70416</v>
      </c>
      <c r="B15" t="s">
        <v>153</v>
      </c>
      <c r="C15" t="s">
        <v>154</v>
      </c>
      <c r="D15">
        <v>2</v>
      </c>
      <c r="E15">
        <v>0</v>
      </c>
      <c r="F15" t="s">
        <v>156</v>
      </c>
      <c r="G15" t="s">
        <v>36</v>
      </c>
    </row>
    <row r="16" spans="1:8" x14ac:dyDescent="0.25">
      <c r="A16">
        <v>70416</v>
      </c>
      <c r="B16" t="s">
        <v>153</v>
      </c>
      <c r="C16" t="s">
        <v>154</v>
      </c>
      <c r="D16">
        <v>2</v>
      </c>
      <c r="E16">
        <v>0</v>
      </c>
      <c r="F16" t="s">
        <v>157</v>
      </c>
      <c r="G16" t="s">
        <v>19</v>
      </c>
    </row>
    <row r="17" spans="1:7" x14ac:dyDescent="0.25">
      <c r="A17">
        <v>70416</v>
      </c>
      <c r="B17" t="s">
        <v>153</v>
      </c>
      <c r="C17" t="s">
        <v>154</v>
      </c>
      <c r="D17">
        <v>2</v>
      </c>
      <c r="E17">
        <v>0</v>
      </c>
      <c r="F17" t="s">
        <v>157</v>
      </c>
      <c r="G17" t="s">
        <v>20</v>
      </c>
    </row>
    <row r="18" spans="1:7" x14ac:dyDescent="0.25">
      <c r="A18">
        <v>70416</v>
      </c>
      <c r="B18" t="s">
        <v>153</v>
      </c>
      <c r="C18" t="s">
        <v>154</v>
      </c>
      <c r="D18">
        <v>2</v>
      </c>
      <c r="E18">
        <v>0</v>
      </c>
      <c r="F18" t="s">
        <v>157</v>
      </c>
      <c r="G18" t="s">
        <v>21</v>
      </c>
    </row>
    <row r="19" spans="1:7" x14ac:dyDescent="0.25">
      <c r="A19">
        <v>70416</v>
      </c>
      <c r="B19" t="s">
        <v>153</v>
      </c>
      <c r="C19" t="s">
        <v>154</v>
      </c>
      <c r="D19">
        <v>2</v>
      </c>
      <c r="E19">
        <v>0</v>
      </c>
      <c r="F19" t="s">
        <v>157</v>
      </c>
      <c r="G19" t="s">
        <v>22</v>
      </c>
    </row>
    <row r="20" spans="1:7" x14ac:dyDescent="0.25">
      <c r="A20">
        <v>70416</v>
      </c>
      <c r="B20" t="s">
        <v>153</v>
      </c>
      <c r="C20" t="s">
        <v>154</v>
      </c>
      <c r="D20">
        <v>2</v>
      </c>
      <c r="E20">
        <v>0</v>
      </c>
      <c r="F20" t="s">
        <v>157</v>
      </c>
      <c r="G20" t="s">
        <v>23</v>
      </c>
    </row>
    <row r="21" spans="1:7" x14ac:dyDescent="0.25">
      <c r="A21">
        <v>70416</v>
      </c>
      <c r="B21" t="s">
        <v>153</v>
      </c>
      <c r="C21" t="s">
        <v>154</v>
      </c>
      <c r="D21">
        <v>2</v>
      </c>
      <c r="E21">
        <v>0</v>
      </c>
      <c r="F21" t="s">
        <v>157</v>
      </c>
      <c r="G21" t="s">
        <v>24</v>
      </c>
    </row>
    <row r="22" spans="1:7" x14ac:dyDescent="0.25">
      <c r="A22">
        <v>70416</v>
      </c>
      <c r="B22" t="s">
        <v>153</v>
      </c>
      <c r="C22" t="s">
        <v>154</v>
      </c>
      <c r="D22">
        <v>2</v>
      </c>
      <c r="E22">
        <v>0</v>
      </c>
      <c r="F22" t="s">
        <v>157</v>
      </c>
      <c r="G22" t="s">
        <v>25</v>
      </c>
    </row>
    <row r="23" spans="1:7" x14ac:dyDescent="0.25">
      <c r="A23">
        <v>70416</v>
      </c>
      <c r="B23" t="s">
        <v>153</v>
      </c>
      <c r="C23" t="s">
        <v>154</v>
      </c>
      <c r="D23">
        <v>2</v>
      </c>
      <c r="E23">
        <v>0</v>
      </c>
      <c r="F23" t="s">
        <v>157</v>
      </c>
      <c r="G23" t="s">
        <v>26</v>
      </c>
    </row>
    <row r="24" spans="1:7" x14ac:dyDescent="0.25">
      <c r="A24">
        <v>70416</v>
      </c>
      <c r="B24" t="s">
        <v>153</v>
      </c>
      <c r="C24" t="s">
        <v>154</v>
      </c>
      <c r="D24">
        <v>2</v>
      </c>
      <c r="E24">
        <v>0</v>
      </c>
      <c r="F24" t="s">
        <v>158</v>
      </c>
      <c r="G24" t="s">
        <v>158</v>
      </c>
    </row>
    <row r="25" spans="1:7" x14ac:dyDescent="0.25">
      <c r="A25">
        <v>70444</v>
      </c>
      <c r="B25" t="s">
        <v>160</v>
      </c>
      <c r="C25" t="s">
        <v>154</v>
      </c>
      <c r="D25">
        <v>2</v>
      </c>
      <c r="E25">
        <v>0</v>
      </c>
      <c r="F25" t="s">
        <v>155</v>
      </c>
      <c r="G25" t="s">
        <v>12</v>
      </c>
    </row>
    <row r="26" spans="1:7" x14ac:dyDescent="0.25">
      <c r="A26">
        <v>70444</v>
      </c>
      <c r="B26" t="s">
        <v>160</v>
      </c>
      <c r="C26" t="s">
        <v>154</v>
      </c>
      <c r="D26">
        <v>2</v>
      </c>
      <c r="E26">
        <v>0</v>
      </c>
      <c r="F26" t="s">
        <v>155</v>
      </c>
      <c r="G26" t="s">
        <v>13</v>
      </c>
    </row>
    <row r="27" spans="1:7" x14ac:dyDescent="0.25">
      <c r="A27">
        <v>70444</v>
      </c>
      <c r="B27" t="s">
        <v>160</v>
      </c>
      <c r="C27" t="s">
        <v>154</v>
      </c>
      <c r="D27">
        <v>2</v>
      </c>
      <c r="E27">
        <v>0</v>
      </c>
      <c r="F27" t="s">
        <v>155</v>
      </c>
      <c r="G27" t="s">
        <v>14</v>
      </c>
    </row>
    <row r="28" spans="1:7" x14ac:dyDescent="0.25">
      <c r="A28">
        <v>70444</v>
      </c>
      <c r="B28" t="s">
        <v>160</v>
      </c>
      <c r="C28" t="s">
        <v>154</v>
      </c>
      <c r="D28">
        <v>2</v>
      </c>
      <c r="E28">
        <v>0</v>
      </c>
      <c r="F28" t="s">
        <v>155</v>
      </c>
      <c r="G28" t="s">
        <v>15</v>
      </c>
    </row>
    <row r="29" spans="1:7" x14ac:dyDescent="0.25">
      <c r="A29">
        <v>70444</v>
      </c>
      <c r="B29" t="s">
        <v>160</v>
      </c>
      <c r="C29" t="s">
        <v>154</v>
      </c>
      <c r="D29">
        <v>2</v>
      </c>
      <c r="E29">
        <v>0</v>
      </c>
      <c r="F29" t="s">
        <v>155</v>
      </c>
      <c r="G29" t="s">
        <v>16</v>
      </c>
    </row>
    <row r="30" spans="1:7" x14ac:dyDescent="0.25">
      <c r="A30">
        <v>70444</v>
      </c>
      <c r="B30" t="s">
        <v>160</v>
      </c>
      <c r="C30" t="s">
        <v>154</v>
      </c>
      <c r="D30">
        <v>2</v>
      </c>
      <c r="E30">
        <v>0</v>
      </c>
      <c r="F30" t="s">
        <v>156</v>
      </c>
      <c r="G30" t="s">
        <v>28</v>
      </c>
    </row>
    <row r="31" spans="1:7" x14ac:dyDescent="0.25">
      <c r="A31">
        <v>70444</v>
      </c>
      <c r="B31" t="s">
        <v>160</v>
      </c>
      <c r="C31" t="s">
        <v>154</v>
      </c>
      <c r="D31">
        <v>2</v>
      </c>
      <c r="E31">
        <v>0</v>
      </c>
      <c r="F31" t="s">
        <v>156</v>
      </c>
      <c r="G31" t="s">
        <v>29</v>
      </c>
    </row>
    <row r="32" spans="1:7" x14ac:dyDescent="0.25">
      <c r="A32">
        <v>70444</v>
      </c>
      <c r="B32" t="s">
        <v>160</v>
      </c>
      <c r="C32" t="s">
        <v>154</v>
      </c>
      <c r="D32">
        <v>2</v>
      </c>
      <c r="E32">
        <v>0</v>
      </c>
      <c r="F32" t="s">
        <v>156</v>
      </c>
      <c r="G32" t="s">
        <v>30</v>
      </c>
    </row>
    <row r="33" spans="1:7" x14ac:dyDescent="0.25">
      <c r="A33">
        <v>70444</v>
      </c>
      <c r="B33" t="s">
        <v>160</v>
      </c>
      <c r="C33" t="s">
        <v>154</v>
      </c>
      <c r="D33">
        <v>2</v>
      </c>
      <c r="E33">
        <v>0</v>
      </c>
      <c r="F33" t="s">
        <v>156</v>
      </c>
      <c r="G33" t="s">
        <v>31</v>
      </c>
    </row>
    <row r="34" spans="1:7" x14ac:dyDescent="0.25">
      <c r="A34">
        <v>70444</v>
      </c>
      <c r="B34" t="s">
        <v>160</v>
      </c>
      <c r="C34" t="s">
        <v>154</v>
      </c>
      <c r="D34">
        <v>2</v>
      </c>
      <c r="E34">
        <v>0</v>
      </c>
      <c r="F34" t="s">
        <v>156</v>
      </c>
      <c r="G34" t="s">
        <v>32</v>
      </c>
    </row>
    <row r="35" spans="1:7" x14ac:dyDescent="0.25">
      <c r="A35">
        <v>70444</v>
      </c>
      <c r="B35" t="s">
        <v>160</v>
      </c>
      <c r="C35" t="s">
        <v>154</v>
      </c>
      <c r="D35">
        <v>2</v>
      </c>
      <c r="E35">
        <v>0</v>
      </c>
      <c r="F35" t="s">
        <v>156</v>
      </c>
      <c r="G35" t="s">
        <v>33</v>
      </c>
    </row>
    <row r="36" spans="1:7" x14ac:dyDescent="0.25">
      <c r="A36">
        <v>70444</v>
      </c>
      <c r="B36" t="s">
        <v>160</v>
      </c>
      <c r="C36" t="s">
        <v>154</v>
      </c>
      <c r="D36">
        <v>2</v>
      </c>
      <c r="E36">
        <v>0</v>
      </c>
      <c r="F36" t="s">
        <v>156</v>
      </c>
      <c r="G36" t="s">
        <v>34</v>
      </c>
    </row>
    <row r="37" spans="1:7" x14ac:dyDescent="0.25">
      <c r="A37">
        <v>70444</v>
      </c>
      <c r="B37" t="s">
        <v>160</v>
      </c>
      <c r="C37" t="s">
        <v>154</v>
      </c>
      <c r="D37">
        <v>2</v>
      </c>
      <c r="E37">
        <v>0</v>
      </c>
      <c r="F37" t="s">
        <v>156</v>
      </c>
      <c r="G37" t="s">
        <v>35</v>
      </c>
    </row>
    <row r="38" spans="1:7" x14ac:dyDescent="0.25">
      <c r="A38">
        <v>70444</v>
      </c>
      <c r="B38" t="s">
        <v>160</v>
      </c>
      <c r="C38" t="s">
        <v>154</v>
      </c>
      <c r="D38">
        <v>2</v>
      </c>
      <c r="E38">
        <v>0</v>
      </c>
      <c r="F38" t="s">
        <v>156</v>
      </c>
      <c r="G38" t="s">
        <v>36</v>
      </c>
    </row>
    <row r="39" spans="1:7" x14ac:dyDescent="0.25">
      <c r="A39">
        <v>70444</v>
      </c>
      <c r="B39" t="s">
        <v>160</v>
      </c>
      <c r="C39" t="s">
        <v>154</v>
      </c>
      <c r="D39">
        <v>2</v>
      </c>
      <c r="E39">
        <v>0</v>
      </c>
      <c r="F39" t="s">
        <v>157</v>
      </c>
      <c r="G39" t="s">
        <v>19</v>
      </c>
    </row>
    <row r="40" spans="1:7" x14ac:dyDescent="0.25">
      <c r="A40">
        <v>70444</v>
      </c>
      <c r="B40" t="s">
        <v>160</v>
      </c>
      <c r="C40" t="s">
        <v>154</v>
      </c>
      <c r="D40">
        <v>2</v>
      </c>
      <c r="E40">
        <v>0</v>
      </c>
      <c r="F40" t="s">
        <v>157</v>
      </c>
      <c r="G40" t="s">
        <v>20</v>
      </c>
    </row>
    <row r="41" spans="1:7" x14ac:dyDescent="0.25">
      <c r="A41">
        <v>70444</v>
      </c>
      <c r="B41" t="s">
        <v>160</v>
      </c>
      <c r="C41" t="s">
        <v>154</v>
      </c>
      <c r="D41">
        <v>2</v>
      </c>
      <c r="E41">
        <v>0</v>
      </c>
      <c r="F41" t="s">
        <v>157</v>
      </c>
      <c r="G41" t="s">
        <v>21</v>
      </c>
    </row>
    <row r="42" spans="1:7" x14ac:dyDescent="0.25">
      <c r="A42">
        <v>70444</v>
      </c>
      <c r="B42" t="s">
        <v>160</v>
      </c>
      <c r="C42" t="s">
        <v>154</v>
      </c>
      <c r="D42">
        <v>2</v>
      </c>
      <c r="E42">
        <v>0</v>
      </c>
      <c r="F42" t="s">
        <v>157</v>
      </c>
      <c r="G42" t="s">
        <v>22</v>
      </c>
    </row>
    <row r="43" spans="1:7" x14ac:dyDescent="0.25">
      <c r="A43">
        <v>70444</v>
      </c>
      <c r="B43" t="s">
        <v>160</v>
      </c>
      <c r="C43" t="s">
        <v>154</v>
      </c>
      <c r="D43">
        <v>2</v>
      </c>
      <c r="E43">
        <v>0</v>
      </c>
      <c r="F43" t="s">
        <v>157</v>
      </c>
      <c r="G43" t="s">
        <v>23</v>
      </c>
    </row>
    <row r="44" spans="1:7" x14ac:dyDescent="0.25">
      <c r="A44">
        <v>70444</v>
      </c>
      <c r="B44" t="s">
        <v>160</v>
      </c>
      <c r="C44" t="s">
        <v>154</v>
      </c>
      <c r="D44">
        <v>2</v>
      </c>
      <c r="E44">
        <v>0</v>
      </c>
      <c r="F44" t="s">
        <v>157</v>
      </c>
      <c r="G44" t="s">
        <v>24</v>
      </c>
    </row>
    <row r="45" spans="1:7" x14ac:dyDescent="0.25">
      <c r="A45">
        <v>70444</v>
      </c>
      <c r="B45" t="s">
        <v>160</v>
      </c>
      <c r="C45" t="s">
        <v>154</v>
      </c>
      <c r="D45">
        <v>2</v>
      </c>
      <c r="E45">
        <v>0</v>
      </c>
      <c r="F45" t="s">
        <v>157</v>
      </c>
      <c r="G45" t="s">
        <v>25</v>
      </c>
    </row>
    <row r="46" spans="1:7" x14ac:dyDescent="0.25">
      <c r="A46">
        <v>70444</v>
      </c>
      <c r="B46" t="s">
        <v>160</v>
      </c>
      <c r="C46" t="s">
        <v>154</v>
      </c>
      <c r="D46">
        <v>2</v>
      </c>
      <c r="E46">
        <v>0</v>
      </c>
      <c r="F46" t="s">
        <v>157</v>
      </c>
      <c r="G46" t="s">
        <v>26</v>
      </c>
    </row>
    <row r="47" spans="1:7" x14ac:dyDescent="0.25">
      <c r="A47">
        <v>70444</v>
      </c>
      <c r="B47" t="s">
        <v>160</v>
      </c>
      <c r="C47" t="s">
        <v>154</v>
      </c>
      <c r="D47">
        <v>2</v>
      </c>
      <c r="E47">
        <v>0</v>
      </c>
      <c r="F47" t="s">
        <v>158</v>
      </c>
      <c r="G47" t="s">
        <v>158</v>
      </c>
    </row>
    <row r="48" spans="1:7" x14ac:dyDescent="0.25">
      <c r="A48">
        <v>70446</v>
      </c>
      <c r="B48" t="s">
        <v>162</v>
      </c>
      <c r="C48" t="s">
        <v>154</v>
      </c>
      <c r="D48">
        <v>2</v>
      </c>
      <c r="E48">
        <v>0</v>
      </c>
      <c r="F48" t="s">
        <v>155</v>
      </c>
      <c r="G48" t="s">
        <v>12</v>
      </c>
    </row>
    <row r="49" spans="1:7" x14ac:dyDescent="0.25">
      <c r="A49">
        <v>70446</v>
      </c>
      <c r="B49" t="s">
        <v>162</v>
      </c>
      <c r="C49" t="s">
        <v>154</v>
      </c>
      <c r="D49">
        <v>2</v>
      </c>
      <c r="E49">
        <v>0</v>
      </c>
      <c r="F49" t="s">
        <v>155</v>
      </c>
      <c r="G49" t="s">
        <v>13</v>
      </c>
    </row>
    <row r="50" spans="1:7" x14ac:dyDescent="0.25">
      <c r="A50">
        <v>70446</v>
      </c>
      <c r="B50" t="s">
        <v>162</v>
      </c>
      <c r="C50" t="s">
        <v>154</v>
      </c>
      <c r="D50">
        <v>2</v>
      </c>
      <c r="E50">
        <v>0</v>
      </c>
      <c r="F50" t="s">
        <v>155</v>
      </c>
      <c r="G50" t="s">
        <v>14</v>
      </c>
    </row>
    <row r="51" spans="1:7" x14ac:dyDescent="0.25">
      <c r="A51">
        <v>70446</v>
      </c>
      <c r="B51" t="s">
        <v>162</v>
      </c>
      <c r="C51" t="s">
        <v>154</v>
      </c>
      <c r="D51">
        <v>2</v>
      </c>
      <c r="E51">
        <v>0</v>
      </c>
      <c r="F51" t="s">
        <v>155</v>
      </c>
      <c r="G51" t="s">
        <v>15</v>
      </c>
    </row>
    <row r="52" spans="1:7" x14ac:dyDescent="0.25">
      <c r="A52">
        <v>70446</v>
      </c>
      <c r="B52" t="s">
        <v>162</v>
      </c>
      <c r="C52" t="s">
        <v>154</v>
      </c>
      <c r="D52">
        <v>2</v>
      </c>
      <c r="E52">
        <v>0</v>
      </c>
      <c r="F52" t="s">
        <v>155</v>
      </c>
      <c r="G52" t="s">
        <v>16</v>
      </c>
    </row>
    <row r="53" spans="1:7" x14ac:dyDescent="0.25">
      <c r="A53">
        <v>70446</v>
      </c>
      <c r="B53" t="s">
        <v>162</v>
      </c>
      <c r="C53" t="s">
        <v>154</v>
      </c>
      <c r="D53">
        <v>2</v>
      </c>
      <c r="E53">
        <v>0</v>
      </c>
      <c r="F53" t="s">
        <v>156</v>
      </c>
      <c r="G53" t="s">
        <v>28</v>
      </c>
    </row>
    <row r="54" spans="1:7" x14ac:dyDescent="0.25">
      <c r="A54">
        <v>70446</v>
      </c>
      <c r="B54" t="s">
        <v>162</v>
      </c>
      <c r="C54" t="s">
        <v>154</v>
      </c>
      <c r="D54">
        <v>2</v>
      </c>
      <c r="E54">
        <v>0</v>
      </c>
      <c r="F54" t="s">
        <v>156</v>
      </c>
      <c r="G54" t="s">
        <v>29</v>
      </c>
    </row>
    <row r="55" spans="1:7" x14ac:dyDescent="0.25">
      <c r="A55">
        <v>70446</v>
      </c>
      <c r="B55" t="s">
        <v>162</v>
      </c>
      <c r="C55" t="s">
        <v>154</v>
      </c>
      <c r="D55">
        <v>2</v>
      </c>
      <c r="E55">
        <v>0</v>
      </c>
      <c r="F55" t="s">
        <v>156</v>
      </c>
      <c r="G55" t="s">
        <v>30</v>
      </c>
    </row>
    <row r="56" spans="1:7" x14ac:dyDescent="0.25">
      <c r="A56">
        <v>70446</v>
      </c>
      <c r="B56" t="s">
        <v>162</v>
      </c>
      <c r="C56" t="s">
        <v>154</v>
      </c>
      <c r="D56">
        <v>2</v>
      </c>
      <c r="E56">
        <v>0</v>
      </c>
      <c r="F56" t="s">
        <v>156</v>
      </c>
      <c r="G56" t="s">
        <v>31</v>
      </c>
    </row>
    <row r="57" spans="1:7" x14ac:dyDescent="0.25">
      <c r="A57">
        <v>70446</v>
      </c>
      <c r="B57" t="s">
        <v>162</v>
      </c>
      <c r="C57" t="s">
        <v>154</v>
      </c>
      <c r="D57">
        <v>2</v>
      </c>
      <c r="E57">
        <v>0</v>
      </c>
      <c r="F57" t="s">
        <v>156</v>
      </c>
      <c r="G57" t="s">
        <v>32</v>
      </c>
    </row>
    <row r="58" spans="1:7" x14ac:dyDescent="0.25">
      <c r="A58">
        <v>70446</v>
      </c>
      <c r="B58" t="s">
        <v>162</v>
      </c>
      <c r="C58" t="s">
        <v>154</v>
      </c>
      <c r="D58">
        <v>2</v>
      </c>
      <c r="E58">
        <v>0</v>
      </c>
      <c r="F58" t="s">
        <v>156</v>
      </c>
      <c r="G58" t="s">
        <v>33</v>
      </c>
    </row>
    <row r="59" spans="1:7" x14ac:dyDescent="0.25">
      <c r="A59">
        <v>70446</v>
      </c>
      <c r="B59" t="s">
        <v>162</v>
      </c>
      <c r="C59" t="s">
        <v>154</v>
      </c>
      <c r="D59">
        <v>2</v>
      </c>
      <c r="E59">
        <v>0</v>
      </c>
      <c r="F59" t="s">
        <v>156</v>
      </c>
      <c r="G59" t="s">
        <v>34</v>
      </c>
    </row>
    <row r="60" spans="1:7" x14ac:dyDescent="0.25">
      <c r="A60">
        <v>70446</v>
      </c>
      <c r="B60" t="s">
        <v>162</v>
      </c>
      <c r="C60" t="s">
        <v>154</v>
      </c>
      <c r="D60">
        <v>2</v>
      </c>
      <c r="E60">
        <v>0</v>
      </c>
      <c r="F60" t="s">
        <v>156</v>
      </c>
      <c r="G60" t="s">
        <v>35</v>
      </c>
    </row>
    <row r="61" spans="1:7" x14ac:dyDescent="0.25">
      <c r="A61">
        <v>70446</v>
      </c>
      <c r="B61" t="s">
        <v>162</v>
      </c>
      <c r="C61" t="s">
        <v>154</v>
      </c>
      <c r="D61">
        <v>2</v>
      </c>
      <c r="E61">
        <v>0</v>
      </c>
      <c r="F61" t="s">
        <v>156</v>
      </c>
      <c r="G61" t="s">
        <v>36</v>
      </c>
    </row>
    <row r="62" spans="1:7" x14ac:dyDescent="0.25">
      <c r="A62">
        <v>70446</v>
      </c>
      <c r="B62" t="s">
        <v>162</v>
      </c>
      <c r="C62" t="s">
        <v>154</v>
      </c>
      <c r="D62">
        <v>2</v>
      </c>
      <c r="E62">
        <v>0</v>
      </c>
      <c r="F62" t="s">
        <v>157</v>
      </c>
      <c r="G62" t="s">
        <v>19</v>
      </c>
    </row>
    <row r="63" spans="1:7" x14ac:dyDescent="0.25">
      <c r="A63">
        <v>70446</v>
      </c>
      <c r="B63" t="s">
        <v>162</v>
      </c>
      <c r="C63" t="s">
        <v>154</v>
      </c>
      <c r="D63">
        <v>2</v>
      </c>
      <c r="E63">
        <v>0</v>
      </c>
      <c r="F63" t="s">
        <v>157</v>
      </c>
      <c r="G63" t="s">
        <v>20</v>
      </c>
    </row>
    <row r="64" spans="1:7" x14ac:dyDescent="0.25">
      <c r="A64">
        <v>70446</v>
      </c>
      <c r="B64" t="s">
        <v>162</v>
      </c>
      <c r="C64" t="s">
        <v>154</v>
      </c>
      <c r="D64">
        <v>2</v>
      </c>
      <c r="E64">
        <v>0</v>
      </c>
      <c r="F64" t="s">
        <v>157</v>
      </c>
      <c r="G64" t="s">
        <v>21</v>
      </c>
    </row>
    <row r="65" spans="1:7" x14ac:dyDescent="0.25">
      <c r="A65">
        <v>70446</v>
      </c>
      <c r="B65" t="s">
        <v>162</v>
      </c>
      <c r="C65" t="s">
        <v>154</v>
      </c>
      <c r="D65">
        <v>2</v>
      </c>
      <c r="E65">
        <v>0</v>
      </c>
      <c r="F65" t="s">
        <v>157</v>
      </c>
      <c r="G65" t="s">
        <v>22</v>
      </c>
    </row>
    <row r="66" spans="1:7" x14ac:dyDescent="0.25">
      <c r="A66">
        <v>70446</v>
      </c>
      <c r="B66" t="s">
        <v>162</v>
      </c>
      <c r="C66" t="s">
        <v>154</v>
      </c>
      <c r="D66">
        <v>2</v>
      </c>
      <c r="E66">
        <v>0</v>
      </c>
      <c r="F66" t="s">
        <v>157</v>
      </c>
      <c r="G66" t="s">
        <v>23</v>
      </c>
    </row>
    <row r="67" spans="1:7" x14ac:dyDescent="0.25">
      <c r="A67">
        <v>70446</v>
      </c>
      <c r="B67" t="s">
        <v>162</v>
      </c>
      <c r="C67" t="s">
        <v>154</v>
      </c>
      <c r="D67">
        <v>2</v>
      </c>
      <c r="E67">
        <v>0</v>
      </c>
      <c r="F67" t="s">
        <v>157</v>
      </c>
      <c r="G67" t="s">
        <v>24</v>
      </c>
    </row>
    <row r="68" spans="1:7" x14ac:dyDescent="0.25">
      <c r="A68">
        <v>70446</v>
      </c>
      <c r="B68" t="s">
        <v>162</v>
      </c>
      <c r="C68" t="s">
        <v>154</v>
      </c>
      <c r="D68">
        <v>2</v>
      </c>
      <c r="E68">
        <v>0</v>
      </c>
      <c r="F68" t="s">
        <v>157</v>
      </c>
      <c r="G68" t="s">
        <v>25</v>
      </c>
    </row>
    <row r="69" spans="1:7" x14ac:dyDescent="0.25">
      <c r="A69">
        <v>70446</v>
      </c>
      <c r="B69" t="s">
        <v>162</v>
      </c>
      <c r="C69" t="s">
        <v>154</v>
      </c>
      <c r="D69">
        <v>2</v>
      </c>
      <c r="E69">
        <v>0</v>
      </c>
      <c r="F69" t="s">
        <v>157</v>
      </c>
      <c r="G69" t="s">
        <v>26</v>
      </c>
    </row>
    <row r="70" spans="1:7" x14ac:dyDescent="0.25">
      <c r="A70">
        <v>70446</v>
      </c>
      <c r="B70" t="s">
        <v>162</v>
      </c>
      <c r="C70" t="s">
        <v>154</v>
      </c>
      <c r="D70">
        <v>2</v>
      </c>
      <c r="E70">
        <v>0</v>
      </c>
      <c r="F70" t="s">
        <v>158</v>
      </c>
      <c r="G70" t="s">
        <v>158</v>
      </c>
    </row>
    <row r="71" spans="1:7" x14ac:dyDescent="0.25">
      <c r="A71">
        <v>70450</v>
      </c>
      <c r="B71" t="s">
        <v>243</v>
      </c>
      <c r="C71" t="s">
        <v>154</v>
      </c>
      <c r="D71">
        <v>2</v>
      </c>
      <c r="E71">
        <v>0</v>
      </c>
      <c r="F71" t="s">
        <v>155</v>
      </c>
      <c r="G71" t="s">
        <v>12</v>
      </c>
    </row>
    <row r="72" spans="1:7" x14ac:dyDescent="0.25">
      <c r="A72">
        <v>70450</v>
      </c>
      <c r="B72" t="s">
        <v>243</v>
      </c>
      <c r="C72" t="s">
        <v>154</v>
      </c>
      <c r="D72">
        <v>2</v>
      </c>
      <c r="E72">
        <v>0</v>
      </c>
      <c r="F72" t="s">
        <v>155</v>
      </c>
      <c r="G72" t="s">
        <v>13</v>
      </c>
    </row>
    <row r="73" spans="1:7" x14ac:dyDescent="0.25">
      <c r="A73">
        <v>70450</v>
      </c>
      <c r="B73" t="s">
        <v>243</v>
      </c>
      <c r="C73" t="s">
        <v>154</v>
      </c>
      <c r="D73">
        <v>2</v>
      </c>
      <c r="E73">
        <v>0</v>
      </c>
      <c r="F73" t="s">
        <v>155</v>
      </c>
      <c r="G73" t="s">
        <v>14</v>
      </c>
    </row>
    <row r="74" spans="1:7" x14ac:dyDescent="0.25">
      <c r="A74">
        <v>70450</v>
      </c>
      <c r="B74" t="s">
        <v>243</v>
      </c>
      <c r="C74" t="s">
        <v>154</v>
      </c>
      <c r="D74">
        <v>2</v>
      </c>
      <c r="E74">
        <v>0</v>
      </c>
      <c r="F74" t="s">
        <v>155</v>
      </c>
      <c r="G74" t="s">
        <v>15</v>
      </c>
    </row>
    <row r="75" spans="1:7" x14ac:dyDescent="0.25">
      <c r="A75">
        <v>70450</v>
      </c>
      <c r="B75" t="s">
        <v>243</v>
      </c>
      <c r="C75" t="s">
        <v>154</v>
      </c>
      <c r="D75">
        <v>2</v>
      </c>
      <c r="E75">
        <v>0</v>
      </c>
      <c r="F75" t="s">
        <v>155</v>
      </c>
      <c r="G75" t="s">
        <v>16</v>
      </c>
    </row>
    <row r="76" spans="1:7" x14ac:dyDescent="0.25">
      <c r="A76">
        <v>70450</v>
      </c>
      <c r="B76" t="s">
        <v>243</v>
      </c>
      <c r="C76" t="s">
        <v>154</v>
      </c>
      <c r="D76">
        <v>2</v>
      </c>
      <c r="E76">
        <v>0</v>
      </c>
      <c r="F76" t="s">
        <v>156</v>
      </c>
      <c r="G76" t="s">
        <v>28</v>
      </c>
    </row>
    <row r="77" spans="1:7" x14ac:dyDescent="0.25">
      <c r="A77">
        <v>70450</v>
      </c>
      <c r="B77" t="s">
        <v>243</v>
      </c>
      <c r="C77" t="s">
        <v>154</v>
      </c>
      <c r="D77">
        <v>2</v>
      </c>
      <c r="E77">
        <v>0</v>
      </c>
      <c r="F77" t="s">
        <v>156</v>
      </c>
      <c r="G77" t="s">
        <v>29</v>
      </c>
    </row>
    <row r="78" spans="1:7" x14ac:dyDescent="0.25">
      <c r="A78">
        <v>70450</v>
      </c>
      <c r="B78" t="s">
        <v>243</v>
      </c>
      <c r="C78" t="s">
        <v>154</v>
      </c>
      <c r="D78">
        <v>2</v>
      </c>
      <c r="E78">
        <v>0</v>
      </c>
      <c r="F78" t="s">
        <v>156</v>
      </c>
      <c r="G78" t="s">
        <v>30</v>
      </c>
    </row>
    <row r="79" spans="1:7" x14ac:dyDescent="0.25">
      <c r="A79">
        <v>70450</v>
      </c>
      <c r="B79" t="s">
        <v>243</v>
      </c>
      <c r="C79" t="s">
        <v>154</v>
      </c>
      <c r="D79">
        <v>2</v>
      </c>
      <c r="E79">
        <v>0</v>
      </c>
      <c r="F79" t="s">
        <v>156</v>
      </c>
      <c r="G79" t="s">
        <v>31</v>
      </c>
    </row>
    <row r="80" spans="1:7" x14ac:dyDescent="0.25">
      <c r="A80">
        <v>70450</v>
      </c>
      <c r="B80" t="s">
        <v>243</v>
      </c>
      <c r="C80" t="s">
        <v>154</v>
      </c>
      <c r="D80">
        <v>2</v>
      </c>
      <c r="E80">
        <v>0</v>
      </c>
      <c r="F80" t="s">
        <v>156</v>
      </c>
      <c r="G80" t="s">
        <v>32</v>
      </c>
    </row>
    <row r="81" spans="1:7" x14ac:dyDescent="0.25">
      <c r="A81">
        <v>70450</v>
      </c>
      <c r="B81" t="s">
        <v>243</v>
      </c>
      <c r="C81" t="s">
        <v>154</v>
      </c>
      <c r="D81">
        <v>2</v>
      </c>
      <c r="E81">
        <v>0</v>
      </c>
      <c r="F81" t="s">
        <v>156</v>
      </c>
      <c r="G81" t="s">
        <v>33</v>
      </c>
    </row>
    <row r="82" spans="1:7" x14ac:dyDescent="0.25">
      <c r="A82">
        <v>70450</v>
      </c>
      <c r="B82" t="s">
        <v>243</v>
      </c>
      <c r="C82" t="s">
        <v>154</v>
      </c>
      <c r="D82">
        <v>2</v>
      </c>
      <c r="E82">
        <v>0</v>
      </c>
      <c r="F82" t="s">
        <v>156</v>
      </c>
      <c r="G82" t="s">
        <v>34</v>
      </c>
    </row>
    <row r="83" spans="1:7" x14ac:dyDescent="0.25">
      <c r="A83">
        <v>70450</v>
      </c>
      <c r="B83" t="s">
        <v>243</v>
      </c>
      <c r="C83" t="s">
        <v>154</v>
      </c>
      <c r="D83">
        <v>2</v>
      </c>
      <c r="E83">
        <v>0</v>
      </c>
      <c r="F83" t="s">
        <v>156</v>
      </c>
      <c r="G83" t="s">
        <v>35</v>
      </c>
    </row>
    <row r="84" spans="1:7" x14ac:dyDescent="0.25">
      <c r="A84">
        <v>70450</v>
      </c>
      <c r="B84" t="s">
        <v>243</v>
      </c>
      <c r="C84" t="s">
        <v>154</v>
      </c>
      <c r="D84">
        <v>2</v>
      </c>
      <c r="E84">
        <v>0</v>
      </c>
      <c r="F84" t="s">
        <v>156</v>
      </c>
      <c r="G84" t="s">
        <v>36</v>
      </c>
    </row>
    <row r="85" spans="1:7" x14ac:dyDescent="0.25">
      <c r="A85">
        <v>70450</v>
      </c>
      <c r="B85" t="s">
        <v>243</v>
      </c>
      <c r="C85" t="s">
        <v>154</v>
      </c>
      <c r="D85">
        <v>2</v>
      </c>
      <c r="E85">
        <v>0</v>
      </c>
      <c r="F85" t="s">
        <v>157</v>
      </c>
      <c r="G85" t="s">
        <v>19</v>
      </c>
    </row>
    <row r="86" spans="1:7" x14ac:dyDescent="0.25">
      <c r="A86">
        <v>70450</v>
      </c>
      <c r="B86" t="s">
        <v>243</v>
      </c>
      <c r="C86" t="s">
        <v>154</v>
      </c>
      <c r="D86">
        <v>2</v>
      </c>
      <c r="E86">
        <v>0</v>
      </c>
      <c r="F86" t="s">
        <v>157</v>
      </c>
      <c r="G86" t="s">
        <v>20</v>
      </c>
    </row>
    <row r="87" spans="1:7" x14ac:dyDescent="0.25">
      <c r="A87">
        <v>70450</v>
      </c>
      <c r="B87" t="s">
        <v>243</v>
      </c>
      <c r="C87" t="s">
        <v>154</v>
      </c>
      <c r="D87">
        <v>2</v>
      </c>
      <c r="E87">
        <v>0</v>
      </c>
      <c r="F87" t="s">
        <v>157</v>
      </c>
      <c r="G87" t="s">
        <v>21</v>
      </c>
    </row>
    <row r="88" spans="1:7" x14ac:dyDescent="0.25">
      <c r="A88">
        <v>70450</v>
      </c>
      <c r="B88" t="s">
        <v>243</v>
      </c>
      <c r="C88" t="s">
        <v>154</v>
      </c>
      <c r="D88">
        <v>2</v>
      </c>
      <c r="E88">
        <v>0</v>
      </c>
      <c r="F88" t="s">
        <v>157</v>
      </c>
      <c r="G88" t="s">
        <v>22</v>
      </c>
    </row>
    <row r="89" spans="1:7" x14ac:dyDescent="0.25">
      <c r="A89">
        <v>70450</v>
      </c>
      <c r="B89" t="s">
        <v>243</v>
      </c>
      <c r="C89" t="s">
        <v>154</v>
      </c>
      <c r="D89">
        <v>2</v>
      </c>
      <c r="E89">
        <v>0</v>
      </c>
      <c r="F89" t="s">
        <v>157</v>
      </c>
      <c r="G89" t="s">
        <v>23</v>
      </c>
    </row>
    <row r="90" spans="1:7" x14ac:dyDescent="0.25">
      <c r="A90">
        <v>70450</v>
      </c>
      <c r="B90" t="s">
        <v>243</v>
      </c>
      <c r="C90" t="s">
        <v>154</v>
      </c>
      <c r="D90">
        <v>2</v>
      </c>
      <c r="E90">
        <v>0</v>
      </c>
      <c r="F90" t="s">
        <v>157</v>
      </c>
      <c r="G90" t="s">
        <v>24</v>
      </c>
    </row>
    <row r="91" spans="1:7" x14ac:dyDescent="0.25">
      <c r="A91">
        <v>70450</v>
      </c>
      <c r="B91" t="s">
        <v>243</v>
      </c>
      <c r="C91" t="s">
        <v>154</v>
      </c>
      <c r="D91">
        <v>2</v>
      </c>
      <c r="E91">
        <v>0</v>
      </c>
      <c r="F91" t="s">
        <v>157</v>
      </c>
      <c r="G91" t="s">
        <v>25</v>
      </c>
    </row>
    <row r="92" spans="1:7" x14ac:dyDescent="0.25">
      <c r="A92">
        <v>70450</v>
      </c>
      <c r="B92" t="s">
        <v>243</v>
      </c>
      <c r="C92" t="s">
        <v>154</v>
      </c>
      <c r="D92">
        <v>2</v>
      </c>
      <c r="E92">
        <v>0</v>
      </c>
      <c r="F92" t="s">
        <v>157</v>
      </c>
      <c r="G92" t="s">
        <v>26</v>
      </c>
    </row>
    <row r="93" spans="1:7" x14ac:dyDescent="0.25">
      <c r="A93">
        <v>70450</v>
      </c>
      <c r="B93" t="s">
        <v>243</v>
      </c>
      <c r="C93" t="s">
        <v>154</v>
      </c>
      <c r="D93">
        <v>2</v>
      </c>
      <c r="E93">
        <v>0</v>
      </c>
      <c r="F93" t="s">
        <v>158</v>
      </c>
      <c r="G93" t="s">
        <v>158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abSelected="1" topLeftCell="A2" zoomScale="75" zoomScaleNormal="75" workbookViewId="0">
      <selection activeCell="B11" sqref="B11"/>
    </sheetView>
  </sheetViews>
  <sheetFormatPr defaultRowHeight="12.75" x14ac:dyDescent="0.2"/>
  <cols>
    <col min="1" max="1" width="45.140625" style="3" customWidth="1"/>
    <col min="2" max="104" width="16.5703125" style="3" customWidth="1"/>
    <col min="105" max="16384" width="9.140625" style="3"/>
  </cols>
  <sheetData>
    <row r="1" spans="1:104" hidden="1" x14ac:dyDescent="0.2">
      <c r="B1" s="3">
        <v>70301</v>
      </c>
      <c r="C1" s="3">
        <v>70340</v>
      </c>
      <c r="D1" s="3">
        <v>70341</v>
      </c>
      <c r="E1" s="3">
        <v>70342</v>
      </c>
      <c r="F1" s="3">
        <v>70343</v>
      </c>
      <c r="G1" s="3">
        <v>70344</v>
      </c>
      <c r="H1" s="3">
        <v>70345</v>
      </c>
      <c r="I1" s="3">
        <v>70346</v>
      </c>
      <c r="J1" s="3">
        <v>70347</v>
      </c>
      <c r="K1" s="3">
        <v>70348</v>
      </c>
      <c r="L1" s="3">
        <v>70349</v>
      </c>
      <c r="M1" s="3">
        <v>70350</v>
      </c>
      <c r="N1" s="3">
        <v>70352</v>
      </c>
      <c r="O1" s="3">
        <v>70354</v>
      </c>
      <c r="P1" s="3">
        <v>70357</v>
      </c>
      <c r="Q1" s="3">
        <v>70358</v>
      </c>
      <c r="R1" s="3">
        <v>70361</v>
      </c>
      <c r="S1" s="3">
        <v>70362</v>
      </c>
      <c r="T1" s="3">
        <v>70363</v>
      </c>
      <c r="U1" s="3">
        <v>70364</v>
      </c>
      <c r="V1" s="3">
        <v>70365</v>
      </c>
      <c r="W1" s="3">
        <v>70366</v>
      </c>
      <c r="X1" s="3">
        <v>70367</v>
      </c>
      <c r="Y1" s="3">
        <v>70368</v>
      </c>
      <c r="Z1" s="3">
        <v>70369</v>
      </c>
      <c r="AA1" s="3">
        <v>70370</v>
      </c>
      <c r="AB1" s="3">
        <v>70371</v>
      </c>
      <c r="AC1" s="3">
        <v>70372</v>
      </c>
      <c r="AD1" s="3">
        <v>70373</v>
      </c>
      <c r="AE1" s="3">
        <v>70374</v>
      </c>
      <c r="AF1" s="3">
        <v>70375</v>
      </c>
      <c r="AG1" s="3">
        <v>70376</v>
      </c>
      <c r="AH1" s="3">
        <v>70377</v>
      </c>
      <c r="AI1" s="3">
        <v>70378</v>
      </c>
      <c r="AJ1" s="3">
        <v>70379</v>
      </c>
      <c r="AK1" s="3">
        <v>70381</v>
      </c>
      <c r="AL1" s="3">
        <v>70416</v>
      </c>
      <c r="AM1" s="3">
        <v>70444</v>
      </c>
      <c r="AN1" s="3">
        <v>70444</v>
      </c>
      <c r="AO1" s="3">
        <v>70446</v>
      </c>
    </row>
    <row r="2" spans="1:104" s="11" customFormat="1" ht="99.75" customHeight="1" x14ac:dyDescent="0.25">
      <c r="B2" s="53" t="str">
        <f>VLOOKUP(B$1,Main!$A$10:$B$2501,2,FALSE)</f>
        <v>Gibbons Apartments</v>
      </c>
      <c r="C2" s="53" t="str">
        <f>VLOOKUP(C$1,Main!$A$10:$B$2501,2,FALSE)</f>
        <v>Park View at Catonsville</v>
      </c>
      <c r="D2" s="53" t="str">
        <f>VLOOKUP(D$1,Main!$A$10:$B$2501,2,FALSE)</f>
        <v>Park View at South Pantops</v>
      </c>
      <c r="E2" s="53" t="str">
        <f>VLOOKUP(E$1,Main!$A$10:$B$2501,2,FALSE)</f>
        <v>Park View at Tyler Run</v>
      </c>
      <c r="F2" s="53" t="str">
        <f>VLOOKUP(F$1,Main!$A$10:$B$2501,2,FALSE)</f>
        <v>Park View at Manchester Heights</v>
      </c>
      <c r="G2" s="53" t="str">
        <f>VLOOKUP(G$1,Main!$A$10:$B$2501,2,FALSE)</f>
        <v>Park View at Naaman's Creek</v>
      </c>
      <c r="H2" s="53" t="str">
        <f>VLOOKUP(H$1,Main!$A$10:$B$2501,2,FALSE)</f>
        <v>York Commons</v>
      </c>
      <c r="I2" s="53" t="str">
        <f>VLOOKUP(I$1,Main!$A$10:$B$2501,2,FALSE)</f>
        <v>Park View at Oak Crest</v>
      </c>
      <c r="J2" s="53" t="str">
        <f>VLOOKUP(J$1,Main!$A$10:$B$2501,2,FALSE)</f>
        <v>Park View at Cheltenham</v>
      </c>
      <c r="K2" s="53" t="str">
        <f>VLOOKUP(K$1,Main!$A$10:$B$2501,2,FALSE)</f>
        <v>Park View at Bethlehem</v>
      </c>
      <c r="L2" s="53" t="str">
        <f>VLOOKUP(L$1,Main!$A$10:$B$2501,2,FALSE)</f>
        <v>Westbrook Commons</v>
      </c>
      <c r="M2" s="53" t="str">
        <f>VLOOKUP(M$1,Main!$A$10:$B$2501,2,FALSE)</f>
        <v>Park View at Easton</v>
      </c>
      <c r="N2" s="53" t="str">
        <f>VLOOKUP(N$1,Main!$A$10:$B$2501,2,FALSE)</f>
        <v>Somerset Commons</v>
      </c>
      <c r="O2" s="53" t="str">
        <f>VLOOKUP(O$1,Main!$A$10:$B$2501,2,FALSE)</f>
        <v>Park View at Laurel I</v>
      </c>
      <c r="P2" s="53" t="str">
        <f>VLOOKUP(P$1,Main!$A$10:$B$2501,2,FALSE)</f>
        <v>Park View at Emerson</v>
      </c>
      <c r="Q2" s="53" t="str">
        <f>VLOOKUP(Q$1,Main!$A$10:$B$2501,2,FALSE)</f>
        <v>Park View at Ellicott City II</v>
      </c>
      <c r="R2" s="53" t="str">
        <f>VLOOKUP(R$1,Main!$A$10:$B$2501,2,FALSE)</f>
        <v>Hickory Ridge</v>
      </c>
      <c r="S2" s="53" t="str">
        <f>VLOOKUP(S$1,Main!$A$10:$B$2501,2,FALSE)</f>
        <v>Park View at Snowden River</v>
      </c>
      <c r="T2" s="53" t="str">
        <f>VLOOKUP(T$1,Main!$A$10:$B$2501,2,FALSE)</f>
        <v>Park View at Columbia</v>
      </c>
      <c r="U2" s="53" t="str">
        <f>VLOOKUP(U$1,Main!$A$10:$B$2501,2,FALSE)</f>
        <v>Woodbridge Commons</v>
      </c>
      <c r="V2" s="53" t="str">
        <f>VLOOKUP(V$1,Main!$A$10:$B$2501,2,FALSE)</f>
        <v>Park View at Bel Air</v>
      </c>
      <c r="W2" s="53" t="str">
        <f>VLOOKUP(W$1,Main!$A$10:$B$2501,2,FALSE)</f>
        <v>Park View at Box Hill</v>
      </c>
      <c r="X2" s="53" t="str">
        <f>VLOOKUP(X$1,Main!$A$10:$B$2501,2,FALSE)</f>
        <v>College Parkway Place</v>
      </c>
      <c r="Y2" s="53" t="str">
        <f>VLOOKUP(Y$1,Main!$A$10:$B$2501,2,FALSE)</f>
        <v>Park View at Furnace Branch</v>
      </c>
      <c r="Z2" s="53" t="str">
        <f>VLOOKUP(Z$1,Main!$A$10:$B$2501,2,FALSE)</f>
        <v>Park View at Severna Park</v>
      </c>
      <c r="AA2" s="53" t="str">
        <f>VLOOKUP(AA$1,Main!$A$10:$B$2501,2,FALSE)</f>
        <v>Ashland Commons</v>
      </c>
      <c r="AB2" s="53" t="str">
        <f>VLOOKUP(AB$1,Main!$A$10:$B$2501,2,FALSE)</f>
        <v>Park View at Fullerton</v>
      </c>
      <c r="AC2" s="53" t="str">
        <f>VLOOKUP(AC$1,Main!$A$10:$B$2501,2,FALSE)</f>
        <v>Park View at Ashland Terrace</v>
      </c>
      <c r="AD2" s="53" t="str">
        <f>VLOOKUP(AD$1,Main!$A$10:$B$2501,2,FALSE)</f>
        <v>Park View at Coldspring</v>
      </c>
      <c r="AE2" s="53" t="str">
        <f>VLOOKUP(AE$1,Main!$A$10:$B$2501,2,FALSE)</f>
        <v>Park View at Taylor</v>
      </c>
      <c r="AF2" s="53" t="str">
        <f>VLOOKUP(AF$1,Main!$A$10:$B$2501,2,FALSE)</f>
        <v>Park View at Woodlawn</v>
      </c>
      <c r="AG2" s="53" t="str">
        <f>VLOOKUP(AG$1,Main!$A$10:$B$2501,2,FALSE)</f>
        <v>Park View at Miramar Landing</v>
      </c>
      <c r="AH2" s="53" t="str">
        <f>VLOOKUP(AH$1,Main!$A$10:$B$2501,2,FALSE)</f>
        <v>Park View at Randallstown</v>
      </c>
      <c r="AI2" s="53" t="str">
        <f>VLOOKUP(AI$1,Main!$A$10:$B$2501,2,FALSE)</f>
        <v>Park View at Rosedale</v>
      </c>
      <c r="AJ2" s="53" t="str">
        <f>VLOOKUP(AJ$1,Main!$A$10:$B$2501,2,FALSE)</f>
        <v>Park View at Towson</v>
      </c>
      <c r="AK2" s="53" t="str">
        <f>VLOOKUP(AK$1,Main!$A$10:$B$2501,2,FALSE)</f>
        <v>Highland Commons</v>
      </c>
      <c r="AL2" s="53" t="str">
        <f>VLOOKUP(AL$1,Main!$A$10:$B$2501,2,FALSE)</f>
        <v>test_project</v>
      </c>
      <c r="AM2" s="53" t="str">
        <f>VLOOKUP(AM$1,Main!$A$10:$B$2501,2,FALSE)</f>
        <v>PK image access test</v>
      </c>
      <c r="AN2" s="53" t="str">
        <f>VLOOKUP(AN$1,Main!$A$10:$B$2501,2,FALSE)</f>
        <v>PK image access test</v>
      </c>
      <c r="AO2" s="53" t="str">
        <f>VLOOKUP(AO$1,Main!$A$10:$B$2501,2,FALSE)</f>
        <v>pk investors report testing</v>
      </c>
      <c r="AP2" s="53" t="e">
        <f>VLOOKUP(AP$1,Main!$A$10:$B$2501,2,FALSE)</f>
        <v>#N/A</v>
      </c>
      <c r="AQ2" s="53" t="e">
        <f>VLOOKUP(AQ$1,Main!$A$10:$B$2501,2,FALSE)</f>
        <v>#N/A</v>
      </c>
      <c r="AR2" s="53" t="e">
        <f>VLOOKUP(AR$1,Main!$A$10:$B$2501,2,FALSE)</f>
        <v>#N/A</v>
      </c>
      <c r="AS2" s="53" t="e">
        <f>VLOOKUP(AS$1,Main!$A$10:$B$2501,2,FALSE)</f>
        <v>#N/A</v>
      </c>
      <c r="AT2" s="53" t="e">
        <f>VLOOKUP(AT$1,Main!$A$10:$B$2501,2,FALSE)</f>
        <v>#N/A</v>
      </c>
      <c r="AU2" s="53" t="e">
        <f>VLOOKUP(AU$1,Main!$A$10:$B$2501,2,FALSE)</f>
        <v>#N/A</v>
      </c>
      <c r="AV2" s="53" t="e">
        <f>VLOOKUP(AV$1,Main!$A$10:$B$2501,2,FALSE)</f>
        <v>#N/A</v>
      </c>
      <c r="AW2" s="53" t="e">
        <f>VLOOKUP(AW$1,Main!$A$10:$B$2501,2,FALSE)</f>
        <v>#N/A</v>
      </c>
      <c r="AX2" s="53" t="e">
        <f>VLOOKUP(AX$1,Main!$A$10:$B$2501,2,FALSE)</f>
        <v>#N/A</v>
      </c>
      <c r="AY2" s="53" t="e">
        <f>VLOOKUP(AY$1,Main!$A$10:$B$2501,2,FALSE)</f>
        <v>#N/A</v>
      </c>
      <c r="AZ2" s="53" t="e">
        <f>VLOOKUP(AZ$1,Main!$A$10:$B$2501,2,FALSE)</f>
        <v>#N/A</v>
      </c>
      <c r="BA2" s="53" t="e">
        <f>VLOOKUP(BA$1,Main!$A$10:$B$2501,2,FALSE)</f>
        <v>#N/A</v>
      </c>
      <c r="BB2" s="53" t="e">
        <f>VLOOKUP(BB$1,Main!$A$10:$B$2501,2,FALSE)</f>
        <v>#N/A</v>
      </c>
      <c r="BC2" s="53" t="e">
        <f>VLOOKUP(BC$1,Main!$A$10:$B$2501,2,FALSE)</f>
        <v>#N/A</v>
      </c>
      <c r="BD2" s="53" t="e">
        <f>VLOOKUP(BD$1,Main!$A$10:$B$2501,2,FALSE)</f>
        <v>#N/A</v>
      </c>
      <c r="BE2" s="53" t="e">
        <f>VLOOKUP(BE$1,Main!$A$10:$B$2501,2,FALSE)</f>
        <v>#N/A</v>
      </c>
      <c r="BF2" s="53" t="e">
        <f>VLOOKUP(BF$1,Main!$A$10:$B$2501,2,FALSE)</f>
        <v>#N/A</v>
      </c>
      <c r="BG2" s="53" t="e">
        <f>VLOOKUP(BG$1,Main!$A$10:$B$2501,2,FALSE)</f>
        <v>#N/A</v>
      </c>
      <c r="BH2" s="53" t="e">
        <f>VLOOKUP(BH$1,Main!$A$10:$B$2501,2,FALSE)</f>
        <v>#N/A</v>
      </c>
      <c r="BI2" s="53" t="e">
        <f>VLOOKUP(BI$1,Main!$A$10:$B$2501,2,FALSE)</f>
        <v>#N/A</v>
      </c>
      <c r="BJ2" s="53" t="e">
        <f>VLOOKUP(BJ$1,Main!$A$10:$B$2501,2,FALSE)</f>
        <v>#N/A</v>
      </c>
      <c r="BK2" s="53" t="e">
        <f>VLOOKUP(BK$1,Main!$A$10:$B$2501,2,FALSE)</f>
        <v>#N/A</v>
      </c>
      <c r="BL2" s="53" t="e">
        <f>VLOOKUP(BL$1,Main!$A$10:$B$2501,2,FALSE)</f>
        <v>#N/A</v>
      </c>
      <c r="BM2" s="53" t="e">
        <f>VLOOKUP(BM$1,Main!$A$10:$B$2501,2,FALSE)</f>
        <v>#N/A</v>
      </c>
      <c r="BN2" s="53" t="e">
        <f>VLOOKUP(BN$1,Main!$A$10:$B$2501,2,FALSE)</f>
        <v>#N/A</v>
      </c>
      <c r="BO2" s="53" t="e">
        <f>VLOOKUP(BO$1,Main!$A$10:$B$2501,2,FALSE)</f>
        <v>#N/A</v>
      </c>
      <c r="BP2" s="53" t="e">
        <f>VLOOKUP(BP$1,Main!$A$10:$B$2501,2,FALSE)</f>
        <v>#N/A</v>
      </c>
      <c r="BQ2" s="53" t="e">
        <f>VLOOKUP(BQ$1,Main!$A$10:$B$2501,2,FALSE)</f>
        <v>#N/A</v>
      </c>
      <c r="BR2" s="53" t="e">
        <f>VLOOKUP(BR$1,Main!$A$10:$B$2501,2,FALSE)</f>
        <v>#N/A</v>
      </c>
      <c r="BS2" s="53" t="e">
        <f>VLOOKUP(BS$1,Main!$A$10:$B$2501,2,FALSE)</f>
        <v>#N/A</v>
      </c>
      <c r="BT2" s="53" t="e">
        <f>VLOOKUP(BT$1,Main!$A$10:$B$2501,2,FALSE)</f>
        <v>#N/A</v>
      </c>
      <c r="BU2" s="53" t="e">
        <f>VLOOKUP(BU$1,Main!$A$10:$B$2501,2,FALSE)</f>
        <v>#N/A</v>
      </c>
      <c r="BV2" s="53" t="e">
        <f>VLOOKUP(BV$1,Main!$A$10:$B$2501,2,FALSE)</f>
        <v>#N/A</v>
      </c>
      <c r="BW2" s="53" t="e">
        <f>VLOOKUP(BW$1,Main!$A$10:$B$2501,2,FALSE)</f>
        <v>#N/A</v>
      </c>
      <c r="BX2" s="53" t="e">
        <f>VLOOKUP(BX$1,Main!$A$10:$B$2501,2,FALSE)</f>
        <v>#N/A</v>
      </c>
      <c r="BY2" s="53" t="e">
        <f>VLOOKUP(BY$1,Main!$A$10:$B$2501,2,FALSE)</f>
        <v>#N/A</v>
      </c>
      <c r="BZ2" s="53" t="e">
        <f>VLOOKUP(BZ$1,Main!$A$10:$B$2501,2,FALSE)</f>
        <v>#N/A</v>
      </c>
      <c r="CA2" s="53" t="e">
        <f>VLOOKUP(CA$1,Main!$A$10:$B$2501,2,FALSE)</f>
        <v>#N/A</v>
      </c>
      <c r="CB2" s="53" t="e">
        <f>VLOOKUP(CB$1,Main!$A$10:$B$2501,2,FALSE)</f>
        <v>#N/A</v>
      </c>
      <c r="CC2" s="53" t="e">
        <f>VLOOKUP(CC$1,Main!$A$10:$B$2501,2,FALSE)</f>
        <v>#N/A</v>
      </c>
      <c r="CD2" s="53" t="e">
        <f>VLOOKUP(CD$1,Main!$A$10:$B$2501,2,FALSE)</f>
        <v>#N/A</v>
      </c>
      <c r="CE2" s="53" t="e">
        <f>VLOOKUP(CE$1,Main!$A$10:$B$2501,2,FALSE)</f>
        <v>#N/A</v>
      </c>
      <c r="CF2" s="53" t="e">
        <f>VLOOKUP(CF$1,Main!$A$10:$B$2501,2,FALSE)</f>
        <v>#N/A</v>
      </c>
      <c r="CG2" s="53" t="e">
        <f>VLOOKUP(CG$1,Main!$A$10:$B$2501,2,FALSE)</f>
        <v>#N/A</v>
      </c>
      <c r="CH2" s="53" t="e">
        <f>VLOOKUP(CH$1,Main!$A$10:$B$2501,2,FALSE)</f>
        <v>#N/A</v>
      </c>
      <c r="CI2" s="53" t="e">
        <f>VLOOKUP(CI$1,Main!$A$10:$B$2501,2,FALSE)</f>
        <v>#N/A</v>
      </c>
      <c r="CJ2" s="53" t="e">
        <f>VLOOKUP(CJ$1,Main!$A$10:$B$2501,2,FALSE)</f>
        <v>#N/A</v>
      </c>
      <c r="CK2" s="53" t="e">
        <f>VLOOKUP(CK$1,Main!$A$10:$B$2501,2,FALSE)</f>
        <v>#N/A</v>
      </c>
      <c r="CL2" s="53" t="e">
        <f>VLOOKUP(CL$1,Main!$A$10:$B$2501,2,FALSE)</f>
        <v>#N/A</v>
      </c>
      <c r="CM2" s="53" t="e">
        <f>VLOOKUP(CM$1,Main!$A$10:$B$2501,2,FALSE)</f>
        <v>#N/A</v>
      </c>
      <c r="CN2" s="53" t="e">
        <f>VLOOKUP(CN$1,Main!$A$10:$B$2501,2,FALSE)</f>
        <v>#N/A</v>
      </c>
      <c r="CO2" s="53" t="e">
        <f>VLOOKUP(CO$1,Main!$A$10:$B$2501,2,FALSE)</f>
        <v>#N/A</v>
      </c>
      <c r="CP2" s="53" t="e">
        <f>VLOOKUP(CP$1,Main!$A$10:$B$2501,2,FALSE)</f>
        <v>#N/A</v>
      </c>
      <c r="CQ2" s="53" t="e">
        <f>VLOOKUP(CQ$1,Main!$A$10:$B$2501,2,FALSE)</f>
        <v>#N/A</v>
      </c>
      <c r="CR2" s="53" t="e">
        <f>VLOOKUP(CR$1,Main!$A$10:$B$2501,2,FALSE)</f>
        <v>#N/A</v>
      </c>
      <c r="CS2" s="53" t="e">
        <f>VLOOKUP(CS$1,Main!$A$10:$B$2501,2,FALSE)</f>
        <v>#N/A</v>
      </c>
      <c r="CT2" s="53" t="e">
        <f>VLOOKUP(CT$1,Main!$A$10:$B$2501,2,FALSE)</f>
        <v>#N/A</v>
      </c>
      <c r="CU2" s="53" t="e">
        <f>VLOOKUP(CU$1,Main!$A$10:$B$2501,2,FALSE)</f>
        <v>#N/A</v>
      </c>
      <c r="CV2" s="53" t="e">
        <f>VLOOKUP(CV$1,Main!$A$10:$B$2501,2,FALSE)</f>
        <v>#N/A</v>
      </c>
      <c r="CW2" s="53" t="e">
        <f>VLOOKUP(CW$1,Main!$A$10:$B$2501,2,FALSE)</f>
        <v>#N/A</v>
      </c>
      <c r="CX2" s="53" t="e">
        <f>VLOOKUP(CX$1,Main!$A$10:$B$2501,2,FALSE)</f>
        <v>#N/A</v>
      </c>
      <c r="CY2" s="53" t="e">
        <f>VLOOKUP(CY$1,Main!$A$10:$B$2501,2,FALSE)</f>
        <v>#N/A</v>
      </c>
      <c r="CZ2" s="53" t="e">
        <f>VLOOKUP(CZ$1,Main!$A$10:$B$2501,2,FALSE)</f>
        <v>#N/A</v>
      </c>
    </row>
    <row r="4" spans="1:104" s="46" customFormat="1" x14ac:dyDescent="0.2">
      <c r="A4" s="4" t="s">
        <v>49</v>
      </c>
      <c r="I4" s="47"/>
    </row>
    <row r="5" spans="1:104" s="46" customFormat="1" x14ac:dyDescent="0.2">
      <c r="A5" s="52" t="s">
        <v>144</v>
      </c>
      <c r="B5" s="46">
        <f>INDEX('IncStmt Data'!H$1:H$2999,MATCH(B$1,'IncStmt Data'!A$2:A$2051,0)+MATCH(A5,'IncStmt Data'!G$2:G$2051,0))</f>
        <v>0</v>
      </c>
      <c r="C5" s="44" t="e">
        <f>INDEX('IncStmt Data'!H$1:H$2999,MATCH(C$1,'IncStmt Data'!A$2:A$2051,0)+MATCH(A5,'IncStmt Data'!G$2:G$2051,0))</f>
        <v>#N/A</v>
      </c>
      <c r="D5" s="44" t="e">
        <f>INDEX('IncStmt Data'!H$1:H$2999,MATCH(D$1,'IncStmt Data'!A$2:A$2051,0)+MATCH(A5,'IncStmt Data'!G$2:G$2051,0))</f>
        <v>#N/A</v>
      </c>
      <c r="E5" s="44" t="e">
        <f>INDEX('IncStmt Data'!H$1:H$2999,MATCH(E$1,'IncStmt Data'!A$2:A$2051,0)+MATCH(A5,'IncStmt Data'!G$2:G$2051,0))</f>
        <v>#N/A</v>
      </c>
      <c r="F5" s="44" t="e">
        <f>INDEX('IncStmt Data'!H$1:H$2999,MATCH(F$1,'IncStmt Data'!A$2:A$2051,0)+MATCH(A5,'IncStmt Data'!G$2:G$2051,0))</f>
        <v>#N/A</v>
      </c>
      <c r="G5" s="44" t="e">
        <f>INDEX('IncStmt Data'!H$1:H$2999,MATCH(G$1,'IncStmt Data'!A$2:A$2051,0)+MATCH(A5,'IncStmt Data'!G$2:G$2051,0))</f>
        <v>#N/A</v>
      </c>
      <c r="H5" s="44" t="e">
        <f>INDEX('IncStmt Data'!H$1:H$2999,MATCH(H$1,'IncStmt Data'!A$2:A$2051,0)+MATCH(A5,'IncStmt Data'!G$2:G$2051,0))</f>
        <v>#N/A</v>
      </c>
      <c r="I5" s="54" t="e">
        <f>INDEX('IncStmt Data'!H$1:H$2999,MATCH(I$1,'IncStmt Data'!A$2:A$2051,0)+MATCH(A5,'IncStmt Data'!G$2:G$2051,0))</f>
        <v>#N/A</v>
      </c>
      <c r="J5" s="44" t="e">
        <f>INDEX('IncStmt Data'!H$1:H$2999,MATCH(J$1,'IncStmt Data'!A$2:A$2051,0)+MATCH(A5,'IncStmt Data'!G$2:G$2051,0))</f>
        <v>#N/A</v>
      </c>
      <c r="K5" s="44" t="e">
        <f>INDEX('IncStmt Data'!H$1:H$2999,MATCH(K$1,'IncStmt Data'!A$2:A$2051,0)+MATCH(A5,'IncStmt Data'!G$2:G$2051,0))</f>
        <v>#N/A</v>
      </c>
      <c r="L5" s="44" t="e">
        <f>INDEX('IncStmt Data'!H$1:H$2999,MATCH(L$1,'IncStmt Data'!A$2:A$2051,0)+MATCH(A5,'IncStmt Data'!G$2:G$2051,0))</f>
        <v>#N/A</v>
      </c>
      <c r="M5" s="44" t="e">
        <f>INDEX('IncStmt Data'!H$1:H$2999,MATCH(M$1,'IncStmt Data'!A$2:A$2051,0)+MATCH(A5,'IncStmt Data'!G$2:G$2051,0))</f>
        <v>#N/A</v>
      </c>
      <c r="N5" s="44" t="e">
        <f>INDEX('IncStmt Data'!H$1:H$2999,MATCH(N$1,'IncStmt Data'!A$2:A$2051,0)+MATCH(A5,'IncStmt Data'!G$2:G$2051,0))</f>
        <v>#N/A</v>
      </c>
      <c r="O5" s="44" t="e">
        <f>INDEX('IncStmt Data'!H$1:H$2999,MATCH(O$1,'IncStmt Data'!A$2:A$2051,0)+MATCH(A5,'IncStmt Data'!G$2:G$2051,0))</f>
        <v>#N/A</v>
      </c>
      <c r="P5" s="44" t="e">
        <f>INDEX('IncStmt Data'!H$1:H$2999,MATCH(P$1,'IncStmt Data'!A$2:A$2051,0)+MATCH(A5,'IncStmt Data'!G$2:G$2051,0))</f>
        <v>#N/A</v>
      </c>
      <c r="Q5" s="44" t="e">
        <f>INDEX('IncStmt Data'!H$1:H$2999,MATCH(Q$1,'IncStmt Data'!A$2:A$2051,0)+MATCH(A5,'IncStmt Data'!G$2:G$2051,0))</f>
        <v>#N/A</v>
      </c>
      <c r="R5" s="44" t="e">
        <f>INDEX('IncStmt Data'!H$1:H$2999,MATCH(R$1,'IncStmt Data'!A$2:A$2051,0)+MATCH(A5,'IncStmt Data'!G$2:G$2051,0))</f>
        <v>#N/A</v>
      </c>
      <c r="S5" s="44" t="e">
        <f>INDEX('IncStmt Data'!H$1:H$2999,MATCH(S$1,'IncStmt Data'!A$2:A$2051,0)+MATCH(A5,'IncStmt Data'!G$2:G$2051,0))</f>
        <v>#N/A</v>
      </c>
      <c r="T5" s="44" t="e">
        <f>INDEX('IncStmt Data'!H$1:H$2999,MATCH(T$1,'IncStmt Data'!A$2:A$2051,0)+MATCH(A5,'IncStmt Data'!G$2:G$2051,0))</f>
        <v>#N/A</v>
      </c>
      <c r="U5" s="44" t="e">
        <f>INDEX('IncStmt Data'!H$1:H$2999,MATCH(U$1,'IncStmt Data'!A$2:A$2051,0)+MATCH(A5,'IncStmt Data'!G$2:G$2051,0))</f>
        <v>#N/A</v>
      </c>
      <c r="V5" s="44" t="e">
        <f>INDEX('IncStmt Data'!H$1:H$2999,MATCH(V$1,'IncStmt Data'!A$2:A$2051,0)+MATCH(A5,'IncStmt Data'!G$2:G$2051,0))</f>
        <v>#N/A</v>
      </c>
      <c r="W5" s="44" t="e">
        <f>INDEX('IncStmt Data'!H$1:H$2999,MATCH(W$1,'IncStmt Data'!A$2:A$2051,0)+MATCH(A5,'IncStmt Data'!G$2:G$2051,0))</f>
        <v>#N/A</v>
      </c>
      <c r="X5" s="44" t="e">
        <f>INDEX('IncStmt Data'!H$1:H$2999,MATCH(X$1,'IncStmt Data'!A$2:A$2051,0)+MATCH(A5,'IncStmt Data'!G$2:G$2051,0))</f>
        <v>#N/A</v>
      </c>
      <c r="Y5" s="44" t="e">
        <f>INDEX('IncStmt Data'!H$1:H$2999,MATCH(Y$1,'IncStmt Data'!A$2:A$2051,0)+MATCH(A5,'IncStmt Data'!G$2:G$2051,0))</f>
        <v>#N/A</v>
      </c>
      <c r="Z5" s="44" t="e">
        <f>INDEX('IncStmt Data'!H$1:H$2999,MATCH(Z$1,'IncStmt Data'!A$2:A$2051,0)+MATCH(A5,'IncStmt Data'!G$2:G$2051,0))</f>
        <v>#N/A</v>
      </c>
      <c r="AA5" s="44" t="e">
        <f>INDEX('IncStmt Data'!H$1:H$2999,MATCH(AA$1,'IncStmt Data'!A$2:A$2051,0)+MATCH(A5,'IncStmt Data'!G$2:G$2051,0))</f>
        <v>#N/A</v>
      </c>
      <c r="AB5" s="44" t="e">
        <f>INDEX('IncStmt Data'!H$1:H$2999,MATCH(AB$1,'IncStmt Data'!A$2:A$2051,0)+MATCH(A5,'IncStmt Data'!G$2:G$2051,0))</f>
        <v>#N/A</v>
      </c>
      <c r="AC5" s="44" t="e">
        <f>INDEX('IncStmt Data'!H$1:H$2999,MATCH(AC$1,'IncStmt Data'!A$2:A$2051,0)+MATCH(A5,'IncStmt Data'!G$2:G$2051,0))</f>
        <v>#N/A</v>
      </c>
      <c r="AD5" s="44" t="e">
        <f>INDEX('IncStmt Data'!H$1:H$2999,MATCH(AD$1,'IncStmt Data'!A$2:A$2051,0)+MATCH(A5,'IncStmt Data'!G$2:G$2051,0))</f>
        <v>#N/A</v>
      </c>
      <c r="AE5" s="44" t="e">
        <f>INDEX('IncStmt Data'!H$1:H$2999,MATCH(AE$1,'IncStmt Data'!A$2:A$2051,0)+MATCH(A5,'IncStmt Data'!G$2:G$2051,0))</f>
        <v>#N/A</v>
      </c>
      <c r="AF5" s="44" t="e">
        <f>INDEX('IncStmt Data'!H$1:H$2999,MATCH(AF$1,'IncStmt Data'!A$2:A$2051,0)+MATCH(A5,'IncStmt Data'!G$2:G$2051,0))</f>
        <v>#N/A</v>
      </c>
      <c r="AG5" s="44" t="e">
        <f>INDEX('IncStmt Data'!H$1:H$2999,MATCH(AG$1,'IncStmt Data'!A$2:A$2051,0)+MATCH(A5,'IncStmt Data'!G$2:G$2051,0))</f>
        <v>#N/A</v>
      </c>
      <c r="AH5" s="44" t="e">
        <f>INDEX('IncStmt Data'!H$1:H$2999,MATCH(AH$1,'IncStmt Data'!A$2:A$2051,0)+MATCH(A5,'IncStmt Data'!G$2:G$2051,0))</f>
        <v>#N/A</v>
      </c>
      <c r="AI5" s="44" t="e">
        <f>INDEX('IncStmt Data'!H$1:H$2999,MATCH(AI$1,'IncStmt Data'!A$2:A$2051,0)+MATCH(A5,'IncStmt Data'!G$2:G$2051,0))</f>
        <v>#N/A</v>
      </c>
      <c r="AJ5" s="44" t="e">
        <f>INDEX('IncStmt Data'!H$1:H$2999,MATCH(AJ$1,'IncStmt Data'!A$2:A$2051,0)+MATCH(A5,'IncStmt Data'!G$2:G$2051,0))</f>
        <v>#N/A</v>
      </c>
      <c r="AK5" s="44" t="e">
        <f>INDEX('IncStmt Data'!H$1:H$2999,MATCH(AK$1,'IncStmt Data'!A$2:A$2051,0)+MATCH(A5,'IncStmt Data'!G$2:G$2051,0))</f>
        <v>#N/A</v>
      </c>
      <c r="AL5" s="44">
        <f>INDEX('IncStmt Data'!H$1:H$2999,MATCH(AL$1,'IncStmt Data'!A$2:A$2051,0)+MATCH(A5,'IncStmt Data'!G$2:G$2051,0))</f>
        <v>430</v>
      </c>
      <c r="AM5" s="44">
        <f>INDEX('IncStmt Data'!H$1:H$2999,MATCH(AM$1,'IncStmt Data'!A$2:A$2051,0)+MATCH(A5,'IncStmt Data'!G$2:G$2051,0))</f>
        <v>0</v>
      </c>
      <c r="AN5" s="44">
        <f>INDEX('IncStmt Data'!H$1:H$2999,MATCH(AN$1,'IncStmt Data'!A$2:A$2051,0)+MATCH(A5,'IncStmt Data'!G$2:G$2051,0))</f>
        <v>0</v>
      </c>
      <c r="AO5" s="44">
        <f>INDEX('IncStmt Data'!H$1:H$2999,MATCH(AO$1,'IncStmt Data'!A$2:A$2051,0)+MATCH(A5,'IncStmt Data'!G$2:G$2051,0))</f>
        <v>0</v>
      </c>
      <c r="AP5" s="44" t="e">
        <f>INDEX('IncStmt Data'!H$1:H$2999,MATCH(AP$1,'IncStmt Data'!A$2:A$2051,0)+MATCH(A5,'IncStmt Data'!G$2:G$2051,0))</f>
        <v>#N/A</v>
      </c>
      <c r="AQ5" s="44" t="e">
        <f>INDEX('IncStmt Data'!H$1:H$2999,MATCH(AQ$1,'IncStmt Data'!A$2:A$2051,0)+MATCH(A5,'IncStmt Data'!G$2:G$2051,0))</f>
        <v>#N/A</v>
      </c>
      <c r="AR5" s="44" t="e">
        <f>INDEX('IncStmt Data'!H$1:H$2999,MATCH(AR$1,'IncStmt Data'!A$2:A$2051,0)+MATCH(A5,'IncStmt Data'!G$2:G$2051,0))</f>
        <v>#N/A</v>
      </c>
      <c r="AS5" s="44" t="e">
        <f>INDEX('IncStmt Data'!H$1:H$2999,MATCH(AS$1,'IncStmt Data'!A$2:A$2051,0)+MATCH(A5,'IncStmt Data'!G$2:G$2051,0))</f>
        <v>#N/A</v>
      </c>
      <c r="AT5" s="44" t="e">
        <f>INDEX('IncStmt Data'!H$1:H$2999,MATCH(AT$1,'IncStmt Data'!A$2:A$2051,0)+MATCH(A5,'IncStmt Data'!G$2:G$2051,0))</f>
        <v>#N/A</v>
      </c>
      <c r="AU5" s="44" t="e">
        <f>INDEX('IncStmt Data'!H$1:H$2999,MATCH(AU$1,'IncStmt Data'!A$2:A$2051,0)+MATCH(A5,'IncStmt Data'!G$2:G$2051,0))</f>
        <v>#N/A</v>
      </c>
      <c r="AV5" s="44" t="e">
        <f>INDEX('IncStmt Data'!H$1:H$2999,MATCH(AV$1,'IncStmt Data'!A$2:A$2051,0)+MATCH(A5,'IncStmt Data'!G$2:G$2051,0))</f>
        <v>#N/A</v>
      </c>
      <c r="AW5" s="44" t="e">
        <f>INDEX('IncStmt Data'!H$1:H$2999,MATCH(AW$1,'IncStmt Data'!A$2:A$2051,0)+MATCH(A5,'IncStmt Data'!G$2:G$2051,0))</f>
        <v>#N/A</v>
      </c>
      <c r="AX5" s="44" t="e">
        <f>INDEX('IncStmt Data'!H$1:H$2999,MATCH(AX$1,'IncStmt Data'!A$2:A$2051,0)+MATCH(A5,'IncStmt Data'!G$2:G$2051,0))</f>
        <v>#N/A</v>
      </c>
      <c r="AY5" s="44" t="e">
        <f>INDEX('IncStmt Data'!H$1:H$2999,MATCH(AY$1,'IncStmt Data'!A$2:A$2051,0)+MATCH(A5,'IncStmt Data'!G$2:G$2051,0))</f>
        <v>#N/A</v>
      </c>
      <c r="AZ5" s="44" t="e">
        <f>INDEX('IncStmt Data'!H$1:H$2999,MATCH(AZ$1,'IncStmt Data'!A$2:A$2051,0)+MATCH(A5,'IncStmt Data'!G$2:G$2051,0))</f>
        <v>#N/A</v>
      </c>
      <c r="BA5" s="44" t="e">
        <f>INDEX('IncStmt Data'!H$1:H$2999,MATCH(BA$1,'IncStmt Data'!A$2:A$2051,0)+MATCH(A5,'IncStmt Data'!G$2:G$2051,0))</f>
        <v>#N/A</v>
      </c>
      <c r="BB5" s="44" t="e">
        <f>INDEX('IncStmt Data'!H$1:H$2999,MATCH(BB$1,'IncStmt Data'!A$2:A$2051,0)+MATCH(A5,'IncStmt Data'!G$2:G$2051,0))</f>
        <v>#N/A</v>
      </c>
      <c r="BC5" s="44" t="e">
        <f>INDEX('IncStmt Data'!H$1:H$2999,MATCH(BC$1,'IncStmt Data'!A$2:A$2051,0)+MATCH(A5,'IncStmt Data'!G$2:G$2051,0))</f>
        <v>#N/A</v>
      </c>
      <c r="BD5" s="44" t="e">
        <f>INDEX('IncStmt Data'!H$1:H$2999,MATCH(BD$1,'IncStmt Data'!A$2:A$2051,0)+MATCH(A5,'IncStmt Data'!G$2:G$2051,0))</f>
        <v>#N/A</v>
      </c>
      <c r="BE5" s="44" t="e">
        <f>INDEX('IncStmt Data'!H$1:H$2999,MATCH(BE$1,'IncStmt Data'!A$2:A$2051,0)+MATCH(A5,'IncStmt Data'!G$2:G$2051,0))</f>
        <v>#N/A</v>
      </c>
      <c r="BF5" s="44" t="e">
        <f>INDEX('IncStmt Data'!H$1:H$2999,MATCH(BF$1,'IncStmt Data'!A$2:A$2051,0)+MATCH(A5,'IncStmt Data'!G$2:G$2051,0))</f>
        <v>#N/A</v>
      </c>
      <c r="BG5" s="44" t="e">
        <f>INDEX('IncStmt Data'!H$1:H$2999,MATCH(BG$1,'IncStmt Data'!A$2:A$2051,0)+MATCH(A5,'IncStmt Data'!G$2:G$2051,0))</f>
        <v>#N/A</v>
      </c>
      <c r="BH5" s="44" t="e">
        <f>INDEX('IncStmt Data'!H$1:H$2999,MATCH(BH$1,'IncStmt Data'!A$2:A$2051,0)+MATCH(A5,'IncStmt Data'!G$2:G$2051,0))</f>
        <v>#N/A</v>
      </c>
      <c r="BI5" s="44" t="e">
        <f>INDEX('IncStmt Data'!H$1:H$2999,MATCH(BI$1,'IncStmt Data'!A$2:A$2051,0)+MATCH(A5,'IncStmt Data'!G$2:G$2051,0))</f>
        <v>#N/A</v>
      </c>
      <c r="BJ5" s="44" t="e">
        <f>INDEX('IncStmt Data'!H$1:H$2999,MATCH(BJ$1,'IncStmt Data'!A$2:A$2051,0)+MATCH(A5,'IncStmt Data'!G$2:G$2051,0))</f>
        <v>#N/A</v>
      </c>
      <c r="BK5" s="44" t="e">
        <f>INDEX('IncStmt Data'!H$1:H$2999,MATCH(BK$1,'IncStmt Data'!A$2:A$2051,0)+MATCH(A5,'IncStmt Data'!G$2:G$2051,0))</f>
        <v>#N/A</v>
      </c>
      <c r="BL5" s="44" t="e">
        <f>INDEX('IncStmt Data'!H$1:H$2999,MATCH(BL$1,'IncStmt Data'!A$2:A$2051,0)+MATCH(A5,'IncStmt Data'!G$2:G$2051,0))</f>
        <v>#N/A</v>
      </c>
      <c r="BM5" s="44" t="e">
        <f>INDEX('IncStmt Data'!H$1:H$2999,MATCH(BM$1,'IncStmt Data'!A$2:A$2051,0)+MATCH(A5,'IncStmt Data'!G$2:G$2051,0))</f>
        <v>#N/A</v>
      </c>
      <c r="BN5" s="44" t="e">
        <f>INDEX('IncStmt Data'!H$1:H$2999,MATCH(BN$1,'IncStmt Data'!A$2:A$2051,0)+MATCH(A5,'IncStmt Data'!G$2:G$2051,0))</f>
        <v>#N/A</v>
      </c>
      <c r="BO5" s="44" t="e">
        <f>INDEX('IncStmt Data'!H$1:H$2999,MATCH(BO$1,'IncStmt Data'!A$2:A$2051,0)+MATCH(A5,'IncStmt Data'!G$2:G$2051,0))</f>
        <v>#N/A</v>
      </c>
      <c r="BP5" s="44" t="e">
        <f>INDEX('IncStmt Data'!H$1:H$2999,MATCH(BP$1,'IncStmt Data'!A$2:A$2051,0)+MATCH(A5,'IncStmt Data'!G$2:G$2051,0))</f>
        <v>#N/A</v>
      </c>
      <c r="BQ5" s="44" t="e">
        <f>INDEX('IncStmt Data'!H$1:H$2999,MATCH(BQ$1,'IncStmt Data'!A$2:A$2051,0)+MATCH(A5,'IncStmt Data'!G$2:G$2051,0))</f>
        <v>#N/A</v>
      </c>
      <c r="BR5" s="44" t="e">
        <f>INDEX('IncStmt Data'!H$1:H$2999,MATCH(BR$1,'IncStmt Data'!A$2:A$2051,0)+MATCH(A5,'IncStmt Data'!G$2:G$2051,0))</f>
        <v>#N/A</v>
      </c>
      <c r="BS5" s="44" t="e">
        <f>INDEX('IncStmt Data'!H$1:H$2999,MATCH(BS$1,'IncStmt Data'!A$2:A$2051,0)+MATCH(A5,'IncStmt Data'!G$2:G$2051,0))</f>
        <v>#N/A</v>
      </c>
      <c r="BT5" s="44" t="e">
        <f>INDEX('IncStmt Data'!H$1:H$2999,MATCH(BT$1,'IncStmt Data'!A$2:A$2051,0)+MATCH(A5,'IncStmt Data'!G$2:G$2051,0))</f>
        <v>#N/A</v>
      </c>
      <c r="BU5" s="44" t="e">
        <f>INDEX('IncStmt Data'!H$1:H$2999,MATCH(BU$1,'IncStmt Data'!A$2:A$2051,0)+MATCH(A5,'IncStmt Data'!G$2:G$2051,0))</f>
        <v>#N/A</v>
      </c>
      <c r="BV5" s="44" t="e">
        <f>INDEX('IncStmt Data'!H$1:H$2999,MATCH(BV$1,'IncStmt Data'!A$2:A$2051,0)+MATCH(A5,'IncStmt Data'!G$2:G$2051,0))</f>
        <v>#N/A</v>
      </c>
      <c r="BW5" s="44" t="e">
        <f>INDEX('IncStmt Data'!H$1:H$2999,MATCH(BW$1,'IncStmt Data'!A$2:A$2051,0)+MATCH(A5,'IncStmt Data'!G$2:G$2051,0))</f>
        <v>#N/A</v>
      </c>
      <c r="BX5" s="44" t="e">
        <f>INDEX('IncStmt Data'!H$1:H$2999,MATCH(BX$1,'IncStmt Data'!A$2:A$2051,0)+MATCH(A5,'IncStmt Data'!G$2:G$2051,0))</f>
        <v>#N/A</v>
      </c>
      <c r="BY5" s="44" t="e">
        <f>INDEX('IncStmt Data'!H$1:H$2999,MATCH(BY$1,'IncStmt Data'!A$2:A$2051,0)+MATCH(A5,'IncStmt Data'!G$2:G$2051,0))</f>
        <v>#N/A</v>
      </c>
      <c r="BZ5" s="44" t="e">
        <f>INDEX('IncStmt Data'!H$1:H$2999,MATCH(BZ$1,'IncStmt Data'!A$2:A$2051,0)+MATCH(A5,'IncStmt Data'!G$2:G$2051,0))</f>
        <v>#N/A</v>
      </c>
      <c r="CA5" s="44" t="e">
        <f>INDEX('IncStmt Data'!H$1:H$2999,MATCH(CA$1,'IncStmt Data'!A$2:A$2051,0)+MATCH(A5,'IncStmt Data'!G$2:G$2051,0))</f>
        <v>#N/A</v>
      </c>
      <c r="CB5" s="44" t="e">
        <f>INDEX('IncStmt Data'!H$1:H$2999,MATCH(CB$1,'IncStmt Data'!A$2:A$2051,0)+MATCH(A5,'IncStmt Data'!G$2:G$2051,0))</f>
        <v>#N/A</v>
      </c>
      <c r="CC5" s="44" t="e">
        <f>INDEX('IncStmt Data'!H$1:H$2999,MATCH(CC$1,'IncStmt Data'!A$2:A$2051,0)+MATCH(A5,'IncStmt Data'!G$2:G$2051,0))</f>
        <v>#N/A</v>
      </c>
      <c r="CD5" s="44" t="e">
        <f>INDEX('IncStmt Data'!H$1:H$2999,MATCH(CD$1,'IncStmt Data'!A$2:A$2051,0)+MATCH(A5,'IncStmt Data'!G$2:G$2051,0))</f>
        <v>#N/A</v>
      </c>
      <c r="CE5" s="44" t="e">
        <f>INDEX('IncStmt Data'!H$1:H$2999,MATCH(CE$1,'IncStmt Data'!A$2:A$2051,0)+MATCH(A5,'IncStmt Data'!G$2:G$2051,0))</f>
        <v>#N/A</v>
      </c>
      <c r="CF5" s="44" t="e">
        <f>INDEX('IncStmt Data'!H$1:H$2999,MATCH(CF$1,'IncStmt Data'!A$2:A$2051,0)+MATCH(A5,'IncStmt Data'!G$2:G$2051,0))</f>
        <v>#N/A</v>
      </c>
      <c r="CG5" s="44" t="e">
        <f>INDEX('IncStmt Data'!H$1:H$2999,MATCH(CG$1,'IncStmt Data'!A$2:A$2051,0)+MATCH(A5,'IncStmt Data'!G$2:G$2051,0))</f>
        <v>#N/A</v>
      </c>
      <c r="CH5" s="44" t="e">
        <f>INDEX('IncStmt Data'!H$1:H$2999,MATCH(CH$1,'IncStmt Data'!A$2:A$2051,0)+MATCH(A5,'IncStmt Data'!G$2:G$2051,0))</f>
        <v>#N/A</v>
      </c>
      <c r="CI5" s="44" t="e">
        <f>INDEX('IncStmt Data'!H$1:H$2999,MATCH(CI$1,'IncStmt Data'!A$2:A$2051,0)+MATCH(A5,'IncStmt Data'!G$2:G$2051,0))</f>
        <v>#N/A</v>
      </c>
      <c r="CJ5" s="44" t="e">
        <f>INDEX('IncStmt Data'!H$1:H$2999,MATCH(CJ$1,'IncStmt Data'!A$2:A$2051,0)+MATCH(A5,'IncStmt Data'!G$2:G$2051,0))</f>
        <v>#N/A</v>
      </c>
      <c r="CK5" s="44" t="e">
        <f>INDEX('IncStmt Data'!H$1:H$2999,MATCH(CK$1,'IncStmt Data'!A$2:A$2051,0)+MATCH(A5,'IncStmt Data'!G$2:G$2051,0))</f>
        <v>#N/A</v>
      </c>
      <c r="CL5" s="44" t="e">
        <f>INDEX('IncStmt Data'!H$1:H$2999,MATCH(CL$1,'IncStmt Data'!A$2:A$2051,0)+MATCH(A5,'IncStmt Data'!G$2:G$2051,0))</f>
        <v>#N/A</v>
      </c>
      <c r="CM5" s="44" t="e">
        <f>INDEX('IncStmt Data'!H$1:H$2999,MATCH(CM$1,'IncStmt Data'!A$2:A$2051,0)+MATCH(A5,'IncStmt Data'!G$2:G$2051,0))</f>
        <v>#N/A</v>
      </c>
      <c r="CN5" s="44" t="e">
        <f>INDEX('IncStmt Data'!H$1:H$2999,MATCH(CN$1,'IncStmt Data'!A$2:A$2051,0)+MATCH(A5,'IncStmt Data'!G$2:G$2051,0))</f>
        <v>#N/A</v>
      </c>
      <c r="CO5" s="44" t="e">
        <f>INDEX('IncStmt Data'!H$1:H$2999,MATCH(CO$1,'IncStmt Data'!A$2:A$2051,0)+MATCH(A5,'IncStmt Data'!G$2:G$2051,0))</f>
        <v>#N/A</v>
      </c>
      <c r="CP5" s="44" t="e">
        <f>INDEX('IncStmt Data'!H$1:H$2999,MATCH(CP$1,'IncStmt Data'!A$2:A$2051,0)+MATCH(A5,'IncStmt Data'!G$2:G$2051,0))</f>
        <v>#N/A</v>
      </c>
      <c r="CQ5" s="44" t="e">
        <f>INDEX('IncStmt Data'!H$1:H$2999,MATCH(CQ$1,'IncStmt Data'!A$2:A$2051,0)+MATCH(A5,'IncStmt Data'!G$2:G$2051,0))</f>
        <v>#N/A</v>
      </c>
      <c r="CR5" s="44" t="e">
        <f>INDEX('IncStmt Data'!H$1:H$2999,MATCH(CR$1,'IncStmt Data'!A$2:A$2051,0)+MATCH(A5,'IncStmt Data'!G$2:G$2051,0))</f>
        <v>#N/A</v>
      </c>
      <c r="CS5" s="44" t="e">
        <f>INDEX('IncStmt Data'!H$1:H$2999,MATCH(CS$1,'IncStmt Data'!A$2:A$2051,0)+MATCH(A5,'IncStmt Data'!G$2:G$2051,0))</f>
        <v>#N/A</v>
      </c>
      <c r="CT5" s="44" t="e">
        <f>INDEX('IncStmt Data'!H$1:H$2999,MATCH(CT$1,'IncStmt Data'!A$2:A$2051,0)+MATCH(A5,'IncStmt Data'!G$2:G$2051,0))</f>
        <v>#N/A</v>
      </c>
      <c r="CU5" s="44" t="e">
        <f>INDEX('IncStmt Data'!H$1:H$2999,MATCH(CU$1,'IncStmt Data'!A$2:A$2051,0)+MATCH(A5,'IncStmt Data'!G$2:G$2051,0))</f>
        <v>#N/A</v>
      </c>
      <c r="CV5" s="44" t="e">
        <f>INDEX('IncStmt Data'!H$1:H$2999,MATCH(CV$1,'IncStmt Data'!A$2:A$2051,0)+MATCH(A5,'IncStmt Data'!G$2:G$2051,0))</f>
        <v>#N/A</v>
      </c>
      <c r="CW5" s="44" t="e">
        <f>INDEX('IncStmt Data'!H$1:H$2999,MATCH(CW$1,'IncStmt Data'!A$2:A$2051,0)+MATCH(A5,'IncStmt Data'!G$2:G$2051,0))</f>
        <v>#N/A</v>
      </c>
      <c r="CX5" s="44" t="e">
        <f>INDEX('IncStmt Data'!H$1:H$2999,MATCH(CX$1,'IncStmt Data'!A$2:A$2051,0)+MATCH(A5,'IncStmt Data'!G$2:G$2051,0))</f>
        <v>#N/A</v>
      </c>
      <c r="CY5" s="44" t="e">
        <f>INDEX('IncStmt Data'!H$1:H$2999,MATCH(CY$1,'IncStmt Data'!A$2:A$2051,0)+MATCH(A5,'IncStmt Data'!G$2:G$2051,0))</f>
        <v>#N/A</v>
      </c>
      <c r="CZ5" s="44" t="e">
        <f>INDEX('IncStmt Data'!H$1:H$2999,MATCH(CZ$1,'IncStmt Data'!A$2:A$2051,0)+MATCH(A5,'IncStmt Data'!G$2:G$2051,0))</f>
        <v>#N/A</v>
      </c>
    </row>
    <row r="6" spans="1:104" s="46" customFormat="1" x14ac:dyDescent="0.2">
      <c r="A6" s="4" t="s">
        <v>145</v>
      </c>
      <c r="B6" s="46">
        <f>INDEX('IncStmt Data'!H$1:H$2999,MATCH(B$1,'IncStmt Data'!A$2:A$2051,0)+MATCH(A6,'IncStmt Data'!G$2:G$2051,0))</f>
        <v>470</v>
      </c>
      <c r="C6" s="46" t="e">
        <f>INDEX('IncStmt Data'!H$1:H$2999,MATCH(C$1,'IncStmt Data'!A$2:A$2051,0)+MATCH(A6,'IncStmt Data'!G$2:G$2051,0))</f>
        <v>#N/A</v>
      </c>
      <c r="D6" s="46" t="e">
        <f>INDEX('IncStmt Data'!H$1:H$2999,MATCH(D$1,'IncStmt Data'!A$2:A$2051,0)+MATCH(A6,'IncStmt Data'!G$2:G$2051,0))</f>
        <v>#N/A</v>
      </c>
      <c r="E6" s="46" t="e">
        <f>INDEX('IncStmt Data'!H$1:H$2999,MATCH(E$1,'IncStmt Data'!A$2:A$2051,0)+MATCH(A6,'IncStmt Data'!G$2:G$2051,0))</f>
        <v>#N/A</v>
      </c>
      <c r="F6" s="46" t="e">
        <f>INDEX('IncStmt Data'!H$1:H$2999,MATCH(F$1,'IncStmt Data'!A$2:A$2051,0)+MATCH(A6,'IncStmt Data'!G$2:G$2051,0))</f>
        <v>#N/A</v>
      </c>
      <c r="G6" s="46" t="e">
        <f>INDEX('IncStmt Data'!H$1:H$2999,MATCH(G$1,'IncStmt Data'!A$2:A$2051,0)+MATCH(A6,'IncStmt Data'!G$2:G$2051,0))</f>
        <v>#N/A</v>
      </c>
      <c r="H6" s="46" t="e">
        <f>INDEX('IncStmt Data'!H$1:H$2999,MATCH(H$1,'IncStmt Data'!A$2:A$2051,0)+MATCH(A6,'IncStmt Data'!G$2:G$2051,0))</f>
        <v>#N/A</v>
      </c>
      <c r="I6" s="47" t="e">
        <f>INDEX('IncStmt Data'!H$1:H$2999,MATCH(I$1,'IncStmt Data'!A$2:A$2051,0)+MATCH(A6,'IncStmt Data'!G$2:G$2051,0))</f>
        <v>#N/A</v>
      </c>
      <c r="J6" s="46" t="e">
        <f>INDEX('IncStmt Data'!H$1:H$2999,MATCH(J$1,'IncStmt Data'!A$2:A$2051,0)+MATCH(A6,'IncStmt Data'!G$2:G$2051,0))</f>
        <v>#N/A</v>
      </c>
      <c r="K6" s="46" t="e">
        <f>INDEX('IncStmt Data'!H$1:H$2999,MATCH(K$1,'IncStmt Data'!A$2:A$2051,0)+MATCH(A6,'IncStmt Data'!G$2:G$2051,0))</f>
        <v>#N/A</v>
      </c>
      <c r="L6" s="46" t="e">
        <f>INDEX('IncStmt Data'!H$1:H$2999,MATCH(L$1,'IncStmt Data'!A$2:A$2051,0)+MATCH(A6,'IncStmt Data'!G$2:G$2051,0))</f>
        <v>#N/A</v>
      </c>
      <c r="M6" s="46" t="e">
        <f>INDEX('IncStmt Data'!H$1:H$2999,MATCH(M$1,'IncStmt Data'!A$2:A$2051,0)+MATCH(A6,'IncStmt Data'!G$2:G$2051,0))</f>
        <v>#N/A</v>
      </c>
      <c r="N6" s="46" t="e">
        <f>INDEX('IncStmt Data'!H$1:H$2999,MATCH(N$1,'IncStmt Data'!A$2:A$2051,0)+MATCH(A6,'IncStmt Data'!G$2:G$2051,0))</f>
        <v>#N/A</v>
      </c>
      <c r="O6" s="46" t="e">
        <f>INDEX('IncStmt Data'!H$1:H$2999,MATCH(O$1,'IncStmt Data'!A$2:A$2051,0)+MATCH(A6,'IncStmt Data'!G$2:G$2051,0))</f>
        <v>#N/A</v>
      </c>
      <c r="P6" s="46" t="e">
        <f>INDEX('IncStmt Data'!H$1:H$2999,MATCH(P$1,'IncStmt Data'!A$2:A$2051,0)+MATCH(A6,'IncStmt Data'!G$2:G$2051,0))</f>
        <v>#N/A</v>
      </c>
      <c r="Q6" s="46" t="e">
        <f>INDEX('IncStmt Data'!H$1:H$2999,MATCH(Q$1,'IncStmt Data'!A$2:A$2051,0)+MATCH(A6,'IncStmt Data'!G$2:G$2051,0))</f>
        <v>#N/A</v>
      </c>
      <c r="R6" s="46" t="e">
        <f>INDEX('IncStmt Data'!H$1:H$2999,MATCH(R$1,'IncStmt Data'!A$2:A$2051,0)+MATCH(A6,'IncStmt Data'!G$2:G$2051,0))</f>
        <v>#N/A</v>
      </c>
      <c r="S6" s="46" t="e">
        <f>INDEX('IncStmt Data'!H$1:H$2999,MATCH(S$1,'IncStmt Data'!A$2:A$2051,0)+MATCH(A6,'IncStmt Data'!G$2:G$2051,0))</f>
        <v>#N/A</v>
      </c>
      <c r="T6" s="46" t="e">
        <f>INDEX('IncStmt Data'!H$1:H$2999,MATCH(T$1,'IncStmt Data'!A$2:A$2051,0)+MATCH(A6,'IncStmt Data'!G$2:G$2051,0))</f>
        <v>#N/A</v>
      </c>
      <c r="U6" s="46" t="e">
        <f>INDEX('IncStmt Data'!H$1:H$2999,MATCH(U$1,'IncStmt Data'!A$2:A$2051,0)+MATCH(A6,'IncStmt Data'!G$2:G$2051,0))</f>
        <v>#N/A</v>
      </c>
      <c r="V6" s="46" t="e">
        <f>INDEX('IncStmt Data'!H$1:H$2999,MATCH(V$1,'IncStmt Data'!A$2:A$2051,0)+MATCH(A6,'IncStmt Data'!G$2:G$2051,0))</f>
        <v>#N/A</v>
      </c>
      <c r="W6" s="46" t="e">
        <f>INDEX('IncStmt Data'!H$1:H$2999,MATCH(W$1,'IncStmt Data'!A$2:A$2051,0)+MATCH(A6,'IncStmt Data'!G$2:G$2051,0))</f>
        <v>#N/A</v>
      </c>
      <c r="X6" s="46" t="e">
        <f>INDEX('IncStmt Data'!H$1:H$2999,MATCH(X$1,'IncStmt Data'!A$2:A$2051,0)+MATCH(A6,'IncStmt Data'!G$2:G$2051,0))</f>
        <v>#N/A</v>
      </c>
      <c r="Y6" s="46" t="e">
        <f>INDEX('IncStmt Data'!H$1:H$2999,MATCH(Y$1,'IncStmt Data'!A$2:A$2051,0)+MATCH(A6,'IncStmt Data'!G$2:G$2051,0))</f>
        <v>#N/A</v>
      </c>
      <c r="Z6" s="46" t="e">
        <f>INDEX('IncStmt Data'!H$1:H$2999,MATCH(Z$1,'IncStmt Data'!A$2:A$2051,0)+MATCH(A6,'IncStmt Data'!G$2:G$2051,0))</f>
        <v>#N/A</v>
      </c>
      <c r="AA6" s="46" t="e">
        <f>INDEX('IncStmt Data'!H$1:H$2999,MATCH(AA$1,'IncStmt Data'!A$2:A$2051,0)+MATCH(A6,'IncStmt Data'!G$2:G$2051,0))</f>
        <v>#N/A</v>
      </c>
      <c r="AB6" s="46" t="e">
        <f>INDEX('IncStmt Data'!H$1:H$2999,MATCH(AB$1,'IncStmt Data'!A$2:A$2051,0)+MATCH(A6,'IncStmt Data'!G$2:G$2051,0))</f>
        <v>#N/A</v>
      </c>
      <c r="AC6" s="46" t="e">
        <f>INDEX('IncStmt Data'!H$1:H$2999,MATCH(AC$1,'IncStmt Data'!A$2:A$2051,0)+MATCH(A6,'IncStmt Data'!G$2:G$2051,0))</f>
        <v>#N/A</v>
      </c>
      <c r="AD6" s="46" t="e">
        <f>INDEX('IncStmt Data'!H$1:H$2999,MATCH(AD$1,'IncStmt Data'!A$2:A$2051,0)+MATCH(A6,'IncStmt Data'!G$2:G$2051,0))</f>
        <v>#N/A</v>
      </c>
      <c r="AE6" s="46" t="e">
        <f>INDEX('IncStmt Data'!H$1:H$2999,MATCH(AE$1,'IncStmt Data'!A$2:A$2051,0)+MATCH(A6,'IncStmt Data'!G$2:G$2051,0))</f>
        <v>#N/A</v>
      </c>
      <c r="AF6" s="46" t="e">
        <f>INDEX('IncStmt Data'!H$1:H$2999,MATCH(AF$1,'IncStmt Data'!A$2:A$2051,0)+MATCH(A6,'IncStmt Data'!G$2:G$2051,0))</f>
        <v>#N/A</v>
      </c>
      <c r="AG6" s="46" t="e">
        <f>INDEX('IncStmt Data'!H$1:H$2999,MATCH(AG$1,'IncStmt Data'!A$2:A$2051,0)+MATCH(A6,'IncStmt Data'!G$2:G$2051,0))</f>
        <v>#N/A</v>
      </c>
      <c r="AH6" s="46" t="e">
        <f>INDEX('IncStmt Data'!H$1:H$2999,MATCH(AH$1,'IncStmt Data'!A$2:A$2051,0)+MATCH(A6,'IncStmt Data'!G$2:G$2051,0))</f>
        <v>#N/A</v>
      </c>
      <c r="AI6" s="46" t="e">
        <f>INDEX('IncStmt Data'!H$1:H$2999,MATCH(AI$1,'IncStmt Data'!A$2:A$2051,0)+MATCH(A6,'IncStmt Data'!G$2:G$2051,0))</f>
        <v>#N/A</v>
      </c>
      <c r="AJ6" s="46" t="e">
        <f>INDEX('IncStmt Data'!H$1:H$2999,MATCH(AJ$1,'IncStmt Data'!A$2:A$2051,0)+MATCH(A6,'IncStmt Data'!G$2:G$2051,0))</f>
        <v>#N/A</v>
      </c>
      <c r="AK6" s="46" t="e">
        <f>INDEX('IncStmt Data'!H$1:H$2999,MATCH(AK$1,'IncStmt Data'!A$2:A$2051,0)+MATCH(A6,'IncStmt Data'!G$2:G$2051,0))</f>
        <v>#N/A</v>
      </c>
      <c r="AL6" s="46">
        <f>INDEX('IncStmt Data'!H$1:H$2999,MATCH(AL$1,'IncStmt Data'!A$2:A$2051,0)+MATCH(A6,'IncStmt Data'!G$2:G$2051,0))</f>
        <v>167</v>
      </c>
      <c r="AM6" s="46">
        <f>INDEX('IncStmt Data'!H$1:H$2999,MATCH(AM$1,'IncStmt Data'!A$2:A$2051,0)+MATCH(A6,'IncStmt Data'!G$2:G$2051,0))</f>
        <v>0</v>
      </c>
      <c r="AN6" s="46">
        <f>INDEX('IncStmt Data'!H$1:H$2999,MATCH(AN$1,'IncStmt Data'!A$2:A$2051,0)+MATCH(A6,'IncStmt Data'!G$2:G$2051,0))</f>
        <v>0</v>
      </c>
      <c r="AO6" s="46">
        <f>INDEX('IncStmt Data'!H$1:H$2999,MATCH(AO$1,'IncStmt Data'!A$2:A$2051,0)+MATCH(A6,'IncStmt Data'!G$2:G$2051,0))</f>
        <v>0</v>
      </c>
      <c r="AP6" s="46" t="e">
        <f>INDEX('IncStmt Data'!H$1:H$2999,MATCH(AP$1,'IncStmt Data'!A$2:A$2051,0)+MATCH(A6,'IncStmt Data'!G$2:G$2051,0))</f>
        <v>#N/A</v>
      </c>
      <c r="AQ6" s="46" t="e">
        <f>INDEX('IncStmt Data'!H$1:H$2999,MATCH(AQ$1,'IncStmt Data'!A$2:A$2051,0)+MATCH(A6,'IncStmt Data'!G$2:G$2051,0))</f>
        <v>#N/A</v>
      </c>
      <c r="AR6" s="46" t="e">
        <f>INDEX('IncStmt Data'!H$1:H$2999,MATCH(AR$1,'IncStmt Data'!A$2:A$2051,0)+MATCH(A6,'IncStmt Data'!G$2:G$2051,0))</f>
        <v>#N/A</v>
      </c>
      <c r="AS6" s="46" t="e">
        <f>INDEX('IncStmt Data'!H$1:H$2999,MATCH(AS$1,'IncStmt Data'!A$2:A$2051,0)+MATCH(A6,'IncStmt Data'!G$2:G$2051,0))</f>
        <v>#N/A</v>
      </c>
      <c r="AT6" s="46" t="e">
        <f>INDEX('IncStmt Data'!H$1:H$2999,MATCH(AT$1,'IncStmt Data'!A$2:A$2051,0)+MATCH(A6,'IncStmt Data'!G$2:G$2051,0))</f>
        <v>#N/A</v>
      </c>
      <c r="AU6" s="46" t="e">
        <f>INDEX('IncStmt Data'!H$1:H$2999,MATCH(AU$1,'IncStmt Data'!A$2:A$2051,0)+MATCH(A6,'IncStmt Data'!G$2:G$2051,0))</f>
        <v>#N/A</v>
      </c>
      <c r="AV6" s="46" t="e">
        <f>INDEX('IncStmt Data'!H$1:H$2999,MATCH(AV$1,'IncStmt Data'!A$2:A$2051,0)+MATCH(A6,'IncStmt Data'!G$2:G$2051,0))</f>
        <v>#N/A</v>
      </c>
      <c r="AW6" s="46" t="e">
        <f>INDEX('IncStmt Data'!H$1:H$2999,MATCH(AW$1,'IncStmt Data'!A$2:A$2051,0)+MATCH(A6,'IncStmt Data'!G$2:G$2051,0))</f>
        <v>#N/A</v>
      </c>
      <c r="AX6" s="46" t="e">
        <f>INDEX('IncStmt Data'!H$1:H$2999,MATCH(AX$1,'IncStmt Data'!A$2:A$2051,0)+MATCH(A6,'IncStmt Data'!G$2:G$2051,0))</f>
        <v>#N/A</v>
      </c>
      <c r="AY6" s="46" t="e">
        <f>INDEX('IncStmt Data'!H$1:H$2999,MATCH(AY$1,'IncStmt Data'!A$2:A$2051,0)+MATCH(A6,'IncStmt Data'!G$2:G$2051,0))</f>
        <v>#N/A</v>
      </c>
      <c r="AZ6" s="46" t="e">
        <f>INDEX('IncStmt Data'!H$1:H$2999,MATCH(AZ$1,'IncStmt Data'!A$2:A$2051,0)+MATCH(A6,'IncStmt Data'!G$2:G$2051,0))</f>
        <v>#N/A</v>
      </c>
      <c r="BA6" s="46" t="e">
        <f>INDEX('IncStmt Data'!H$1:H$2999,MATCH(BA$1,'IncStmt Data'!A$2:A$2051,0)+MATCH(A6,'IncStmt Data'!G$2:G$2051,0))</f>
        <v>#N/A</v>
      </c>
      <c r="BB6" s="46" t="e">
        <f>INDEX('IncStmt Data'!H$1:H$2999,MATCH(BB$1,'IncStmt Data'!A$2:A$2051,0)+MATCH(A6,'IncStmt Data'!G$2:G$2051,0))</f>
        <v>#N/A</v>
      </c>
      <c r="BC6" s="46" t="e">
        <f>INDEX('IncStmt Data'!H$1:H$2999,MATCH(BC$1,'IncStmt Data'!A$2:A$2051,0)+MATCH(A6,'IncStmt Data'!G$2:G$2051,0))</f>
        <v>#N/A</v>
      </c>
      <c r="BD6" s="46" t="e">
        <f>INDEX('IncStmt Data'!H$1:H$2999,MATCH(BD$1,'IncStmt Data'!A$2:A$2051,0)+MATCH(A6,'IncStmt Data'!G$2:G$2051,0))</f>
        <v>#N/A</v>
      </c>
      <c r="BE6" s="46" t="e">
        <f>INDEX('IncStmt Data'!H$1:H$2999,MATCH(BE$1,'IncStmt Data'!A$2:A$2051,0)+MATCH(A6,'IncStmt Data'!G$2:G$2051,0))</f>
        <v>#N/A</v>
      </c>
      <c r="BF6" s="46" t="e">
        <f>INDEX('IncStmt Data'!H$1:H$2999,MATCH(BF$1,'IncStmt Data'!A$2:A$2051,0)+MATCH(A6,'IncStmt Data'!G$2:G$2051,0))</f>
        <v>#N/A</v>
      </c>
      <c r="BG6" s="46" t="e">
        <f>INDEX('IncStmt Data'!H$1:H$2999,MATCH(BG$1,'IncStmt Data'!A$2:A$2051,0)+MATCH(A6,'IncStmt Data'!G$2:G$2051,0))</f>
        <v>#N/A</v>
      </c>
      <c r="BH6" s="46" t="e">
        <f>INDEX('IncStmt Data'!H$1:H$2999,MATCH(BH$1,'IncStmt Data'!A$2:A$2051,0)+MATCH(A6,'IncStmt Data'!G$2:G$2051,0))</f>
        <v>#N/A</v>
      </c>
      <c r="BI6" s="46" t="e">
        <f>INDEX('IncStmt Data'!H$1:H$2999,MATCH(BI$1,'IncStmt Data'!A$2:A$2051,0)+MATCH(A6,'IncStmt Data'!G$2:G$2051,0))</f>
        <v>#N/A</v>
      </c>
      <c r="BJ6" s="46" t="e">
        <f>INDEX('IncStmt Data'!H$1:H$2999,MATCH(BJ$1,'IncStmt Data'!A$2:A$2051,0)+MATCH(A6,'IncStmt Data'!G$2:G$2051,0))</f>
        <v>#N/A</v>
      </c>
      <c r="BK6" s="46" t="e">
        <f>INDEX('IncStmt Data'!H$1:H$2999,MATCH(BK$1,'IncStmt Data'!A$2:A$2051,0)+MATCH(A6,'IncStmt Data'!G$2:G$2051,0))</f>
        <v>#N/A</v>
      </c>
      <c r="BL6" s="46" t="e">
        <f>INDEX('IncStmt Data'!H$1:H$2999,MATCH(BL$1,'IncStmt Data'!A$2:A$2051,0)+MATCH(A6,'IncStmt Data'!G$2:G$2051,0))</f>
        <v>#N/A</v>
      </c>
      <c r="BM6" s="46" t="e">
        <f>INDEX('IncStmt Data'!H$1:H$2999,MATCH(BM$1,'IncStmt Data'!A$2:A$2051,0)+MATCH(A6,'IncStmt Data'!G$2:G$2051,0))</f>
        <v>#N/A</v>
      </c>
      <c r="BN6" s="46" t="e">
        <f>INDEX('IncStmt Data'!H$1:H$2999,MATCH(BN$1,'IncStmt Data'!A$2:A$2051,0)+MATCH(A6,'IncStmt Data'!G$2:G$2051,0))</f>
        <v>#N/A</v>
      </c>
      <c r="BO6" s="46" t="e">
        <f>INDEX('IncStmt Data'!H$1:H$2999,MATCH(BO$1,'IncStmt Data'!A$2:A$2051,0)+MATCH(A6,'IncStmt Data'!G$2:G$2051,0))</f>
        <v>#N/A</v>
      </c>
      <c r="BP6" s="46" t="e">
        <f>INDEX('IncStmt Data'!H$1:H$2999,MATCH(BP$1,'IncStmt Data'!A$2:A$2051,0)+MATCH(A6,'IncStmt Data'!G$2:G$2051,0))</f>
        <v>#N/A</v>
      </c>
      <c r="BQ6" s="46" t="e">
        <f>INDEX('IncStmt Data'!H$1:H$2999,MATCH(BQ$1,'IncStmt Data'!A$2:A$2051,0)+MATCH(A6,'IncStmt Data'!G$2:G$2051,0))</f>
        <v>#N/A</v>
      </c>
      <c r="BR6" s="46" t="e">
        <f>INDEX('IncStmt Data'!H$1:H$2999,MATCH(BR$1,'IncStmt Data'!A$2:A$2051,0)+MATCH(A6,'IncStmt Data'!G$2:G$2051,0))</f>
        <v>#N/A</v>
      </c>
      <c r="BS6" s="46" t="e">
        <f>INDEX('IncStmt Data'!H$1:H$2999,MATCH(BS$1,'IncStmt Data'!A$2:A$2051,0)+MATCH(A6,'IncStmt Data'!G$2:G$2051,0))</f>
        <v>#N/A</v>
      </c>
      <c r="BT6" s="46" t="e">
        <f>INDEX('IncStmt Data'!H$1:H$2999,MATCH(BT$1,'IncStmt Data'!A$2:A$2051,0)+MATCH(A6,'IncStmt Data'!G$2:G$2051,0))</f>
        <v>#N/A</v>
      </c>
      <c r="BU6" s="46" t="e">
        <f>INDEX('IncStmt Data'!H$1:H$2999,MATCH(BU$1,'IncStmt Data'!A$2:A$2051,0)+MATCH(A6,'IncStmt Data'!G$2:G$2051,0))</f>
        <v>#N/A</v>
      </c>
      <c r="BV6" s="46" t="e">
        <f>INDEX('IncStmt Data'!H$1:H$2999,MATCH(BV$1,'IncStmt Data'!A$2:A$2051,0)+MATCH(A6,'IncStmt Data'!G$2:G$2051,0))</f>
        <v>#N/A</v>
      </c>
      <c r="BW6" s="46" t="e">
        <f>INDEX('IncStmt Data'!H$1:H$2999,MATCH(BW$1,'IncStmt Data'!A$2:A$2051,0)+MATCH(A6,'IncStmt Data'!G$2:G$2051,0))</f>
        <v>#N/A</v>
      </c>
      <c r="BX6" s="46" t="e">
        <f>INDEX('IncStmt Data'!H$1:H$2999,MATCH(BX$1,'IncStmt Data'!A$2:A$2051,0)+MATCH(A6,'IncStmt Data'!G$2:G$2051,0))</f>
        <v>#N/A</v>
      </c>
      <c r="BY6" s="46" t="e">
        <f>INDEX('IncStmt Data'!H$1:H$2999,MATCH(BY$1,'IncStmt Data'!A$2:A$2051,0)+MATCH(A6,'IncStmt Data'!G$2:G$2051,0))</f>
        <v>#N/A</v>
      </c>
      <c r="BZ6" s="46" t="e">
        <f>INDEX('IncStmt Data'!H$1:H$2999,MATCH(BZ$1,'IncStmt Data'!A$2:A$2051,0)+MATCH(A6,'IncStmt Data'!G$2:G$2051,0))</f>
        <v>#N/A</v>
      </c>
      <c r="CA6" s="46" t="e">
        <f>INDEX('IncStmt Data'!H$1:H$2999,MATCH(CA$1,'IncStmt Data'!A$2:A$2051,0)+MATCH(A6,'IncStmt Data'!G$2:G$2051,0))</f>
        <v>#N/A</v>
      </c>
      <c r="CB6" s="46" t="e">
        <f>INDEX('IncStmt Data'!H$1:H$2999,MATCH(CB$1,'IncStmt Data'!A$2:A$2051,0)+MATCH(A6,'IncStmt Data'!G$2:G$2051,0))</f>
        <v>#N/A</v>
      </c>
      <c r="CC6" s="46" t="e">
        <f>INDEX('IncStmt Data'!H$1:H$2999,MATCH(CC$1,'IncStmt Data'!A$2:A$2051,0)+MATCH(A6,'IncStmt Data'!G$2:G$2051,0))</f>
        <v>#N/A</v>
      </c>
      <c r="CD6" s="46" t="e">
        <f>INDEX('IncStmt Data'!H$1:H$2999,MATCH(CD$1,'IncStmt Data'!A$2:A$2051,0)+MATCH(A6,'IncStmt Data'!G$2:G$2051,0))</f>
        <v>#N/A</v>
      </c>
      <c r="CE6" s="46" t="e">
        <f>INDEX('IncStmt Data'!H$1:H$2999,MATCH(CE$1,'IncStmt Data'!A$2:A$2051,0)+MATCH(A6,'IncStmt Data'!G$2:G$2051,0))</f>
        <v>#N/A</v>
      </c>
      <c r="CF6" s="46" t="e">
        <f>INDEX('IncStmt Data'!H$1:H$2999,MATCH(CF$1,'IncStmt Data'!A$2:A$2051,0)+MATCH(A6,'IncStmt Data'!G$2:G$2051,0))</f>
        <v>#N/A</v>
      </c>
      <c r="CG6" s="46" t="e">
        <f>INDEX('IncStmt Data'!H$1:H$2999,MATCH(CG$1,'IncStmt Data'!A$2:A$2051,0)+MATCH(A6,'IncStmt Data'!G$2:G$2051,0))</f>
        <v>#N/A</v>
      </c>
      <c r="CH6" s="46" t="e">
        <f>INDEX('IncStmt Data'!H$1:H$2999,MATCH(CH$1,'IncStmt Data'!A$2:A$2051,0)+MATCH(A6,'IncStmt Data'!G$2:G$2051,0))</f>
        <v>#N/A</v>
      </c>
      <c r="CI6" s="46" t="e">
        <f>INDEX('IncStmt Data'!H$1:H$2999,MATCH(CI$1,'IncStmt Data'!A$2:A$2051,0)+MATCH(A6,'IncStmt Data'!G$2:G$2051,0))</f>
        <v>#N/A</v>
      </c>
      <c r="CJ6" s="46" t="e">
        <f>INDEX('IncStmt Data'!H$1:H$2999,MATCH(CJ$1,'IncStmt Data'!A$2:A$2051,0)+MATCH(A6,'IncStmt Data'!G$2:G$2051,0))</f>
        <v>#N/A</v>
      </c>
      <c r="CK6" s="46" t="e">
        <f>INDEX('IncStmt Data'!H$1:H$2999,MATCH(CK$1,'IncStmt Data'!A$2:A$2051,0)+MATCH(A6,'IncStmt Data'!G$2:G$2051,0))</f>
        <v>#N/A</v>
      </c>
      <c r="CL6" s="46" t="e">
        <f>INDEX('IncStmt Data'!H$1:H$2999,MATCH(CL$1,'IncStmt Data'!A$2:A$2051,0)+MATCH(A6,'IncStmt Data'!G$2:G$2051,0))</f>
        <v>#N/A</v>
      </c>
      <c r="CM6" s="46" t="e">
        <f>INDEX('IncStmt Data'!H$1:H$2999,MATCH(CM$1,'IncStmt Data'!A$2:A$2051,0)+MATCH(A6,'IncStmt Data'!G$2:G$2051,0))</f>
        <v>#N/A</v>
      </c>
      <c r="CN6" s="46" t="e">
        <f>INDEX('IncStmt Data'!H$1:H$2999,MATCH(CN$1,'IncStmt Data'!A$2:A$2051,0)+MATCH(A6,'IncStmt Data'!G$2:G$2051,0))</f>
        <v>#N/A</v>
      </c>
      <c r="CO6" s="46" t="e">
        <f>INDEX('IncStmt Data'!H$1:H$2999,MATCH(CO$1,'IncStmt Data'!A$2:A$2051,0)+MATCH(A6,'IncStmt Data'!G$2:G$2051,0))</f>
        <v>#N/A</v>
      </c>
      <c r="CP6" s="46" t="e">
        <f>INDEX('IncStmt Data'!H$1:H$2999,MATCH(CP$1,'IncStmt Data'!A$2:A$2051,0)+MATCH(A6,'IncStmt Data'!G$2:G$2051,0))</f>
        <v>#N/A</v>
      </c>
      <c r="CQ6" s="46" t="e">
        <f>INDEX('IncStmt Data'!H$1:H$2999,MATCH(CQ$1,'IncStmt Data'!A$2:A$2051,0)+MATCH(A6,'IncStmt Data'!G$2:G$2051,0))</f>
        <v>#N/A</v>
      </c>
      <c r="CR6" s="46" t="e">
        <f>INDEX('IncStmt Data'!H$1:H$2999,MATCH(CR$1,'IncStmt Data'!A$2:A$2051,0)+MATCH(A6,'IncStmt Data'!G$2:G$2051,0))</f>
        <v>#N/A</v>
      </c>
      <c r="CS6" s="46" t="e">
        <f>INDEX('IncStmt Data'!H$1:H$2999,MATCH(CS$1,'IncStmt Data'!A$2:A$2051,0)+MATCH(A6,'IncStmt Data'!G$2:G$2051,0))</f>
        <v>#N/A</v>
      </c>
      <c r="CT6" s="46" t="e">
        <f>INDEX('IncStmt Data'!H$1:H$2999,MATCH(CT$1,'IncStmt Data'!A$2:A$2051,0)+MATCH(A6,'IncStmt Data'!G$2:G$2051,0))</f>
        <v>#N/A</v>
      </c>
      <c r="CU6" s="46" t="e">
        <f>INDEX('IncStmt Data'!H$1:H$2999,MATCH(CU$1,'IncStmt Data'!A$2:A$2051,0)+MATCH(A6,'IncStmt Data'!G$2:G$2051,0))</f>
        <v>#N/A</v>
      </c>
      <c r="CV6" s="46" t="e">
        <f>INDEX('IncStmt Data'!H$1:H$2999,MATCH(CV$1,'IncStmt Data'!A$2:A$2051,0)+MATCH(A6,'IncStmt Data'!G$2:G$2051,0))</f>
        <v>#N/A</v>
      </c>
      <c r="CW6" s="46" t="e">
        <f>INDEX('IncStmt Data'!H$1:H$2999,MATCH(CW$1,'IncStmt Data'!A$2:A$2051,0)+MATCH(A6,'IncStmt Data'!G$2:G$2051,0))</f>
        <v>#N/A</v>
      </c>
      <c r="CX6" s="46" t="e">
        <f>INDEX('IncStmt Data'!H$1:H$2999,MATCH(CX$1,'IncStmt Data'!A$2:A$2051,0)+MATCH(A6,'IncStmt Data'!G$2:G$2051,0))</f>
        <v>#N/A</v>
      </c>
      <c r="CY6" s="46" t="e">
        <f>INDEX('IncStmt Data'!H$1:H$2999,MATCH(CY$1,'IncStmt Data'!A$2:A$2051,0)+MATCH(A6,'IncStmt Data'!G$2:G$2051,0))</f>
        <v>#N/A</v>
      </c>
      <c r="CZ6" s="46" t="e">
        <f>INDEX('IncStmt Data'!H$1:H$2999,MATCH(CZ$1,'IncStmt Data'!A$2:A$2051,0)+MATCH(A6,'IncStmt Data'!G$2:G$2051,0))</f>
        <v>#N/A</v>
      </c>
    </row>
    <row r="7" spans="1:104" s="48" customFormat="1" ht="15" x14ac:dyDescent="0.35">
      <c r="A7" s="4" t="s">
        <v>146</v>
      </c>
      <c r="B7" s="57">
        <f>INDEX('IncStmt Data'!H$1:H$2999,MATCH(B$1,'IncStmt Data'!A$2:A$2051,0)+MATCH(A7,'IncStmt Data'!G$2:G$2051,0))</f>
        <v>0</v>
      </c>
      <c r="C7" s="57" t="e">
        <f>INDEX('IncStmt Data'!H$1:H$2999,MATCH(C$1,'IncStmt Data'!A$2:A$2051,0)+MATCH(A7,'IncStmt Data'!G$2:G$2051,0))</f>
        <v>#N/A</v>
      </c>
      <c r="D7" s="57" t="e">
        <f>INDEX('IncStmt Data'!H$1:H$2999,MATCH(D$1,'IncStmt Data'!A$2:A$2051,0)+MATCH(A7,'IncStmt Data'!G$2:G$2051,0))</f>
        <v>#N/A</v>
      </c>
      <c r="E7" s="57" t="e">
        <f>INDEX('IncStmt Data'!H$1:H$2999,MATCH(E$1,'IncStmt Data'!A$2:A$2051,0)+MATCH(A7,'IncStmt Data'!G$2:G$2051,0))</f>
        <v>#N/A</v>
      </c>
      <c r="F7" s="57" t="e">
        <f>INDEX('IncStmt Data'!H$1:H$2999,MATCH(F$1,'IncStmt Data'!A$2:A$2051,0)+MATCH(A7,'IncStmt Data'!G$2:G$2051,0))</f>
        <v>#N/A</v>
      </c>
      <c r="G7" s="57" t="e">
        <f>INDEX('IncStmt Data'!H$1:H$2999,MATCH(G$1,'IncStmt Data'!A$2:A$2051,0)+MATCH(A7,'IncStmt Data'!G$2:G$2051,0))</f>
        <v>#N/A</v>
      </c>
      <c r="H7" s="57" t="e">
        <f>INDEX('IncStmt Data'!H$1:H$2999,MATCH(H$1,'IncStmt Data'!A$2:A$2051,0)+MATCH(A7,'IncStmt Data'!G$2:G$2051,0))</f>
        <v>#N/A</v>
      </c>
      <c r="I7" s="58" t="e">
        <f>INDEX('IncStmt Data'!H$1:H$2999,MATCH(I$1,'IncStmt Data'!A$2:A$2051,0)+MATCH(A7,'IncStmt Data'!G$2:G$2051,0))</f>
        <v>#N/A</v>
      </c>
      <c r="J7" s="57" t="e">
        <f>INDEX('IncStmt Data'!H$1:H$2999,MATCH(J$1,'IncStmt Data'!A$2:A$2051,0)+MATCH(A7,'IncStmt Data'!G$2:G$2051,0))</f>
        <v>#N/A</v>
      </c>
      <c r="K7" s="57" t="e">
        <f>INDEX('IncStmt Data'!H$1:H$2999,MATCH(K$1,'IncStmt Data'!A$2:A$2051,0)+MATCH(A7,'IncStmt Data'!G$2:G$2051,0))</f>
        <v>#N/A</v>
      </c>
      <c r="L7" s="57" t="e">
        <f>INDEX('IncStmt Data'!H$1:H$2999,MATCH(L$1,'IncStmt Data'!A$2:A$2051,0)+MATCH(A7,'IncStmt Data'!G$2:G$2051,0))</f>
        <v>#N/A</v>
      </c>
      <c r="M7" s="57" t="e">
        <f>INDEX('IncStmt Data'!H$1:H$2999,MATCH(M$1,'IncStmt Data'!A$2:A$2051,0)+MATCH(A7,'IncStmt Data'!G$2:G$2051,0))</f>
        <v>#N/A</v>
      </c>
      <c r="N7" s="57" t="e">
        <f>INDEX('IncStmt Data'!H$1:H$2999,MATCH(N$1,'IncStmt Data'!A$2:A$2051,0)+MATCH(A7,'IncStmt Data'!G$2:G$2051,0))</f>
        <v>#N/A</v>
      </c>
      <c r="O7" s="57" t="e">
        <f>INDEX('IncStmt Data'!H$1:H$2999,MATCH(O$1,'IncStmt Data'!A$2:A$2051,0)+MATCH(A7,'IncStmt Data'!G$2:G$2051,0))</f>
        <v>#N/A</v>
      </c>
      <c r="P7" s="57" t="e">
        <f>INDEX('IncStmt Data'!H$1:H$2999,MATCH(P$1,'IncStmt Data'!A$2:A$2051,0)+MATCH(A7,'IncStmt Data'!G$2:G$2051,0))</f>
        <v>#N/A</v>
      </c>
      <c r="Q7" s="57" t="e">
        <f>INDEX('IncStmt Data'!H$1:H$2999,MATCH(Q$1,'IncStmt Data'!A$2:A$2051,0)+MATCH(A7,'IncStmt Data'!G$2:G$2051,0))</f>
        <v>#N/A</v>
      </c>
      <c r="R7" s="57" t="e">
        <f>INDEX('IncStmt Data'!H$1:H$2999,MATCH(R$1,'IncStmt Data'!A$2:A$2051,0)+MATCH(A7,'IncStmt Data'!G$2:G$2051,0))</f>
        <v>#N/A</v>
      </c>
      <c r="S7" s="57" t="e">
        <f>INDEX('IncStmt Data'!H$1:H$2999,MATCH(S$1,'IncStmt Data'!A$2:A$2051,0)+MATCH(A7,'IncStmt Data'!G$2:G$2051,0))</f>
        <v>#N/A</v>
      </c>
      <c r="T7" s="57" t="e">
        <f>INDEX('IncStmt Data'!H$1:H$2999,MATCH(T$1,'IncStmt Data'!A$2:A$2051,0)+MATCH(A7,'IncStmt Data'!G$2:G$2051,0))</f>
        <v>#N/A</v>
      </c>
      <c r="U7" s="57" t="e">
        <f>INDEX('IncStmt Data'!H$1:H$2999,MATCH(U$1,'IncStmt Data'!A$2:A$2051,0)+MATCH(A7,'IncStmt Data'!G$2:G$2051,0))</f>
        <v>#N/A</v>
      </c>
      <c r="V7" s="57" t="e">
        <f>INDEX('IncStmt Data'!H$1:H$2999,MATCH(V$1,'IncStmt Data'!A$2:A$2051,0)+MATCH(A7,'IncStmt Data'!G$2:G$2051,0))</f>
        <v>#N/A</v>
      </c>
      <c r="W7" s="57" t="e">
        <f>INDEX('IncStmt Data'!H$1:H$2999,MATCH(W$1,'IncStmt Data'!A$2:A$2051,0)+MATCH(A7,'IncStmt Data'!G$2:G$2051,0))</f>
        <v>#N/A</v>
      </c>
      <c r="X7" s="57" t="e">
        <f>INDEX('IncStmt Data'!H$1:H$2999,MATCH(X$1,'IncStmt Data'!A$2:A$2051,0)+MATCH(A7,'IncStmt Data'!G$2:G$2051,0))</f>
        <v>#N/A</v>
      </c>
      <c r="Y7" s="57" t="e">
        <f>INDEX('IncStmt Data'!H$1:H$2999,MATCH(Y$1,'IncStmt Data'!A$2:A$2051,0)+MATCH(A7,'IncStmt Data'!G$2:G$2051,0))</f>
        <v>#N/A</v>
      </c>
      <c r="Z7" s="57" t="e">
        <f>INDEX('IncStmt Data'!H$1:H$2999,MATCH(Z$1,'IncStmt Data'!A$2:A$2051,0)+MATCH(A7,'IncStmt Data'!G$2:G$2051,0))</f>
        <v>#N/A</v>
      </c>
      <c r="AA7" s="57" t="e">
        <f>INDEX('IncStmt Data'!H$1:H$2999,MATCH(AA$1,'IncStmt Data'!A$2:A$2051,0)+MATCH(A7,'IncStmt Data'!G$2:G$2051,0))</f>
        <v>#N/A</v>
      </c>
      <c r="AB7" s="57" t="e">
        <f>INDEX('IncStmt Data'!H$1:H$2999,MATCH(AB$1,'IncStmt Data'!A$2:A$2051,0)+MATCH(A7,'IncStmt Data'!G$2:G$2051,0))</f>
        <v>#N/A</v>
      </c>
      <c r="AC7" s="57" t="e">
        <f>INDEX('IncStmt Data'!H$1:H$2999,MATCH(AC$1,'IncStmt Data'!A$2:A$2051,0)+MATCH(A7,'IncStmt Data'!G$2:G$2051,0))</f>
        <v>#N/A</v>
      </c>
      <c r="AD7" s="57" t="e">
        <f>INDEX('IncStmt Data'!H$1:H$2999,MATCH(AD$1,'IncStmt Data'!A$2:A$2051,0)+MATCH(A7,'IncStmt Data'!G$2:G$2051,0))</f>
        <v>#N/A</v>
      </c>
      <c r="AE7" s="57" t="e">
        <f>INDEX('IncStmt Data'!H$1:H$2999,MATCH(AE$1,'IncStmt Data'!A$2:A$2051,0)+MATCH(A7,'IncStmt Data'!G$2:G$2051,0))</f>
        <v>#N/A</v>
      </c>
      <c r="AF7" s="57" t="e">
        <f>INDEX('IncStmt Data'!H$1:H$2999,MATCH(AF$1,'IncStmt Data'!A$2:A$2051,0)+MATCH(A7,'IncStmt Data'!G$2:G$2051,0))</f>
        <v>#N/A</v>
      </c>
      <c r="AG7" s="57" t="e">
        <f>INDEX('IncStmt Data'!H$1:H$2999,MATCH(AG$1,'IncStmt Data'!A$2:A$2051,0)+MATCH(A7,'IncStmt Data'!G$2:G$2051,0))</f>
        <v>#N/A</v>
      </c>
      <c r="AH7" s="57" t="e">
        <f>INDEX('IncStmt Data'!H$1:H$2999,MATCH(AH$1,'IncStmt Data'!A$2:A$2051,0)+MATCH(A7,'IncStmt Data'!G$2:G$2051,0))</f>
        <v>#N/A</v>
      </c>
      <c r="AI7" s="57" t="e">
        <f>INDEX('IncStmt Data'!H$1:H$2999,MATCH(AI$1,'IncStmt Data'!A$2:A$2051,0)+MATCH(A7,'IncStmt Data'!G$2:G$2051,0))</f>
        <v>#N/A</v>
      </c>
      <c r="AJ7" s="57" t="e">
        <f>INDEX('IncStmt Data'!H$1:H$2999,MATCH(AJ$1,'IncStmt Data'!A$2:A$2051,0)+MATCH(A7,'IncStmt Data'!G$2:G$2051,0))</f>
        <v>#N/A</v>
      </c>
      <c r="AK7" s="57" t="e">
        <f>INDEX('IncStmt Data'!H$1:H$2999,MATCH(AK$1,'IncStmt Data'!A$2:A$2051,0)+MATCH(A7,'IncStmt Data'!G$2:G$2051,0))</f>
        <v>#N/A</v>
      </c>
      <c r="AL7" s="57">
        <f>INDEX('IncStmt Data'!H$1:H$2999,MATCH(AL$1,'IncStmt Data'!A$2:A$2051,0)+MATCH(A7,'IncStmt Data'!G$2:G$2051,0))</f>
        <v>0</v>
      </c>
      <c r="AM7" s="57">
        <f>INDEX('IncStmt Data'!H$1:H$2999,MATCH(AM$1,'IncStmt Data'!A$2:A$2051,0)+MATCH(A7,'IncStmt Data'!G$2:G$2051,0))</f>
        <v>0</v>
      </c>
      <c r="AN7" s="57">
        <f>INDEX('IncStmt Data'!H$1:H$2999,MATCH(AN$1,'IncStmt Data'!A$2:A$2051,0)+MATCH(A7,'IncStmt Data'!G$2:G$2051,0))</f>
        <v>0</v>
      </c>
      <c r="AO7" s="57">
        <f>INDEX('IncStmt Data'!H$1:H$2999,MATCH(AO$1,'IncStmt Data'!A$2:A$2051,0)+MATCH(A7,'IncStmt Data'!G$2:G$2051,0))</f>
        <v>0</v>
      </c>
      <c r="AP7" s="57" t="e">
        <f>INDEX('IncStmt Data'!H$1:H$2999,MATCH(AP$1,'IncStmt Data'!A$2:A$2051,0)+MATCH(A7,'IncStmt Data'!G$2:G$2051,0))</f>
        <v>#N/A</v>
      </c>
      <c r="AQ7" s="57" t="e">
        <f>INDEX('IncStmt Data'!H$1:H$2999,MATCH(AQ$1,'IncStmt Data'!A$2:A$2051,0)+MATCH(A7,'IncStmt Data'!G$2:G$2051,0))</f>
        <v>#N/A</v>
      </c>
      <c r="AR7" s="57" t="e">
        <f>INDEX('IncStmt Data'!H$1:H$2999,MATCH(AR$1,'IncStmt Data'!A$2:A$2051,0)+MATCH(A7,'IncStmt Data'!G$2:G$2051,0))</f>
        <v>#N/A</v>
      </c>
      <c r="AS7" s="57" t="e">
        <f>INDEX('IncStmt Data'!H$1:H$2999,MATCH(AS$1,'IncStmt Data'!A$2:A$2051,0)+MATCH(A7,'IncStmt Data'!G$2:G$2051,0))</f>
        <v>#N/A</v>
      </c>
      <c r="AT7" s="57" t="e">
        <f>INDEX('IncStmt Data'!H$1:H$2999,MATCH(AT$1,'IncStmt Data'!A$2:A$2051,0)+MATCH(A7,'IncStmt Data'!G$2:G$2051,0))</f>
        <v>#N/A</v>
      </c>
      <c r="AU7" s="57" t="e">
        <f>INDEX('IncStmt Data'!H$1:H$2999,MATCH(AU$1,'IncStmt Data'!A$2:A$2051,0)+MATCH(A7,'IncStmt Data'!G$2:G$2051,0))</f>
        <v>#N/A</v>
      </c>
      <c r="AV7" s="57" t="e">
        <f>INDEX('IncStmt Data'!H$1:H$2999,MATCH(AV$1,'IncStmt Data'!A$2:A$2051,0)+MATCH(A7,'IncStmt Data'!G$2:G$2051,0))</f>
        <v>#N/A</v>
      </c>
      <c r="AW7" s="57" t="e">
        <f>INDEX('IncStmt Data'!H$1:H$2999,MATCH(AW$1,'IncStmt Data'!A$2:A$2051,0)+MATCH(A7,'IncStmt Data'!G$2:G$2051,0))</f>
        <v>#N/A</v>
      </c>
      <c r="AX7" s="57" t="e">
        <f>INDEX('IncStmt Data'!H$1:H$2999,MATCH(AX$1,'IncStmt Data'!A$2:A$2051,0)+MATCH(A7,'IncStmt Data'!G$2:G$2051,0))</f>
        <v>#N/A</v>
      </c>
      <c r="AY7" s="57" t="e">
        <f>INDEX('IncStmt Data'!H$1:H$2999,MATCH(AY$1,'IncStmt Data'!A$2:A$2051,0)+MATCH(A7,'IncStmt Data'!G$2:G$2051,0))</f>
        <v>#N/A</v>
      </c>
      <c r="AZ7" s="57" t="e">
        <f>INDEX('IncStmt Data'!H$1:H$2999,MATCH(AZ$1,'IncStmt Data'!A$2:A$2051,0)+MATCH(A7,'IncStmt Data'!G$2:G$2051,0))</f>
        <v>#N/A</v>
      </c>
      <c r="BA7" s="57" t="e">
        <f>INDEX('IncStmt Data'!H$1:H$2999,MATCH(BA$1,'IncStmt Data'!A$2:A$2051,0)+MATCH(A7,'IncStmt Data'!G$2:G$2051,0))</f>
        <v>#N/A</v>
      </c>
      <c r="BB7" s="57" t="e">
        <f>INDEX('IncStmt Data'!H$1:H$2999,MATCH(BB$1,'IncStmt Data'!A$2:A$2051,0)+MATCH(A7,'IncStmt Data'!G$2:G$2051,0))</f>
        <v>#N/A</v>
      </c>
      <c r="BC7" s="57" t="e">
        <f>INDEX('IncStmt Data'!H$1:H$2999,MATCH(BC$1,'IncStmt Data'!A$2:A$2051,0)+MATCH(A7,'IncStmt Data'!G$2:G$2051,0))</f>
        <v>#N/A</v>
      </c>
      <c r="BD7" s="57" t="e">
        <f>INDEX('IncStmt Data'!H$1:H$2999,MATCH(BD$1,'IncStmt Data'!A$2:A$2051,0)+MATCH(A7,'IncStmt Data'!G$2:G$2051,0))</f>
        <v>#N/A</v>
      </c>
      <c r="BE7" s="57" t="e">
        <f>INDEX('IncStmt Data'!H$1:H$2999,MATCH(BE$1,'IncStmt Data'!A$2:A$2051,0)+MATCH(A7,'IncStmt Data'!G$2:G$2051,0))</f>
        <v>#N/A</v>
      </c>
      <c r="BF7" s="57" t="e">
        <f>INDEX('IncStmt Data'!H$1:H$2999,MATCH(BF$1,'IncStmt Data'!A$2:A$2051,0)+MATCH(A7,'IncStmt Data'!G$2:G$2051,0))</f>
        <v>#N/A</v>
      </c>
      <c r="BG7" s="57" t="e">
        <f>INDEX('IncStmt Data'!H$1:H$2999,MATCH(BG$1,'IncStmt Data'!A$2:A$2051,0)+MATCH(A7,'IncStmt Data'!G$2:G$2051,0))</f>
        <v>#N/A</v>
      </c>
      <c r="BH7" s="57" t="e">
        <f>INDEX('IncStmt Data'!H$1:H$2999,MATCH(BH$1,'IncStmt Data'!A$2:A$2051,0)+MATCH(A7,'IncStmt Data'!G$2:G$2051,0))</f>
        <v>#N/A</v>
      </c>
      <c r="BI7" s="57" t="e">
        <f>INDEX('IncStmt Data'!H$1:H$2999,MATCH(BI$1,'IncStmt Data'!A$2:A$2051,0)+MATCH(A7,'IncStmt Data'!G$2:G$2051,0))</f>
        <v>#N/A</v>
      </c>
      <c r="BJ7" s="57" t="e">
        <f>INDEX('IncStmt Data'!H$1:H$2999,MATCH(BJ$1,'IncStmt Data'!A$2:A$2051,0)+MATCH(A7,'IncStmt Data'!G$2:G$2051,0))</f>
        <v>#N/A</v>
      </c>
      <c r="BK7" s="57" t="e">
        <f>INDEX('IncStmt Data'!H$1:H$2999,MATCH(BK$1,'IncStmt Data'!A$2:A$2051,0)+MATCH(A7,'IncStmt Data'!G$2:G$2051,0))</f>
        <v>#N/A</v>
      </c>
      <c r="BL7" s="57" t="e">
        <f>INDEX('IncStmt Data'!H$1:H$2999,MATCH(BL$1,'IncStmt Data'!A$2:A$2051,0)+MATCH(A7,'IncStmt Data'!G$2:G$2051,0))</f>
        <v>#N/A</v>
      </c>
      <c r="BM7" s="57" t="e">
        <f>INDEX('IncStmt Data'!H$1:H$2999,MATCH(BM$1,'IncStmt Data'!A$2:A$2051,0)+MATCH(A7,'IncStmt Data'!G$2:G$2051,0))</f>
        <v>#N/A</v>
      </c>
      <c r="BN7" s="57" t="e">
        <f>INDEX('IncStmt Data'!H$1:H$2999,MATCH(BN$1,'IncStmt Data'!A$2:A$2051,0)+MATCH(A7,'IncStmt Data'!G$2:G$2051,0))</f>
        <v>#N/A</v>
      </c>
      <c r="BO7" s="57" t="e">
        <f>INDEX('IncStmt Data'!H$1:H$2999,MATCH(BO$1,'IncStmt Data'!A$2:A$2051,0)+MATCH(A7,'IncStmt Data'!G$2:G$2051,0))</f>
        <v>#N/A</v>
      </c>
      <c r="BP7" s="57" t="e">
        <f>INDEX('IncStmt Data'!H$1:H$2999,MATCH(BP$1,'IncStmt Data'!A$2:A$2051,0)+MATCH(A7,'IncStmt Data'!G$2:G$2051,0))</f>
        <v>#N/A</v>
      </c>
      <c r="BQ7" s="57" t="e">
        <f>INDEX('IncStmt Data'!H$1:H$2999,MATCH(BQ$1,'IncStmt Data'!A$2:A$2051,0)+MATCH(A7,'IncStmt Data'!G$2:G$2051,0))</f>
        <v>#N/A</v>
      </c>
      <c r="BR7" s="57" t="e">
        <f>INDEX('IncStmt Data'!H$1:H$2999,MATCH(BR$1,'IncStmt Data'!A$2:A$2051,0)+MATCH(A7,'IncStmt Data'!G$2:G$2051,0))</f>
        <v>#N/A</v>
      </c>
      <c r="BS7" s="57" t="e">
        <f>INDEX('IncStmt Data'!H$1:H$2999,MATCH(BS$1,'IncStmt Data'!A$2:A$2051,0)+MATCH(A7,'IncStmt Data'!G$2:G$2051,0))</f>
        <v>#N/A</v>
      </c>
      <c r="BT7" s="57" t="e">
        <f>INDEX('IncStmt Data'!H$1:H$2999,MATCH(BT$1,'IncStmt Data'!A$2:A$2051,0)+MATCH(A7,'IncStmt Data'!G$2:G$2051,0))</f>
        <v>#N/A</v>
      </c>
      <c r="BU7" s="57" t="e">
        <f>INDEX('IncStmt Data'!H$1:H$2999,MATCH(BU$1,'IncStmt Data'!A$2:A$2051,0)+MATCH(A7,'IncStmt Data'!G$2:G$2051,0))</f>
        <v>#N/A</v>
      </c>
      <c r="BV7" s="57" t="e">
        <f>INDEX('IncStmt Data'!H$1:H$2999,MATCH(BV$1,'IncStmt Data'!A$2:A$2051,0)+MATCH(A7,'IncStmt Data'!G$2:G$2051,0))</f>
        <v>#N/A</v>
      </c>
      <c r="BW7" s="57" t="e">
        <f>INDEX('IncStmt Data'!H$1:H$2999,MATCH(BW$1,'IncStmt Data'!A$2:A$2051,0)+MATCH(A7,'IncStmt Data'!G$2:G$2051,0))</f>
        <v>#N/A</v>
      </c>
      <c r="BX7" s="57" t="e">
        <f>INDEX('IncStmt Data'!H$1:H$2999,MATCH(BX$1,'IncStmt Data'!A$2:A$2051,0)+MATCH(A7,'IncStmt Data'!G$2:G$2051,0))</f>
        <v>#N/A</v>
      </c>
      <c r="BY7" s="57" t="e">
        <f>INDEX('IncStmt Data'!H$1:H$2999,MATCH(BY$1,'IncStmt Data'!A$2:A$2051,0)+MATCH(A7,'IncStmt Data'!G$2:G$2051,0))</f>
        <v>#N/A</v>
      </c>
      <c r="BZ7" s="57" t="e">
        <f>INDEX('IncStmt Data'!H$1:H$2999,MATCH(BZ$1,'IncStmt Data'!A$2:A$2051,0)+MATCH(A7,'IncStmt Data'!G$2:G$2051,0))</f>
        <v>#N/A</v>
      </c>
      <c r="CA7" s="57" t="e">
        <f>INDEX('IncStmt Data'!H$1:H$2999,MATCH(CA$1,'IncStmt Data'!A$2:A$2051,0)+MATCH(A7,'IncStmt Data'!G$2:G$2051,0))</f>
        <v>#N/A</v>
      </c>
      <c r="CB7" s="57" t="e">
        <f>INDEX('IncStmt Data'!H$1:H$2999,MATCH(CB$1,'IncStmt Data'!A$2:A$2051,0)+MATCH(A7,'IncStmt Data'!G$2:G$2051,0))</f>
        <v>#N/A</v>
      </c>
      <c r="CC7" s="57" t="e">
        <f>INDEX('IncStmt Data'!H$1:H$2999,MATCH(CC$1,'IncStmt Data'!A$2:A$2051,0)+MATCH(A7,'IncStmt Data'!G$2:G$2051,0))</f>
        <v>#N/A</v>
      </c>
      <c r="CD7" s="57" t="e">
        <f>INDEX('IncStmt Data'!H$1:H$2999,MATCH(CD$1,'IncStmt Data'!A$2:A$2051,0)+MATCH(A7,'IncStmt Data'!G$2:G$2051,0))</f>
        <v>#N/A</v>
      </c>
      <c r="CE7" s="57" t="e">
        <f>INDEX('IncStmt Data'!H$1:H$2999,MATCH(CE$1,'IncStmt Data'!A$2:A$2051,0)+MATCH(A7,'IncStmt Data'!G$2:G$2051,0))</f>
        <v>#N/A</v>
      </c>
      <c r="CF7" s="57" t="e">
        <f>INDEX('IncStmt Data'!H$1:H$2999,MATCH(CF$1,'IncStmt Data'!A$2:A$2051,0)+MATCH(A7,'IncStmt Data'!G$2:G$2051,0))</f>
        <v>#N/A</v>
      </c>
      <c r="CG7" s="57" t="e">
        <f>INDEX('IncStmt Data'!H$1:H$2999,MATCH(CG$1,'IncStmt Data'!A$2:A$2051,0)+MATCH(A7,'IncStmt Data'!G$2:G$2051,0))</f>
        <v>#N/A</v>
      </c>
      <c r="CH7" s="57" t="e">
        <f>INDEX('IncStmt Data'!H$1:H$2999,MATCH(CH$1,'IncStmt Data'!A$2:A$2051,0)+MATCH(A7,'IncStmt Data'!G$2:G$2051,0))</f>
        <v>#N/A</v>
      </c>
      <c r="CI7" s="57" t="e">
        <f>INDEX('IncStmt Data'!H$1:H$2999,MATCH(CI$1,'IncStmt Data'!A$2:A$2051,0)+MATCH(A7,'IncStmt Data'!G$2:G$2051,0))</f>
        <v>#N/A</v>
      </c>
      <c r="CJ7" s="57" t="e">
        <f>INDEX('IncStmt Data'!H$1:H$2999,MATCH(CJ$1,'IncStmt Data'!A$2:A$2051,0)+MATCH(A7,'IncStmt Data'!G$2:G$2051,0))</f>
        <v>#N/A</v>
      </c>
      <c r="CK7" s="57" t="e">
        <f>INDEX('IncStmt Data'!H$1:H$2999,MATCH(CK$1,'IncStmt Data'!A$2:A$2051,0)+MATCH(A7,'IncStmt Data'!G$2:G$2051,0))</f>
        <v>#N/A</v>
      </c>
      <c r="CL7" s="57" t="e">
        <f>INDEX('IncStmt Data'!H$1:H$2999,MATCH(CL$1,'IncStmt Data'!A$2:A$2051,0)+MATCH(A7,'IncStmt Data'!G$2:G$2051,0))</f>
        <v>#N/A</v>
      </c>
      <c r="CM7" s="57" t="e">
        <f>INDEX('IncStmt Data'!H$1:H$2999,MATCH(CM$1,'IncStmt Data'!A$2:A$2051,0)+MATCH(A7,'IncStmt Data'!G$2:G$2051,0))</f>
        <v>#N/A</v>
      </c>
      <c r="CN7" s="57" t="e">
        <f>INDEX('IncStmt Data'!H$1:H$2999,MATCH(CN$1,'IncStmt Data'!A$2:A$2051,0)+MATCH(A7,'IncStmt Data'!G$2:G$2051,0))</f>
        <v>#N/A</v>
      </c>
      <c r="CO7" s="57" t="e">
        <f>INDEX('IncStmt Data'!H$1:H$2999,MATCH(CO$1,'IncStmt Data'!A$2:A$2051,0)+MATCH(A7,'IncStmt Data'!G$2:G$2051,0))</f>
        <v>#N/A</v>
      </c>
      <c r="CP7" s="57" t="e">
        <f>INDEX('IncStmt Data'!H$1:H$2999,MATCH(CP$1,'IncStmt Data'!A$2:A$2051,0)+MATCH(A7,'IncStmt Data'!G$2:G$2051,0))</f>
        <v>#N/A</v>
      </c>
      <c r="CQ7" s="57" t="e">
        <f>INDEX('IncStmt Data'!H$1:H$2999,MATCH(CQ$1,'IncStmt Data'!A$2:A$2051,0)+MATCH(A7,'IncStmt Data'!G$2:G$2051,0))</f>
        <v>#N/A</v>
      </c>
      <c r="CR7" s="57" t="e">
        <f>INDEX('IncStmt Data'!H$1:H$2999,MATCH(CR$1,'IncStmt Data'!A$2:A$2051,0)+MATCH(A7,'IncStmt Data'!G$2:G$2051,0))</f>
        <v>#N/A</v>
      </c>
      <c r="CS7" s="57" t="e">
        <f>INDEX('IncStmt Data'!H$1:H$2999,MATCH(CS$1,'IncStmt Data'!A$2:A$2051,0)+MATCH(A7,'IncStmt Data'!G$2:G$2051,0))</f>
        <v>#N/A</v>
      </c>
      <c r="CT7" s="57" t="e">
        <f>INDEX('IncStmt Data'!H$1:H$2999,MATCH(CT$1,'IncStmt Data'!A$2:A$2051,0)+MATCH(A7,'IncStmt Data'!G$2:G$2051,0))</f>
        <v>#N/A</v>
      </c>
      <c r="CU7" s="57" t="e">
        <f>INDEX('IncStmt Data'!H$1:H$2999,MATCH(CU$1,'IncStmt Data'!A$2:A$2051,0)+MATCH(A7,'IncStmt Data'!G$2:G$2051,0))</f>
        <v>#N/A</v>
      </c>
      <c r="CV7" s="57" t="e">
        <f>INDEX('IncStmt Data'!H$1:H$2999,MATCH(CV$1,'IncStmt Data'!A$2:A$2051,0)+MATCH(A7,'IncStmt Data'!G$2:G$2051,0))</f>
        <v>#N/A</v>
      </c>
      <c r="CW7" s="57" t="e">
        <f>INDEX('IncStmt Data'!H$1:H$2999,MATCH(CW$1,'IncStmt Data'!A$2:A$2051,0)+MATCH(A7,'IncStmt Data'!G$2:G$2051,0))</f>
        <v>#N/A</v>
      </c>
      <c r="CX7" s="57" t="e">
        <f>INDEX('IncStmt Data'!H$1:H$2999,MATCH(CX$1,'IncStmt Data'!A$2:A$2051,0)+MATCH(A7,'IncStmt Data'!G$2:G$2051,0))</f>
        <v>#N/A</v>
      </c>
      <c r="CY7" s="57" t="e">
        <f>INDEX('IncStmt Data'!H$1:H$2999,MATCH(CY$1,'IncStmt Data'!A$2:A$2051,0)+MATCH(A7,'IncStmt Data'!G$2:G$2051,0))</f>
        <v>#N/A</v>
      </c>
      <c r="CZ7" s="57" t="e">
        <f>INDEX('IncStmt Data'!H$1:H$2999,MATCH(CZ$1,'IncStmt Data'!A$2:A$2051,0)+MATCH(A7,'IncStmt Data'!G$2:G$2051,0))</f>
        <v>#N/A</v>
      </c>
    </row>
    <row r="8" spans="1:104" s="46" customFormat="1" x14ac:dyDescent="0.2">
      <c r="A8" s="44"/>
      <c r="B8" s="49">
        <f>SUM(B5:B7)</f>
        <v>470</v>
      </c>
      <c r="C8" s="49" t="e">
        <f>SUM(C5:C7)</f>
        <v>#N/A</v>
      </c>
      <c r="D8" s="49" t="e">
        <f t="shared" ref="D8:BO8" si="0">SUM(D5:D7)</f>
        <v>#N/A</v>
      </c>
      <c r="E8" s="49" t="e">
        <f t="shared" si="0"/>
        <v>#N/A</v>
      </c>
      <c r="F8" s="49" t="e">
        <f t="shared" si="0"/>
        <v>#N/A</v>
      </c>
      <c r="G8" s="49" t="e">
        <f t="shared" si="0"/>
        <v>#N/A</v>
      </c>
      <c r="H8" s="49" t="e">
        <f t="shared" si="0"/>
        <v>#N/A</v>
      </c>
      <c r="I8" s="49" t="e">
        <f t="shared" si="0"/>
        <v>#N/A</v>
      </c>
      <c r="J8" s="49" t="e">
        <f t="shared" si="0"/>
        <v>#N/A</v>
      </c>
      <c r="K8" s="49" t="e">
        <f t="shared" si="0"/>
        <v>#N/A</v>
      </c>
      <c r="L8" s="49" t="e">
        <f t="shared" si="0"/>
        <v>#N/A</v>
      </c>
      <c r="M8" s="49" t="e">
        <f t="shared" si="0"/>
        <v>#N/A</v>
      </c>
      <c r="N8" s="49" t="e">
        <f t="shared" si="0"/>
        <v>#N/A</v>
      </c>
      <c r="O8" s="49" t="e">
        <f t="shared" si="0"/>
        <v>#N/A</v>
      </c>
      <c r="P8" s="49" t="e">
        <f t="shared" si="0"/>
        <v>#N/A</v>
      </c>
      <c r="Q8" s="49" t="e">
        <f t="shared" si="0"/>
        <v>#N/A</v>
      </c>
      <c r="R8" s="49" t="e">
        <f t="shared" si="0"/>
        <v>#N/A</v>
      </c>
      <c r="S8" s="49" t="e">
        <f t="shared" si="0"/>
        <v>#N/A</v>
      </c>
      <c r="T8" s="49" t="e">
        <f t="shared" si="0"/>
        <v>#N/A</v>
      </c>
      <c r="U8" s="49" t="e">
        <f t="shared" si="0"/>
        <v>#N/A</v>
      </c>
      <c r="V8" s="49" t="e">
        <f t="shared" si="0"/>
        <v>#N/A</v>
      </c>
      <c r="W8" s="49" t="e">
        <f t="shared" si="0"/>
        <v>#N/A</v>
      </c>
      <c r="X8" s="49" t="e">
        <f t="shared" si="0"/>
        <v>#N/A</v>
      </c>
      <c r="Y8" s="49" t="e">
        <f t="shared" si="0"/>
        <v>#N/A</v>
      </c>
      <c r="Z8" s="49" t="e">
        <f t="shared" si="0"/>
        <v>#N/A</v>
      </c>
      <c r="AA8" s="49" t="e">
        <f t="shared" si="0"/>
        <v>#N/A</v>
      </c>
      <c r="AB8" s="49" t="e">
        <f t="shared" si="0"/>
        <v>#N/A</v>
      </c>
      <c r="AC8" s="49" t="e">
        <f t="shared" si="0"/>
        <v>#N/A</v>
      </c>
      <c r="AD8" s="49" t="e">
        <f t="shared" si="0"/>
        <v>#N/A</v>
      </c>
      <c r="AE8" s="49" t="e">
        <f t="shared" si="0"/>
        <v>#N/A</v>
      </c>
      <c r="AF8" s="49" t="e">
        <f t="shared" si="0"/>
        <v>#N/A</v>
      </c>
      <c r="AG8" s="49" t="e">
        <f t="shared" si="0"/>
        <v>#N/A</v>
      </c>
      <c r="AH8" s="49" t="e">
        <f t="shared" si="0"/>
        <v>#N/A</v>
      </c>
      <c r="AI8" s="49" t="e">
        <f t="shared" si="0"/>
        <v>#N/A</v>
      </c>
      <c r="AJ8" s="49" t="e">
        <f t="shared" si="0"/>
        <v>#N/A</v>
      </c>
      <c r="AK8" s="49" t="e">
        <f t="shared" si="0"/>
        <v>#N/A</v>
      </c>
      <c r="AL8" s="49">
        <f t="shared" si="0"/>
        <v>597</v>
      </c>
      <c r="AM8" s="49">
        <f t="shared" si="0"/>
        <v>0</v>
      </c>
      <c r="AN8" s="49">
        <f t="shared" si="0"/>
        <v>0</v>
      </c>
      <c r="AO8" s="49">
        <f t="shared" si="0"/>
        <v>0</v>
      </c>
      <c r="AP8" s="49" t="e">
        <f t="shared" si="0"/>
        <v>#N/A</v>
      </c>
      <c r="AQ8" s="49" t="e">
        <f t="shared" si="0"/>
        <v>#N/A</v>
      </c>
      <c r="AR8" s="49" t="e">
        <f t="shared" si="0"/>
        <v>#N/A</v>
      </c>
      <c r="AS8" s="49" t="e">
        <f t="shared" si="0"/>
        <v>#N/A</v>
      </c>
      <c r="AT8" s="49" t="e">
        <f t="shared" si="0"/>
        <v>#N/A</v>
      </c>
      <c r="AU8" s="49" t="e">
        <f t="shared" si="0"/>
        <v>#N/A</v>
      </c>
      <c r="AV8" s="49" t="e">
        <f t="shared" si="0"/>
        <v>#N/A</v>
      </c>
      <c r="AW8" s="49" t="e">
        <f t="shared" si="0"/>
        <v>#N/A</v>
      </c>
      <c r="AX8" s="49" t="e">
        <f t="shared" si="0"/>
        <v>#N/A</v>
      </c>
      <c r="AY8" s="49" t="e">
        <f t="shared" si="0"/>
        <v>#N/A</v>
      </c>
      <c r="AZ8" s="49" t="e">
        <f t="shared" si="0"/>
        <v>#N/A</v>
      </c>
      <c r="BA8" s="49" t="e">
        <f t="shared" si="0"/>
        <v>#N/A</v>
      </c>
      <c r="BB8" s="49" t="e">
        <f t="shared" si="0"/>
        <v>#N/A</v>
      </c>
      <c r="BC8" s="49" t="e">
        <f t="shared" si="0"/>
        <v>#N/A</v>
      </c>
      <c r="BD8" s="49" t="e">
        <f t="shared" si="0"/>
        <v>#N/A</v>
      </c>
      <c r="BE8" s="49" t="e">
        <f t="shared" si="0"/>
        <v>#N/A</v>
      </c>
      <c r="BF8" s="49" t="e">
        <f t="shared" si="0"/>
        <v>#N/A</v>
      </c>
      <c r="BG8" s="49" t="e">
        <f t="shared" si="0"/>
        <v>#N/A</v>
      </c>
      <c r="BH8" s="49" t="e">
        <f t="shared" si="0"/>
        <v>#N/A</v>
      </c>
      <c r="BI8" s="49" t="e">
        <f t="shared" si="0"/>
        <v>#N/A</v>
      </c>
      <c r="BJ8" s="49" t="e">
        <f t="shared" si="0"/>
        <v>#N/A</v>
      </c>
      <c r="BK8" s="49" t="e">
        <f t="shared" si="0"/>
        <v>#N/A</v>
      </c>
      <c r="BL8" s="49" t="e">
        <f t="shared" si="0"/>
        <v>#N/A</v>
      </c>
      <c r="BM8" s="49" t="e">
        <f t="shared" si="0"/>
        <v>#N/A</v>
      </c>
      <c r="BN8" s="49" t="e">
        <f t="shared" si="0"/>
        <v>#N/A</v>
      </c>
      <c r="BO8" s="49" t="e">
        <f t="shared" si="0"/>
        <v>#N/A</v>
      </c>
      <c r="BP8" s="49" t="e">
        <f t="shared" ref="BP8:CZ8" si="1">SUM(BP5:BP7)</f>
        <v>#N/A</v>
      </c>
      <c r="BQ8" s="49" t="e">
        <f t="shared" si="1"/>
        <v>#N/A</v>
      </c>
      <c r="BR8" s="49" t="e">
        <f t="shared" si="1"/>
        <v>#N/A</v>
      </c>
      <c r="BS8" s="49" t="e">
        <f t="shared" si="1"/>
        <v>#N/A</v>
      </c>
      <c r="BT8" s="49" t="e">
        <f t="shared" si="1"/>
        <v>#N/A</v>
      </c>
      <c r="BU8" s="49" t="e">
        <f t="shared" si="1"/>
        <v>#N/A</v>
      </c>
      <c r="BV8" s="49" t="e">
        <f t="shared" si="1"/>
        <v>#N/A</v>
      </c>
      <c r="BW8" s="49" t="e">
        <f t="shared" si="1"/>
        <v>#N/A</v>
      </c>
      <c r="BX8" s="49" t="e">
        <f t="shared" si="1"/>
        <v>#N/A</v>
      </c>
      <c r="BY8" s="49" t="e">
        <f t="shared" si="1"/>
        <v>#N/A</v>
      </c>
      <c r="BZ8" s="49" t="e">
        <f t="shared" si="1"/>
        <v>#N/A</v>
      </c>
      <c r="CA8" s="49" t="e">
        <f t="shared" si="1"/>
        <v>#N/A</v>
      </c>
      <c r="CB8" s="49" t="e">
        <f t="shared" si="1"/>
        <v>#N/A</v>
      </c>
      <c r="CC8" s="49" t="e">
        <f t="shared" si="1"/>
        <v>#N/A</v>
      </c>
      <c r="CD8" s="49" t="e">
        <f t="shared" si="1"/>
        <v>#N/A</v>
      </c>
      <c r="CE8" s="49" t="e">
        <f t="shared" si="1"/>
        <v>#N/A</v>
      </c>
      <c r="CF8" s="49" t="e">
        <f t="shared" si="1"/>
        <v>#N/A</v>
      </c>
      <c r="CG8" s="49" t="e">
        <f t="shared" si="1"/>
        <v>#N/A</v>
      </c>
      <c r="CH8" s="49" t="e">
        <f t="shared" si="1"/>
        <v>#N/A</v>
      </c>
      <c r="CI8" s="49" t="e">
        <f t="shared" si="1"/>
        <v>#N/A</v>
      </c>
      <c r="CJ8" s="49" t="e">
        <f t="shared" si="1"/>
        <v>#N/A</v>
      </c>
      <c r="CK8" s="49" t="e">
        <f t="shared" si="1"/>
        <v>#N/A</v>
      </c>
      <c r="CL8" s="49" t="e">
        <f t="shared" si="1"/>
        <v>#N/A</v>
      </c>
      <c r="CM8" s="49" t="e">
        <f t="shared" si="1"/>
        <v>#N/A</v>
      </c>
      <c r="CN8" s="49" t="e">
        <f t="shared" si="1"/>
        <v>#N/A</v>
      </c>
      <c r="CO8" s="49" t="e">
        <f t="shared" si="1"/>
        <v>#N/A</v>
      </c>
      <c r="CP8" s="49" t="e">
        <f t="shared" si="1"/>
        <v>#N/A</v>
      </c>
      <c r="CQ8" s="49" t="e">
        <f t="shared" si="1"/>
        <v>#N/A</v>
      </c>
      <c r="CR8" s="49" t="e">
        <f t="shared" si="1"/>
        <v>#N/A</v>
      </c>
      <c r="CS8" s="49" t="e">
        <f t="shared" si="1"/>
        <v>#N/A</v>
      </c>
      <c r="CT8" s="49" t="e">
        <f t="shared" si="1"/>
        <v>#N/A</v>
      </c>
      <c r="CU8" s="49" t="e">
        <f t="shared" si="1"/>
        <v>#N/A</v>
      </c>
      <c r="CV8" s="49" t="e">
        <f t="shared" si="1"/>
        <v>#N/A</v>
      </c>
      <c r="CW8" s="49" t="e">
        <f t="shared" si="1"/>
        <v>#N/A</v>
      </c>
      <c r="CX8" s="49" t="e">
        <f t="shared" si="1"/>
        <v>#N/A</v>
      </c>
      <c r="CY8" s="49" t="e">
        <f t="shared" si="1"/>
        <v>#N/A</v>
      </c>
      <c r="CZ8" s="49" t="e">
        <f t="shared" si="1"/>
        <v>#N/A</v>
      </c>
    </row>
    <row r="9" spans="1:104" s="46" customFormat="1" x14ac:dyDescent="0.2">
      <c r="A9" s="3"/>
      <c r="I9" s="47"/>
    </row>
    <row r="10" spans="1:104" s="46" customFormat="1" x14ac:dyDescent="0.2">
      <c r="A10" s="4" t="s">
        <v>48</v>
      </c>
      <c r="I10" s="47"/>
    </row>
    <row r="11" spans="1:104" s="49" customFormat="1" x14ac:dyDescent="0.2">
      <c r="A11" s="51" t="s">
        <v>39</v>
      </c>
      <c r="B11" s="46">
        <f>INDEX('IncStmt Data'!H$1:H$2999,MATCH(B$1,'IncStmt Data'!A$2:A$2051,0)+MATCH(A11,'IncStmt Data'!G$2:G$2051,0))</f>
        <v>0</v>
      </c>
      <c r="C11" s="46" t="e">
        <f>INDEX('IncStmt Data'!H$1:H$2999,MATCH(C$1,'IncStmt Data'!A$2:A$2051,0)+MATCH(A11,'IncStmt Data'!G$2:G$2051,0))</f>
        <v>#N/A</v>
      </c>
      <c r="D11" s="46" t="e">
        <f>INDEX('IncStmt Data'!H$1:H$2999,MATCH(D$1,'IncStmt Data'!A$2:A$2051,0)+MATCH(A11,'IncStmt Data'!G$2:G$2051,0))</f>
        <v>#N/A</v>
      </c>
      <c r="E11" s="46" t="e">
        <f>INDEX('IncStmt Data'!H$1:H$2999,MATCH(E$1,'IncStmt Data'!A$2:A$2051,0)+MATCH(A11,'IncStmt Data'!G$2:G$2051,0))</f>
        <v>#N/A</v>
      </c>
      <c r="F11" s="46" t="e">
        <f>INDEX('IncStmt Data'!H$1:H$2999,MATCH(F$1,'IncStmt Data'!A$2:A$2051,0)+MATCH(A11,'IncStmt Data'!G$2:G$2051,0))</f>
        <v>#N/A</v>
      </c>
      <c r="G11" s="46" t="e">
        <f>INDEX('IncStmt Data'!H$1:H$2999,MATCH(G$1,'IncStmt Data'!A$2:A$2051,0)+MATCH(A11,'IncStmt Data'!G$2:G$2051,0))</f>
        <v>#N/A</v>
      </c>
      <c r="H11" s="46" t="e">
        <f>INDEX('IncStmt Data'!H$1:H$2999,MATCH(H$1,'IncStmt Data'!A$2:A$2051,0)+MATCH(A11,'IncStmt Data'!G$2:G$2051,0))</f>
        <v>#N/A</v>
      </c>
      <c r="I11" s="47" t="e">
        <f>INDEX('IncStmt Data'!H$1:H$2999,MATCH(I$1,'IncStmt Data'!A$2:A$2051,0)+MATCH(A11,'IncStmt Data'!G$2:G$2051,0))</f>
        <v>#N/A</v>
      </c>
      <c r="J11" s="46" t="e">
        <f>INDEX('IncStmt Data'!H$1:H$2999,MATCH(J$1,'IncStmt Data'!A$2:A$2051,0)+MATCH(A11,'IncStmt Data'!G$2:G$2051,0))</f>
        <v>#N/A</v>
      </c>
      <c r="K11" s="46" t="e">
        <f>INDEX('IncStmt Data'!H$1:H$2999,MATCH(K$1,'IncStmt Data'!A$2:A$2051,0)+MATCH(A11,'IncStmt Data'!G$2:G$2051,0))</f>
        <v>#N/A</v>
      </c>
      <c r="L11" s="46" t="e">
        <f>INDEX('IncStmt Data'!H$1:H$2999,MATCH(L$1,'IncStmt Data'!A$2:A$2051,0)+MATCH(A11,'IncStmt Data'!G$2:G$2051,0))</f>
        <v>#N/A</v>
      </c>
      <c r="M11" s="46" t="e">
        <f>INDEX('IncStmt Data'!H$1:H$2999,MATCH(M$1,'IncStmt Data'!A$2:A$2051,0)+MATCH(A11,'IncStmt Data'!G$2:G$2051,0))</f>
        <v>#N/A</v>
      </c>
      <c r="N11" s="46" t="e">
        <f>INDEX('IncStmt Data'!H$1:H$2999,MATCH(N$1,'IncStmt Data'!A$2:A$2051,0)+MATCH(A11,'IncStmt Data'!G$2:G$2051,0))</f>
        <v>#N/A</v>
      </c>
      <c r="O11" s="46" t="e">
        <f>INDEX('IncStmt Data'!H$1:H$2999,MATCH(O$1,'IncStmt Data'!A$2:A$2051,0)+MATCH(A11,'IncStmt Data'!G$2:G$2051,0))</f>
        <v>#N/A</v>
      </c>
      <c r="P11" s="46" t="e">
        <f>INDEX('IncStmt Data'!H$1:H$2999,MATCH(P$1,'IncStmt Data'!A$2:A$2051,0)+MATCH(A11,'IncStmt Data'!G$2:G$2051,0))</f>
        <v>#N/A</v>
      </c>
      <c r="Q11" s="46" t="e">
        <f>INDEX('IncStmt Data'!H$1:H$2999,MATCH(Q$1,'IncStmt Data'!A$2:A$2051,0)+MATCH(A11,'IncStmt Data'!G$2:G$2051,0))</f>
        <v>#N/A</v>
      </c>
      <c r="R11" s="46" t="e">
        <f>INDEX('IncStmt Data'!H$1:H$2999,MATCH(R$1,'IncStmt Data'!A$2:A$2051,0)+MATCH(A11,'IncStmt Data'!G$2:G$2051,0))</f>
        <v>#N/A</v>
      </c>
      <c r="S11" s="46" t="e">
        <f>INDEX('IncStmt Data'!H$1:H$2999,MATCH(S$1,'IncStmt Data'!A$2:A$2051,0)+MATCH(A11,'IncStmt Data'!G$2:G$2051,0))</f>
        <v>#N/A</v>
      </c>
      <c r="T11" s="46" t="e">
        <f>INDEX('IncStmt Data'!H$1:H$2999,MATCH(T$1,'IncStmt Data'!A$2:A$2051,0)+MATCH(A11,'IncStmt Data'!G$2:G$2051,0))</f>
        <v>#N/A</v>
      </c>
      <c r="U11" s="46" t="e">
        <f>INDEX('IncStmt Data'!H$1:H$2999,MATCH(U$1,'IncStmt Data'!A$2:A$2051,0)+MATCH(A11,'IncStmt Data'!G$2:G$2051,0))</f>
        <v>#N/A</v>
      </c>
      <c r="V11" s="46" t="e">
        <f>INDEX('IncStmt Data'!H$1:H$2999,MATCH(V$1,'IncStmt Data'!A$2:A$2051,0)+MATCH(A11,'IncStmt Data'!G$2:G$2051,0))</f>
        <v>#N/A</v>
      </c>
      <c r="W11" s="46" t="e">
        <f>INDEX('IncStmt Data'!H$1:H$2999,MATCH(W$1,'IncStmt Data'!A$2:A$2051,0)+MATCH(A11,'IncStmt Data'!G$2:G$2051,0))</f>
        <v>#N/A</v>
      </c>
      <c r="X11" s="46" t="e">
        <f>INDEX('IncStmt Data'!H$1:H$2999,MATCH(X$1,'IncStmt Data'!A$2:A$2051,0)+MATCH(A11,'IncStmt Data'!G$2:G$2051,0))</f>
        <v>#N/A</v>
      </c>
      <c r="Y11" s="46" t="e">
        <f>INDEX('IncStmt Data'!H$1:H$2999,MATCH(Y$1,'IncStmt Data'!A$2:A$2051,0)+MATCH(A11,'IncStmt Data'!G$2:G$2051,0))</f>
        <v>#N/A</v>
      </c>
      <c r="Z11" s="46" t="e">
        <f>INDEX('IncStmt Data'!H$1:H$2999,MATCH(Z$1,'IncStmt Data'!A$2:A$2051,0)+MATCH(A11,'IncStmt Data'!G$2:G$2051,0))</f>
        <v>#N/A</v>
      </c>
      <c r="AA11" s="46" t="e">
        <f>INDEX('IncStmt Data'!H$1:H$2999,MATCH(AA$1,'IncStmt Data'!A$2:A$2051,0)+MATCH(A11,'IncStmt Data'!G$2:G$2051,0))</f>
        <v>#N/A</v>
      </c>
      <c r="AB11" s="46" t="e">
        <f>INDEX('IncStmt Data'!H$1:H$2999,MATCH(AB$1,'IncStmt Data'!A$2:A$2051,0)+MATCH(A11,'IncStmt Data'!G$2:G$2051,0))</f>
        <v>#N/A</v>
      </c>
      <c r="AC11" s="46" t="e">
        <f>INDEX('IncStmt Data'!H$1:H$2999,MATCH(AC$1,'IncStmt Data'!A$2:A$2051,0)+MATCH(A11,'IncStmt Data'!G$2:G$2051,0))</f>
        <v>#N/A</v>
      </c>
      <c r="AD11" s="46" t="e">
        <f>INDEX('IncStmt Data'!H$1:H$2999,MATCH(AD$1,'IncStmt Data'!A$2:A$2051,0)+MATCH(A11,'IncStmt Data'!G$2:G$2051,0))</f>
        <v>#N/A</v>
      </c>
      <c r="AE11" s="46" t="e">
        <f>INDEX('IncStmt Data'!H$1:H$2999,MATCH(AE$1,'IncStmt Data'!A$2:A$2051,0)+MATCH(A11,'IncStmt Data'!G$2:G$2051,0))</f>
        <v>#N/A</v>
      </c>
      <c r="AF11" s="46" t="e">
        <f>INDEX('IncStmt Data'!H$1:H$2999,MATCH(AF$1,'IncStmt Data'!A$2:A$2051,0)+MATCH(A11,'IncStmt Data'!G$2:G$2051,0))</f>
        <v>#N/A</v>
      </c>
      <c r="AG11" s="46" t="e">
        <f>INDEX('IncStmt Data'!H$1:H$2999,MATCH(AG$1,'IncStmt Data'!A$2:A$2051,0)+MATCH(A11,'IncStmt Data'!G$2:G$2051,0))</f>
        <v>#N/A</v>
      </c>
      <c r="AH11" s="46" t="e">
        <f>INDEX('IncStmt Data'!H$1:H$2999,MATCH(AH$1,'IncStmt Data'!A$2:A$2051,0)+MATCH(A11,'IncStmt Data'!G$2:G$2051,0))</f>
        <v>#N/A</v>
      </c>
      <c r="AI11" s="46" t="e">
        <f>INDEX('IncStmt Data'!H$1:H$2999,MATCH(AI$1,'IncStmt Data'!A$2:A$2051,0)+MATCH(A11,'IncStmt Data'!G$2:G$2051,0))</f>
        <v>#N/A</v>
      </c>
      <c r="AJ11" s="46" t="e">
        <f>INDEX('IncStmt Data'!H$1:H$2999,MATCH(AJ$1,'IncStmt Data'!A$2:A$2051,0)+MATCH(A11,'IncStmt Data'!G$2:G$2051,0))</f>
        <v>#N/A</v>
      </c>
      <c r="AK11" s="46" t="e">
        <f>INDEX('IncStmt Data'!H$1:H$2999,MATCH(AK$1,'IncStmt Data'!A$2:A$2051,0)+MATCH(A11,'IncStmt Data'!G$2:G$2051,0))</f>
        <v>#N/A</v>
      </c>
      <c r="AL11" s="46">
        <f>INDEX('IncStmt Data'!H$1:H$2999,MATCH(AL$1,'IncStmt Data'!A$2:A$2051,0)+MATCH(A11,'IncStmt Data'!G$2:G$2051,0))</f>
        <v>0</v>
      </c>
      <c r="AM11" s="46">
        <f>INDEX('IncStmt Data'!H$1:H$2999,MATCH(AM$1,'IncStmt Data'!A$2:A$2051,0)+MATCH(A11,'IncStmt Data'!G$2:G$2051,0))</f>
        <v>0</v>
      </c>
      <c r="AN11" s="46">
        <f>INDEX('IncStmt Data'!H$1:H$2999,MATCH(AN$1,'IncStmt Data'!A$2:A$2051,0)+MATCH(A11,'IncStmt Data'!G$2:G$2051,0))</f>
        <v>0</v>
      </c>
      <c r="AO11" s="46">
        <f>INDEX('IncStmt Data'!H$1:H$2999,MATCH(AO$1,'IncStmt Data'!A$2:A$2051,0)+MATCH(A11,'IncStmt Data'!G$2:G$2051,0))</f>
        <v>0</v>
      </c>
      <c r="AP11" s="46" t="e">
        <f>INDEX('IncStmt Data'!H$1:H$2999,MATCH(AP$1,'IncStmt Data'!A$2:A$2051,0)+MATCH(A11,'IncStmt Data'!G$2:G$2051,0))</f>
        <v>#N/A</v>
      </c>
      <c r="AQ11" s="46" t="e">
        <f>INDEX('IncStmt Data'!H$1:H$2999,MATCH(AQ$1,'IncStmt Data'!A$2:A$2051,0)+MATCH(A11,'IncStmt Data'!G$2:G$2051,0))</f>
        <v>#N/A</v>
      </c>
      <c r="AR11" s="46" t="e">
        <f>INDEX('IncStmt Data'!H$1:H$2999,MATCH(AR$1,'IncStmt Data'!A$2:A$2051,0)+MATCH(A11,'IncStmt Data'!G$2:G$2051,0))</f>
        <v>#N/A</v>
      </c>
      <c r="AS11" s="46" t="e">
        <f>INDEX('IncStmt Data'!H$1:H$2999,MATCH(AS$1,'IncStmt Data'!A$2:A$2051,0)+MATCH(A11,'IncStmt Data'!G$2:G$2051,0))</f>
        <v>#N/A</v>
      </c>
      <c r="AT11" s="46" t="e">
        <f>INDEX('IncStmt Data'!H$1:H$2999,MATCH(AT$1,'IncStmt Data'!A$2:A$2051,0)+MATCH(A11,'IncStmt Data'!G$2:G$2051,0))</f>
        <v>#N/A</v>
      </c>
      <c r="AU11" s="46" t="e">
        <f>INDEX('IncStmt Data'!H$1:H$2999,MATCH(AU$1,'IncStmt Data'!A$2:A$2051,0)+MATCH(A11,'IncStmt Data'!G$2:G$2051,0))</f>
        <v>#N/A</v>
      </c>
      <c r="AV11" s="46" t="e">
        <f>INDEX('IncStmt Data'!H$1:H$2999,MATCH(AV$1,'IncStmt Data'!A$2:A$2051,0)+MATCH(A11,'IncStmt Data'!G$2:G$2051,0))</f>
        <v>#N/A</v>
      </c>
      <c r="AW11" s="46" t="e">
        <f>INDEX('IncStmt Data'!H$1:H$2999,MATCH(AW$1,'IncStmt Data'!A$2:A$2051,0)+MATCH(A11,'IncStmt Data'!G$2:G$2051,0))</f>
        <v>#N/A</v>
      </c>
      <c r="AX11" s="46" t="e">
        <f>INDEX('IncStmt Data'!H$1:H$2999,MATCH(AX$1,'IncStmt Data'!A$2:A$2051,0)+MATCH(A11,'IncStmt Data'!G$2:G$2051,0))</f>
        <v>#N/A</v>
      </c>
      <c r="AY11" s="46" t="e">
        <f>INDEX('IncStmt Data'!H$1:H$2999,MATCH(AY$1,'IncStmt Data'!A$2:A$2051,0)+MATCH(A11,'IncStmt Data'!G$2:G$2051,0))</f>
        <v>#N/A</v>
      </c>
      <c r="AZ11" s="46" t="e">
        <f>INDEX('IncStmt Data'!H$1:H$2999,MATCH(AZ$1,'IncStmt Data'!A$2:A$2051,0)+MATCH(A11,'IncStmt Data'!G$2:G$2051,0))</f>
        <v>#N/A</v>
      </c>
      <c r="BA11" s="46" t="e">
        <f>INDEX('IncStmt Data'!H$1:H$2999,MATCH(BA$1,'IncStmt Data'!A$2:A$2051,0)+MATCH(A11,'IncStmt Data'!G$2:G$2051,0))</f>
        <v>#N/A</v>
      </c>
      <c r="BB11" s="46" t="e">
        <f>INDEX('IncStmt Data'!H$1:H$2999,MATCH(BB$1,'IncStmt Data'!A$2:A$2051,0)+MATCH(A11,'IncStmt Data'!G$2:G$2051,0))</f>
        <v>#N/A</v>
      </c>
      <c r="BC11" s="46" t="e">
        <f>INDEX('IncStmt Data'!H$1:H$2999,MATCH(BC$1,'IncStmt Data'!A$2:A$2051,0)+MATCH(A11,'IncStmt Data'!G$2:G$2051,0))</f>
        <v>#N/A</v>
      </c>
      <c r="BD11" s="46" t="e">
        <f>INDEX('IncStmt Data'!H$1:H$2999,MATCH(BD$1,'IncStmt Data'!A$2:A$2051,0)+MATCH(A11,'IncStmt Data'!G$2:G$2051,0))</f>
        <v>#N/A</v>
      </c>
      <c r="BE11" s="46" t="e">
        <f>INDEX('IncStmt Data'!H$1:H$2999,MATCH(BE$1,'IncStmt Data'!A$2:A$2051,0)+MATCH(A11,'IncStmt Data'!G$2:G$2051,0))</f>
        <v>#N/A</v>
      </c>
      <c r="BF11" s="46" t="e">
        <f>INDEX('IncStmt Data'!H$1:H$2999,MATCH(BF$1,'IncStmt Data'!A$2:A$2051,0)+MATCH(A11,'IncStmt Data'!G$2:G$2051,0))</f>
        <v>#N/A</v>
      </c>
      <c r="BG11" s="46" t="e">
        <f>INDEX('IncStmt Data'!H$1:H$2999,MATCH(BG$1,'IncStmt Data'!A$2:A$2051,0)+MATCH(A11,'IncStmt Data'!G$2:G$2051,0))</f>
        <v>#N/A</v>
      </c>
      <c r="BH11" s="46" t="e">
        <f>INDEX('IncStmt Data'!H$1:H$2999,MATCH(BH$1,'IncStmt Data'!A$2:A$2051,0)+MATCH(A11,'IncStmt Data'!G$2:G$2051,0))</f>
        <v>#N/A</v>
      </c>
      <c r="BI11" s="46" t="e">
        <f>INDEX('IncStmt Data'!H$1:H$2999,MATCH(BI$1,'IncStmt Data'!A$2:A$2051,0)+MATCH(A11,'IncStmt Data'!G$2:G$2051,0))</f>
        <v>#N/A</v>
      </c>
      <c r="BJ11" s="46" t="e">
        <f>INDEX('IncStmt Data'!H$1:H$2999,MATCH(BJ$1,'IncStmt Data'!A$2:A$2051,0)+MATCH(A11,'IncStmt Data'!G$2:G$2051,0))</f>
        <v>#N/A</v>
      </c>
      <c r="BK11" s="46" t="e">
        <f>INDEX('IncStmt Data'!H$1:H$2999,MATCH(BK$1,'IncStmt Data'!A$2:A$2051,0)+MATCH(A11,'IncStmt Data'!G$2:G$2051,0))</f>
        <v>#N/A</v>
      </c>
      <c r="BL11" s="46" t="e">
        <f>INDEX('IncStmt Data'!H$1:H$2999,MATCH(BL$1,'IncStmt Data'!A$2:A$2051,0)+MATCH(A11,'IncStmt Data'!G$2:G$2051,0))</f>
        <v>#N/A</v>
      </c>
      <c r="BM11" s="46" t="e">
        <f>INDEX('IncStmt Data'!H$1:H$2999,MATCH(BM$1,'IncStmt Data'!A$2:A$2051,0)+MATCH(A11,'IncStmt Data'!G$2:G$2051,0))</f>
        <v>#N/A</v>
      </c>
      <c r="BN11" s="46" t="e">
        <f>INDEX('IncStmt Data'!H$1:H$2999,MATCH(BN$1,'IncStmt Data'!A$2:A$2051,0)+MATCH(A11,'IncStmt Data'!G$2:G$2051,0))</f>
        <v>#N/A</v>
      </c>
      <c r="BO11" s="46" t="e">
        <f>INDEX('IncStmt Data'!H$1:H$2999,MATCH(BO$1,'IncStmt Data'!A$2:A$2051,0)+MATCH(A11,'IncStmt Data'!G$2:G$2051,0))</f>
        <v>#N/A</v>
      </c>
      <c r="BP11" s="46" t="e">
        <f>INDEX('IncStmt Data'!H$1:H$2999,MATCH(BP$1,'IncStmt Data'!A$2:A$2051,0)+MATCH(A11,'IncStmt Data'!G$2:G$2051,0))</f>
        <v>#N/A</v>
      </c>
      <c r="BQ11" s="46" t="e">
        <f>INDEX('IncStmt Data'!H$1:H$2999,MATCH(BQ$1,'IncStmt Data'!A$2:A$2051,0)+MATCH(A11,'IncStmt Data'!G$2:G$2051,0))</f>
        <v>#N/A</v>
      </c>
      <c r="BR11" s="46" t="e">
        <f>INDEX('IncStmt Data'!H$1:H$2999,MATCH(BR$1,'IncStmt Data'!A$2:A$2051,0)+MATCH(A11,'IncStmt Data'!G$2:G$2051,0))</f>
        <v>#N/A</v>
      </c>
      <c r="BS11" s="46" t="e">
        <f>INDEX('IncStmt Data'!H$1:H$2999,MATCH(BS$1,'IncStmt Data'!A$2:A$2051,0)+MATCH(A11,'IncStmt Data'!G$2:G$2051,0))</f>
        <v>#N/A</v>
      </c>
      <c r="BT11" s="46" t="e">
        <f>INDEX('IncStmt Data'!H$1:H$2999,MATCH(BT$1,'IncStmt Data'!A$2:A$2051,0)+MATCH(A11,'IncStmt Data'!G$2:G$2051,0))</f>
        <v>#N/A</v>
      </c>
      <c r="BU11" s="46" t="e">
        <f>INDEX('IncStmt Data'!H$1:H$2999,MATCH(BU$1,'IncStmt Data'!A$2:A$2051,0)+MATCH(A11,'IncStmt Data'!G$2:G$2051,0))</f>
        <v>#N/A</v>
      </c>
      <c r="BV11" s="46" t="e">
        <f>INDEX('IncStmt Data'!H$1:H$2999,MATCH(BV$1,'IncStmt Data'!A$2:A$2051,0)+MATCH(A11,'IncStmt Data'!G$2:G$2051,0))</f>
        <v>#N/A</v>
      </c>
      <c r="BW11" s="46" t="e">
        <f>INDEX('IncStmt Data'!H$1:H$2999,MATCH(BW$1,'IncStmt Data'!A$2:A$2051,0)+MATCH(A11,'IncStmt Data'!G$2:G$2051,0))</f>
        <v>#N/A</v>
      </c>
      <c r="BX11" s="46" t="e">
        <f>INDEX('IncStmt Data'!H$1:H$2999,MATCH(BX$1,'IncStmt Data'!A$2:A$2051,0)+MATCH(A11,'IncStmt Data'!G$2:G$2051,0))</f>
        <v>#N/A</v>
      </c>
      <c r="BY11" s="46" t="e">
        <f>INDEX('IncStmt Data'!H$1:H$2999,MATCH(BY$1,'IncStmt Data'!A$2:A$2051,0)+MATCH(A11,'IncStmt Data'!G$2:G$2051,0))</f>
        <v>#N/A</v>
      </c>
      <c r="BZ11" s="46" t="e">
        <f>INDEX('IncStmt Data'!H$1:H$2999,MATCH(BZ$1,'IncStmt Data'!A$2:A$2051,0)+MATCH(A11,'IncStmt Data'!G$2:G$2051,0))</f>
        <v>#N/A</v>
      </c>
      <c r="CA11" s="46" t="e">
        <f>INDEX('IncStmt Data'!H$1:H$2999,MATCH(CA$1,'IncStmt Data'!A$2:A$2051,0)+MATCH(A11,'IncStmt Data'!G$2:G$2051,0))</f>
        <v>#N/A</v>
      </c>
      <c r="CB11" s="46" t="e">
        <f>INDEX('IncStmt Data'!H$1:H$2999,MATCH(CB$1,'IncStmt Data'!A$2:A$2051,0)+MATCH(A11,'IncStmt Data'!G$2:G$2051,0))</f>
        <v>#N/A</v>
      </c>
      <c r="CC11" s="46" t="e">
        <f>INDEX('IncStmt Data'!H$1:H$2999,MATCH(CC$1,'IncStmt Data'!A$2:A$2051,0)+MATCH(A11,'IncStmt Data'!G$2:G$2051,0))</f>
        <v>#N/A</v>
      </c>
      <c r="CD11" s="46" t="e">
        <f>INDEX('IncStmt Data'!H$1:H$2999,MATCH(CD$1,'IncStmt Data'!A$2:A$2051,0)+MATCH(A11,'IncStmt Data'!G$2:G$2051,0))</f>
        <v>#N/A</v>
      </c>
      <c r="CE11" s="46" t="e">
        <f>INDEX('IncStmt Data'!H$1:H$2999,MATCH(CE$1,'IncStmt Data'!A$2:A$2051,0)+MATCH(A11,'IncStmt Data'!G$2:G$2051,0))</f>
        <v>#N/A</v>
      </c>
      <c r="CF11" s="46" t="e">
        <f>INDEX('IncStmt Data'!H$1:H$2999,MATCH(CF$1,'IncStmt Data'!A$2:A$2051,0)+MATCH(A11,'IncStmt Data'!G$2:G$2051,0))</f>
        <v>#N/A</v>
      </c>
      <c r="CG11" s="46" t="e">
        <f>INDEX('IncStmt Data'!H$1:H$2999,MATCH(CG$1,'IncStmt Data'!A$2:A$2051,0)+MATCH(A11,'IncStmt Data'!G$2:G$2051,0))</f>
        <v>#N/A</v>
      </c>
      <c r="CH11" s="46" t="e">
        <f>INDEX('IncStmt Data'!H$1:H$2999,MATCH(CH$1,'IncStmt Data'!A$2:A$2051,0)+MATCH(A11,'IncStmt Data'!G$2:G$2051,0))</f>
        <v>#N/A</v>
      </c>
      <c r="CI11" s="46" t="e">
        <f>INDEX('IncStmt Data'!H$1:H$2999,MATCH(CI$1,'IncStmt Data'!A$2:A$2051,0)+MATCH(A11,'IncStmt Data'!G$2:G$2051,0))</f>
        <v>#N/A</v>
      </c>
      <c r="CJ11" s="46" t="e">
        <f>INDEX('IncStmt Data'!H$1:H$2999,MATCH(CJ$1,'IncStmt Data'!A$2:A$2051,0)+MATCH(A11,'IncStmt Data'!G$2:G$2051,0))</f>
        <v>#N/A</v>
      </c>
      <c r="CK11" s="46" t="e">
        <f>INDEX('IncStmt Data'!H$1:H$2999,MATCH(CK$1,'IncStmt Data'!A$2:A$2051,0)+MATCH(A11,'IncStmt Data'!G$2:G$2051,0))</f>
        <v>#N/A</v>
      </c>
      <c r="CL11" s="46" t="e">
        <f>INDEX('IncStmt Data'!H$1:H$2999,MATCH(CL$1,'IncStmt Data'!A$2:A$2051,0)+MATCH(A11,'IncStmt Data'!G$2:G$2051,0))</f>
        <v>#N/A</v>
      </c>
      <c r="CM11" s="46" t="e">
        <f>INDEX('IncStmt Data'!H$1:H$2999,MATCH(CM$1,'IncStmt Data'!A$2:A$2051,0)+MATCH(A11,'IncStmt Data'!G$2:G$2051,0))</f>
        <v>#N/A</v>
      </c>
      <c r="CN11" s="46" t="e">
        <f>INDEX('IncStmt Data'!H$1:H$2999,MATCH(CN$1,'IncStmt Data'!A$2:A$2051,0)+MATCH(A11,'IncStmt Data'!G$2:G$2051,0))</f>
        <v>#N/A</v>
      </c>
      <c r="CO11" s="46" t="e">
        <f>INDEX('IncStmt Data'!H$1:H$2999,MATCH(CO$1,'IncStmt Data'!A$2:A$2051,0)+MATCH(A11,'IncStmt Data'!G$2:G$2051,0))</f>
        <v>#N/A</v>
      </c>
      <c r="CP11" s="46" t="e">
        <f>INDEX('IncStmt Data'!H$1:H$2999,MATCH(CP$1,'IncStmt Data'!A$2:A$2051,0)+MATCH(A11,'IncStmt Data'!G$2:G$2051,0))</f>
        <v>#N/A</v>
      </c>
      <c r="CQ11" s="46" t="e">
        <f>INDEX('IncStmt Data'!H$1:H$2999,MATCH(CQ$1,'IncStmt Data'!A$2:A$2051,0)+MATCH(A11,'IncStmt Data'!G$2:G$2051,0))</f>
        <v>#N/A</v>
      </c>
      <c r="CR11" s="46" t="e">
        <f>INDEX('IncStmt Data'!H$1:H$2999,MATCH(CR$1,'IncStmt Data'!A$2:A$2051,0)+MATCH(A11,'IncStmt Data'!G$2:G$2051,0))</f>
        <v>#N/A</v>
      </c>
      <c r="CS11" s="46" t="e">
        <f>INDEX('IncStmt Data'!H$1:H$2999,MATCH(CS$1,'IncStmt Data'!A$2:A$2051,0)+MATCH(A11,'IncStmt Data'!G$2:G$2051,0))</f>
        <v>#N/A</v>
      </c>
      <c r="CT11" s="46" t="e">
        <f>INDEX('IncStmt Data'!H$1:H$2999,MATCH(CT$1,'IncStmt Data'!A$2:A$2051,0)+MATCH(A11,'IncStmt Data'!G$2:G$2051,0))</f>
        <v>#N/A</v>
      </c>
      <c r="CU11" s="46" t="e">
        <f>INDEX('IncStmt Data'!H$1:H$2999,MATCH(CU$1,'IncStmt Data'!A$2:A$2051,0)+MATCH(A11,'IncStmt Data'!G$2:G$2051,0))</f>
        <v>#N/A</v>
      </c>
      <c r="CV11" s="46" t="e">
        <f>INDEX('IncStmt Data'!H$1:H$2999,MATCH(CV$1,'IncStmt Data'!A$2:A$2051,0)+MATCH(A11,'IncStmt Data'!G$2:G$2051,0))</f>
        <v>#N/A</v>
      </c>
      <c r="CW11" s="46" t="e">
        <f>INDEX('IncStmt Data'!H$1:H$2999,MATCH(CW$1,'IncStmt Data'!A$2:A$2051,0)+MATCH(A11,'IncStmt Data'!G$2:G$2051,0))</f>
        <v>#N/A</v>
      </c>
      <c r="CX11" s="46" t="e">
        <f>INDEX('IncStmt Data'!H$1:H$2999,MATCH(CX$1,'IncStmt Data'!A$2:A$2051,0)+MATCH(A11,'IncStmt Data'!G$2:G$2051,0))</f>
        <v>#N/A</v>
      </c>
      <c r="CY11" s="46" t="e">
        <f>INDEX('IncStmt Data'!H$1:H$2999,MATCH(CY$1,'IncStmt Data'!A$2:A$2051,0)+MATCH(A11,'IncStmt Data'!G$2:G$2051,0))</f>
        <v>#N/A</v>
      </c>
      <c r="CZ11" s="46" t="e">
        <f>INDEX('IncStmt Data'!H$1:H$2999,MATCH(CZ$1,'IncStmt Data'!A$2:A$2051,0)+MATCH(A11,'IncStmt Data'!G$2:G$2051,0))</f>
        <v>#N/A</v>
      </c>
    </row>
    <row r="12" spans="1:104" s="46" customFormat="1" x14ac:dyDescent="0.2">
      <c r="A12" s="4" t="s">
        <v>39</v>
      </c>
      <c r="B12" s="46">
        <f>INDEX('IncStmt Data'!H$1:H$2999,MATCH(B$1,'IncStmt Data'!A$2:A$2051,0)+MATCH(A12,'IncStmt Data'!G$2:G$2051,0))</f>
        <v>0</v>
      </c>
      <c r="C12" s="46" t="e">
        <f>INDEX('IncStmt Data'!H$1:H$2999,MATCH(C$1,'IncStmt Data'!A$2:A$2051,0)+MATCH(A12,'IncStmt Data'!G$2:G$2051,0))</f>
        <v>#N/A</v>
      </c>
      <c r="D12" s="46" t="e">
        <f>INDEX('IncStmt Data'!H$1:H$2999,MATCH(D$1,'IncStmt Data'!A$2:A$2051,0)+MATCH(A12,'IncStmt Data'!G$2:G$2051,0))</f>
        <v>#N/A</v>
      </c>
      <c r="E12" s="46" t="e">
        <f>INDEX('IncStmt Data'!H$1:H$2999,MATCH(E$1,'IncStmt Data'!A$2:A$2051,0)+MATCH(A12,'IncStmt Data'!G$2:G$2051,0))</f>
        <v>#N/A</v>
      </c>
      <c r="F12" s="46" t="e">
        <f>INDEX('IncStmt Data'!H$1:H$2999,MATCH(F$1,'IncStmt Data'!A$2:A$2051,0)+MATCH(A12,'IncStmt Data'!G$2:G$2051,0))</f>
        <v>#N/A</v>
      </c>
      <c r="G12" s="46" t="e">
        <f>INDEX('IncStmt Data'!H$1:H$2999,MATCH(G$1,'IncStmt Data'!A$2:A$2051,0)+MATCH(A12,'IncStmt Data'!G$2:G$2051,0))</f>
        <v>#N/A</v>
      </c>
      <c r="H12" s="46" t="e">
        <f>INDEX('IncStmt Data'!H$1:H$2999,MATCH(H$1,'IncStmt Data'!A$2:A$2051,0)+MATCH(A12,'IncStmt Data'!G$2:G$2051,0))</f>
        <v>#N/A</v>
      </c>
      <c r="I12" s="47" t="e">
        <f>INDEX('IncStmt Data'!H$1:H$2999,MATCH(I$1,'IncStmt Data'!A$2:A$2051,0)+MATCH(A12,'IncStmt Data'!G$2:G$2051,0))</f>
        <v>#N/A</v>
      </c>
      <c r="J12" s="46" t="e">
        <f>INDEX('IncStmt Data'!H$1:H$2999,MATCH(J$1,'IncStmt Data'!A$2:A$2051,0)+MATCH(A12,'IncStmt Data'!G$2:G$2051,0))</f>
        <v>#N/A</v>
      </c>
      <c r="K12" s="46" t="e">
        <f>INDEX('IncStmt Data'!H$1:H$2999,MATCH(K$1,'IncStmt Data'!A$2:A$2051,0)+MATCH(A12,'IncStmt Data'!G$2:G$2051,0))</f>
        <v>#N/A</v>
      </c>
      <c r="L12" s="46" t="e">
        <f>INDEX('IncStmt Data'!H$1:H$2999,MATCH(L$1,'IncStmt Data'!A$2:A$2051,0)+MATCH(A12,'IncStmt Data'!G$2:G$2051,0))</f>
        <v>#N/A</v>
      </c>
      <c r="M12" s="46" t="e">
        <f>INDEX('IncStmt Data'!H$1:H$2999,MATCH(M$1,'IncStmt Data'!A$2:A$2051,0)+MATCH(A12,'IncStmt Data'!G$2:G$2051,0))</f>
        <v>#N/A</v>
      </c>
      <c r="N12" s="46" t="e">
        <f>INDEX('IncStmt Data'!H$1:H$2999,MATCH(N$1,'IncStmt Data'!A$2:A$2051,0)+MATCH(A12,'IncStmt Data'!G$2:G$2051,0))</f>
        <v>#N/A</v>
      </c>
      <c r="O12" s="46" t="e">
        <f>INDEX('IncStmt Data'!H$1:H$2999,MATCH(O$1,'IncStmt Data'!A$2:A$2051,0)+MATCH(A12,'IncStmt Data'!G$2:G$2051,0))</f>
        <v>#N/A</v>
      </c>
      <c r="P12" s="46" t="e">
        <f>INDEX('IncStmt Data'!H$1:H$2999,MATCH(P$1,'IncStmt Data'!A$2:A$2051,0)+MATCH(A12,'IncStmt Data'!G$2:G$2051,0))</f>
        <v>#N/A</v>
      </c>
      <c r="Q12" s="46" t="e">
        <f>INDEX('IncStmt Data'!H$1:H$2999,MATCH(Q$1,'IncStmt Data'!A$2:A$2051,0)+MATCH(A12,'IncStmt Data'!G$2:G$2051,0))</f>
        <v>#N/A</v>
      </c>
      <c r="R12" s="46" t="e">
        <f>INDEX('IncStmt Data'!H$1:H$2999,MATCH(R$1,'IncStmt Data'!A$2:A$2051,0)+MATCH(A12,'IncStmt Data'!G$2:G$2051,0))</f>
        <v>#N/A</v>
      </c>
      <c r="S12" s="46" t="e">
        <f>INDEX('IncStmt Data'!H$1:H$2999,MATCH(S$1,'IncStmt Data'!A$2:A$2051,0)+MATCH(A12,'IncStmt Data'!G$2:G$2051,0))</f>
        <v>#N/A</v>
      </c>
      <c r="T12" s="46" t="e">
        <f>INDEX('IncStmt Data'!H$1:H$2999,MATCH(T$1,'IncStmt Data'!A$2:A$2051,0)+MATCH(A12,'IncStmt Data'!G$2:G$2051,0))</f>
        <v>#N/A</v>
      </c>
      <c r="U12" s="46" t="e">
        <f>INDEX('IncStmt Data'!H$1:H$2999,MATCH(U$1,'IncStmt Data'!A$2:A$2051,0)+MATCH(A12,'IncStmt Data'!G$2:G$2051,0))</f>
        <v>#N/A</v>
      </c>
      <c r="V12" s="46" t="e">
        <f>INDEX('IncStmt Data'!H$1:H$2999,MATCH(V$1,'IncStmt Data'!A$2:A$2051,0)+MATCH(A12,'IncStmt Data'!G$2:G$2051,0))</f>
        <v>#N/A</v>
      </c>
      <c r="W12" s="46" t="e">
        <f>INDEX('IncStmt Data'!H$1:H$2999,MATCH(W$1,'IncStmt Data'!A$2:A$2051,0)+MATCH(A12,'IncStmt Data'!G$2:G$2051,0))</f>
        <v>#N/A</v>
      </c>
      <c r="X12" s="46" t="e">
        <f>INDEX('IncStmt Data'!H$1:H$2999,MATCH(X$1,'IncStmt Data'!A$2:A$2051,0)+MATCH(A12,'IncStmt Data'!G$2:G$2051,0))</f>
        <v>#N/A</v>
      </c>
      <c r="Y12" s="46" t="e">
        <f>INDEX('IncStmt Data'!H$1:H$2999,MATCH(Y$1,'IncStmt Data'!A$2:A$2051,0)+MATCH(A12,'IncStmt Data'!G$2:G$2051,0))</f>
        <v>#N/A</v>
      </c>
      <c r="Z12" s="46" t="e">
        <f>INDEX('IncStmt Data'!H$1:H$2999,MATCH(Z$1,'IncStmt Data'!A$2:A$2051,0)+MATCH(A12,'IncStmt Data'!G$2:G$2051,0))</f>
        <v>#N/A</v>
      </c>
      <c r="AA12" s="46" t="e">
        <f>INDEX('IncStmt Data'!H$1:H$2999,MATCH(AA$1,'IncStmt Data'!A$2:A$2051,0)+MATCH(A12,'IncStmt Data'!G$2:G$2051,0))</f>
        <v>#N/A</v>
      </c>
      <c r="AB12" s="46" t="e">
        <f>INDEX('IncStmt Data'!H$1:H$2999,MATCH(AB$1,'IncStmt Data'!A$2:A$2051,0)+MATCH(A12,'IncStmt Data'!G$2:G$2051,0))</f>
        <v>#N/A</v>
      </c>
      <c r="AC12" s="46" t="e">
        <f>INDEX('IncStmt Data'!H$1:H$2999,MATCH(AC$1,'IncStmt Data'!A$2:A$2051,0)+MATCH(A12,'IncStmt Data'!G$2:G$2051,0))</f>
        <v>#N/A</v>
      </c>
      <c r="AD12" s="46" t="e">
        <f>INDEX('IncStmt Data'!H$1:H$2999,MATCH(AD$1,'IncStmt Data'!A$2:A$2051,0)+MATCH(A12,'IncStmt Data'!G$2:G$2051,0))</f>
        <v>#N/A</v>
      </c>
      <c r="AE12" s="46" t="e">
        <f>INDEX('IncStmt Data'!H$1:H$2999,MATCH(AE$1,'IncStmt Data'!A$2:A$2051,0)+MATCH(A12,'IncStmt Data'!G$2:G$2051,0))</f>
        <v>#N/A</v>
      </c>
      <c r="AF12" s="46" t="e">
        <f>INDEX('IncStmt Data'!H$1:H$2999,MATCH(AF$1,'IncStmt Data'!A$2:A$2051,0)+MATCH(A12,'IncStmt Data'!G$2:G$2051,0))</f>
        <v>#N/A</v>
      </c>
      <c r="AG12" s="46" t="e">
        <f>INDEX('IncStmt Data'!H$1:H$2999,MATCH(AG$1,'IncStmt Data'!A$2:A$2051,0)+MATCH(A12,'IncStmt Data'!G$2:G$2051,0))</f>
        <v>#N/A</v>
      </c>
      <c r="AH12" s="46" t="e">
        <f>INDEX('IncStmt Data'!H$1:H$2999,MATCH(AH$1,'IncStmt Data'!A$2:A$2051,0)+MATCH(A12,'IncStmt Data'!G$2:G$2051,0))</f>
        <v>#N/A</v>
      </c>
      <c r="AI12" s="46" t="e">
        <f>INDEX('IncStmt Data'!H$1:H$2999,MATCH(AI$1,'IncStmt Data'!A$2:A$2051,0)+MATCH(A12,'IncStmt Data'!G$2:G$2051,0))</f>
        <v>#N/A</v>
      </c>
      <c r="AJ12" s="46" t="e">
        <f>INDEX('IncStmt Data'!H$1:H$2999,MATCH(AJ$1,'IncStmt Data'!A$2:A$2051,0)+MATCH(A12,'IncStmt Data'!G$2:G$2051,0))</f>
        <v>#N/A</v>
      </c>
      <c r="AK12" s="46" t="e">
        <f>INDEX('IncStmt Data'!H$1:H$2999,MATCH(AK$1,'IncStmt Data'!A$2:A$2051,0)+MATCH(A12,'IncStmt Data'!G$2:G$2051,0))</f>
        <v>#N/A</v>
      </c>
      <c r="AL12" s="46">
        <f>INDEX('IncStmt Data'!H$1:H$2999,MATCH(AL$1,'IncStmt Data'!A$2:A$2051,0)+MATCH(A12,'IncStmt Data'!G$2:G$2051,0))</f>
        <v>0</v>
      </c>
      <c r="AM12" s="46">
        <f>INDEX('IncStmt Data'!H$1:H$2999,MATCH(AM$1,'IncStmt Data'!A$2:A$2051,0)+MATCH(A12,'IncStmt Data'!G$2:G$2051,0))</f>
        <v>0</v>
      </c>
      <c r="AN12" s="46">
        <f>INDEX('IncStmt Data'!H$1:H$2999,MATCH(AN$1,'IncStmt Data'!A$2:A$2051,0)+MATCH(A12,'IncStmt Data'!G$2:G$2051,0))</f>
        <v>0</v>
      </c>
      <c r="AO12" s="46">
        <f>INDEX('IncStmt Data'!H$1:H$2999,MATCH(AO$1,'IncStmt Data'!A$2:A$2051,0)+MATCH(A12,'IncStmt Data'!G$2:G$2051,0))</f>
        <v>0</v>
      </c>
      <c r="AP12" s="46" t="e">
        <f>INDEX('IncStmt Data'!H$1:H$2999,MATCH(AP$1,'IncStmt Data'!A$2:A$2051,0)+MATCH(A12,'IncStmt Data'!G$2:G$2051,0))</f>
        <v>#N/A</v>
      </c>
      <c r="AQ12" s="46" t="e">
        <f>INDEX('IncStmt Data'!H$1:H$2999,MATCH(AQ$1,'IncStmt Data'!A$2:A$2051,0)+MATCH(A12,'IncStmt Data'!G$2:G$2051,0))</f>
        <v>#N/A</v>
      </c>
      <c r="AR12" s="46" t="e">
        <f>INDEX('IncStmt Data'!H$1:H$2999,MATCH(AR$1,'IncStmt Data'!A$2:A$2051,0)+MATCH(A12,'IncStmt Data'!G$2:G$2051,0))</f>
        <v>#N/A</v>
      </c>
      <c r="AS12" s="46" t="e">
        <f>INDEX('IncStmt Data'!H$1:H$2999,MATCH(AS$1,'IncStmt Data'!A$2:A$2051,0)+MATCH(A12,'IncStmt Data'!G$2:G$2051,0))</f>
        <v>#N/A</v>
      </c>
      <c r="AT12" s="46" t="e">
        <f>INDEX('IncStmt Data'!H$1:H$2999,MATCH(AT$1,'IncStmt Data'!A$2:A$2051,0)+MATCH(A12,'IncStmt Data'!G$2:G$2051,0))</f>
        <v>#N/A</v>
      </c>
      <c r="AU12" s="46" t="e">
        <f>INDEX('IncStmt Data'!H$1:H$2999,MATCH(AU$1,'IncStmt Data'!A$2:A$2051,0)+MATCH(A12,'IncStmt Data'!G$2:G$2051,0))</f>
        <v>#N/A</v>
      </c>
      <c r="AV12" s="46" t="e">
        <f>INDEX('IncStmt Data'!H$1:H$2999,MATCH(AV$1,'IncStmt Data'!A$2:A$2051,0)+MATCH(A12,'IncStmt Data'!G$2:G$2051,0))</f>
        <v>#N/A</v>
      </c>
      <c r="AW12" s="46" t="e">
        <f>INDEX('IncStmt Data'!H$1:H$2999,MATCH(AW$1,'IncStmt Data'!A$2:A$2051,0)+MATCH(A12,'IncStmt Data'!G$2:G$2051,0))</f>
        <v>#N/A</v>
      </c>
      <c r="AX12" s="46" t="e">
        <f>INDEX('IncStmt Data'!H$1:H$2999,MATCH(AX$1,'IncStmt Data'!A$2:A$2051,0)+MATCH(A12,'IncStmt Data'!G$2:G$2051,0))</f>
        <v>#N/A</v>
      </c>
      <c r="AY12" s="46" t="e">
        <f>INDEX('IncStmt Data'!H$1:H$2999,MATCH(AY$1,'IncStmt Data'!A$2:A$2051,0)+MATCH(A12,'IncStmt Data'!G$2:G$2051,0))</f>
        <v>#N/A</v>
      </c>
      <c r="AZ12" s="46" t="e">
        <f>INDEX('IncStmt Data'!H$1:H$2999,MATCH(AZ$1,'IncStmt Data'!A$2:A$2051,0)+MATCH(A12,'IncStmt Data'!G$2:G$2051,0))</f>
        <v>#N/A</v>
      </c>
      <c r="BA12" s="46" t="e">
        <f>INDEX('IncStmt Data'!H$1:H$2999,MATCH(BA$1,'IncStmt Data'!A$2:A$2051,0)+MATCH(A12,'IncStmt Data'!G$2:G$2051,0))</f>
        <v>#N/A</v>
      </c>
      <c r="BB12" s="46" t="e">
        <f>INDEX('IncStmt Data'!H$1:H$2999,MATCH(BB$1,'IncStmt Data'!A$2:A$2051,0)+MATCH(A12,'IncStmt Data'!G$2:G$2051,0))</f>
        <v>#N/A</v>
      </c>
      <c r="BC12" s="46" t="e">
        <f>INDEX('IncStmt Data'!H$1:H$2999,MATCH(BC$1,'IncStmt Data'!A$2:A$2051,0)+MATCH(A12,'IncStmt Data'!G$2:G$2051,0))</f>
        <v>#N/A</v>
      </c>
      <c r="BD12" s="46" t="e">
        <f>INDEX('IncStmt Data'!H$1:H$2999,MATCH(BD$1,'IncStmt Data'!A$2:A$2051,0)+MATCH(A12,'IncStmt Data'!G$2:G$2051,0))</f>
        <v>#N/A</v>
      </c>
      <c r="BE12" s="46" t="e">
        <f>INDEX('IncStmt Data'!H$1:H$2999,MATCH(BE$1,'IncStmt Data'!A$2:A$2051,0)+MATCH(A12,'IncStmt Data'!G$2:G$2051,0))</f>
        <v>#N/A</v>
      </c>
      <c r="BF12" s="46" t="e">
        <f>INDEX('IncStmt Data'!H$1:H$2999,MATCH(BF$1,'IncStmt Data'!A$2:A$2051,0)+MATCH(A12,'IncStmt Data'!G$2:G$2051,0))</f>
        <v>#N/A</v>
      </c>
      <c r="BG12" s="46" t="e">
        <f>INDEX('IncStmt Data'!H$1:H$2999,MATCH(BG$1,'IncStmt Data'!A$2:A$2051,0)+MATCH(A12,'IncStmt Data'!G$2:G$2051,0))</f>
        <v>#N/A</v>
      </c>
      <c r="BH12" s="46" t="e">
        <f>INDEX('IncStmt Data'!H$1:H$2999,MATCH(BH$1,'IncStmt Data'!A$2:A$2051,0)+MATCH(A12,'IncStmt Data'!G$2:G$2051,0))</f>
        <v>#N/A</v>
      </c>
      <c r="BI12" s="46" t="e">
        <f>INDEX('IncStmt Data'!H$1:H$2999,MATCH(BI$1,'IncStmt Data'!A$2:A$2051,0)+MATCH(A12,'IncStmt Data'!G$2:G$2051,0))</f>
        <v>#N/A</v>
      </c>
      <c r="BJ12" s="46" t="e">
        <f>INDEX('IncStmt Data'!H$1:H$2999,MATCH(BJ$1,'IncStmt Data'!A$2:A$2051,0)+MATCH(A12,'IncStmt Data'!G$2:G$2051,0))</f>
        <v>#N/A</v>
      </c>
      <c r="BK12" s="46" t="e">
        <f>INDEX('IncStmt Data'!H$1:H$2999,MATCH(BK$1,'IncStmt Data'!A$2:A$2051,0)+MATCH(A12,'IncStmt Data'!G$2:G$2051,0))</f>
        <v>#N/A</v>
      </c>
      <c r="BL12" s="46" t="e">
        <f>INDEX('IncStmt Data'!H$1:H$2999,MATCH(BL$1,'IncStmt Data'!A$2:A$2051,0)+MATCH(A12,'IncStmt Data'!G$2:G$2051,0))</f>
        <v>#N/A</v>
      </c>
      <c r="BM12" s="46" t="e">
        <f>INDEX('IncStmt Data'!H$1:H$2999,MATCH(BM$1,'IncStmt Data'!A$2:A$2051,0)+MATCH(A12,'IncStmt Data'!G$2:G$2051,0))</f>
        <v>#N/A</v>
      </c>
      <c r="BN12" s="46" t="e">
        <f>INDEX('IncStmt Data'!H$1:H$2999,MATCH(BN$1,'IncStmt Data'!A$2:A$2051,0)+MATCH(A12,'IncStmt Data'!G$2:G$2051,0))</f>
        <v>#N/A</v>
      </c>
      <c r="BO12" s="46" t="e">
        <f>INDEX('IncStmt Data'!H$1:H$2999,MATCH(BO$1,'IncStmt Data'!A$2:A$2051,0)+MATCH(A12,'IncStmt Data'!G$2:G$2051,0))</f>
        <v>#N/A</v>
      </c>
      <c r="BP12" s="46" t="e">
        <f>INDEX('IncStmt Data'!H$1:H$2999,MATCH(BP$1,'IncStmt Data'!A$2:A$2051,0)+MATCH(A12,'IncStmt Data'!G$2:G$2051,0))</f>
        <v>#N/A</v>
      </c>
      <c r="BQ12" s="46" t="e">
        <f>INDEX('IncStmt Data'!H$1:H$2999,MATCH(BQ$1,'IncStmt Data'!A$2:A$2051,0)+MATCH(A12,'IncStmt Data'!G$2:G$2051,0))</f>
        <v>#N/A</v>
      </c>
      <c r="BR12" s="46" t="e">
        <f>INDEX('IncStmt Data'!H$1:H$2999,MATCH(BR$1,'IncStmt Data'!A$2:A$2051,0)+MATCH(A12,'IncStmt Data'!G$2:G$2051,0))</f>
        <v>#N/A</v>
      </c>
      <c r="BS12" s="46" t="e">
        <f>INDEX('IncStmt Data'!H$1:H$2999,MATCH(BS$1,'IncStmt Data'!A$2:A$2051,0)+MATCH(A12,'IncStmt Data'!G$2:G$2051,0))</f>
        <v>#N/A</v>
      </c>
      <c r="BT12" s="46" t="e">
        <f>INDEX('IncStmt Data'!H$1:H$2999,MATCH(BT$1,'IncStmt Data'!A$2:A$2051,0)+MATCH(A12,'IncStmt Data'!G$2:G$2051,0))</f>
        <v>#N/A</v>
      </c>
      <c r="BU12" s="46" t="e">
        <f>INDEX('IncStmt Data'!H$1:H$2999,MATCH(BU$1,'IncStmt Data'!A$2:A$2051,0)+MATCH(A12,'IncStmt Data'!G$2:G$2051,0))</f>
        <v>#N/A</v>
      </c>
      <c r="BV12" s="46" t="e">
        <f>INDEX('IncStmt Data'!H$1:H$2999,MATCH(BV$1,'IncStmt Data'!A$2:A$2051,0)+MATCH(A12,'IncStmt Data'!G$2:G$2051,0))</f>
        <v>#N/A</v>
      </c>
      <c r="BW12" s="46" t="e">
        <f>INDEX('IncStmt Data'!H$1:H$2999,MATCH(BW$1,'IncStmt Data'!A$2:A$2051,0)+MATCH(A12,'IncStmt Data'!G$2:G$2051,0))</f>
        <v>#N/A</v>
      </c>
      <c r="BX12" s="46" t="e">
        <f>INDEX('IncStmt Data'!H$1:H$2999,MATCH(BX$1,'IncStmt Data'!A$2:A$2051,0)+MATCH(A12,'IncStmt Data'!G$2:G$2051,0))</f>
        <v>#N/A</v>
      </c>
      <c r="BY12" s="46" t="e">
        <f>INDEX('IncStmt Data'!H$1:H$2999,MATCH(BY$1,'IncStmt Data'!A$2:A$2051,0)+MATCH(A12,'IncStmt Data'!G$2:G$2051,0))</f>
        <v>#N/A</v>
      </c>
      <c r="BZ12" s="46" t="e">
        <f>INDEX('IncStmt Data'!H$1:H$2999,MATCH(BZ$1,'IncStmt Data'!A$2:A$2051,0)+MATCH(A12,'IncStmt Data'!G$2:G$2051,0))</f>
        <v>#N/A</v>
      </c>
      <c r="CA12" s="46" t="e">
        <f>INDEX('IncStmt Data'!H$1:H$2999,MATCH(CA$1,'IncStmt Data'!A$2:A$2051,0)+MATCH(A12,'IncStmt Data'!G$2:G$2051,0))</f>
        <v>#N/A</v>
      </c>
      <c r="CB12" s="46" t="e">
        <f>INDEX('IncStmt Data'!H$1:H$2999,MATCH(CB$1,'IncStmt Data'!A$2:A$2051,0)+MATCH(A12,'IncStmt Data'!G$2:G$2051,0))</f>
        <v>#N/A</v>
      </c>
      <c r="CC12" s="46" t="e">
        <f>INDEX('IncStmt Data'!H$1:H$2999,MATCH(CC$1,'IncStmt Data'!A$2:A$2051,0)+MATCH(A12,'IncStmt Data'!G$2:G$2051,0))</f>
        <v>#N/A</v>
      </c>
      <c r="CD12" s="46" t="e">
        <f>INDEX('IncStmt Data'!H$1:H$2999,MATCH(CD$1,'IncStmt Data'!A$2:A$2051,0)+MATCH(A12,'IncStmt Data'!G$2:G$2051,0))</f>
        <v>#N/A</v>
      </c>
      <c r="CE12" s="46" t="e">
        <f>INDEX('IncStmt Data'!H$1:H$2999,MATCH(CE$1,'IncStmt Data'!A$2:A$2051,0)+MATCH(A12,'IncStmt Data'!G$2:G$2051,0))</f>
        <v>#N/A</v>
      </c>
      <c r="CF12" s="46" t="e">
        <f>INDEX('IncStmt Data'!H$1:H$2999,MATCH(CF$1,'IncStmt Data'!A$2:A$2051,0)+MATCH(A12,'IncStmt Data'!G$2:G$2051,0))</f>
        <v>#N/A</v>
      </c>
      <c r="CG12" s="46" t="e">
        <f>INDEX('IncStmt Data'!H$1:H$2999,MATCH(CG$1,'IncStmt Data'!A$2:A$2051,0)+MATCH(A12,'IncStmt Data'!G$2:G$2051,0))</f>
        <v>#N/A</v>
      </c>
      <c r="CH12" s="46" t="e">
        <f>INDEX('IncStmt Data'!H$1:H$2999,MATCH(CH$1,'IncStmt Data'!A$2:A$2051,0)+MATCH(A12,'IncStmt Data'!G$2:G$2051,0))</f>
        <v>#N/A</v>
      </c>
      <c r="CI12" s="46" t="e">
        <f>INDEX('IncStmt Data'!H$1:H$2999,MATCH(CI$1,'IncStmt Data'!A$2:A$2051,0)+MATCH(A12,'IncStmt Data'!G$2:G$2051,0))</f>
        <v>#N/A</v>
      </c>
      <c r="CJ12" s="46" t="e">
        <f>INDEX('IncStmt Data'!H$1:H$2999,MATCH(CJ$1,'IncStmt Data'!A$2:A$2051,0)+MATCH(A12,'IncStmt Data'!G$2:G$2051,0))</f>
        <v>#N/A</v>
      </c>
      <c r="CK12" s="46" t="e">
        <f>INDEX('IncStmt Data'!H$1:H$2999,MATCH(CK$1,'IncStmt Data'!A$2:A$2051,0)+MATCH(A12,'IncStmt Data'!G$2:G$2051,0))</f>
        <v>#N/A</v>
      </c>
      <c r="CL12" s="46" t="e">
        <f>INDEX('IncStmt Data'!H$1:H$2999,MATCH(CL$1,'IncStmt Data'!A$2:A$2051,0)+MATCH(A12,'IncStmt Data'!G$2:G$2051,0))</f>
        <v>#N/A</v>
      </c>
      <c r="CM12" s="46" t="e">
        <f>INDEX('IncStmt Data'!H$1:H$2999,MATCH(CM$1,'IncStmt Data'!A$2:A$2051,0)+MATCH(A12,'IncStmt Data'!G$2:G$2051,0))</f>
        <v>#N/A</v>
      </c>
      <c r="CN12" s="46" t="e">
        <f>INDEX('IncStmt Data'!H$1:H$2999,MATCH(CN$1,'IncStmt Data'!A$2:A$2051,0)+MATCH(A12,'IncStmt Data'!G$2:G$2051,0))</f>
        <v>#N/A</v>
      </c>
      <c r="CO12" s="46" t="e">
        <f>INDEX('IncStmt Data'!H$1:H$2999,MATCH(CO$1,'IncStmt Data'!A$2:A$2051,0)+MATCH(A12,'IncStmt Data'!G$2:G$2051,0))</f>
        <v>#N/A</v>
      </c>
      <c r="CP12" s="46" t="e">
        <f>INDEX('IncStmt Data'!H$1:H$2999,MATCH(CP$1,'IncStmt Data'!A$2:A$2051,0)+MATCH(A12,'IncStmt Data'!G$2:G$2051,0))</f>
        <v>#N/A</v>
      </c>
      <c r="CQ12" s="46" t="e">
        <f>INDEX('IncStmt Data'!H$1:H$2999,MATCH(CQ$1,'IncStmt Data'!A$2:A$2051,0)+MATCH(A12,'IncStmt Data'!G$2:G$2051,0))</f>
        <v>#N/A</v>
      </c>
      <c r="CR12" s="46" t="e">
        <f>INDEX('IncStmt Data'!H$1:H$2999,MATCH(CR$1,'IncStmt Data'!A$2:A$2051,0)+MATCH(A12,'IncStmt Data'!G$2:G$2051,0))</f>
        <v>#N/A</v>
      </c>
      <c r="CS12" s="46" t="e">
        <f>INDEX('IncStmt Data'!H$1:H$2999,MATCH(CS$1,'IncStmt Data'!A$2:A$2051,0)+MATCH(A12,'IncStmt Data'!G$2:G$2051,0))</f>
        <v>#N/A</v>
      </c>
      <c r="CT12" s="46" t="e">
        <f>INDEX('IncStmt Data'!H$1:H$2999,MATCH(CT$1,'IncStmt Data'!A$2:A$2051,0)+MATCH(A12,'IncStmt Data'!G$2:G$2051,0))</f>
        <v>#N/A</v>
      </c>
      <c r="CU12" s="46" t="e">
        <f>INDEX('IncStmt Data'!H$1:H$2999,MATCH(CU$1,'IncStmt Data'!A$2:A$2051,0)+MATCH(A12,'IncStmt Data'!G$2:G$2051,0))</f>
        <v>#N/A</v>
      </c>
      <c r="CV12" s="46" t="e">
        <f>INDEX('IncStmt Data'!H$1:H$2999,MATCH(CV$1,'IncStmt Data'!A$2:A$2051,0)+MATCH(A12,'IncStmt Data'!G$2:G$2051,0))</f>
        <v>#N/A</v>
      </c>
      <c r="CW12" s="46" t="e">
        <f>INDEX('IncStmt Data'!H$1:H$2999,MATCH(CW$1,'IncStmt Data'!A$2:A$2051,0)+MATCH(A12,'IncStmt Data'!G$2:G$2051,0))</f>
        <v>#N/A</v>
      </c>
      <c r="CX12" s="46" t="e">
        <f>INDEX('IncStmt Data'!H$1:H$2999,MATCH(CX$1,'IncStmt Data'!A$2:A$2051,0)+MATCH(A12,'IncStmt Data'!G$2:G$2051,0))</f>
        <v>#N/A</v>
      </c>
      <c r="CY12" s="46" t="e">
        <f>INDEX('IncStmt Data'!H$1:H$2999,MATCH(CY$1,'IncStmt Data'!A$2:A$2051,0)+MATCH(A12,'IncStmt Data'!G$2:G$2051,0))</f>
        <v>#N/A</v>
      </c>
      <c r="CZ12" s="46" t="e">
        <f>INDEX('IncStmt Data'!H$1:H$2999,MATCH(CZ$1,'IncStmt Data'!A$2:A$2051,0)+MATCH(A12,'IncStmt Data'!G$2:G$2051,0))</f>
        <v>#N/A</v>
      </c>
    </row>
    <row r="13" spans="1:104" s="46" customFormat="1" x14ac:dyDescent="0.2">
      <c r="A13" s="4" t="s">
        <v>40</v>
      </c>
      <c r="B13" s="46">
        <f>INDEX('IncStmt Data'!H$1:H$2999,MATCH(B$1,'IncStmt Data'!A$2:A$2051,0)+MATCH(A13,'IncStmt Data'!G$2:G$2051,0))</f>
        <v>2817</v>
      </c>
      <c r="C13" s="46" t="e">
        <f>INDEX('IncStmt Data'!H$1:H$2999,MATCH(C$1,'IncStmt Data'!A$2:A$2051,0)+MATCH(A13,'IncStmt Data'!G$2:G$2051,0))</f>
        <v>#N/A</v>
      </c>
      <c r="D13" s="46" t="e">
        <f>INDEX('IncStmt Data'!H$1:H$2999,MATCH(D$1,'IncStmt Data'!A$2:A$2051,0)+MATCH(A13,'IncStmt Data'!G$2:G$2051,0))</f>
        <v>#N/A</v>
      </c>
      <c r="E13" s="46" t="e">
        <f>INDEX('IncStmt Data'!H$1:H$2999,MATCH(E$1,'IncStmt Data'!A$2:A$2051,0)+MATCH(A13,'IncStmt Data'!G$2:G$2051,0))</f>
        <v>#N/A</v>
      </c>
      <c r="F13" s="46" t="e">
        <f>INDEX('IncStmt Data'!H$1:H$2999,MATCH(F$1,'IncStmt Data'!A$2:A$2051,0)+MATCH(A13,'IncStmt Data'!G$2:G$2051,0))</f>
        <v>#N/A</v>
      </c>
      <c r="G13" s="46" t="e">
        <f>INDEX('IncStmt Data'!H$1:H$2999,MATCH(G$1,'IncStmt Data'!A$2:A$2051,0)+MATCH(A13,'IncStmt Data'!G$2:G$2051,0))</f>
        <v>#N/A</v>
      </c>
      <c r="H13" s="46" t="e">
        <f>INDEX('IncStmt Data'!H$1:H$2999,MATCH(H$1,'IncStmt Data'!A$2:A$2051,0)+MATCH(A13,'IncStmt Data'!G$2:G$2051,0))</f>
        <v>#N/A</v>
      </c>
      <c r="I13" s="47" t="e">
        <f>INDEX('IncStmt Data'!H$1:H$2999,MATCH(I$1,'IncStmt Data'!A$2:A$2051,0)+MATCH(A13,'IncStmt Data'!G$2:G$2051,0))</f>
        <v>#N/A</v>
      </c>
      <c r="J13" s="46" t="e">
        <f>INDEX('IncStmt Data'!H$1:H$2999,MATCH(J$1,'IncStmt Data'!A$2:A$2051,0)+MATCH(A13,'IncStmt Data'!G$2:G$2051,0))</f>
        <v>#N/A</v>
      </c>
      <c r="K13" s="46" t="e">
        <f>INDEX('IncStmt Data'!H$1:H$2999,MATCH(K$1,'IncStmt Data'!A$2:A$2051,0)+MATCH(A13,'IncStmt Data'!G$2:G$2051,0))</f>
        <v>#N/A</v>
      </c>
      <c r="L13" s="46" t="e">
        <f>INDEX('IncStmt Data'!H$1:H$2999,MATCH(L$1,'IncStmt Data'!A$2:A$2051,0)+MATCH(A13,'IncStmt Data'!G$2:G$2051,0))</f>
        <v>#N/A</v>
      </c>
      <c r="M13" s="46" t="e">
        <f>INDEX('IncStmt Data'!H$1:H$2999,MATCH(M$1,'IncStmt Data'!A$2:A$2051,0)+MATCH(A13,'IncStmt Data'!G$2:G$2051,0))</f>
        <v>#N/A</v>
      </c>
      <c r="N13" s="46" t="e">
        <f>INDEX('IncStmt Data'!H$1:H$2999,MATCH(N$1,'IncStmt Data'!A$2:A$2051,0)+MATCH(A13,'IncStmt Data'!G$2:G$2051,0))</f>
        <v>#N/A</v>
      </c>
      <c r="O13" s="46" t="e">
        <f>INDEX('IncStmt Data'!H$1:H$2999,MATCH(O$1,'IncStmt Data'!A$2:A$2051,0)+MATCH(A13,'IncStmt Data'!G$2:G$2051,0))</f>
        <v>#N/A</v>
      </c>
      <c r="P13" s="46" t="e">
        <f>INDEX('IncStmt Data'!H$1:H$2999,MATCH(P$1,'IncStmt Data'!A$2:A$2051,0)+MATCH(A13,'IncStmt Data'!G$2:G$2051,0))</f>
        <v>#N/A</v>
      </c>
      <c r="Q13" s="46" t="e">
        <f>INDEX('IncStmt Data'!H$1:H$2999,MATCH(Q$1,'IncStmt Data'!A$2:A$2051,0)+MATCH(A13,'IncStmt Data'!G$2:G$2051,0))</f>
        <v>#N/A</v>
      </c>
      <c r="R13" s="46" t="e">
        <f>INDEX('IncStmt Data'!H$1:H$2999,MATCH(R$1,'IncStmt Data'!A$2:A$2051,0)+MATCH(A13,'IncStmt Data'!G$2:G$2051,0))</f>
        <v>#N/A</v>
      </c>
      <c r="S13" s="46" t="e">
        <f>INDEX('IncStmt Data'!H$1:H$2999,MATCH(S$1,'IncStmt Data'!A$2:A$2051,0)+MATCH(A13,'IncStmt Data'!G$2:G$2051,0))</f>
        <v>#N/A</v>
      </c>
      <c r="T13" s="46" t="e">
        <f>INDEX('IncStmt Data'!H$1:H$2999,MATCH(T$1,'IncStmt Data'!A$2:A$2051,0)+MATCH(A13,'IncStmt Data'!G$2:G$2051,0))</f>
        <v>#N/A</v>
      </c>
      <c r="U13" s="46" t="e">
        <f>INDEX('IncStmt Data'!H$1:H$2999,MATCH(U$1,'IncStmt Data'!A$2:A$2051,0)+MATCH(A13,'IncStmt Data'!G$2:G$2051,0))</f>
        <v>#N/A</v>
      </c>
      <c r="V13" s="46" t="e">
        <f>INDEX('IncStmt Data'!H$1:H$2999,MATCH(V$1,'IncStmt Data'!A$2:A$2051,0)+MATCH(A13,'IncStmt Data'!G$2:G$2051,0))</f>
        <v>#N/A</v>
      </c>
      <c r="W13" s="46" t="e">
        <f>INDEX('IncStmt Data'!H$1:H$2999,MATCH(W$1,'IncStmt Data'!A$2:A$2051,0)+MATCH(A13,'IncStmt Data'!G$2:G$2051,0))</f>
        <v>#N/A</v>
      </c>
      <c r="X13" s="46" t="e">
        <f>INDEX('IncStmt Data'!H$1:H$2999,MATCH(X$1,'IncStmt Data'!A$2:A$2051,0)+MATCH(A13,'IncStmt Data'!G$2:G$2051,0))</f>
        <v>#N/A</v>
      </c>
      <c r="Y13" s="46" t="e">
        <f>INDEX('IncStmt Data'!H$1:H$2999,MATCH(Y$1,'IncStmt Data'!A$2:A$2051,0)+MATCH(A13,'IncStmt Data'!G$2:G$2051,0))</f>
        <v>#N/A</v>
      </c>
      <c r="Z13" s="46" t="e">
        <f>INDEX('IncStmt Data'!H$1:H$2999,MATCH(Z$1,'IncStmt Data'!A$2:A$2051,0)+MATCH(A13,'IncStmt Data'!G$2:G$2051,0))</f>
        <v>#N/A</v>
      </c>
      <c r="AA13" s="46" t="e">
        <f>INDEX('IncStmt Data'!H$1:H$2999,MATCH(AA$1,'IncStmt Data'!A$2:A$2051,0)+MATCH(A13,'IncStmt Data'!G$2:G$2051,0))</f>
        <v>#N/A</v>
      </c>
      <c r="AB13" s="46" t="e">
        <f>INDEX('IncStmt Data'!H$1:H$2999,MATCH(AB$1,'IncStmt Data'!A$2:A$2051,0)+MATCH(A13,'IncStmt Data'!G$2:G$2051,0))</f>
        <v>#N/A</v>
      </c>
      <c r="AC13" s="46" t="e">
        <f>INDEX('IncStmt Data'!H$1:H$2999,MATCH(AC$1,'IncStmt Data'!A$2:A$2051,0)+MATCH(A13,'IncStmt Data'!G$2:G$2051,0))</f>
        <v>#N/A</v>
      </c>
      <c r="AD13" s="46" t="e">
        <f>INDEX('IncStmt Data'!H$1:H$2999,MATCH(AD$1,'IncStmt Data'!A$2:A$2051,0)+MATCH(A13,'IncStmt Data'!G$2:G$2051,0))</f>
        <v>#N/A</v>
      </c>
      <c r="AE13" s="46" t="e">
        <f>INDEX('IncStmt Data'!H$1:H$2999,MATCH(AE$1,'IncStmt Data'!A$2:A$2051,0)+MATCH(A13,'IncStmt Data'!G$2:G$2051,0))</f>
        <v>#N/A</v>
      </c>
      <c r="AF13" s="46" t="e">
        <f>INDEX('IncStmt Data'!H$1:H$2999,MATCH(AF$1,'IncStmt Data'!A$2:A$2051,0)+MATCH(A13,'IncStmt Data'!G$2:G$2051,0))</f>
        <v>#N/A</v>
      </c>
      <c r="AG13" s="46" t="e">
        <f>INDEX('IncStmt Data'!H$1:H$2999,MATCH(AG$1,'IncStmt Data'!A$2:A$2051,0)+MATCH(A13,'IncStmt Data'!G$2:G$2051,0))</f>
        <v>#N/A</v>
      </c>
      <c r="AH13" s="46" t="e">
        <f>INDEX('IncStmt Data'!H$1:H$2999,MATCH(AH$1,'IncStmt Data'!A$2:A$2051,0)+MATCH(A13,'IncStmt Data'!G$2:G$2051,0))</f>
        <v>#N/A</v>
      </c>
      <c r="AI13" s="46" t="e">
        <f>INDEX('IncStmt Data'!H$1:H$2999,MATCH(AI$1,'IncStmt Data'!A$2:A$2051,0)+MATCH(A13,'IncStmt Data'!G$2:G$2051,0))</f>
        <v>#N/A</v>
      </c>
      <c r="AJ13" s="46" t="e">
        <f>INDEX('IncStmt Data'!H$1:H$2999,MATCH(AJ$1,'IncStmt Data'!A$2:A$2051,0)+MATCH(A13,'IncStmt Data'!G$2:G$2051,0))</f>
        <v>#N/A</v>
      </c>
      <c r="AK13" s="46" t="e">
        <f>INDEX('IncStmt Data'!H$1:H$2999,MATCH(AK$1,'IncStmt Data'!A$2:A$2051,0)+MATCH(A13,'IncStmt Data'!G$2:G$2051,0))</f>
        <v>#N/A</v>
      </c>
      <c r="AL13" s="46">
        <f>INDEX('IncStmt Data'!H$1:H$2999,MATCH(AL$1,'IncStmt Data'!A$2:A$2051,0)+MATCH(A13,'IncStmt Data'!G$2:G$2051,0))</f>
        <v>0</v>
      </c>
      <c r="AM13" s="46">
        <f>INDEX('IncStmt Data'!H$1:H$2999,MATCH(AM$1,'IncStmt Data'!A$2:A$2051,0)+MATCH(A13,'IncStmt Data'!G$2:G$2051,0))</f>
        <v>0</v>
      </c>
      <c r="AN13" s="46">
        <f>INDEX('IncStmt Data'!H$1:H$2999,MATCH(AN$1,'IncStmt Data'!A$2:A$2051,0)+MATCH(A13,'IncStmt Data'!G$2:G$2051,0))</f>
        <v>0</v>
      </c>
      <c r="AO13" s="46">
        <f>INDEX('IncStmt Data'!H$1:H$2999,MATCH(AO$1,'IncStmt Data'!A$2:A$2051,0)+MATCH(A13,'IncStmt Data'!G$2:G$2051,0))</f>
        <v>0</v>
      </c>
      <c r="AP13" s="46" t="e">
        <f>INDEX('IncStmt Data'!H$1:H$2999,MATCH(AP$1,'IncStmt Data'!A$2:A$2051,0)+MATCH(A13,'IncStmt Data'!G$2:G$2051,0))</f>
        <v>#N/A</v>
      </c>
      <c r="AQ13" s="46" t="e">
        <f>INDEX('IncStmt Data'!H$1:H$2999,MATCH(AQ$1,'IncStmt Data'!A$2:A$2051,0)+MATCH(A13,'IncStmt Data'!G$2:G$2051,0))</f>
        <v>#N/A</v>
      </c>
      <c r="AR13" s="46" t="e">
        <f>INDEX('IncStmt Data'!H$1:H$2999,MATCH(AR$1,'IncStmt Data'!A$2:A$2051,0)+MATCH(A13,'IncStmt Data'!G$2:G$2051,0))</f>
        <v>#N/A</v>
      </c>
      <c r="AS13" s="46" t="e">
        <f>INDEX('IncStmt Data'!H$1:H$2999,MATCH(AS$1,'IncStmt Data'!A$2:A$2051,0)+MATCH(A13,'IncStmt Data'!G$2:G$2051,0))</f>
        <v>#N/A</v>
      </c>
      <c r="AT13" s="46" t="e">
        <f>INDEX('IncStmt Data'!H$1:H$2999,MATCH(AT$1,'IncStmt Data'!A$2:A$2051,0)+MATCH(A13,'IncStmt Data'!G$2:G$2051,0))</f>
        <v>#N/A</v>
      </c>
      <c r="AU13" s="46" t="e">
        <f>INDEX('IncStmt Data'!H$1:H$2999,MATCH(AU$1,'IncStmt Data'!A$2:A$2051,0)+MATCH(A13,'IncStmt Data'!G$2:G$2051,0))</f>
        <v>#N/A</v>
      </c>
      <c r="AV13" s="46" t="e">
        <f>INDEX('IncStmt Data'!H$1:H$2999,MATCH(AV$1,'IncStmt Data'!A$2:A$2051,0)+MATCH(A13,'IncStmt Data'!G$2:G$2051,0))</f>
        <v>#N/A</v>
      </c>
      <c r="AW13" s="46" t="e">
        <f>INDEX('IncStmt Data'!H$1:H$2999,MATCH(AW$1,'IncStmt Data'!A$2:A$2051,0)+MATCH(A13,'IncStmt Data'!G$2:G$2051,0))</f>
        <v>#N/A</v>
      </c>
      <c r="AX13" s="46" t="e">
        <f>INDEX('IncStmt Data'!H$1:H$2999,MATCH(AX$1,'IncStmt Data'!A$2:A$2051,0)+MATCH(A13,'IncStmt Data'!G$2:G$2051,0))</f>
        <v>#N/A</v>
      </c>
      <c r="AY13" s="46" t="e">
        <f>INDEX('IncStmt Data'!H$1:H$2999,MATCH(AY$1,'IncStmt Data'!A$2:A$2051,0)+MATCH(A13,'IncStmt Data'!G$2:G$2051,0))</f>
        <v>#N/A</v>
      </c>
      <c r="AZ13" s="46" t="e">
        <f>INDEX('IncStmt Data'!H$1:H$2999,MATCH(AZ$1,'IncStmt Data'!A$2:A$2051,0)+MATCH(A13,'IncStmt Data'!G$2:G$2051,0))</f>
        <v>#N/A</v>
      </c>
      <c r="BA13" s="46" t="e">
        <f>INDEX('IncStmt Data'!H$1:H$2999,MATCH(BA$1,'IncStmt Data'!A$2:A$2051,0)+MATCH(A13,'IncStmt Data'!G$2:G$2051,0))</f>
        <v>#N/A</v>
      </c>
      <c r="BB13" s="46" t="e">
        <f>INDEX('IncStmt Data'!H$1:H$2999,MATCH(BB$1,'IncStmt Data'!A$2:A$2051,0)+MATCH(A13,'IncStmt Data'!G$2:G$2051,0))</f>
        <v>#N/A</v>
      </c>
      <c r="BC13" s="46" t="e">
        <f>INDEX('IncStmt Data'!H$1:H$2999,MATCH(BC$1,'IncStmt Data'!A$2:A$2051,0)+MATCH(A13,'IncStmt Data'!G$2:G$2051,0))</f>
        <v>#N/A</v>
      </c>
      <c r="BD13" s="46" t="e">
        <f>INDEX('IncStmt Data'!H$1:H$2999,MATCH(BD$1,'IncStmt Data'!A$2:A$2051,0)+MATCH(A13,'IncStmt Data'!G$2:G$2051,0))</f>
        <v>#N/A</v>
      </c>
      <c r="BE13" s="46" t="e">
        <f>INDEX('IncStmt Data'!H$1:H$2999,MATCH(BE$1,'IncStmt Data'!A$2:A$2051,0)+MATCH(A13,'IncStmt Data'!G$2:G$2051,0))</f>
        <v>#N/A</v>
      </c>
      <c r="BF13" s="46" t="e">
        <f>INDEX('IncStmt Data'!H$1:H$2999,MATCH(BF$1,'IncStmt Data'!A$2:A$2051,0)+MATCH(A13,'IncStmt Data'!G$2:G$2051,0))</f>
        <v>#N/A</v>
      </c>
      <c r="BG13" s="46" t="e">
        <f>INDEX('IncStmt Data'!H$1:H$2999,MATCH(BG$1,'IncStmt Data'!A$2:A$2051,0)+MATCH(A13,'IncStmt Data'!G$2:G$2051,0))</f>
        <v>#N/A</v>
      </c>
      <c r="BH13" s="46" t="e">
        <f>INDEX('IncStmt Data'!H$1:H$2999,MATCH(BH$1,'IncStmt Data'!A$2:A$2051,0)+MATCH(A13,'IncStmt Data'!G$2:G$2051,0))</f>
        <v>#N/A</v>
      </c>
      <c r="BI13" s="46" t="e">
        <f>INDEX('IncStmt Data'!H$1:H$2999,MATCH(BI$1,'IncStmt Data'!A$2:A$2051,0)+MATCH(A13,'IncStmt Data'!G$2:G$2051,0))</f>
        <v>#N/A</v>
      </c>
      <c r="BJ13" s="46" t="e">
        <f>INDEX('IncStmt Data'!H$1:H$2999,MATCH(BJ$1,'IncStmt Data'!A$2:A$2051,0)+MATCH(A13,'IncStmt Data'!G$2:G$2051,0))</f>
        <v>#N/A</v>
      </c>
      <c r="BK13" s="46" t="e">
        <f>INDEX('IncStmt Data'!H$1:H$2999,MATCH(BK$1,'IncStmt Data'!A$2:A$2051,0)+MATCH(A13,'IncStmt Data'!G$2:G$2051,0))</f>
        <v>#N/A</v>
      </c>
      <c r="BL13" s="46" t="e">
        <f>INDEX('IncStmt Data'!H$1:H$2999,MATCH(BL$1,'IncStmt Data'!A$2:A$2051,0)+MATCH(A13,'IncStmt Data'!G$2:G$2051,0))</f>
        <v>#N/A</v>
      </c>
      <c r="BM13" s="46" t="e">
        <f>INDEX('IncStmt Data'!H$1:H$2999,MATCH(BM$1,'IncStmt Data'!A$2:A$2051,0)+MATCH(A13,'IncStmt Data'!G$2:G$2051,0))</f>
        <v>#N/A</v>
      </c>
      <c r="BN13" s="46" t="e">
        <f>INDEX('IncStmt Data'!H$1:H$2999,MATCH(BN$1,'IncStmt Data'!A$2:A$2051,0)+MATCH(A13,'IncStmt Data'!G$2:G$2051,0))</f>
        <v>#N/A</v>
      </c>
      <c r="BO13" s="46" t="e">
        <f>INDEX('IncStmt Data'!H$1:H$2999,MATCH(BO$1,'IncStmt Data'!A$2:A$2051,0)+MATCH(A13,'IncStmt Data'!G$2:G$2051,0))</f>
        <v>#N/A</v>
      </c>
      <c r="BP13" s="46" t="e">
        <f>INDEX('IncStmt Data'!H$1:H$2999,MATCH(BP$1,'IncStmt Data'!A$2:A$2051,0)+MATCH(A13,'IncStmt Data'!G$2:G$2051,0))</f>
        <v>#N/A</v>
      </c>
      <c r="BQ13" s="46" t="e">
        <f>INDEX('IncStmt Data'!H$1:H$2999,MATCH(BQ$1,'IncStmt Data'!A$2:A$2051,0)+MATCH(A13,'IncStmt Data'!G$2:G$2051,0))</f>
        <v>#N/A</v>
      </c>
      <c r="BR13" s="46" t="e">
        <f>INDEX('IncStmt Data'!H$1:H$2999,MATCH(BR$1,'IncStmt Data'!A$2:A$2051,0)+MATCH(A13,'IncStmt Data'!G$2:G$2051,0))</f>
        <v>#N/A</v>
      </c>
      <c r="BS13" s="46" t="e">
        <f>INDEX('IncStmt Data'!H$1:H$2999,MATCH(BS$1,'IncStmt Data'!A$2:A$2051,0)+MATCH(A13,'IncStmt Data'!G$2:G$2051,0))</f>
        <v>#N/A</v>
      </c>
      <c r="BT13" s="46" t="e">
        <f>INDEX('IncStmt Data'!H$1:H$2999,MATCH(BT$1,'IncStmt Data'!A$2:A$2051,0)+MATCH(A13,'IncStmt Data'!G$2:G$2051,0))</f>
        <v>#N/A</v>
      </c>
      <c r="BU13" s="46" t="e">
        <f>INDEX('IncStmt Data'!H$1:H$2999,MATCH(BU$1,'IncStmt Data'!A$2:A$2051,0)+MATCH(A13,'IncStmt Data'!G$2:G$2051,0))</f>
        <v>#N/A</v>
      </c>
      <c r="BV13" s="46" t="e">
        <f>INDEX('IncStmt Data'!H$1:H$2999,MATCH(BV$1,'IncStmt Data'!A$2:A$2051,0)+MATCH(A13,'IncStmt Data'!G$2:G$2051,0))</f>
        <v>#N/A</v>
      </c>
      <c r="BW13" s="46" t="e">
        <f>INDEX('IncStmt Data'!H$1:H$2999,MATCH(BW$1,'IncStmt Data'!A$2:A$2051,0)+MATCH(A13,'IncStmt Data'!G$2:G$2051,0))</f>
        <v>#N/A</v>
      </c>
      <c r="BX13" s="46" t="e">
        <f>INDEX('IncStmt Data'!H$1:H$2999,MATCH(BX$1,'IncStmt Data'!A$2:A$2051,0)+MATCH(A13,'IncStmt Data'!G$2:G$2051,0))</f>
        <v>#N/A</v>
      </c>
      <c r="BY13" s="46" t="e">
        <f>INDEX('IncStmt Data'!H$1:H$2999,MATCH(BY$1,'IncStmt Data'!A$2:A$2051,0)+MATCH(A13,'IncStmt Data'!G$2:G$2051,0))</f>
        <v>#N/A</v>
      </c>
      <c r="BZ13" s="46" t="e">
        <f>INDEX('IncStmt Data'!H$1:H$2999,MATCH(BZ$1,'IncStmt Data'!A$2:A$2051,0)+MATCH(A13,'IncStmt Data'!G$2:G$2051,0))</f>
        <v>#N/A</v>
      </c>
      <c r="CA13" s="46" t="e">
        <f>INDEX('IncStmt Data'!H$1:H$2999,MATCH(CA$1,'IncStmt Data'!A$2:A$2051,0)+MATCH(A13,'IncStmt Data'!G$2:G$2051,0))</f>
        <v>#N/A</v>
      </c>
      <c r="CB13" s="46" t="e">
        <f>INDEX('IncStmt Data'!H$1:H$2999,MATCH(CB$1,'IncStmt Data'!A$2:A$2051,0)+MATCH(A13,'IncStmt Data'!G$2:G$2051,0))</f>
        <v>#N/A</v>
      </c>
      <c r="CC13" s="46" t="e">
        <f>INDEX('IncStmt Data'!H$1:H$2999,MATCH(CC$1,'IncStmt Data'!A$2:A$2051,0)+MATCH(A13,'IncStmt Data'!G$2:G$2051,0))</f>
        <v>#N/A</v>
      </c>
      <c r="CD13" s="46" t="e">
        <f>INDEX('IncStmt Data'!H$1:H$2999,MATCH(CD$1,'IncStmt Data'!A$2:A$2051,0)+MATCH(A13,'IncStmt Data'!G$2:G$2051,0))</f>
        <v>#N/A</v>
      </c>
      <c r="CE13" s="46" t="e">
        <f>INDEX('IncStmt Data'!H$1:H$2999,MATCH(CE$1,'IncStmt Data'!A$2:A$2051,0)+MATCH(A13,'IncStmt Data'!G$2:G$2051,0))</f>
        <v>#N/A</v>
      </c>
      <c r="CF13" s="46" t="e">
        <f>INDEX('IncStmt Data'!H$1:H$2999,MATCH(CF$1,'IncStmt Data'!A$2:A$2051,0)+MATCH(A13,'IncStmt Data'!G$2:G$2051,0))</f>
        <v>#N/A</v>
      </c>
      <c r="CG13" s="46" t="e">
        <f>INDEX('IncStmt Data'!H$1:H$2999,MATCH(CG$1,'IncStmt Data'!A$2:A$2051,0)+MATCH(A13,'IncStmt Data'!G$2:G$2051,0))</f>
        <v>#N/A</v>
      </c>
      <c r="CH13" s="46" t="e">
        <f>INDEX('IncStmt Data'!H$1:H$2999,MATCH(CH$1,'IncStmt Data'!A$2:A$2051,0)+MATCH(A13,'IncStmt Data'!G$2:G$2051,0))</f>
        <v>#N/A</v>
      </c>
      <c r="CI13" s="46" t="e">
        <f>INDEX('IncStmt Data'!H$1:H$2999,MATCH(CI$1,'IncStmt Data'!A$2:A$2051,0)+MATCH(A13,'IncStmt Data'!G$2:G$2051,0))</f>
        <v>#N/A</v>
      </c>
      <c r="CJ13" s="46" t="e">
        <f>INDEX('IncStmt Data'!H$1:H$2999,MATCH(CJ$1,'IncStmt Data'!A$2:A$2051,0)+MATCH(A13,'IncStmt Data'!G$2:G$2051,0))</f>
        <v>#N/A</v>
      </c>
      <c r="CK13" s="46" t="e">
        <f>INDEX('IncStmt Data'!H$1:H$2999,MATCH(CK$1,'IncStmt Data'!A$2:A$2051,0)+MATCH(A13,'IncStmt Data'!G$2:G$2051,0))</f>
        <v>#N/A</v>
      </c>
      <c r="CL13" s="46" t="e">
        <f>INDEX('IncStmt Data'!H$1:H$2999,MATCH(CL$1,'IncStmt Data'!A$2:A$2051,0)+MATCH(A13,'IncStmt Data'!G$2:G$2051,0))</f>
        <v>#N/A</v>
      </c>
      <c r="CM13" s="46" t="e">
        <f>INDEX('IncStmt Data'!H$1:H$2999,MATCH(CM$1,'IncStmt Data'!A$2:A$2051,0)+MATCH(A13,'IncStmt Data'!G$2:G$2051,0))</f>
        <v>#N/A</v>
      </c>
      <c r="CN13" s="46" t="e">
        <f>INDEX('IncStmt Data'!H$1:H$2999,MATCH(CN$1,'IncStmt Data'!A$2:A$2051,0)+MATCH(A13,'IncStmt Data'!G$2:G$2051,0))</f>
        <v>#N/A</v>
      </c>
      <c r="CO13" s="46" t="e">
        <f>INDEX('IncStmt Data'!H$1:H$2999,MATCH(CO$1,'IncStmt Data'!A$2:A$2051,0)+MATCH(A13,'IncStmt Data'!G$2:G$2051,0))</f>
        <v>#N/A</v>
      </c>
      <c r="CP13" s="46" t="e">
        <f>INDEX('IncStmt Data'!H$1:H$2999,MATCH(CP$1,'IncStmt Data'!A$2:A$2051,0)+MATCH(A13,'IncStmt Data'!G$2:G$2051,0))</f>
        <v>#N/A</v>
      </c>
      <c r="CQ13" s="46" t="e">
        <f>INDEX('IncStmt Data'!H$1:H$2999,MATCH(CQ$1,'IncStmt Data'!A$2:A$2051,0)+MATCH(A13,'IncStmt Data'!G$2:G$2051,0))</f>
        <v>#N/A</v>
      </c>
      <c r="CR13" s="46" t="e">
        <f>INDEX('IncStmt Data'!H$1:H$2999,MATCH(CR$1,'IncStmt Data'!A$2:A$2051,0)+MATCH(A13,'IncStmt Data'!G$2:G$2051,0))</f>
        <v>#N/A</v>
      </c>
      <c r="CS13" s="46" t="e">
        <f>INDEX('IncStmt Data'!H$1:H$2999,MATCH(CS$1,'IncStmt Data'!A$2:A$2051,0)+MATCH(A13,'IncStmt Data'!G$2:G$2051,0))</f>
        <v>#N/A</v>
      </c>
      <c r="CT13" s="46" t="e">
        <f>INDEX('IncStmt Data'!H$1:H$2999,MATCH(CT$1,'IncStmt Data'!A$2:A$2051,0)+MATCH(A13,'IncStmt Data'!G$2:G$2051,0))</f>
        <v>#N/A</v>
      </c>
      <c r="CU13" s="46" t="e">
        <f>INDEX('IncStmt Data'!H$1:H$2999,MATCH(CU$1,'IncStmt Data'!A$2:A$2051,0)+MATCH(A13,'IncStmt Data'!G$2:G$2051,0))</f>
        <v>#N/A</v>
      </c>
      <c r="CV13" s="46" t="e">
        <f>INDEX('IncStmt Data'!H$1:H$2999,MATCH(CV$1,'IncStmt Data'!A$2:A$2051,0)+MATCH(A13,'IncStmt Data'!G$2:G$2051,0))</f>
        <v>#N/A</v>
      </c>
      <c r="CW13" s="46" t="e">
        <f>INDEX('IncStmt Data'!H$1:H$2999,MATCH(CW$1,'IncStmt Data'!A$2:A$2051,0)+MATCH(A13,'IncStmt Data'!G$2:G$2051,0))</f>
        <v>#N/A</v>
      </c>
      <c r="CX13" s="46" t="e">
        <f>INDEX('IncStmt Data'!H$1:H$2999,MATCH(CX$1,'IncStmt Data'!A$2:A$2051,0)+MATCH(A13,'IncStmt Data'!G$2:G$2051,0))</f>
        <v>#N/A</v>
      </c>
      <c r="CY13" s="46" t="e">
        <f>INDEX('IncStmt Data'!H$1:H$2999,MATCH(CY$1,'IncStmt Data'!A$2:A$2051,0)+MATCH(A13,'IncStmt Data'!G$2:G$2051,0))</f>
        <v>#N/A</v>
      </c>
      <c r="CZ13" s="46" t="e">
        <f>INDEX('IncStmt Data'!H$1:H$2999,MATCH(CZ$1,'IncStmt Data'!A$2:A$2051,0)+MATCH(A13,'IncStmt Data'!G$2:G$2051,0))</f>
        <v>#N/A</v>
      </c>
    </row>
    <row r="14" spans="1:104" s="46" customFormat="1" x14ac:dyDescent="0.2">
      <c r="A14" s="4" t="s">
        <v>41</v>
      </c>
      <c r="B14" s="46">
        <f>INDEX('IncStmt Data'!H$1:H$2999,MATCH(B$1,'IncStmt Data'!A$2:A$2051,0)+MATCH(A14,'IncStmt Data'!G$2:G$2051,0))</f>
        <v>0</v>
      </c>
      <c r="C14" s="46" t="e">
        <f>INDEX('IncStmt Data'!H$1:H$2999,MATCH(C$1,'IncStmt Data'!A$2:A$2051,0)+MATCH(A14,'IncStmt Data'!G$2:G$2051,0))</f>
        <v>#N/A</v>
      </c>
      <c r="D14" s="46" t="e">
        <f>INDEX('IncStmt Data'!H$1:H$2999,MATCH(D$1,'IncStmt Data'!A$2:A$2051,0)+MATCH(A14,'IncStmt Data'!G$2:G$2051,0))</f>
        <v>#N/A</v>
      </c>
      <c r="E14" s="46" t="e">
        <f>INDEX('IncStmt Data'!H$1:H$2999,MATCH(E$1,'IncStmt Data'!A$2:A$2051,0)+MATCH(A14,'IncStmt Data'!G$2:G$2051,0))</f>
        <v>#N/A</v>
      </c>
      <c r="F14" s="46" t="e">
        <f>INDEX('IncStmt Data'!H$1:H$2999,MATCH(F$1,'IncStmt Data'!A$2:A$2051,0)+MATCH(A14,'IncStmt Data'!G$2:G$2051,0))</f>
        <v>#N/A</v>
      </c>
      <c r="G14" s="46" t="e">
        <f>INDEX('IncStmt Data'!H$1:H$2999,MATCH(G$1,'IncStmt Data'!A$2:A$2051,0)+MATCH(A14,'IncStmt Data'!G$2:G$2051,0))</f>
        <v>#N/A</v>
      </c>
      <c r="H14" s="46" t="e">
        <f>INDEX('IncStmt Data'!H$1:H$2999,MATCH(H$1,'IncStmt Data'!A$2:A$2051,0)+MATCH(A14,'IncStmt Data'!G$2:G$2051,0))</f>
        <v>#N/A</v>
      </c>
      <c r="I14" s="47" t="e">
        <f>INDEX('IncStmt Data'!H$1:H$2999,MATCH(I$1,'IncStmt Data'!A$2:A$2051,0)+MATCH(A14,'IncStmt Data'!G$2:G$2051,0))</f>
        <v>#N/A</v>
      </c>
      <c r="J14" s="46" t="e">
        <f>INDEX('IncStmt Data'!H$1:H$2999,MATCH(J$1,'IncStmt Data'!A$2:A$2051,0)+MATCH(A14,'IncStmt Data'!G$2:G$2051,0))</f>
        <v>#N/A</v>
      </c>
      <c r="K14" s="46" t="e">
        <f>INDEX('IncStmt Data'!H$1:H$2999,MATCH(K$1,'IncStmt Data'!A$2:A$2051,0)+MATCH(A14,'IncStmt Data'!G$2:G$2051,0))</f>
        <v>#N/A</v>
      </c>
      <c r="L14" s="46" t="e">
        <f>INDEX('IncStmt Data'!H$1:H$2999,MATCH(L$1,'IncStmt Data'!A$2:A$2051,0)+MATCH(A14,'IncStmt Data'!G$2:G$2051,0))</f>
        <v>#N/A</v>
      </c>
      <c r="M14" s="46" t="e">
        <f>INDEX('IncStmt Data'!H$1:H$2999,MATCH(M$1,'IncStmt Data'!A$2:A$2051,0)+MATCH(A14,'IncStmt Data'!G$2:G$2051,0))</f>
        <v>#N/A</v>
      </c>
      <c r="N14" s="46" t="e">
        <f>INDEX('IncStmt Data'!H$1:H$2999,MATCH(N$1,'IncStmt Data'!A$2:A$2051,0)+MATCH(A14,'IncStmt Data'!G$2:G$2051,0))</f>
        <v>#N/A</v>
      </c>
      <c r="O14" s="46" t="e">
        <f>INDEX('IncStmt Data'!H$1:H$2999,MATCH(O$1,'IncStmt Data'!A$2:A$2051,0)+MATCH(A14,'IncStmt Data'!G$2:G$2051,0))</f>
        <v>#N/A</v>
      </c>
      <c r="P14" s="46" t="e">
        <f>INDEX('IncStmt Data'!H$1:H$2999,MATCH(P$1,'IncStmt Data'!A$2:A$2051,0)+MATCH(A14,'IncStmt Data'!G$2:G$2051,0))</f>
        <v>#N/A</v>
      </c>
      <c r="Q14" s="46" t="e">
        <f>INDEX('IncStmt Data'!H$1:H$2999,MATCH(Q$1,'IncStmt Data'!A$2:A$2051,0)+MATCH(A14,'IncStmt Data'!G$2:G$2051,0))</f>
        <v>#N/A</v>
      </c>
      <c r="R14" s="46" t="e">
        <f>INDEX('IncStmt Data'!H$1:H$2999,MATCH(R$1,'IncStmt Data'!A$2:A$2051,0)+MATCH(A14,'IncStmt Data'!G$2:G$2051,0))</f>
        <v>#N/A</v>
      </c>
      <c r="S14" s="46" t="e">
        <f>INDEX('IncStmt Data'!H$1:H$2999,MATCH(S$1,'IncStmt Data'!A$2:A$2051,0)+MATCH(A14,'IncStmt Data'!G$2:G$2051,0))</f>
        <v>#N/A</v>
      </c>
      <c r="T14" s="46" t="e">
        <f>INDEX('IncStmt Data'!H$1:H$2999,MATCH(T$1,'IncStmt Data'!A$2:A$2051,0)+MATCH(A14,'IncStmt Data'!G$2:G$2051,0))</f>
        <v>#N/A</v>
      </c>
      <c r="U14" s="46" t="e">
        <f>INDEX('IncStmt Data'!H$1:H$2999,MATCH(U$1,'IncStmt Data'!A$2:A$2051,0)+MATCH(A14,'IncStmt Data'!G$2:G$2051,0))</f>
        <v>#N/A</v>
      </c>
      <c r="V14" s="46" t="e">
        <f>INDEX('IncStmt Data'!H$1:H$2999,MATCH(V$1,'IncStmt Data'!A$2:A$2051,0)+MATCH(A14,'IncStmt Data'!G$2:G$2051,0))</f>
        <v>#N/A</v>
      </c>
      <c r="W14" s="46" t="e">
        <f>INDEX('IncStmt Data'!H$1:H$2999,MATCH(W$1,'IncStmt Data'!A$2:A$2051,0)+MATCH(A14,'IncStmt Data'!G$2:G$2051,0))</f>
        <v>#N/A</v>
      </c>
      <c r="X14" s="46" t="e">
        <f>INDEX('IncStmt Data'!H$1:H$2999,MATCH(X$1,'IncStmt Data'!A$2:A$2051,0)+MATCH(A14,'IncStmt Data'!G$2:G$2051,0))</f>
        <v>#N/A</v>
      </c>
      <c r="Y14" s="46" t="e">
        <f>INDEX('IncStmt Data'!H$1:H$2999,MATCH(Y$1,'IncStmt Data'!A$2:A$2051,0)+MATCH(A14,'IncStmt Data'!G$2:G$2051,0))</f>
        <v>#N/A</v>
      </c>
      <c r="Z14" s="46" t="e">
        <f>INDEX('IncStmt Data'!H$1:H$2999,MATCH(Z$1,'IncStmt Data'!A$2:A$2051,0)+MATCH(A14,'IncStmt Data'!G$2:G$2051,0))</f>
        <v>#N/A</v>
      </c>
      <c r="AA14" s="46" t="e">
        <f>INDEX('IncStmt Data'!H$1:H$2999,MATCH(AA$1,'IncStmt Data'!A$2:A$2051,0)+MATCH(A14,'IncStmt Data'!G$2:G$2051,0))</f>
        <v>#N/A</v>
      </c>
      <c r="AB14" s="46" t="e">
        <f>INDEX('IncStmt Data'!H$1:H$2999,MATCH(AB$1,'IncStmt Data'!A$2:A$2051,0)+MATCH(A14,'IncStmt Data'!G$2:G$2051,0))</f>
        <v>#N/A</v>
      </c>
      <c r="AC14" s="46" t="e">
        <f>INDEX('IncStmt Data'!H$1:H$2999,MATCH(AC$1,'IncStmt Data'!A$2:A$2051,0)+MATCH(A14,'IncStmt Data'!G$2:G$2051,0))</f>
        <v>#N/A</v>
      </c>
      <c r="AD14" s="46" t="e">
        <f>INDEX('IncStmt Data'!H$1:H$2999,MATCH(AD$1,'IncStmt Data'!A$2:A$2051,0)+MATCH(A14,'IncStmt Data'!G$2:G$2051,0))</f>
        <v>#N/A</v>
      </c>
      <c r="AE14" s="46" t="e">
        <f>INDEX('IncStmt Data'!H$1:H$2999,MATCH(AE$1,'IncStmt Data'!A$2:A$2051,0)+MATCH(A14,'IncStmt Data'!G$2:G$2051,0))</f>
        <v>#N/A</v>
      </c>
      <c r="AF14" s="46" t="e">
        <f>INDEX('IncStmt Data'!H$1:H$2999,MATCH(AF$1,'IncStmt Data'!A$2:A$2051,0)+MATCH(A14,'IncStmt Data'!G$2:G$2051,0))</f>
        <v>#N/A</v>
      </c>
      <c r="AG14" s="46" t="e">
        <f>INDEX('IncStmt Data'!H$1:H$2999,MATCH(AG$1,'IncStmt Data'!A$2:A$2051,0)+MATCH(A14,'IncStmt Data'!G$2:G$2051,0))</f>
        <v>#N/A</v>
      </c>
      <c r="AH14" s="46" t="e">
        <f>INDEX('IncStmt Data'!H$1:H$2999,MATCH(AH$1,'IncStmt Data'!A$2:A$2051,0)+MATCH(A14,'IncStmt Data'!G$2:G$2051,0))</f>
        <v>#N/A</v>
      </c>
      <c r="AI14" s="46" t="e">
        <f>INDEX('IncStmt Data'!H$1:H$2999,MATCH(AI$1,'IncStmt Data'!A$2:A$2051,0)+MATCH(A14,'IncStmt Data'!G$2:G$2051,0))</f>
        <v>#N/A</v>
      </c>
      <c r="AJ14" s="46" t="e">
        <f>INDEX('IncStmt Data'!H$1:H$2999,MATCH(AJ$1,'IncStmt Data'!A$2:A$2051,0)+MATCH(A14,'IncStmt Data'!G$2:G$2051,0))</f>
        <v>#N/A</v>
      </c>
      <c r="AK14" s="46" t="e">
        <f>INDEX('IncStmt Data'!H$1:H$2999,MATCH(AK$1,'IncStmt Data'!A$2:A$2051,0)+MATCH(A14,'IncStmt Data'!G$2:G$2051,0))</f>
        <v>#N/A</v>
      </c>
      <c r="AL14" s="46">
        <f>INDEX('IncStmt Data'!H$1:H$2999,MATCH(AL$1,'IncStmt Data'!A$2:A$2051,0)+MATCH(A14,'IncStmt Data'!G$2:G$2051,0))</f>
        <v>0</v>
      </c>
      <c r="AM14" s="46">
        <f>INDEX('IncStmt Data'!H$1:H$2999,MATCH(AM$1,'IncStmt Data'!A$2:A$2051,0)+MATCH(A14,'IncStmt Data'!G$2:G$2051,0))</f>
        <v>0</v>
      </c>
      <c r="AN14" s="46">
        <f>INDEX('IncStmt Data'!H$1:H$2999,MATCH(AN$1,'IncStmt Data'!A$2:A$2051,0)+MATCH(A14,'IncStmt Data'!G$2:G$2051,0))</f>
        <v>0</v>
      </c>
      <c r="AO14" s="46">
        <f>INDEX('IncStmt Data'!H$1:H$2999,MATCH(AO$1,'IncStmt Data'!A$2:A$2051,0)+MATCH(A14,'IncStmt Data'!G$2:G$2051,0))</f>
        <v>0</v>
      </c>
      <c r="AP14" s="46" t="e">
        <f>INDEX('IncStmt Data'!H$1:H$2999,MATCH(AP$1,'IncStmt Data'!A$2:A$2051,0)+MATCH(A14,'IncStmt Data'!G$2:G$2051,0))</f>
        <v>#N/A</v>
      </c>
      <c r="AQ14" s="46" t="e">
        <f>INDEX('IncStmt Data'!H$1:H$2999,MATCH(AQ$1,'IncStmt Data'!A$2:A$2051,0)+MATCH(A14,'IncStmt Data'!G$2:G$2051,0))</f>
        <v>#N/A</v>
      </c>
      <c r="AR14" s="46" t="e">
        <f>INDEX('IncStmt Data'!H$1:H$2999,MATCH(AR$1,'IncStmt Data'!A$2:A$2051,0)+MATCH(A14,'IncStmt Data'!G$2:G$2051,0))</f>
        <v>#N/A</v>
      </c>
      <c r="AS14" s="46" t="e">
        <f>INDEX('IncStmt Data'!H$1:H$2999,MATCH(AS$1,'IncStmt Data'!A$2:A$2051,0)+MATCH(A14,'IncStmt Data'!G$2:G$2051,0))</f>
        <v>#N/A</v>
      </c>
      <c r="AT14" s="46" t="e">
        <f>INDEX('IncStmt Data'!H$1:H$2999,MATCH(AT$1,'IncStmt Data'!A$2:A$2051,0)+MATCH(A14,'IncStmt Data'!G$2:G$2051,0))</f>
        <v>#N/A</v>
      </c>
      <c r="AU14" s="46" t="e">
        <f>INDEX('IncStmt Data'!H$1:H$2999,MATCH(AU$1,'IncStmt Data'!A$2:A$2051,0)+MATCH(A14,'IncStmt Data'!G$2:G$2051,0))</f>
        <v>#N/A</v>
      </c>
      <c r="AV14" s="46" t="e">
        <f>INDEX('IncStmt Data'!H$1:H$2999,MATCH(AV$1,'IncStmt Data'!A$2:A$2051,0)+MATCH(A14,'IncStmt Data'!G$2:G$2051,0))</f>
        <v>#N/A</v>
      </c>
      <c r="AW14" s="46" t="e">
        <f>INDEX('IncStmt Data'!H$1:H$2999,MATCH(AW$1,'IncStmt Data'!A$2:A$2051,0)+MATCH(A14,'IncStmt Data'!G$2:G$2051,0))</f>
        <v>#N/A</v>
      </c>
      <c r="AX14" s="46" t="e">
        <f>INDEX('IncStmt Data'!H$1:H$2999,MATCH(AX$1,'IncStmt Data'!A$2:A$2051,0)+MATCH(A14,'IncStmt Data'!G$2:G$2051,0))</f>
        <v>#N/A</v>
      </c>
      <c r="AY14" s="46" t="e">
        <f>INDEX('IncStmt Data'!H$1:H$2999,MATCH(AY$1,'IncStmt Data'!A$2:A$2051,0)+MATCH(A14,'IncStmt Data'!G$2:G$2051,0))</f>
        <v>#N/A</v>
      </c>
      <c r="AZ14" s="46" t="e">
        <f>INDEX('IncStmt Data'!H$1:H$2999,MATCH(AZ$1,'IncStmt Data'!A$2:A$2051,0)+MATCH(A14,'IncStmt Data'!G$2:G$2051,0))</f>
        <v>#N/A</v>
      </c>
      <c r="BA14" s="46" t="e">
        <f>INDEX('IncStmt Data'!H$1:H$2999,MATCH(BA$1,'IncStmt Data'!A$2:A$2051,0)+MATCH(A14,'IncStmt Data'!G$2:G$2051,0))</f>
        <v>#N/A</v>
      </c>
      <c r="BB14" s="46" t="e">
        <f>INDEX('IncStmt Data'!H$1:H$2999,MATCH(BB$1,'IncStmt Data'!A$2:A$2051,0)+MATCH(A14,'IncStmt Data'!G$2:G$2051,0))</f>
        <v>#N/A</v>
      </c>
      <c r="BC14" s="46" t="e">
        <f>INDEX('IncStmt Data'!H$1:H$2999,MATCH(BC$1,'IncStmt Data'!A$2:A$2051,0)+MATCH(A14,'IncStmt Data'!G$2:G$2051,0))</f>
        <v>#N/A</v>
      </c>
      <c r="BD14" s="46" t="e">
        <f>INDEX('IncStmt Data'!H$1:H$2999,MATCH(BD$1,'IncStmt Data'!A$2:A$2051,0)+MATCH(A14,'IncStmt Data'!G$2:G$2051,0))</f>
        <v>#N/A</v>
      </c>
      <c r="BE14" s="46" t="e">
        <f>INDEX('IncStmt Data'!H$1:H$2999,MATCH(BE$1,'IncStmt Data'!A$2:A$2051,0)+MATCH(A14,'IncStmt Data'!G$2:G$2051,0))</f>
        <v>#N/A</v>
      </c>
      <c r="BF14" s="46" t="e">
        <f>INDEX('IncStmt Data'!H$1:H$2999,MATCH(BF$1,'IncStmt Data'!A$2:A$2051,0)+MATCH(A14,'IncStmt Data'!G$2:G$2051,0))</f>
        <v>#N/A</v>
      </c>
      <c r="BG14" s="46" t="e">
        <f>INDEX('IncStmt Data'!H$1:H$2999,MATCH(BG$1,'IncStmt Data'!A$2:A$2051,0)+MATCH(A14,'IncStmt Data'!G$2:G$2051,0))</f>
        <v>#N/A</v>
      </c>
      <c r="BH14" s="46" t="e">
        <f>INDEX('IncStmt Data'!H$1:H$2999,MATCH(BH$1,'IncStmt Data'!A$2:A$2051,0)+MATCH(A14,'IncStmt Data'!G$2:G$2051,0))</f>
        <v>#N/A</v>
      </c>
      <c r="BI14" s="46" t="e">
        <f>INDEX('IncStmt Data'!H$1:H$2999,MATCH(BI$1,'IncStmt Data'!A$2:A$2051,0)+MATCH(A14,'IncStmt Data'!G$2:G$2051,0))</f>
        <v>#N/A</v>
      </c>
      <c r="BJ14" s="46" t="e">
        <f>INDEX('IncStmt Data'!H$1:H$2999,MATCH(BJ$1,'IncStmt Data'!A$2:A$2051,0)+MATCH(A14,'IncStmt Data'!G$2:G$2051,0))</f>
        <v>#N/A</v>
      </c>
      <c r="BK14" s="46" t="e">
        <f>INDEX('IncStmt Data'!H$1:H$2999,MATCH(BK$1,'IncStmt Data'!A$2:A$2051,0)+MATCH(A14,'IncStmt Data'!G$2:G$2051,0))</f>
        <v>#N/A</v>
      </c>
      <c r="BL14" s="46" t="e">
        <f>INDEX('IncStmt Data'!H$1:H$2999,MATCH(BL$1,'IncStmt Data'!A$2:A$2051,0)+MATCH(A14,'IncStmt Data'!G$2:G$2051,0))</f>
        <v>#N/A</v>
      </c>
      <c r="BM14" s="46" t="e">
        <f>INDEX('IncStmt Data'!H$1:H$2999,MATCH(BM$1,'IncStmt Data'!A$2:A$2051,0)+MATCH(A14,'IncStmt Data'!G$2:G$2051,0))</f>
        <v>#N/A</v>
      </c>
      <c r="BN14" s="46" t="e">
        <f>INDEX('IncStmt Data'!H$1:H$2999,MATCH(BN$1,'IncStmt Data'!A$2:A$2051,0)+MATCH(A14,'IncStmt Data'!G$2:G$2051,0))</f>
        <v>#N/A</v>
      </c>
      <c r="BO14" s="46" t="e">
        <f>INDEX('IncStmt Data'!H$1:H$2999,MATCH(BO$1,'IncStmt Data'!A$2:A$2051,0)+MATCH(A14,'IncStmt Data'!G$2:G$2051,0))</f>
        <v>#N/A</v>
      </c>
      <c r="BP14" s="46" t="e">
        <f>INDEX('IncStmt Data'!H$1:H$2999,MATCH(BP$1,'IncStmt Data'!A$2:A$2051,0)+MATCH(A14,'IncStmt Data'!G$2:G$2051,0))</f>
        <v>#N/A</v>
      </c>
      <c r="BQ14" s="46" t="e">
        <f>INDEX('IncStmt Data'!H$1:H$2999,MATCH(BQ$1,'IncStmt Data'!A$2:A$2051,0)+MATCH(A14,'IncStmt Data'!G$2:G$2051,0))</f>
        <v>#N/A</v>
      </c>
      <c r="BR14" s="46" t="e">
        <f>INDEX('IncStmt Data'!H$1:H$2999,MATCH(BR$1,'IncStmt Data'!A$2:A$2051,0)+MATCH(A14,'IncStmt Data'!G$2:G$2051,0))</f>
        <v>#N/A</v>
      </c>
      <c r="BS14" s="46" t="e">
        <f>INDEX('IncStmt Data'!H$1:H$2999,MATCH(BS$1,'IncStmt Data'!A$2:A$2051,0)+MATCH(A14,'IncStmt Data'!G$2:G$2051,0))</f>
        <v>#N/A</v>
      </c>
      <c r="BT14" s="46" t="e">
        <f>INDEX('IncStmt Data'!H$1:H$2999,MATCH(BT$1,'IncStmt Data'!A$2:A$2051,0)+MATCH(A14,'IncStmt Data'!G$2:G$2051,0))</f>
        <v>#N/A</v>
      </c>
      <c r="BU14" s="46" t="e">
        <f>INDEX('IncStmt Data'!H$1:H$2999,MATCH(BU$1,'IncStmt Data'!A$2:A$2051,0)+MATCH(A14,'IncStmt Data'!G$2:G$2051,0))</f>
        <v>#N/A</v>
      </c>
      <c r="BV14" s="46" t="e">
        <f>INDEX('IncStmt Data'!H$1:H$2999,MATCH(BV$1,'IncStmt Data'!A$2:A$2051,0)+MATCH(A14,'IncStmt Data'!G$2:G$2051,0))</f>
        <v>#N/A</v>
      </c>
      <c r="BW14" s="46" t="e">
        <f>INDEX('IncStmt Data'!H$1:H$2999,MATCH(BW$1,'IncStmt Data'!A$2:A$2051,0)+MATCH(A14,'IncStmt Data'!G$2:G$2051,0))</f>
        <v>#N/A</v>
      </c>
      <c r="BX14" s="46" t="e">
        <f>INDEX('IncStmt Data'!H$1:H$2999,MATCH(BX$1,'IncStmt Data'!A$2:A$2051,0)+MATCH(A14,'IncStmt Data'!G$2:G$2051,0))</f>
        <v>#N/A</v>
      </c>
      <c r="BY14" s="46" t="e">
        <f>INDEX('IncStmt Data'!H$1:H$2999,MATCH(BY$1,'IncStmt Data'!A$2:A$2051,0)+MATCH(A14,'IncStmt Data'!G$2:G$2051,0))</f>
        <v>#N/A</v>
      </c>
      <c r="BZ14" s="46" t="e">
        <f>INDEX('IncStmt Data'!H$1:H$2999,MATCH(BZ$1,'IncStmt Data'!A$2:A$2051,0)+MATCH(A14,'IncStmt Data'!G$2:G$2051,0))</f>
        <v>#N/A</v>
      </c>
      <c r="CA14" s="46" t="e">
        <f>INDEX('IncStmt Data'!H$1:H$2999,MATCH(CA$1,'IncStmt Data'!A$2:A$2051,0)+MATCH(A14,'IncStmt Data'!G$2:G$2051,0))</f>
        <v>#N/A</v>
      </c>
      <c r="CB14" s="46" t="e">
        <f>INDEX('IncStmt Data'!H$1:H$2999,MATCH(CB$1,'IncStmt Data'!A$2:A$2051,0)+MATCH(A14,'IncStmt Data'!G$2:G$2051,0))</f>
        <v>#N/A</v>
      </c>
      <c r="CC14" s="46" t="e">
        <f>INDEX('IncStmt Data'!H$1:H$2999,MATCH(CC$1,'IncStmt Data'!A$2:A$2051,0)+MATCH(A14,'IncStmt Data'!G$2:G$2051,0))</f>
        <v>#N/A</v>
      </c>
      <c r="CD14" s="46" t="e">
        <f>INDEX('IncStmt Data'!H$1:H$2999,MATCH(CD$1,'IncStmt Data'!A$2:A$2051,0)+MATCH(A14,'IncStmt Data'!G$2:G$2051,0))</f>
        <v>#N/A</v>
      </c>
      <c r="CE14" s="46" t="e">
        <f>INDEX('IncStmt Data'!H$1:H$2999,MATCH(CE$1,'IncStmt Data'!A$2:A$2051,0)+MATCH(A14,'IncStmt Data'!G$2:G$2051,0))</f>
        <v>#N/A</v>
      </c>
      <c r="CF14" s="46" t="e">
        <f>INDEX('IncStmt Data'!H$1:H$2999,MATCH(CF$1,'IncStmt Data'!A$2:A$2051,0)+MATCH(A14,'IncStmt Data'!G$2:G$2051,0))</f>
        <v>#N/A</v>
      </c>
      <c r="CG14" s="46" t="e">
        <f>INDEX('IncStmt Data'!H$1:H$2999,MATCH(CG$1,'IncStmt Data'!A$2:A$2051,0)+MATCH(A14,'IncStmt Data'!G$2:G$2051,0))</f>
        <v>#N/A</v>
      </c>
      <c r="CH14" s="46" t="e">
        <f>INDEX('IncStmt Data'!H$1:H$2999,MATCH(CH$1,'IncStmt Data'!A$2:A$2051,0)+MATCH(A14,'IncStmt Data'!G$2:G$2051,0))</f>
        <v>#N/A</v>
      </c>
      <c r="CI14" s="46" t="e">
        <f>INDEX('IncStmt Data'!H$1:H$2999,MATCH(CI$1,'IncStmt Data'!A$2:A$2051,0)+MATCH(A14,'IncStmt Data'!G$2:G$2051,0))</f>
        <v>#N/A</v>
      </c>
      <c r="CJ14" s="46" t="e">
        <f>INDEX('IncStmt Data'!H$1:H$2999,MATCH(CJ$1,'IncStmt Data'!A$2:A$2051,0)+MATCH(A14,'IncStmt Data'!G$2:G$2051,0))</f>
        <v>#N/A</v>
      </c>
      <c r="CK14" s="46" t="e">
        <f>INDEX('IncStmt Data'!H$1:H$2999,MATCH(CK$1,'IncStmt Data'!A$2:A$2051,0)+MATCH(A14,'IncStmt Data'!G$2:G$2051,0))</f>
        <v>#N/A</v>
      </c>
      <c r="CL14" s="46" t="e">
        <f>INDEX('IncStmt Data'!H$1:H$2999,MATCH(CL$1,'IncStmt Data'!A$2:A$2051,0)+MATCH(A14,'IncStmt Data'!G$2:G$2051,0))</f>
        <v>#N/A</v>
      </c>
      <c r="CM14" s="46" t="e">
        <f>INDEX('IncStmt Data'!H$1:H$2999,MATCH(CM$1,'IncStmt Data'!A$2:A$2051,0)+MATCH(A14,'IncStmt Data'!G$2:G$2051,0))</f>
        <v>#N/A</v>
      </c>
      <c r="CN14" s="46" t="e">
        <f>INDEX('IncStmt Data'!H$1:H$2999,MATCH(CN$1,'IncStmt Data'!A$2:A$2051,0)+MATCH(A14,'IncStmt Data'!G$2:G$2051,0))</f>
        <v>#N/A</v>
      </c>
      <c r="CO14" s="46" t="e">
        <f>INDEX('IncStmt Data'!H$1:H$2999,MATCH(CO$1,'IncStmt Data'!A$2:A$2051,0)+MATCH(A14,'IncStmt Data'!G$2:G$2051,0))</f>
        <v>#N/A</v>
      </c>
      <c r="CP14" s="46" t="e">
        <f>INDEX('IncStmt Data'!H$1:H$2999,MATCH(CP$1,'IncStmt Data'!A$2:A$2051,0)+MATCH(A14,'IncStmt Data'!G$2:G$2051,0))</f>
        <v>#N/A</v>
      </c>
      <c r="CQ14" s="46" t="e">
        <f>INDEX('IncStmt Data'!H$1:H$2999,MATCH(CQ$1,'IncStmt Data'!A$2:A$2051,0)+MATCH(A14,'IncStmt Data'!G$2:G$2051,0))</f>
        <v>#N/A</v>
      </c>
      <c r="CR14" s="46" t="e">
        <f>INDEX('IncStmt Data'!H$1:H$2999,MATCH(CR$1,'IncStmt Data'!A$2:A$2051,0)+MATCH(A14,'IncStmt Data'!G$2:G$2051,0))</f>
        <v>#N/A</v>
      </c>
      <c r="CS14" s="46" t="e">
        <f>INDEX('IncStmt Data'!H$1:H$2999,MATCH(CS$1,'IncStmt Data'!A$2:A$2051,0)+MATCH(A14,'IncStmt Data'!G$2:G$2051,0))</f>
        <v>#N/A</v>
      </c>
      <c r="CT14" s="46" t="e">
        <f>INDEX('IncStmt Data'!H$1:H$2999,MATCH(CT$1,'IncStmt Data'!A$2:A$2051,0)+MATCH(A14,'IncStmt Data'!G$2:G$2051,0))</f>
        <v>#N/A</v>
      </c>
      <c r="CU14" s="46" t="e">
        <f>INDEX('IncStmt Data'!H$1:H$2999,MATCH(CU$1,'IncStmt Data'!A$2:A$2051,0)+MATCH(A14,'IncStmt Data'!G$2:G$2051,0))</f>
        <v>#N/A</v>
      </c>
      <c r="CV14" s="46" t="e">
        <f>INDEX('IncStmt Data'!H$1:H$2999,MATCH(CV$1,'IncStmt Data'!A$2:A$2051,0)+MATCH(A14,'IncStmt Data'!G$2:G$2051,0))</f>
        <v>#N/A</v>
      </c>
      <c r="CW14" s="46" t="e">
        <f>INDEX('IncStmt Data'!H$1:H$2999,MATCH(CW$1,'IncStmt Data'!A$2:A$2051,0)+MATCH(A14,'IncStmt Data'!G$2:G$2051,0))</f>
        <v>#N/A</v>
      </c>
      <c r="CX14" s="46" t="e">
        <f>INDEX('IncStmt Data'!H$1:H$2999,MATCH(CX$1,'IncStmt Data'!A$2:A$2051,0)+MATCH(A14,'IncStmt Data'!G$2:G$2051,0))</f>
        <v>#N/A</v>
      </c>
      <c r="CY14" s="46" t="e">
        <f>INDEX('IncStmt Data'!H$1:H$2999,MATCH(CY$1,'IncStmt Data'!A$2:A$2051,0)+MATCH(A14,'IncStmt Data'!G$2:G$2051,0))</f>
        <v>#N/A</v>
      </c>
      <c r="CZ14" s="46" t="e">
        <f>INDEX('IncStmt Data'!H$1:H$2999,MATCH(CZ$1,'IncStmt Data'!A$2:A$2051,0)+MATCH(A14,'IncStmt Data'!G$2:G$2051,0))</f>
        <v>#N/A</v>
      </c>
    </row>
    <row r="15" spans="1:104" s="46" customFormat="1" x14ac:dyDescent="0.2">
      <c r="A15" s="4" t="s">
        <v>42</v>
      </c>
      <c r="B15" s="46">
        <f>INDEX('IncStmt Data'!H$1:H$2999,MATCH(B$1,'IncStmt Data'!A$2:A$2051,0)+MATCH(A15,'IncStmt Data'!G$2:G$2051,0))</f>
        <v>0</v>
      </c>
      <c r="C15" s="46" t="e">
        <f>INDEX('IncStmt Data'!H$1:H$2999,MATCH(C$1,'IncStmt Data'!A$2:A$2051,0)+MATCH(A15,'IncStmt Data'!G$2:G$2051,0))</f>
        <v>#N/A</v>
      </c>
      <c r="D15" s="46" t="e">
        <f>INDEX('IncStmt Data'!H$1:H$2999,MATCH(D$1,'IncStmt Data'!A$2:A$2051,0)+MATCH(A15,'IncStmt Data'!G$2:G$2051,0))</f>
        <v>#N/A</v>
      </c>
      <c r="E15" s="46" t="e">
        <f>INDEX('IncStmt Data'!H$1:H$2999,MATCH(E$1,'IncStmt Data'!A$2:A$2051,0)+MATCH(A15,'IncStmt Data'!G$2:G$2051,0))</f>
        <v>#N/A</v>
      </c>
      <c r="F15" s="46" t="e">
        <f>INDEX('IncStmt Data'!H$1:H$2999,MATCH(F$1,'IncStmt Data'!A$2:A$2051,0)+MATCH(A15,'IncStmt Data'!G$2:G$2051,0))</f>
        <v>#N/A</v>
      </c>
      <c r="G15" s="46" t="e">
        <f>INDEX('IncStmt Data'!H$1:H$2999,MATCH(G$1,'IncStmt Data'!A$2:A$2051,0)+MATCH(A15,'IncStmt Data'!G$2:G$2051,0))</f>
        <v>#N/A</v>
      </c>
      <c r="H15" s="46" t="e">
        <f>INDEX('IncStmt Data'!H$1:H$2999,MATCH(H$1,'IncStmt Data'!A$2:A$2051,0)+MATCH(A15,'IncStmt Data'!G$2:G$2051,0))</f>
        <v>#N/A</v>
      </c>
      <c r="I15" s="47" t="e">
        <f>INDEX('IncStmt Data'!H$1:H$2999,MATCH(I$1,'IncStmt Data'!A$2:A$2051,0)+MATCH(A15,'IncStmt Data'!G$2:G$2051,0))</f>
        <v>#N/A</v>
      </c>
      <c r="J15" s="46" t="e">
        <f>INDEX('IncStmt Data'!H$1:H$2999,MATCH(J$1,'IncStmt Data'!A$2:A$2051,0)+MATCH(A15,'IncStmt Data'!G$2:G$2051,0))</f>
        <v>#N/A</v>
      </c>
      <c r="K15" s="46" t="e">
        <f>INDEX('IncStmt Data'!H$1:H$2999,MATCH(K$1,'IncStmt Data'!A$2:A$2051,0)+MATCH(A15,'IncStmt Data'!G$2:G$2051,0))</f>
        <v>#N/A</v>
      </c>
      <c r="L15" s="46" t="e">
        <f>INDEX('IncStmt Data'!H$1:H$2999,MATCH(L$1,'IncStmt Data'!A$2:A$2051,0)+MATCH(A15,'IncStmt Data'!G$2:G$2051,0))</f>
        <v>#N/A</v>
      </c>
      <c r="M15" s="46" t="e">
        <f>INDEX('IncStmt Data'!H$1:H$2999,MATCH(M$1,'IncStmt Data'!A$2:A$2051,0)+MATCH(A15,'IncStmt Data'!G$2:G$2051,0))</f>
        <v>#N/A</v>
      </c>
      <c r="N15" s="46" t="e">
        <f>INDEX('IncStmt Data'!H$1:H$2999,MATCH(N$1,'IncStmt Data'!A$2:A$2051,0)+MATCH(A15,'IncStmt Data'!G$2:G$2051,0))</f>
        <v>#N/A</v>
      </c>
      <c r="O15" s="46" t="e">
        <f>INDEX('IncStmt Data'!H$1:H$2999,MATCH(O$1,'IncStmt Data'!A$2:A$2051,0)+MATCH(A15,'IncStmt Data'!G$2:G$2051,0))</f>
        <v>#N/A</v>
      </c>
      <c r="P15" s="46" t="e">
        <f>INDEX('IncStmt Data'!H$1:H$2999,MATCH(P$1,'IncStmt Data'!A$2:A$2051,0)+MATCH(A15,'IncStmt Data'!G$2:G$2051,0))</f>
        <v>#N/A</v>
      </c>
      <c r="Q15" s="46" t="e">
        <f>INDEX('IncStmt Data'!H$1:H$2999,MATCH(Q$1,'IncStmt Data'!A$2:A$2051,0)+MATCH(A15,'IncStmt Data'!G$2:G$2051,0))</f>
        <v>#N/A</v>
      </c>
      <c r="R15" s="46" t="e">
        <f>INDEX('IncStmt Data'!H$1:H$2999,MATCH(R$1,'IncStmt Data'!A$2:A$2051,0)+MATCH(A15,'IncStmt Data'!G$2:G$2051,0))</f>
        <v>#N/A</v>
      </c>
      <c r="S15" s="46" t="e">
        <f>INDEX('IncStmt Data'!H$1:H$2999,MATCH(S$1,'IncStmt Data'!A$2:A$2051,0)+MATCH(A15,'IncStmt Data'!G$2:G$2051,0))</f>
        <v>#N/A</v>
      </c>
      <c r="T15" s="46" t="e">
        <f>INDEX('IncStmt Data'!H$1:H$2999,MATCH(T$1,'IncStmt Data'!A$2:A$2051,0)+MATCH(A15,'IncStmt Data'!G$2:G$2051,0))</f>
        <v>#N/A</v>
      </c>
      <c r="U15" s="46" t="e">
        <f>INDEX('IncStmt Data'!H$1:H$2999,MATCH(U$1,'IncStmt Data'!A$2:A$2051,0)+MATCH(A15,'IncStmt Data'!G$2:G$2051,0))</f>
        <v>#N/A</v>
      </c>
      <c r="V15" s="46" t="e">
        <f>INDEX('IncStmt Data'!H$1:H$2999,MATCH(V$1,'IncStmt Data'!A$2:A$2051,0)+MATCH(A15,'IncStmt Data'!G$2:G$2051,0))</f>
        <v>#N/A</v>
      </c>
      <c r="W15" s="46" t="e">
        <f>INDEX('IncStmt Data'!H$1:H$2999,MATCH(W$1,'IncStmt Data'!A$2:A$2051,0)+MATCH(A15,'IncStmt Data'!G$2:G$2051,0))</f>
        <v>#N/A</v>
      </c>
      <c r="X15" s="46" t="e">
        <f>INDEX('IncStmt Data'!H$1:H$2999,MATCH(X$1,'IncStmt Data'!A$2:A$2051,0)+MATCH(A15,'IncStmt Data'!G$2:G$2051,0))</f>
        <v>#N/A</v>
      </c>
      <c r="Y15" s="46" t="e">
        <f>INDEX('IncStmt Data'!H$1:H$2999,MATCH(Y$1,'IncStmt Data'!A$2:A$2051,0)+MATCH(A15,'IncStmt Data'!G$2:G$2051,0))</f>
        <v>#N/A</v>
      </c>
      <c r="Z15" s="46" t="e">
        <f>INDEX('IncStmt Data'!H$1:H$2999,MATCH(Z$1,'IncStmt Data'!A$2:A$2051,0)+MATCH(A15,'IncStmt Data'!G$2:G$2051,0))</f>
        <v>#N/A</v>
      </c>
      <c r="AA15" s="46" t="e">
        <f>INDEX('IncStmt Data'!H$1:H$2999,MATCH(AA$1,'IncStmt Data'!A$2:A$2051,0)+MATCH(A15,'IncStmt Data'!G$2:G$2051,0))</f>
        <v>#N/A</v>
      </c>
      <c r="AB15" s="46" t="e">
        <f>INDEX('IncStmt Data'!H$1:H$2999,MATCH(AB$1,'IncStmt Data'!A$2:A$2051,0)+MATCH(A15,'IncStmt Data'!G$2:G$2051,0))</f>
        <v>#N/A</v>
      </c>
      <c r="AC15" s="46" t="e">
        <f>INDEX('IncStmt Data'!H$1:H$2999,MATCH(AC$1,'IncStmt Data'!A$2:A$2051,0)+MATCH(A15,'IncStmt Data'!G$2:G$2051,0))</f>
        <v>#N/A</v>
      </c>
      <c r="AD15" s="46" t="e">
        <f>INDEX('IncStmt Data'!H$1:H$2999,MATCH(AD$1,'IncStmt Data'!A$2:A$2051,0)+MATCH(A15,'IncStmt Data'!G$2:G$2051,0))</f>
        <v>#N/A</v>
      </c>
      <c r="AE15" s="46" t="e">
        <f>INDEX('IncStmt Data'!H$1:H$2999,MATCH(AE$1,'IncStmt Data'!A$2:A$2051,0)+MATCH(A15,'IncStmt Data'!G$2:G$2051,0))</f>
        <v>#N/A</v>
      </c>
      <c r="AF15" s="46" t="e">
        <f>INDEX('IncStmt Data'!H$1:H$2999,MATCH(AF$1,'IncStmt Data'!A$2:A$2051,0)+MATCH(A15,'IncStmt Data'!G$2:G$2051,0))</f>
        <v>#N/A</v>
      </c>
      <c r="AG15" s="46" t="e">
        <f>INDEX('IncStmt Data'!H$1:H$2999,MATCH(AG$1,'IncStmt Data'!A$2:A$2051,0)+MATCH(A15,'IncStmt Data'!G$2:G$2051,0))</f>
        <v>#N/A</v>
      </c>
      <c r="AH15" s="46" t="e">
        <f>INDEX('IncStmt Data'!H$1:H$2999,MATCH(AH$1,'IncStmt Data'!A$2:A$2051,0)+MATCH(A15,'IncStmt Data'!G$2:G$2051,0))</f>
        <v>#N/A</v>
      </c>
      <c r="AI15" s="46" t="e">
        <f>INDEX('IncStmt Data'!H$1:H$2999,MATCH(AI$1,'IncStmt Data'!A$2:A$2051,0)+MATCH(A15,'IncStmt Data'!G$2:G$2051,0))</f>
        <v>#N/A</v>
      </c>
      <c r="AJ15" s="46" t="e">
        <f>INDEX('IncStmt Data'!H$1:H$2999,MATCH(AJ$1,'IncStmt Data'!A$2:A$2051,0)+MATCH(A15,'IncStmt Data'!G$2:G$2051,0))</f>
        <v>#N/A</v>
      </c>
      <c r="AK15" s="46" t="e">
        <f>INDEX('IncStmt Data'!H$1:H$2999,MATCH(AK$1,'IncStmt Data'!A$2:A$2051,0)+MATCH(A15,'IncStmt Data'!G$2:G$2051,0))</f>
        <v>#N/A</v>
      </c>
      <c r="AL15" s="46">
        <f>INDEX('IncStmt Data'!H$1:H$2999,MATCH(AL$1,'IncStmt Data'!A$2:A$2051,0)+MATCH(A15,'IncStmt Data'!G$2:G$2051,0))</f>
        <v>0</v>
      </c>
      <c r="AM15" s="46">
        <f>INDEX('IncStmt Data'!H$1:H$2999,MATCH(AM$1,'IncStmt Data'!A$2:A$2051,0)+MATCH(A15,'IncStmt Data'!G$2:G$2051,0))</f>
        <v>0</v>
      </c>
      <c r="AN15" s="46">
        <f>INDEX('IncStmt Data'!H$1:H$2999,MATCH(AN$1,'IncStmt Data'!A$2:A$2051,0)+MATCH(A15,'IncStmt Data'!G$2:G$2051,0))</f>
        <v>0</v>
      </c>
      <c r="AO15" s="46">
        <f>INDEX('IncStmt Data'!H$1:H$2999,MATCH(AO$1,'IncStmt Data'!A$2:A$2051,0)+MATCH(A15,'IncStmt Data'!G$2:G$2051,0))</f>
        <v>0</v>
      </c>
      <c r="AP15" s="46" t="e">
        <f>INDEX('IncStmt Data'!H$1:H$2999,MATCH(AP$1,'IncStmt Data'!A$2:A$2051,0)+MATCH(A15,'IncStmt Data'!G$2:G$2051,0))</f>
        <v>#N/A</v>
      </c>
      <c r="AQ15" s="46" t="e">
        <f>INDEX('IncStmt Data'!H$1:H$2999,MATCH(AQ$1,'IncStmt Data'!A$2:A$2051,0)+MATCH(A15,'IncStmt Data'!G$2:G$2051,0))</f>
        <v>#N/A</v>
      </c>
      <c r="AR15" s="46" t="e">
        <f>INDEX('IncStmt Data'!H$1:H$2999,MATCH(AR$1,'IncStmt Data'!A$2:A$2051,0)+MATCH(A15,'IncStmt Data'!G$2:G$2051,0))</f>
        <v>#N/A</v>
      </c>
      <c r="AS15" s="46" t="e">
        <f>INDEX('IncStmt Data'!H$1:H$2999,MATCH(AS$1,'IncStmt Data'!A$2:A$2051,0)+MATCH(A15,'IncStmt Data'!G$2:G$2051,0))</f>
        <v>#N/A</v>
      </c>
      <c r="AT15" s="46" t="e">
        <f>INDEX('IncStmt Data'!H$1:H$2999,MATCH(AT$1,'IncStmt Data'!A$2:A$2051,0)+MATCH(A15,'IncStmt Data'!G$2:G$2051,0))</f>
        <v>#N/A</v>
      </c>
      <c r="AU15" s="46" t="e">
        <f>INDEX('IncStmt Data'!H$1:H$2999,MATCH(AU$1,'IncStmt Data'!A$2:A$2051,0)+MATCH(A15,'IncStmt Data'!G$2:G$2051,0))</f>
        <v>#N/A</v>
      </c>
      <c r="AV15" s="46" t="e">
        <f>INDEX('IncStmt Data'!H$1:H$2999,MATCH(AV$1,'IncStmt Data'!A$2:A$2051,0)+MATCH(A15,'IncStmt Data'!G$2:G$2051,0))</f>
        <v>#N/A</v>
      </c>
      <c r="AW15" s="46" t="e">
        <f>INDEX('IncStmt Data'!H$1:H$2999,MATCH(AW$1,'IncStmt Data'!A$2:A$2051,0)+MATCH(A15,'IncStmt Data'!G$2:G$2051,0))</f>
        <v>#N/A</v>
      </c>
      <c r="AX15" s="46" t="e">
        <f>INDEX('IncStmt Data'!H$1:H$2999,MATCH(AX$1,'IncStmt Data'!A$2:A$2051,0)+MATCH(A15,'IncStmt Data'!G$2:G$2051,0))</f>
        <v>#N/A</v>
      </c>
      <c r="AY15" s="46" t="e">
        <f>INDEX('IncStmt Data'!H$1:H$2999,MATCH(AY$1,'IncStmt Data'!A$2:A$2051,0)+MATCH(A15,'IncStmt Data'!G$2:G$2051,0))</f>
        <v>#N/A</v>
      </c>
      <c r="AZ15" s="46" t="e">
        <f>INDEX('IncStmt Data'!H$1:H$2999,MATCH(AZ$1,'IncStmt Data'!A$2:A$2051,0)+MATCH(A15,'IncStmt Data'!G$2:G$2051,0))</f>
        <v>#N/A</v>
      </c>
      <c r="BA15" s="46" t="e">
        <f>INDEX('IncStmt Data'!H$1:H$2999,MATCH(BA$1,'IncStmt Data'!A$2:A$2051,0)+MATCH(A15,'IncStmt Data'!G$2:G$2051,0))</f>
        <v>#N/A</v>
      </c>
      <c r="BB15" s="46" t="e">
        <f>INDEX('IncStmt Data'!H$1:H$2999,MATCH(BB$1,'IncStmt Data'!A$2:A$2051,0)+MATCH(A15,'IncStmt Data'!G$2:G$2051,0))</f>
        <v>#N/A</v>
      </c>
      <c r="BC15" s="46" t="e">
        <f>INDEX('IncStmt Data'!H$1:H$2999,MATCH(BC$1,'IncStmt Data'!A$2:A$2051,0)+MATCH(A15,'IncStmt Data'!G$2:G$2051,0))</f>
        <v>#N/A</v>
      </c>
      <c r="BD15" s="46" t="e">
        <f>INDEX('IncStmt Data'!H$1:H$2999,MATCH(BD$1,'IncStmt Data'!A$2:A$2051,0)+MATCH(A15,'IncStmt Data'!G$2:G$2051,0))</f>
        <v>#N/A</v>
      </c>
      <c r="BE15" s="46" t="e">
        <f>INDEX('IncStmt Data'!H$1:H$2999,MATCH(BE$1,'IncStmt Data'!A$2:A$2051,0)+MATCH(A15,'IncStmt Data'!G$2:G$2051,0))</f>
        <v>#N/A</v>
      </c>
      <c r="BF15" s="46" t="e">
        <f>INDEX('IncStmt Data'!H$1:H$2999,MATCH(BF$1,'IncStmt Data'!A$2:A$2051,0)+MATCH(A15,'IncStmt Data'!G$2:G$2051,0))</f>
        <v>#N/A</v>
      </c>
      <c r="BG15" s="46" t="e">
        <f>INDEX('IncStmt Data'!H$1:H$2999,MATCH(BG$1,'IncStmt Data'!A$2:A$2051,0)+MATCH(A15,'IncStmt Data'!G$2:G$2051,0))</f>
        <v>#N/A</v>
      </c>
      <c r="BH15" s="46" t="e">
        <f>INDEX('IncStmt Data'!H$1:H$2999,MATCH(BH$1,'IncStmt Data'!A$2:A$2051,0)+MATCH(A15,'IncStmt Data'!G$2:G$2051,0))</f>
        <v>#N/A</v>
      </c>
      <c r="BI15" s="46" t="e">
        <f>INDEX('IncStmt Data'!H$1:H$2999,MATCH(BI$1,'IncStmt Data'!A$2:A$2051,0)+MATCH(A15,'IncStmt Data'!G$2:G$2051,0))</f>
        <v>#N/A</v>
      </c>
      <c r="BJ15" s="46" t="e">
        <f>INDEX('IncStmt Data'!H$1:H$2999,MATCH(BJ$1,'IncStmt Data'!A$2:A$2051,0)+MATCH(A15,'IncStmt Data'!G$2:G$2051,0))</f>
        <v>#N/A</v>
      </c>
      <c r="BK15" s="46" t="e">
        <f>INDEX('IncStmt Data'!H$1:H$2999,MATCH(BK$1,'IncStmt Data'!A$2:A$2051,0)+MATCH(A15,'IncStmt Data'!G$2:G$2051,0))</f>
        <v>#N/A</v>
      </c>
      <c r="BL15" s="46" t="e">
        <f>INDEX('IncStmt Data'!H$1:H$2999,MATCH(BL$1,'IncStmt Data'!A$2:A$2051,0)+MATCH(A15,'IncStmt Data'!G$2:G$2051,0))</f>
        <v>#N/A</v>
      </c>
      <c r="BM15" s="46" t="e">
        <f>INDEX('IncStmt Data'!H$1:H$2999,MATCH(BM$1,'IncStmt Data'!A$2:A$2051,0)+MATCH(A15,'IncStmt Data'!G$2:G$2051,0))</f>
        <v>#N/A</v>
      </c>
      <c r="BN15" s="46" t="e">
        <f>INDEX('IncStmt Data'!H$1:H$2999,MATCH(BN$1,'IncStmt Data'!A$2:A$2051,0)+MATCH(A15,'IncStmt Data'!G$2:G$2051,0))</f>
        <v>#N/A</v>
      </c>
      <c r="BO15" s="46" t="e">
        <f>INDEX('IncStmt Data'!H$1:H$2999,MATCH(BO$1,'IncStmt Data'!A$2:A$2051,0)+MATCH(A15,'IncStmt Data'!G$2:G$2051,0))</f>
        <v>#N/A</v>
      </c>
      <c r="BP15" s="46" t="e">
        <f>INDEX('IncStmt Data'!H$1:H$2999,MATCH(BP$1,'IncStmt Data'!A$2:A$2051,0)+MATCH(A15,'IncStmt Data'!G$2:G$2051,0))</f>
        <v>#N/A</v>
      </c>
      <c r="BQ15" s="46" t="e">
        <f>INDEX('IncStmt Data'!H$1:H$2999,MATCH(BQ$1,'IncStmt Data'!A$2:A$2051,0)+MATCH(A15,'IncStmt Data'!G$2:G$2051,0))</f>
        <v>#N/A</v>
      </c>
      <c r="BR15" s="46" t="e">
        <f>INDEX('IncStmt Data'!H$1:H$2999,MATCH(BR$1,'IncStmt Data'!A$2:A$2051,0)+MATCH(A15,'IncStmt Data'!G$2:G$2051,0))</f>
        <v>#N/A</v>
      </c>
      <c r="BS15" s="46" t="e">
        <f>INDEX('IncStmt Data'!H$1:H$2999,MATCH(BS$1,'IncStmt Data'!A$2:A$2051,0)+MATCH(A15,'IncStmt Data'!G$2:G$2051,0))</f>
        <v>#N/A</v>
      </c>
      <c r="BT15" s="46" t="e">
        <f>INDEX('IncStmt Data'!H$1:H$2999,MATCH(BT$1,'IncStmt Data'!A$2:A$2051,0)+MATCH(A15,'IncStmt Data'!G$2:G$2051,0))</f>
        <v>#N/A</v>
      </c>
      <c r="BU15" s="46" t="e">
        <f>INDEX('IncStmt Data'!H$1:H$2999,MATCH(BU$1,'IncStmt Data'!A$2:A$2051,0)+MATCH(A15,'IncStmt Data'!G$2:G$2051,0))</f>
        <v>#N/A</v>
      </c>
      <c r="BV15" s="46" t="e">
        <f>INDEX('IncStmt Data'!H$1:H$2999,MATCH(BV$1,'IncStmt Data'!A$2:A$2051,0)+MATCH(A15,'IncStmt Data'!G$2:G$2051,0))</f>
        <v>#N/A</v>
      </c>
      <c r="BW15" s="46" t="e">
        <f>INDEX('IncStmt Data'!H$1:H$2999,MATCH(BW$1,'IncStmt Data'!A$2:A$2051,0)+MATCH(A15,'IncStmt Data'!G$2:G$2051,0))</f>
        <v>#N/A</v>
      </c>
      <c r="BX15" s="46" t="e">
        <f>INDEX('IncStmt Data'!H$1:H$2999,MATCH(BX$1,'IncStmt Data'!A$2:A$2051,0)+MATCH(A15,'IncStmt Data'!G$2:G$2051,0))</f>
        <v>#N/A</v>
      </c>
      <c r="BY15" s="46" t="e">
        <f>INDEX('IncStmt Data'!H$1:H$2999,MATCH(BY$1,'IncStmt Data'!A$2:A$2051,0)+MATCH(A15,'IncStmt Data'!G$2:G$2051,0))</f>
        <v>#N/A</v>
      </c>
      <c r="BZ15" s="46" t="e">
        <f>INDEX('IncStmt Data'!H$1:H$2999,MATCH(BZ$1,'IncStmt Data'!A$2:A$2051,0)+MATCH(A15,'IncStmt Data'!G$2:G$2051,0))</f>
        <v>#N/A</v>
      </c>
      <c r="CA15" s="46" t="e">
        <f>INDEX('IncStmt Data'!H$1:H$2999,MATCH(CA$1,'IncStmt Data'!A$2:A$2051,0)+MATCH(A15,'IncStmt Data'!G$2:G$2051,0))</f>
        <v>#N/A</v>
      </c>
      <c r="CB15" s="46" t="e">
        <f>INDEX('IncStmt Data'!H$1:H$2999,MATCH(CB$1,'IncStmt Data'!A$2:A$2051,0)+MATCH(A15,'IncStmt Data'!G$2:G$2051,0))</f>
        <v>#N/A</v>
      </c>
      <c r="CC15" s="46" t="e">
        <f>INDEX('IncStmt Data'!H$1:H$2999,MATCH(CC$1,'IncStmt Data'!A$2:A$2051,0)+MATCH(A15,'IncStmt Data'!G$2:G$2051,0))</f>
        <v>#N/A</v>
      </c>
      <c r="CD15" s="46" t="e">
        <f>INDEX('IncStmt Data'!H$1:H$2999,MATCH(CD$1,'IncStmt Data'!A$2:A$2051,0)+MATCH(A15,'IncStmt Data'!G$2:G$2051,0))</f>
        <v>#N/A</v>
      </c>
      <c r="CE15" s="46" t="e">
        <f>INDEX('IncStmt Data'!H$1:H$2999,MATCH(CE$1,'IncStmt Data'!A$2:A$2051,0)+MATCH(A15,'IncStmt Data'!G$2:G$2051,0))</f>
        <v>#N/A</v>
      </c>
      <c r="CF15" s="46" t="e">
        <f>INDEX('IncStmt Data'!H$1:H$2999,MATCH(CF$1,'IncStmt Data'!A$2:A$2051,0)+MATCH(A15,'IncStmt Data'!G$2:G$2051,0))</f>
        <v>#N/A</v>
      </c>
      <c r="CG15" s="46" t="e">
        <f>INDEX('IncStmt Data'!H$1:H$2999,MATCH(CG$1,'IncStmt Data'!A$2:A$2051,0)+MATCH(A15,'IncStmt Data'!G$2:G$2051,0))</f>
        <v>#N/A</v>
      </c>
      <c r="CH15" s="46" t="e">
        <f>INDEX('IncStmt Data'!H$1:H$2999,MATCH(CH$1,'IncStmt Data'!A$2:A$2051,0)+MATCH(A15,'IncStmt Data'!G$2:G$2051,0))</f>
        <v>#N/A</v>
      </c>
      <c r="CI15" s="46" t="e">
        <f>INDEX('IncStmt Data'!H$1:H$2999,MATCH(CI$1,'IncStmt Data'!A$2:A$2051,0)+MATCH(A15,'IncStmt Data'!G$2:G$2051,0))</f>
        <v>#N/A</v>
      </c>
      <c r="CJ15" s="46" t="e">
        <f>INDEX('IncStmt Data'!H$1:H$2999,MATCH(CJ$1,'IncStmt Data'!A$2:A$2051,0)+MATCH(A15,'IncStmt Data'!G$2:G$2051,0))</f>
        <v>#N/A</v>
      </c>
      <c r="CK15" s="46" t="e">
        <f>INDEX('IncStmt Data'!H$1:H$2999,MATCH(CK$1,'IncStmt Data'!A$2:A$2051,0)+MATCH(A15,'IncStmt Data'!G$2:G$2051,0))</f>
        <v>#N/A</v>
      </c>
      <c r="CL15" s="46" t="e">
        <f>INDEX('IncStmt Data'!H$1:H$2999,MATCH(CL$1,'IncStmt Data'!A$2:A$2051,0)+MATCH(A15,'IncStmt Data'!G$2:G$2051,0))</f>
        <v>#N/A</v>
      </c>
      <c r="CM15" s="46" t="e">
        <f>INDEX('IncStmt Data'!H$1:H$2999,MATCH(CM$1,'IncStmt Data'!A$2:A$2051,0)+MATCH(A15,'IncStmt Data'!G$2:G$2051,0))</f>
        <v>#N/A</v>
      </c>
      <c r="CN15" s="46" t="e">
        <f>INDEX('IncStmt Data'!H$1:H$2999,MATCH(CN$1,'IncStmt Data'!A$2:A$2051,0)+MATCH(A15,'IncStmt Data'!G$2:G$2051,0))</f>
        <v>#N/A</v>
      </c>
      <c r="CO15" s="46" t="e">
        <f>INDEX('IncStmt Data'!H$1:H$2999,MATCH(CO$1,'IncStmt Data'!A$2:A$2051,0)+MATCH(A15,'IncStmt Data'!G$2:G$2051,0))</f>
        <v>#N/A</v>
      </c>
      <c r="CP15" s="46" t="e">
        <f>INDEX('IncStmt Data'!H$1:H$2999,MATCH(CP$1,'IncStmt Data'!A$2:A$2051,0)+MATCH(A15,'IncStmt Data'!G$2:G$2051,0))</f>
        <v>#N/A</v>
      </c>
      <c r="CQ15" s="46" t="e">
        <f>INDEX('IncStmt Data'!H$1:H$2999,MATCH(CQ$1,'IncStmt Data'!A$2:A$2051,0)+MATCH(A15,'IncStmt Data'!G$2:G$2051,0))</f>
        <v>#N/A</v>
      </c>
      <c r="CR15" s="46" t="e">
        <f>INDEX('IncStmt Data'!H$1:H$2999,MATCH(CR$1,'IncStmt Data'!A$2:A$2051,0)+MATCH(A15,'IncStmt Data'!G$2:G$2051,0))</f>
        <v>#N/A</v>
      </c>
      <c r="CS15" s="46" t="e">
        <f>INDEX('IncStmt Data'!H$1:H$2999,MATCH(CS$1,'IncStmt Data'!A$2:A$2051,0)+MATCH(A15,'IncStmt Data'!G$2:G$2051,0))</f>
        <v>#N/A</v>
      </c>
      <c r="CT15" s="46" t="e">
        <f>INDEX('IncStmt Data'!H$1:H$2999,MATCH(CT$1,'IncStmt Data'!A$2:A$2051,0)+MATCH(A15,'IncStmt Data'!G$2:G$2051,0))</f>
        <v>#N/A</v>
      </c>
      <c r="CU15" s="46" t="e">
        <f>INDEX('IncStmt Data'!H$1:H$2999,MATCH(CU$1,'IncStmt Data'!A$2:A$2051,0)+MATCH(A15,'IncStmt Data'!G$2:G$2051,0))</f>
        <v>#N/A</v>
      </c>
      <c r="CV15" s="46" t="e">
        <f>INDEX('IncStmt Data'!H$1:H$2999,MATCH(CV$1,'IncStmt Data'!A$2:A$2051,0)+MATCH(A15,'IncStmt Data'!G$2:G$2051,0))</f>
        <v>#N/A</v>
      </c>
      <c r="CW15" s="46" t="e">
        <f>INDEX('IncStmt Data'!H$1:H$2999,MATCH(CW$1,'IncStmt Data'!A$2:A$2051,0)+MATCH(A15,'IncStmt Data'!G$2:G$2051,0))</f>
        <v>#N/A</v>
      </c>
      <c r="CX15" s="46" t="e">
        <f>INDEX('IncStmt Data'!H$1:H$2999,MATCH(CX$1,'IncStmt Data'!A$2:A$2051,0)+MATCH(A15,'IncStmt Data'!G$2:G$2051,0))</f>
        <v>#N/A</v>
      </c>
      <c r="CY15" s="46" t="e">
        <f>INDEX('IncStmt Data'!H$1:H$2999,MATCH(CY$1,'IncStmt Data'!A$2:A$2051,0)+MATCH(A15,'IncStmt Data'!G$2:G$2051,0))</f>
        <v>#N/A</v>
      </c>
      <c r="CZ15" s="46" t="e">
        <f>INDEX('IncStmt Data'!H$1:H$2999,MATCH(CZ$1,'IncStmt Data'!A$2:A$2051,0)+MATCH(A15,'IncStmt Data'!G$2:G$2051,0))</f>
        <v>#N/A</v>
      </c>
    </row>
    <row r="16" spans="1:104" s="46" customFormat="1" x14ac:dyDescent="0.2">
      <c r="A16" s="4" t="s">
        <v>42</v>
      </c>
      <c r="B16" s="46">
        <f>INDEX('IncStmt Data'!H$1:H$2999,MATCH(B$1,'IncStmt Data'!A$2:A$2051,0)+MATCH(A16,'IncStmt Data'!G$2:G$2051,0))</f>
        <v>0</v>
      </c>
      <c r="C16" s="46" t="e">
        <f>INDEX('IncStmt Data'!H$1:H$2999,MATCH(C$1,'IncStmt Data'!A$2:A$2051,0)+MATCH(A16,'IncStmt Data'!G$2:G$2051,0))</f>
        <v>#N/A</v>
      </c>
      <c r="D16" s="46" t="e">
        <f>INDEX('IncStmt Data'!H$1:H$2999,MATCH(D$1,'IncStmt Data'!A$2:A$2051,0)+MATCH(A16,'IncStmt Data'!G$2:G$2051,0))</f>
        <v>#N/A</v>
      </c>
      <c r="E16" s="46" t="e">
        <f>INDEX('IncStmt Data'!H$1:H$2999,MATCH(E$1,'IncStmt Data'!A$2:A$2051,0)+MATCH(A16,'IncStmt Data'!G$2:G$2051,0))</f>
        <v>#N/A</v>
      </c>
      <c r="F16" s="46" t="e">
        <f>INDEX('IncStmt Data'!H$1:H$2999,MATCH(F$1,'IncStmt Data'!A$2:A$2051,0)+MATCH(A16,'IncStmt Data'!G$2:G$2051,0))</f>
        <v>#N/A</v>
      </c>
      <c r="G16" s="46" t="e">
        <f>INDEX('IncStmt Data'!H$1:H$2999,MATCH(G$1,'IncStmt Data'!A$2:A$2051,0)+MATCH(A16,'IncStmt Data'!G$2:G$2051,0))</f>
        <v>#N/A</v>
      </c>
      <c r="H16" s="46" t="e">
        <f>INDEX('IncStmt Data'!H$1:H$2999,MATCH(H$1,'IncStmt Data'!A$2:A$2051,0)+MATCH(A16,'IncStmt Data'!G$2:G$2051,0))</f>
        <v>#N/A</v>
      </c>
      <c r="I16" s="47" t="e">
        <f>INDEX('IncStmt Data'!H$1:H$2999,MATCH(I$1,'IncStmt Data'!A$2:A$2051,0)+MATCH(A16,'IncStmt Data'!G$2:G$2051,0))</f>
        <v>#N/A</v>
      </c>
      <c r="J16" s="46" t="e">
        <f>INDEX('IncStmt Data'!H$1:H$2999,MATCH(J$1,'IncStmt Data'!A$2:A$2051,0)+MATCH(A16,'IncStmt Data'!G$2:G$2051,0))</f>
        <v>#N/A</v>
      </c>
      <c r="K16" s="46" t="e">
        <f>INDEX('IncStmt Data'!H$1:H$2999,MATCH(K$1,'IncStmt Data'!A$2:A$2051,0)+MATCH(A16,'IncStmt Data'!G$2:G$2051,0))</f>
        <v>#N/A</v>
      </c>
      <c r="L16" s="46" t="e">
        <f>INDEX('IncStmt Data'!H$1:H$2999,MATCH(L$1,'IncStmt Data'!A$2:A$2051,0)+MATCH(A16,'IncStmt Data'!G$2:G$2051,0))</f>
        <v>#N/A</v>
      </c>
      <c r="M16" s="46" t="e">
        <f>INDEX('IncStmt Data'!H$1:H$2999,MATCH(M$1,'IncStmt Data'!A$2:A$2051,0)+MATCH(A16,'IncStmt Data'!G$2:G$2051,0))</f>
        <v>#N/A</v>
      </c>
      <c r="N16" s="46" t="e">
        <f>INDEX('IncStmt Data'!H$1:H$2999,MATCH(N$1,'IncStmt Data'!A$2:A$2051,0)+MATCH(A16,'IncStmt Data'!G$2:G$2051,0))</f>
        <v>#N/A</v>
      </c>
      <c r="O16" s="46" t="e">
        <f>INDEX('IncStmt Data'!H$1:H$2999,MATCH(O$1,'IncStmt Data'!A$2:A$2051,0)+MATCH(A16,'IncStmt Data'!G$2:G$2051,0))</f>
        <v>#N/A</v>
      </c>
      <c r="P16" s="46" t="e">
        <f>INDEX('IncStmt Data'!H$1:H$2999,MATCH(P$1,'IncStmt Data'!A$2:A$2051,0)+MATCH(A16,'IncStmt Data'!G$2:G$2051,0))</f>
        <v>#N/A</v>
      </c>
      <c r="Q16" s="46" t="e">
        <f>INDEX('IncStmt Data'!H$1:H$2999,MATCH(Q$1,'IncStmt Data'!A$2:A$2051,0)+MATCH(A16,'IncStmt Data'!G$2:G$2051,0))</f>
        <v>#N/A</v>
      </c>
      <c r="R16" s="46" t="e">
        <f>INDEX('IncStmt Data'!H$1:H$2999,MATCH(R$1,'IncStmt Data'!A$2:A$2051,0)+MATCH(A16,'IncStmt Data'!G$2:G$2051,0))</f>
        <v>#N/A</v>
      </c>
      <c r="S16" s="46" t="e">
        <f>INDEX('IncStmt Data'!H$1:H$2999,MATCH(S$1,'IncStmt Data'!A$2:A$2051,0)+MATCH(A16,'IncStmt Data'!G$2:G$2051,0))</f>
        <v>#N/A</v>
      </c>
      <c r="T16" s="46" t="e">
        <f>INDEX('IncStmt Data'!H$1:H$2999,MATCH(T$1,'IncStmt Data'!A$2:A$2051,0)+MATCH(A16,'IncStmt Data'!G$2:G$2051,0))</f>
        <v>#N/A</v>
      </c>
      <c r="U16" s="46" t="e">
        <f>INDEX('IncStmt Data'!H$1:H$2999,MATCH(U$1,'IncStmt Data'!A$2:A$2051,0)+MATCH(A16,'IncStmt Data'!G$2:G$2051,0))</f>
        <v>#N/A</v>
      </c>
      <c r="V16" s="46" t="e">
        <f>INDEX('IncStmt Data'!H$1:H$2999,MATCH(V$1,'IncStmt Data'!A$2:A$2051,0)+MATCH(A16,'IncStmt Data'!G$2:G$2051,0))</f>
        <v>#N/A</v>
      </c>
      <c r="W16" s="46" t="e">
        <f>INDEX('IncStmt Data'!H$1:H$2999,MATCH(W$1,'IncStmt Data'!A$2:A$2051,0)+MATCH(A16,'IncStmt Data'!G$2:G$2051,0))</f>
        <v>#N/A</v>
      </c>
      <c r="X16" s="46" t="e">
        <f>INDEX('IncStmt Data'!H$1:H$2999,MATCH(X$1,'IncStmt Data'!A$2:A$2051,0)+MATCH(A16,'IncStmt Data'!G$2:G$2051,0))</f>
        <v>#N/A</v>
      </c>
      <c r="Y16" s="46" t="e">
        <f>INDEX('IncStmt Data'!H$1:H$2999,MATCH(Y$1,'IncStmt Data'!A$2:A$2051,0)+MATCH(A16,'IncStmt Data'!G$2:G$2051,0))</f>
        <v>#N/A</v>
      </c>
      <c r="Z16" s="46" t="e">
        <f>INDEX('IncStmt Data'!H$1:H$2999,MATCH(Z$1,'IncStmt Data'!A$2:A$2051,0)+MATCH(A16,'IncStmt Data'!G$2:G$2051,0))</f>
        <v>#N/A</v>
      </c>
      <c r="AA16" s="46" t="e">
        <f>INDEX('IncStmt Data'!H$1:H$2999,MATCH(AA$1,'IncStmt Data'!A$2:A$2051,0)+MATCH(A16,'IncStmt Data'!G$2:G$2051,0))</f>
        <v>#N/A</v>
      </c>
      <c r="AB16" s="46" t="e">
        <f>INDEX('IncStmt Data'!H$1:H$2999,MATCH(AB$1,'IncStmt Data'!A$2:A$2051,0)+MATCH(A16,'IncStmt Data'!G$2:G$2051,0))</f>
        <v>#N/A</v>
      </c>
      <c r="AC16" s="46" t="e">
        <f>INDEX('IncStmt Data'!H$1:H$2999,MATCH(AC$1,'IncStmt Data'!A$2:A$2051,0)+MATCH(A16,'IncStmt Data'!G$2:G$2051,0))</f>
        <v>#N/A</v>
      </c>
      <c r="AD16" s="46" t="e">
        <f>INDEX('IncStmt Data'!H$1:H$2999,MATCH(AD$1,'IncStmt Data'!A$2:A$2051,0)+MATCH(A16,'IncStmt Data'!G$2:G$2051,0))</f>
        <v>#N/A</v>
      </c>
      <c r="AE16" s="46" t="e">
        <f>INDEX('IncStmt Data'!H$1:H$2999,MATCH(AE$1,'IncStmt Data'!A$2:A$2051,0)+MATCH(A16,'IncStmt Data'!G$2:G$2051,0))</f>
        <v>#N/A</v>
      </c>
      <c r="AF16" s="46" t="e">
        <f>INDEX('IncStmt Data'!H$1:H$2999,MATCH(AF$1,'IncStmt Data'!A$2:A$2051,0)+MATCH(A16,'IncStmt Data'!G$2:G$2051,0))</f>
        <v>#N/A</v>
      </c>
      <c r="AG16" s="46" t="e">
        <f>INDEX('IncStmt Data'!H$1:H$2999,MATCH(AG$1,'IncStmt Data'!A$2:A$2051,0)+MATCH(A16,'IncStmt Data'!G$2:G$2051,0))</f>
        <v>#N/A</v>
      </c>
      <c r="AH16" s="46" t="e">
        <f>INDEX('IncStmt Data'!H$1:H$2999,MATCH(AH$1,'IncStmt Data'!A$2:A$2051,0)+MATCH(A16,'IncStmt Data'!G$2:G$2051,0))</f>
        <v>#N/A</v>
      </c>
      <c r="AI16" s="46" t="e">
        <f>INDEX('IncStmt Data'!H$1:H$2999,MATCH(AI$1,'IncStmt Data'!A$2:A$2051,0)+MATCH(A16,'IncStmt Data'!G$2:G$2051,0))</f>
        <v>#N/A</v>
      </c>
      <c r="AJ16" s="46" t="e">
        <f>INDEX('IncStmt Data'!H$1:H$2999,MATCH(AJ$1,'IncStmt Data'!A$2:A$2051,0)+MATCH(A16,'IncStmt Data'!G$2:G$2051,0))</f>
        <v>#N/A</v>
      </c>
      <c r="AK16" s="46" t="e">
        <f>INDEX('IncStmt Data'!H$1:H$2999,MATCH(AK$1,'IncStmt Data'!A$2:A$2051,0)+MATCH(A16,'IncStmt Data'!G$2:G$2051,0))</f>
        <v>#N/A</v>
      </c>
      <c r="AL16" s="46">
        <f>INDEX('IncStmt Data'!H$1:H$2999,MATCH(AL$1,'IncStmt Data'!A$2:A$2051,0)+MATCH(A16,'IncStmt Data'!G$2:G$2051,0))</f>
        <v>0</v>
      </c>
      <c r="AM16" s="46">
        <f>INDEX('IncStmt Data'!H$1:H$2999,MATCH(AM$1,'IncStmt Data'!A$2:A$2051,0)+MATCH(A16,'IncStmt Data'!G$2:G$2051,0))</f>
        <v>0</v>
      </c>
      <c r="AN16" s="46">
        <f>INDEX('IncStmt Data'!H$1:H$2999,MATCH(AN$1,'IncStmt Data'!A$2:A$2051,0)+MATCH(A16,'IncStmt Data'!G$2:G$2051,0))</f>
        <v>0</v>
      </c>
      <c r="AO16" s="46">
        <f>INDEX('IncStmt Data'!H$1:H$2999,MATCH(AO$1,'IncStmt Data'!A$2:A$2051,0)+MATCH(A16,'IncStmt Data'!G$2:G$2051,0))</f>
        <v>0</v>
      </c>
      <c r="AP16" s="46" t="e">
        <f>INDEX('IncStmt Data'!H$1:H$2999,MATCH(AP$1,'IncStmt Data'!A$2:A$2051,0)+MATCH(A16,'IncStmt Data'!G$2:G$2051,0))</f>
        <v>#N/A</v>
      </c>
      <c r="AQ16" s="46" t="e">
        <f>INDEX('IncStmt Data'!H$1:H$2999,MATCH(AQ$1,'IncStmt Data'!A$2:A$2051,0)+MATCH(A16,'IncStmt Data'!G$2:G$2051,0))</f>
        <v>#N/A</v>
      </c>
      <c r="AR16" s="46" t="e">
        <f>INDEX('IncStmt Data'!H$1:H$2999,MATCH(AR$1,'IncStmt Data'!A$2:A$2051,0)+MATCH(A16,'IncStmt Data'!G$2:G$2051,0))</f>
        <v>#N/A</v>
      </c>
      <c r="AS16" s="46" t="e">
        <f>INDEX('IncStmt Data'!H$1:H$2999,MATCH(AS$1,'IncStmt Data'!A$2:A$2051,0)+MATCH(A16,'IncStmt Data'!G$2:G$2051,0))</f>
        <v>#N/A</v>
      </c>
      <c r="AT16" s="46" t="e">
        <f>INDEX('IncStmt Data'!H$1:H$2999,MATCH(AT$1,'IncStmt Data'!A$2:A$2051,0)+MATCH(A16,'IncStmt Data'!G$2:G$2051,0))</f>
        <v>#N/A</v>
      </c>
      <c r="AU16" s="46" t="e">
        <f>INDEX('IncStmt Data'!H$1:H$2999,MATCH(AU$1,'IncStmt Data'!A$2:A$2051,0)+MATCH(A16,'IncStmt Data'!G$2:G$2051,0))</f>
        <v>#N/A</v>
      </c>
      <c r="AV16" s="46" t="e">
        <f>INDEX('IncStmt Data'!H$1:H$2999,MATCH(AV$1,'IncStmt Data'!A$2:A$2051,0)+MATCH(A16,'IncStmt Data'!G$2:G$2051,0))</f>
        <v>#N/A</v>
      </c>
      <c r="AW16" s="46" t="e">
        <f>INDEX('IncStmt Data'!H$1:H$2999,MATCH(AW$1,'IncStmt Data'!A$2:A$2051,0)+MATCH(A16,'IncStmt Data'!G$2:G$2051,0))</f>
        <v>#N/A</v>
      </c>
      <c r="AX16" s="46" t="e">
        <f>INDEX('IncStmt Data'!H$1:H$2999,MATCH(AX$1,'IncStmt Data'!A$2:A$2051,0)+MATCH(A16,'IncStmt Data'!G$2:G$2051,0))</f>
        <v>#N/A</v>
      </c>
      <c r="AY16" s="46" t="e">
        <f>INDEX('IncStmt Data'!H$1:H$2999,MATCH(AY$1,'IncStmt Data'!A$2:A$2051,0)+MATCH(A16,'IncStmt Data'!G$2:G$2051,0))</f>
        <v>#N/A</v>
      </c>
      <c r="AZ16" s="46" t="e">
        <f>INDEX('IncStmt Data'!H$1:H$2999,MATCH(AZ$1,'IncStmt Data'!A$2:A$2051,0)+MATCH(A16,'IncStmt Data'!G$2:G$2051,0))</f>
        <v>#N/A</v>
      </c>
      <c r="BA16" s="46" t="e">
        <f>INDEX('IncStmt Data'!H$1:H$2999,MATCH(BA$1,'IncStmt Data'!A$2:A$2051,0)+MATCH(A16,'IncStmt Data'!G$2:G$2051,0))</f>
        <v>#N/A</v>
      </c>
      <c r="BB16" s="46" t="e">
        <f>INDEX('IncStmt Data'!H$1:H$2999,MATCH(BB$1,'IncStmt Data'!A$2:A$2051,0)+MATCH(A16,'IncStmt Data'!G$2:G$2051,0))</f>
        <v>#N/A</v>
      </c>
      <c r="BC16" s="46" t="e">
        <f>INDEX('IncStmt Data'!H$1:H$2999,MATCH(BC$1,'IncStmt Data'!A$2:A$2051,0)+MATCH(A16,'IncStmt Data'!G$2:G$2051,0))</f>
        <v>#N/A</v>
      </c>
      <c r="BD16" s="46" t="e">
        <f>INDEX('IncStmt Data'!H$1:H$2999,MATCH(BD$1,'IncStmt Data'!A$2:A$2051,0)+MATCH(A16,'IncStmt Data'!G$2:G$2051,0))</f>
        <v>#N/A</v>
      </c>
      <c r="BE16" s="46" t="e">
        <f>INDEX('IncStmt Data'!H$1:H$2999,MATCH(BE$1,'IncStmt Data'!A$2:A$2051,0)+MATCH(A16,'IncStmt Data'!G$2:G$2051,0))</f>
        <v>#N/A</v>
      </c>
      <c r="BF16" s="46" t="e">
        <f>INDEX('IncStmt Data'!H$1:H$2999,MATCH(BF$1,'IncStmt Data'!A$2:A$2051,0)+MATCH(A16,'IncStmt Data'!G$2:G$2051,0))</f>
        <v>#N/A</v>
      </c>
      <c r="BG16" s="46" t="e">
        <f>INDEX('IncStmt Data'!H$1:H$2999,MATCH(BG$1,'IncStmt Data'!A$2:A$2051,0)+MATCH(A16,'IncStmt Data'!G$2:G$2051,0))</f>
        <v>#N/A</v>
      </c>
      <c r="BH16" s="46" t="e">
        <f>INDEX('IncStmt Data'!H$1:H$2999,MATCH(BH$1,'IncStmt Data'!A$2:A$2051,0)+MATCH(A16,'IncStmt Data'!G$2:G$2051,0))</f>
        <v>#N/A</v>
      </c>
      <c r="BI16" s="46" t="e">
        <f>INDEX('IncStmt Data'!H$1:H$2999,MATCH(BI$1,'IncStmt Data'!A$2:A$2051,0)+MATCH(A16,'IncStmt Data'!G$2:G$2051,0))</f>
        <v>#N/A</v>
      </c>
      <c r="BJ16" s="46" t="e">
        <f>INDEX('IncStmt Data'!H$1:H$2999,MATCH(BJ$1,'IncStmt Data'!A$2:A$2051,0)+MATCH(A16,'IncStmt Data'!G$2:G$2051,0))</f>
        <v>#N/A</v>
      </c>
      <c r="BK16" s="46" t="e">
        <f>INDEX('IncStmt Data'!H$1:H$2999,MATCH(BK$1,'IncStmt Data'!A$2:A$2051,0)+MATCH(A16,'IncStmt Data'!G$2:G$2051,0))</f>
        <v>#N/A</v>
      </c>
      <c r="BL16" s="46" t="e">
        <f>INDEX('IncStmt Data'!H$1:H$2999,MATCH(BL$1,'IncStmt Data'!A$2:A$2051,0)+MATCH(A16,'IncStmt Data'!G$2:G$2051,0))</f>
        <v>#N/A</v>
      </c>
      <c r="BM16" s="46" t="e">
        <f>INDEX('IncStmt Data'!H$1:H$2999,MATCH(BM$1,'IncStmt Data'!A$2:A$2051,0)+MATCH(A16,'IncStmt Data'!G$2:G$2051,0))</f>
        <v>#N/A</v>
      </c>
      <c r="BN16" s="46" t="e">
        <f>INDEX('IncStmt Data'!H$1:H$2999,MATCH(BN$1,'IncStmt Data'!A$2:A$2051,0)+MATCH(A16,'IncStmt Data'!G$2:G$2051,0))</f>
        <v>#N/A</v>
      </c>
      <c r="BO16" s="46" t="e">
        <f>INDEX('IncStmt Data'!H$1:H$2999,MATCH(BO$1,'IncStmt Data'!A$2:A$2051,0)+MATCH(A16,'IncStmt Data'!G$2:G$2051,0))</f>
        <v>#N/A</v>
      </c>
      <c r="BP16" s="46" t="e">
        <f>INDEX('IncStmt Data'!H$1:H$2999,MATCH(BP$1,'IncStmt Data'!A$2:A$2051,0)+MATCH(A16,'IncStmt Data'!G$2:G$2051,0))</f>
        <v>#N/A</v>
      </c>
      <c r="BQ16" s="46" t="e">
        <f>INDEX('IncStmt Data'!H$1:H$2999,MATCH(BQ$1,'IncStmt Data'!A$2:A$2051,0)+MATCH(A16,'IncStmt Data'!G$2:G$2051,0))</f>
        <v>#N/A</v>
      </c>
      <c r="BR16" s="46" t="e">
        <f>INDEX('IncStmt Data'!H$1:H$2999,MATCH(BR$1,'IncStmt Data'!A$2:A$2051,0)+MATCH(A16,'IncStmt Data'!G$2:G$2051,0))</f>
        <v>#N/A</v>
      </c>
      <c r="BS16" s="46" t="e">
        <f>INDEX('IncStmt Data'!H$1:H$2999,MATCH(BS$1,'IncStmt Data'!A$2:A$2051,0)+MATCH(A16,'IncStmt Data'!G$2:G$2051,0))</f>
        <v>#N/A</v>
      </c>
      <c r="BT16" s="46" t="e">
        <f>INDEX('IncStmt Data'!H$1:H$2999,MATCH(BT$1,'IncStmt Data'!A$2:A$2051,0)+MATCH(A16,'IncStmt Data'!G$2:G$2051,0))</f>
        <v>#N/A</v>
      </c>
      <c r="BU16" s="46" t="e">
        <f>INDEX('IncStmt Data'!H$1:H$2999,MATCH(BU$1,'IncStmt Data'!A$2:A$2051,0)+MATCH(A16,'IncStmt Data'!G$2:G$2051,0))</f>
        <v>#N/A</v>
      </c>
      <c r="BV16" s="46" t="e">
        <f>INDEX('IncStmt Data'!H$1:H$2999,MATCH(BV$1,'IncStmt Data'!A$2:A$2051,0)+MATCH(A16,'IncStmt Data'!G$2:G$2051,0))</f>
        <v>#N/A</v>
      </c>
      <c r="BW16" s="46" t="e">
        <f>INDEX('IncStmt Data'!H$1:H$2999,MATCH(BW$1,'IncStmt Data'!A$2:A$2051,0)+MATCH(A16,'IncStmt Data'!G$2:G$2051,0))</f>
        <v>#N/A</v>
      </c>
      <c r="BX16" s="46" t="e">
        <f>INDEX('IncStmt Data'!H$1:H$2999,MATCH(BX$1,'IncStmt Data'!A$2:A$2051,0)+MATCH(A16,'IncStmt Data'!G$2:G$2051,0))</f>
        <v>#N/A</v>
      </c>
      <c r="BY16" s="46" t="e">
        <f>INDEX('IncStmt Data'!H$1:H$2999,MATCH(BY$1,'IncStmt Data'!A$2:A$2051,0)+MATCH(A16,'IncStmt Data'!G$2:G$2051,0))</f>
        <v>#N/A</v>
      </c>
      <c r="BZ16" s="46" t="e">
        <f>INDEX('IncStmt Data'!H$1:H$2999,MATCH(BZ$1,'IncStmt Data'!A$2:A$2051,0)+MATCH(A16,'IncStmt Data'!G$2:G$2051,0))</f>
        <v>#N/A</v>
      </c>
      <c r="CA16" s="46" t="e">
        <f>INDEX('IncStmt Data'!H$1:H$2999,MATCH(CA$1,'IncStmt Data'!A$2:A$2051,0)+MATCH(A16,'IncStmt Data'!G$2:G$2051,0))</f>
        <v>#N/A</v>
      </c>
      <c r="CB16" s="46" t="e">
        <f>INDEX('IncStmt Data'!H$1:H$2999,MATCH(CB$1,'IncStmt Data'!A$2:A$2051,0)+MATCH(A16,'IncStmt Data'!G$2:G$2051,0))</f>
        <v>#N/A</v>
      </c>
      <c r="CC16" s="46" t="e">
        <f>INDEX('IncStmt Data'!H$1:H$2999,MATCH(CC$1,'IncStmt Data'!A$2:A$2051,0)+MATCH(A16,'IncStmt Data'!G$2:G$2051,0))</f>
        <v>#N/A</v>
      </c>
      <c r="CD16" s="46" t="e">
        <f>INDEX('IncStmt Data'!H$1:H$2999,MATCH(CD$1,'IncStmt Data'!A$2:A$2051,0)+MATCH(A16,'IncStmt Data'!G$2:G$2051,0))</f>
        <v>#N/A</v>
      </c>
      <c r="CE16" s="46" t="e">
        <f>INDEX('IncStmt Data'!H$1:H$2999,MATCH(CE$1,'IncStmt Data'!A$2:A$2051,0)+MATCH(A16,'IncStmt Data'!G$2:G$2051,0))</f>
        <v>#N/A</v>
      </c>
      <c r="CF16" s="46" t="e">
        <f>INDEX('IncStmt Data'!H$1:H$2999,MATCH(CF$1,'IncStmt Data'!A$2:A$2051,0)+MATCH(A16,'IncStmt Data'!G$2:G$2051,0))</f>
        <v>#N/A</v>
      </c>
      <c r="CG16" s="46" t="e">
        <f>INDEX('IncStmt Data'!H$1:H$2999,MATCH(CG$1,'IncStmt Data'!A$2:A$2051,0)+MATCH(A16,'IncStmt Data'!G$2:G$2051,0))</f>
        <v>#N/A</v>
      </c>
      <c r="CH16" s="46" t="e">
        <f>INDEX('IncStmt Data'!H$1:H$2999,MATCH(CH$1,'IncStmt Data'!A$2:A$2051,0)+MATCH(A16,'IncStmt Data'!G$2:G$2051,0))</f>
        <v>#N/A</v>
      </c>
      <c r="CI16" s="46" t="e">
        <f>INDEX('IncStmt Data'!H$1:H$2999,MATCH(CI$1,'IncStmt Data'!A$2:A$2051,0)+MATCH(A16,'IncStmt Data'!G$2:G$2051,0))</f>
        <v>#N/A</v>
      </c>
      <c r="CJ16" s="46" t="e">
        <f>INDEX('IncStmt Data'!H$1:H$2999,MATCH(CJ$1,'IncStmt Data'!A$2:A$2051,0)+MATCH(A16,'IncStmt Data'!G$2:G$2051,0))</f>
        <v>#N/A</v>
      </c>
      <c r="CK16" s="46" t="e">
        <f>INDEX('IncStmt Data'!H$1:H$2999,MATCH(CK$1,'IncStmt Data'!A$2:A$2051,0)+MATCH(A16,'IncStmt Data'!G$2:G$2051,0))</f>
        <v>#N/A</v>
      </c>
      <c r="CL16" s="46" t="e">
        <f>INDEX('IncStmt Data'!H$1:H$2999,MATCH(CL$1,'IncStmt Data'!A$2:A$2051,0)+MATCH(A16,'IncStmt Data'!G$2:G$2051,0))</f>
        <v>#N/A</v>
      </c>
      <c r="CM16" s="46" t="e">
        <f>INDEX('IncStmt Data'!H$1:H$2999,MATCH(CM$1,'IncStmt Data'!A$2:A$2051,0)+MATCH(A16,'IncStmt Data'!G$2:G$2051,0))</f>
        <v>#N/A</v>
      </c>
      <c r="CN16" s="46" t="e">
        <f>INDEX('IncStmt Data'!H$1:H$2999,MATCH(CN$1,'IncStmt Data'!A$2:A$2051,0)+MATCH(A16,'IncStmt Data'!G$2:G$2051,0))</f>
        <v>#N/A</v>
      </c>
      <c r="CO16" s="46" t="e">
        <f>INDEX('IncStmt Data'!H$1:H$2999,MATCH(CO$1,'IncStmt Data'!A$2:A$2051,0)+MATCH(A16,'IncStmt Data'!G$2:G$2051,0))</f>
        <v>#N/A</v>
      </c>
      <c r="CP16" s="46" t="e">
        <f>INDEX('IncStmt Data'!H$1:H$2999,MATCH(CP$1,'IncStmt Data'!A$2:A$2051,0)+MATCH(A16,'IncStmt Data'!G$2:G$2051,0))</f>
        <v>#N/A</v>
      </c>
      <c r="CQ16" s="46" t="e">
        <f>INDEX('IncStmt Data'!H$1:H$2999,MATCH(CQ$1,'IncStmt Data'!A$2:A$2051,0)+MATCH(A16,'IncStmt Data'!G$2:G$2051,0))</f>
        <v>#N/A</v>
      </c>
      <c r="CR16" s="46" t="e">
        <f>INDEX('IncStmt Data'!H$1:H$2999,MATCH(CR$1,'IncStmt Data'!A$2:A$2051,0)+MATCH(A16,'IncStmt Data'!G$2:G$2051,0))</f>
        <v>#N/A</v>
      </c>
      <c r="CS16" s="46" t="e">
        <f>INDEX('IncStmt Data'!H$1:H$2999,MATCH(CS$1,'IncStmt Data'!A$2:A$2051,0)+MATCH(A16,'IncStmt Data'!G$2:G$2051,0))</f>
        <v>#N/A</v>
      </c>
      <c r="CT16" s="46" t="e">
        <f>INDEX('IncStmt Data'!H$1:H$2999,MATCH(CT$1,'IncStmt Data'!A$2:A$2051,0)+MATCH(A16,'IncStmt Data'!G$2:G$2051,0))</f>
        <v>#N/A</v>
      </c>
      <c r="CU16" s="46" t="e">
        <f>INDEX('IncStmt Data'!H$1:H$2999,MATCH(CU$1,'IncStmt Data'!A$2:A$2051,0)+MATCH(A16,'IncStmt Data'!G$2:G$2051,0))</f>
        <v>#N/A</v>
      </c>
      <c r="CV16" s="46" t="e">
        <f>INDEX('IncStmt Data'!H$1:H$2999,MATCH(CV$1,'IncStmt Data'!A$2:A$2051,0)+MATCH(A16,'IncStmt Data'!G$2:G$2051,0))</f>
        <v>#N/A</v>
      </c>
      <c r="CW16" s="46" t="e">
        <f>INDEX('IncStmt Data'!H$1:H$2999,MATCH(CW$1,'IncStmt Data'!A$2:A$2051,0)+MATCH(A16,'IncStmt Data'!G$2:G$2051,0))</f>
        <v>#N/A</v>
      </c>
      <c r="CX16" s="46" t="e">
        <f>INDEX('IncStmt Data'!H$1:H$2999,MATCH(CX$1,'IncStmt Data'!A$2:A$2051,0)+MATCH(A16,'IncStmt Data'!G$2:G$2051,0))</f>
        <v>#N/A</v>
      </c>
      <c r="CY16" s="46" t="e">
        <f>INDEX('IncStmt Data'!H$1:H$2999,MATCH(CY$1,'IncStmt Data'!A$2:A$2051,0)+MATCH(A16,'IncStmt Data'!G$2:G$2051,0))</f>
        <v>#N/A</v>
      </c>
      <c r="CZ16" s="46" t="e">
        <f>INDEX('IncStmt Data'!H$1:H$2999,MATCH(CZ$1,'IncStmt Data'!A$2:A$2051,0)+MATCH(A16,'IncStmt Data'!G$2:G$2051,0))</f>
        <v>#N/A</v>
      </c>
    </row>
    <row r="17" spans="1:104" s="46" customFormat="1" x14ac:dyDescent="0.2">
      <c r="A17" s="4" t="s">
        <v>43</v>
      </c>
      <c r="B17" s="46">
        <f>INDEX('IncStmt Data'!H$1:H$2999,MATCH(B$1,'IncStmt Data'!A$2:A$2051,0)+MATCH(A17,'IncStmt Data'!G$2:G$2051,0))</f>
        <v>0</v>
      </c>
      <c r="C17" s="46" t="e">
        <f>INDEX('IncStmt Data'!H$1:H$2999,MATCH(C$1,'IncStmt Data'!A$2:A$2051,0)+MATCH(A17,'IncStmt Data'!G$2:G$2051,0))</f>
        <v>#N/A</v>
      </c>
      <c r="D17" s="46" t="e">
        <f>INDEX('IncStmt Data'!H$1:H$2999,MATCH(D$1,'IncStmt Data'!A$2:A$2051,0)+MATCH(A17,'IncStmt Data'!G$2:G$2051,0))</f>
        <v>#N/A</v>
      </c>
      <c r="E17" s="46" t="e">
        <f>INDEX('IncStmt Data'!H$1:H$2999,MATCH(E$1,'IncStmt Data'!A$2:A$2051,0)+MATCH(A17,'IncStmt Data'!G$2:G$2051,0))</f>
        <v>#N/A</v>
      </c>
      <c r="F17" s="46" t="e">
        <f>INDEX('IncStmt Data'!H$1:H$2999,MATCH(F$1,'IncStmt Data'!A$2:A$2051,0)+MATCH(A17,'IncStmt Data'!G$2:G$2051,0))</f>
        <v>#N/A</v>
      </c>
      <c r="G17" s="46" t="e">
        <f>INDEX('IncStmt Data'!H$1:H$2999,MATCH(G$1,'IncStmt Data'!A$2:A$2051,0)+MATCH(A17,'IncStmt Data'!G$2:G$2051,0))</f>
        <v>#N/A</v>
      </c>
      <c r="H17" s="46" t="e">
        <f>INDEX('IncStmt Data'!H$1:H$2999,MATCH(H$1,'IncStmt Data'!A$2:A$2051,0)+MATCH(A17,'IncStmt Data'!G$2:G$2051,0))</f>
        <v>#N/A</v>
      </c>
      <c r="I17" s="47" t="e">
        <f>INDEX('IncStmt Data'!H$1:H$2999,MATCH(I$1,'IncStmt Data'!A$2:A$2051,0)+MATCH(A17,'IncStmt Data'!G$2:G$2051,0))</f>
        <v>#N/A</v>
      </c>
      <c r="J17" s="46" t="e">
        <f>INDEX('IncStmt Data'!H$1:H$2999,MATCH(J$1,'IncStmt Data'!A$2:A$2051,0)+MATCH(A17,'IncStmt Data'!G$2:G$2051,0))</f>
        <v>#N/A</v>
      </c>
      <c r="K17" s="46" t="e">
        <f>INDEX('IncStmt Data'!H$1:H$2999,MATCH(K$1,'IncStmt Data'!A$2:A$2051,0)+MATCH(A17,'IncStmt Data'!G$2:G$2051,0))</f>
        <v>#N/A</v>
      </c>
      <c r="L17" s="46" t="e">
        <f>INDEX('IncStmt Data'!H$1:H$2999,MATCH(L$1,'IncStmt Data'!A$2:A$2051,0)+MATCH(A17,'IncStmt Data'!G$2:G$2051,0))</f>
        <v>#N/A</v>
      </c>
      <c r="M17" s="46" t="e">
        <f>INDEX('IncStmt Data'!H$1:H$2999,MATCH(M$1,'IncStmt Data'!A$2:A$2051,0)+MATCH(A17,'IncStmt Data'!G$2:G$2051,0))</f>
        <v>#N/A</v>
      </c>
      <c r="N17" s="46" t="e">
        <f>INDEX('IncStmt Data'!H$1:H$2999,MATCH(N$1,'IncStmt Data'!A$2:A$2051,0)+MATCH(A17,'IncStmt Data'!G$2:G$2051,0))</f>
        <v>#N/A</v>
      </c>
      <c r="O17" s="46" t="e">
        <f>INDEX('IncStmt Data'!H$1:H$2999,MATCH(O$1,'IncStmt Data'!A$2:A$2051,0)+MATCH(A17,'IncStmt Data'!G$2:G$2051,0))</f>
        <v>#N/A</v>
      </c>
      <c r="P17" s="46" t="e">
        <f>INDEX('IncStmt Data'!H$1:H$2999,MATCH(P$1,'IncStmt Data'!A$2:A$2051,0)+MATCH(A17,'IncStmt Data'!G$2:G$2051,0))</f>
        <v>#N/A</v>
      </c>
      <c r="Q17" s="46" t="e">
        <f>INDEX('IncStmt Data'!H$1:H$2999,MATCH(Q$1,'IncStmt Data'!A$2:A$2051,0)+MATCH(A17,'IncStmt Data'!G$2:G$2051,0))</f>
        <v>#N/A</v>
      </c>
      <c r="R17" s="46" t="e">
        <f>INDEX('IncStmt Data'!H$1:H$2999,MATCH(R$1,'IncStmt Data'!A$2:A$2051,0)+MATCH(A17,'IncStmt Data'!G$2:G$2051,0))</f>
        <v>#N/A</v>
      </c>
      <c r="S17" s="46" t="e">
        <f>INDEX('IncStmt Data'!H$1:H$2999,MATCH(S$1,'IncStmt Data'!A$2:A$2051,0)+MATCH(A17,'IncStmt Data'!G$2:G$2051,0))</f>
        <v>#N/A</v>
      </c>
      <c r="T17" s="46" t="e">
        <f>INDEX('IncStmt Data'!H$1:H$2999,MATCH(T$1,'IncStmt Data'!A$2:A$2051,0)+MATCH(A17,'IncStmt Data'!G$2:G$2051,0))</f>
        <v>#N/A</v>
      </c>
      <c r="U17" s="46" t="e">
        <f>INDEX('IncStmt Data'!H$1:H$2999,MATCH(U$1,'IncStmt Data'!A$2:A$2051,0)+MATCH(A17,'IncStmt Data'!G$2:G$2051,0))</f>
        <v>#N/A</v>
      </c>
      <c r="V17" s="46" t="e">
        <f>INDEX('IncStmt Data'!H$1:H$2999,MATCH(V$1,'IncStmt Data'!A$2:A$2051,0)+MATCH(A17,'IncStmt Data'!G$2:G$2051,0))</f>
        <v>#N/A</v>
      </c>
      <c r="W17" s="46" t="e">
        <f>INDEX('IncStmt Data'!H$1:H$2999,MATCH(W$1,'IncStmt Data'!A$2:A$2051,0)+MATCH(A17,'IncStmt Data'!G$2:G$2051,0))</f>
        <v>#N/A</v>
      </c>
      <c r="X17" s="46" t="e">
        <f>INDEX('IncStmt Data'!H$1:H$2999,MATCH(X$1,'IncStmt Data'!A$2:A$2051,0)+MATCH(A17,'IncStmt Data'!G$2:G$2051,0))</f>
        <v>#N/A</v>
      </c>
      <c r="Y17" s="46" t="e">
        <f>INDEX('IncStmt Data'!H$1:H$2999,MATCH(Y$1,'IncStmt Data'!A$2:A$2051,0)+MATCH(A17,'IncStmt Data'!G$2:G$2051,0))</f>
        <v>#N/A</v>
      </c>
      <c r="Z17" s="46" t="e">
        <f>INDEX('IncStmt Data'!H$1:H$2999,MATCH(Z$1,'IncStmt Data'!A$2:A$2051,0)+MATCH(A17,'IncStmt Data'!G$2:G$2051,0))</f>
        <v>#N/A</v>
      </c>
      <c r="AA17" s="46" t="e">
        <f>INDEX('IncStmt Data'!H$1:H$2999,MATCH(AA$1,'IncStmt Data'!A$2:A$2051,0)+MATCH(A17,'IncStmt Data'!G$2:G$2051,0))</f>
        <v>#N/A</v>
      </c>
      <c r="AB17" s="46" t="e">
        <f>INDEX('IncStmt Data'!H$1:H$2999,MATCH(AB$1,'IncStmt Data'!A$2:A$2051,0)+MATCH(A17,'IncStmt Data'!G$2:G$2051,0))</f>
        <v>#N/A</v>
      </c>
      <c r="AC17" s="46" t="e">
        <f>INDEX('IncStmt Data'!H$1:H$2999,MATCH(AC$1,'IncStmt Data'!A$2:A$2051,0)+MATCH(A17,'IncStmt Data'!G$2:G$2051,0))</f>
        <v>#N/A</v>
      </c>
      <c r="AD17" s="46" t="e">
        <f>INDEX('IncStmt Data'!H$1:H$2999,MATCH(AD$1,'IncStmt Data'!A$2:A$2051,0)+MATCH(A17,'IncStmt Data'!G$2:G$2051,0))</f>
        <v>#N/A</v>
      </c>
      <c r="AE17" s="46" t="e">
        <f>INDEX('IncStmt Data'!H$1:H$2999,MATCH(AE$1,'IncStmt Data'!A$2:A$2051,0)+MATCH(A17,'IncStmt Data'!G$2:G$2051,0))</f>
        <v>#N/A</v>
      </c>
      <c r="AF17" s="46" t="e">
        <f>INDEX('IncStmt Data'!H$1:H$2999,MATCH(AF$1,'IncStmt Data'!A$2:A$2051,0)+MATCH(A17,'IncStmt Data'!G$2:G$2051,0))</f>
        <v>#N/A</v>
      </c>
      <c r="AG17" s="46" t="e">
        <f>INDEX('IncStmt Data'!H$1:H$2999,MATCH(AG$1,'IncStmt Data'!A$2:A$2051,0)+MATCH(A17,'IncStmt Data'!G$2:G$2051,0))</f>
        <v>#N/A</v>
      </c>
      <c r="AH17" s="46" t="e">
        <f>INDEX('IncStmt Data'!H$1:H$2999,MATCH(AH$1,'IncStmt Data'!A$2:A$2051,0)+MATCH(A17,'IncStmt Data'!G$2:G$2051,0))</f>
        <v>#N/A</v>
      </c>
      <c r="AI17" s="46" t="e">
        <f>INDEX('IncStmt Data'!H$1:H$2999,MATCH(AI$1,'IncStmt Data'!A$2:A$2051,0)+MATCH(A17,'IncStmt Data'!G$2:G$2051,0))</f>
        <v>#N/A</v>
      </c>
      <c r="AJ17" s="46" t="e">
        <f>INDEX('IncStmt Data'!H$1:H$2999,MATCH(AJ$1,'IncStmt Data'!A$2:A$2051,0)+MATCH(A17,'IncStmt Data'!G$2:G$2051,0))</f>
        <v>#N/A</v>
      </c>
      <c r="AK17" s="46" t="e">
        <f>INDEX('IncStmt Data'!H$1:H$2999,MATCH(AK$1,'IncStmt Data'!A$2:A$2051,0)+MATCH(A17,'IncStmt Data'!G$2:G$2051,0))</f>
        <v>#N/A</v>
      </c>
      <c r="AL17" s="46">
        <f>INDEX('IncStmt Data'!H$1:H$2999,MATCH(AL$1,'IncStmt Data'!A$2:A$2051,0)+MATCH(A17,'IncStmt Data'!G$2:G$2051,0))</f>
        <v>0</v>
      </c>
      <c r="AM17" s="46">
        <f>INDEX('IncStmt Data'!H$1:H$2999,MATCH(AM$1,'IncStmt Data'!A$2:A$2051,0)+MATCH(A17,'IncStmt Data'!G$2:G$2051,0))</f>
        <v>0</v>
      </c>
      <c r="AN17" s="46">
        <f>INDEX('IncStmt Data'!H$1:H$2999,MATCH(AN$1,'IncStmt Data'!A$2:A$2051,0)+MATCH(A17,'IncStmt Data'!G$2:G$2051,0))</f>
        <v>0</v>
      </c>
      <c r="AO17" s="46">
        <f>INDEX('IncStmt Data'!H$1:H$2999,MATCH(AO$1,'IncStmt Data'!A$2:A$2051,0)+MATCH(A17,'IncStmt Data'!G$2:G$2051,0))</f>
        <v>0</v>
      </c>
      <c r="AP17" s="46" t="e">
        <f>INDEX('IncStmt Data'!H$1:H$2999,MATCH(AP$1,'IncStmt Data'!A$2:A$2051,0)+MATCH(A17,'IncStmt Data'!G$2:G$2051,0))</f>
        <v>#N/A</v>
      </c>
      <c r="AQ17" s="46" t="e">
        <f>INDEX('IncStmt Data'!H$1:H$2999,MATCH(AQ$1,'IncStmt Data'!A$2:A$2051,0)+MATCH(A17,'IncStmt Data'!G$2:G$2051,0))</f>
        <v>#N/A</v>
      </c>
      <c r="AR17" s="46" t="e">
        <f>INDEX('IncStmt Data'!H$1:H$2999,MATCH(AR$1,'IncStmt Data'!A$2:A$2051,0)+MATCH(A17,'IncStmt Data'!G$2:G$2051,0))</f>
        <v>#N/A</v>
      </c>
      <c r="AS17" s="46" t="e">
        <f>INDEX('IncStmt Data'!H$1:H$2999,MATCH(AS$1,'IncStmt Data'!A$2:A$2051,0)+MATCH(A17,'IncStmt Data'!G$2:G$2051,0))</f>
        <v>#N/A</v>
      </c>
      <c r="AT17" s="46" t="e">
        <f>INDEX('IncStmt Data'!H$1:H$2999,MATCH(AT$1,'IncStmt Data'!A$2:A$2051,0)+MATCH(A17,'IncStmt Data'!G$2:G$2051,0))</f>
        <v>#N/A</v>
      </c>
      <c r="AU17" s="46" t="e">
        <f>INDEX('IncStmt Data'!H$1:H$2999,MATCH(AU$1,'IncStmt Data'!A$2:A$2051,0)+MATCH(A17,'IncStmt Data'!G$2:G$2051,0))</f>
        <v>#N/A</v>
      </c>
      <c r="AV17" s="46" t="e">
        <f>INDEX('IncStmt Data'!H$1:H$2999,MATCH(AV$1,'IncStmt Data'!A$2:A$2051,0)+MATCH(A17,'IncStmt Data'!G$2:G$2051,0))</f>
        <v>#N/A</v>
      </c>
      <c r="AW17" s="46" t="e">
        <f>INDEX('IncStmt Data'!H$1:H$2999,MATCH(AW$1,'IncStmt Data'!A$2:A$2051,0)+MATCH(A17,'IncStmt Data'!G$2:G$2051,0))</f>
        <v>#N/A</v>
      </c>
      <c r="AX17" s="46" t="e">
        <f>INDEX('IncStmt Data'!H$1:H$2999,MATCH(AX$1,'IncStmt Data'!A$2:A$2051,0)+MATCH(A17,'IncStmt Data'!G$2:G$2051,0))</f>
        <v>#N/A</v>
      </c>
      <c r="AY17" s="46" t="e">
        <f>INDEX('IncStmt Data'!H$1:H$2999,MATCH(AY$1,'IncStmt Data'!A$2:A$2051,0)+MATCH(A17,'IncStmt Data'!G$2:G$2051,0))</f>
        <v>#N/A</v>
      </c>
      <c r="AZ17" s="46" t="e">
        <f>INDEX('IncStmt Data'!H$1:H$2999,MATCH(AZ$1,'IncStmt Data'!A$2:A$2051,0)+MATCH(A17,'IncStmt Data'!G$2:G$2051,0))</f>
        <v>#N/A</v>
      </c>
      <c r="BA17" s="46" t="e">
        <f>INDEX('IncStmt Data'!H$1:H$2999,MATCH(BA$1,'IncStmt Data'!A$2:A$2051,0)+MATCH(A17,'IncStmt Data'!G$2:G$2051,0))</f>
        <v>#N/A</v>
      </c>
      <c r="BB17" s="46" t="e">
        <f>INDEX('IncStmt Data'!H$1:H$2999,MATCH(BB$1,'IncStmt Data'!A$2:A$2051,0)+MATCH(A17,'IncStmt Data'!G$2:G$2051,0))</f>
        <v>#N/A</v>
      </c>
      <c r="BC17" s="46" t="e">
        <f>INDEX('IncStmt Data'!H$1:H$2999,MATCH(BC$1,'IncStmt Data'!A$2:A$2051,0)+MATCH(A17,'IncStmt Data'!G$2:G$2051,0))</f>
        <v>#N/A</v>
      </c>
      <c r="BD17" s="46" t="e">
        <f>INDEX('IncStmt Data'!H$1:H$2999,MATCH(BD$1,'IncStmt Data'!A$2:A$2051,0)+MATCH(A17,'IncStmt Data'!G$2:G$2051,0))</f>
        <v>#N/A</v>
      </c>
      <c r="BE17" s="46" t="e">
        <f>INDEX('IncStmt Data'!H$1:H$2999,MATCH(BE$1,'IncStmt Data'!A$2:A$2051,0)+MATCH(A17,'IncStmt Data'!G$2:G$2051,0))</f>
        <v>#N/A</v>
      </c>
      <c r="BF17" s="46" t="e">
        <f>INDEX('IncStmt Data'!H$1:H$2999,MATCH(BF$1,'IncStmt Data'!A$2:A$2051,0)+MATCH(A17,'IncStmt Data'!G$2:G$2051,0))</f>
        <v>#N/A</v>
      </c>
      <c r="BG17" s="46" t="e">
        <f>INDEX('IncStmt Data'!H$1:H$2999,MATCH(BG$1,'IncStmt Data'!A$2:A$2051,0)+MATCH(A17,'IncStmt Data'!G$2:G$2051,0))</f>
        <v>#N/A</v>
      </c>
      <c r="BH17" s="46" t="e">
        <f>INDEX('IncStmt Data'!H$1:H$2999,MATCH(BH$1,'IncStmt Data'!A$2:A$2051,0)+MATCH(A17,'IncStmt Data'!G$2:G$2051,0))</f>
        <v>#N/A</v>
      </c>
      <c r="BI17" s="46" t="e">
        <f>INDEX('IncStmt Data'!H$1:H$2999,MATCH(BI$1,'IncStmt Data'!A$2:A$2051,0)+MATCH(A17,'IncStmt Data'!G$2:G$2051,0))</f>
        <v>#N/A</v>
      </c>
      <c r="BJ17" s="46" t="e">
        <f>INDEX('IncStmt Data'!H$1:H$2999,MATCH(BJ$1,'IncStmt Data'!A$2:A$2051,0)+MATCH(A17,'IncStmt Data'!G$2:G$2051,0))</f>
        <v>#N/A</v>
      </c>
      <c r="BK17" s="46" t="e">
        <f>INDEX('IncStmt Data'!H$1:H$2999,MATCH(BK$1,'IncStmt Data'!A$2:A$2051,0)+MATCH(A17,'IncStmt Data'!G$2:G$2051,0))</f>
        <v>#N/A</v>
      </c>
      <c r="BL17" s="46" t="e">
        <f>INDEX('IncStmt Data'!H$1:H$2999,MATCH(BL$1,'IncStmt Data'!A$2:A$2051,0)+MATCH(A17,'IncStmt Data'!G$2:G$2051,0))</f>
        <v>#N/A</v>
      </c>
      <c r="BM17" s="46" t="e">
        <f>INDEX('IncStmt Data'!H$1:H$2999,MATCH(BM$1,'IncStmt Data'!A$2:A$2051,0)+MATCH(A17,'IncStmt Data'!G$2:G$2051,0))</f>
        <v>#N/A</v>
      </c>
      <c r="BN17" s="46" t="e">
        <f>INDEX('IncStmt Data'!H$1:H$2999,MATCH(BN$1,'IncStmt Data'!A$2:A$2051,0)+MATCH(A17,'IncStmt Data'!G$2:G$2051,0))</f>
        <v>#N/A</v>
      </c>
      <c r="BO17" s="46" t="e">
        <f>INDEX('IncStmt Data'!H$1:H$2999,MATCH(BO$1,'IncStmt Data'!A$2:A$2051,0)+MATCH(A17,'IncStmt Data'!G$2:G$2051,0))</f>
        <v>#N/A</v>
      </c>
      <c r="BP17" s="46" t="e">
        <f>INDEX('IncStmt Data'!H$1:H$2999,MATCH(BP$1,'IncStmt Data'!A$2:A$2051,0)+MATCH(A17,'IncStmt Data'!G$2:G$2051,0))</f>
        <v>#N/A</v>
      </c>
      <c r="BQ17" s="46" t="e">
        <f>INDEX('IncStmt Data'!H$1:H$2999,MATCH(BQ$1,'IncStmt Data'!A$2:A$2051,0)+MATCH(A17,'IncStmt Data'!G$2:G$2051,0))</f>
        <v>#N/A</v>
      </c>
      <c r="BR17" s="46" t="e">
        <f>INDEX('IncStmt Data'!H$1:H$2999,MATCH(BR$1,'IncStmt Data'!A$2:A$2051,0)+MATCH(A17,'IncStmt Data'!G$2:G$2051,0))</f>
        <v>#N/A</v>
      </c>
      <c r="BS17" s="46" t="e">
        <f>INDEX('IncStmt Data'!H$1:H$2999,MATCH(BS$1,'IncStmt Data'!A$2:A$2051,0)+MATCH(A17,'IncStmt Data'!G$2:G$2051,0))</f>
        <v>#N/A</v>
      </c>
      <c r="BT17" s="46" t="e">
        <f>INDEX('IncStmt Data'!H$1:H$2999,MATCH(BT$1,'IncStmt Data'!A$2:A$2051,0)+MATCH(A17,'IncStmt Data'!G$2:G$2051,0))</f>
        <v>#N/A</v>
      </c>
      <c r="BU17" s="46" t="e">
        <f>INDEX('IncStmt Data'!H$1:H$2999,MATCH(BU$1,'IncStmt Data'!A$2:A$2051,0)+MATCH(A17,'IncStmt Data'!G$2:G$2051,0))</f>
        <v>#N/A</v>
      </c>
      <c r="BV17" s="46" t="e">
        <f>INDEX('IncStmt Data'!H$1:H$2999,MATCH(BV$1,'IncStmt Data'!A$2:A$2051,0)+MATCH(A17,'IncStmt Data'!G$2:G$2051,0))</f>
        <v>#N/A</v>
      </c>
      <c r="BW17" s="46" t="e">
        <f>INDEX('IncStmt Data'!H$1:H$2999,MATCH(BW$1,'IncStmt Data'!A$2:A$2051,0)+MATCH(A17,'IncStmt Data'!G$2:G$2051,0))</f>
        <v>#N/A</v>
      </c>
      <c r="BX17" s="46" t="e">
        <f>INDEX('IncStmt Data'!H$1:H$2999,MATCH(BX$1,'IncStmt Data'!A$2:A$2051,0)+MATCH(A17,'IncStmt Data'!G$2:G$2051,0))</f>
        <v>#N/A</v>
      </c>
      <c r="BY17" s="46" t="e">
        <f>INDEX('IncStmt Data'!H$1:H$2999,MATCH(BY$1,'IncStmt Data'!A$2:A$2051,0)+MATCH(A17,'IncStmt Data'!G$2:G$2051,0))</f>
        <v>#N/A</v>
      </c>
      <c r="BZ17" s="46" t="e">
        <f>INDEX('IncStmt Data'!H$1:H$2999,MATCH(BZ$1,'IncStmt Data'!A$2:A$2051,0)+MATCH(A17,'IncStmt Data'!G$2:G$2051,0))</f>
        <v>#N/A</v>
      </c>
      <c r="CA17" s="46" t="e">
        <f>INDEX('IncStmt Data'!H$1:H$2999,MATCH(CA$1,'IncStmt Data'!A$2:A$2051,0)+MATCH(A17,'IncStmt Data'!G$2:G$2051,0))</f>
        <v>#N/A</v>
      </c>
      <c r="CB17" s="46" t="e">
        <f>INDEX('IncStmt Data'!H$1:H$2999,MATCH(CB$1,'IncStmt Data'!A$2:A$2051,0)+MATCH(A17,'IncStmt Data'!G$2:G$2051,0))</f>
        <v>#N/A</v>
      </c>
      <c r="CC17" s="46" t="e">
        <f>INDEX('IncStmt Data'!H$1:H$2999,MATCH(CC$1,'IncStmt Data'!A$2:A$2051,0)+MATCH(A17,'IncStmt Data'!G$2:G$2051,0))</f>
        <v>#N/A</v>
      </c>
      <c r="CD17" s="46" t="e">
        <f>INDEX('IncStmt Data'!H$1:H$2999,MATCH(CD$1,'IncStmt Data'!A$2:A$2051,0)+MATCH(A17,'IncStmt Data'!G$2:G$2051,0))</f>
        <v>#N/A</v>
      </c>
      <c r="CE17" s="46" t="e">
        <f>INDEX('IncStmt Data'!H$1:H$2999,MATCH(CE$1,'IncStmt Data'!A$2:A$2051,0)+MATCH(A17,'IncStmt Data'!G$2:G$2051,0))</f>
        <v>#N/A</v>
      </c>
      <c r="CF17" s="46" t="e">
        <f>INDEX('IncStmt Data'!H$1:H$2999,MATCH(CF$1,'IncStmt Data'!A$2:A$2051,0)+MATCH(A17,'IncStmt Data'!G$2:G$2051,0))</f>
        <v>#N/A</v>
      </c>
      <c r="CG17" s="46" t="e">
        <f>INDEX('IncStmt Data'!H$1:H$2999,MATCH(CG$1,'IncStmt Data'!A$2:A$2051,0)+MATCH(A17,'IncStmt Data'!G$2:G$2051,0))</f>
        <v>#N/A</v>
      </c>
      <c r="CH17" s="46" t="e">
        <f>INDEX('IncStmt Data'!H$1:H$2999,MATCH(CH$1,'IncStmt Data'!A$2:A$2051,0)+MATCH(A17,'IncStmt Data'!G$2:G$2051,0))</f>
        <v>#N/A</v>
      </c>
      <c r="CI17" s="46" t="e">
        <f>INDEX('IncStmt Data'!H$1:H$2999,MATCH(CI$1,'IncStmt Data'!A$2:A$2051,0)+MATCH(A17,'IncStmt Data'!G$2:G$2051,0))</f>
        <v>#N/A</v>
      </c>
      <c r="CJ17" s="46" t="e">
        <f>INDEX('IncStmt Data'!H$1:H$2999,MATCH(CJ$1,'IncStmt Data'!A$2:A$2051,0)+MATCH(A17,'IncStmt Data'!G$2:G$2051,0))</f>
        <v>#N/A</v>
      </c>
      <c r="CK17" s="46" t="e">
        <f>INDEX('IncStmt Data'!H$1:H$2999,MATCH(CK$1,'IncStmt Data'!A$2:A$2051,0)+MATCH(A17,'IncStmt Data'!G$2:G$2051,0))</f>
        <v>#N/A</v>
      </c>
      <c r="CL17" s="46" t="e">
        <f>INDEX('IncStmt Data'!H$1:H$2999,MATCH(CL$1,'IncStmt Data'!A$2:A$2051,0)+MATCH(A17,'IncStmt Data'!G$2:G$2051,0))</f>
        <v>#N/A</v>
      </c>
      <c r="CM17" s="46" t="e">
        <f>INDEX('IncStmt Data'!H$1:H$2999,MATCH(CM$1,'IncStmt Data'!A$2:A$2051,0)+MATCH(A17,'IncStmt Data'!G$2:G$2051,0))</f>
        <v>#N/A</v>
      </c>
      <c r="CN17" s="46" t="e">
        <f>INDEX('IncStmt Data'!H$1:H$2999,MATCH(CN$1,'IncStmt Data'!A$2:A$2051,0)+MATCH(A17,'IncStmt Data'!G$2:G$2051,0))</f>
        <v>#N/A</v>
      </c>
      <c r="CO17" s="46" t="e">
        <f>INDEX('IncStmt Data'!H$1:H$2999,MATCH(CO$1,'IncStmt Data'!A$2:A$2051,0)+MATCH(A17,'IncStmt Data'!G$2:G$2051,0))</f>
        <v>#N/A</v>
      </c>
      <c r="CP17" s="46" t="e">
        <f>INDEX('IncStmt Data'!H$1:H$2999,MATCH(CP$1,'IncStmt Data'!A$2:A$2051,0)+MATCH(A17,'IncStmt Data'!G$2:G$2051,0))</f>
        <v>#N/A</v>
      </c>
      <c r="CQ17" s="46" t="e">
        <f>INDEX('IncStmt Data'!H$1:H$2999,MATCH(CQ$1,'IncStmt Data'!A$2:A$2051,0)+MATCH(A17,'IncStmt Data'!G$2:G$2051,0))</f>
        <v>#N/A</v>
      </c>
      <c r="CR17" s="46" t="e">
        <f>INDEX('IncStmt Data'!H$1:H$2999,MATCH(CR$1,'IncStmt Data'!A$2:A$2051,0)+MATCH(A17,'IncStmt Data'!G$2:G$2051,0))</f>
        <v>#N/A</v>
      </c>
      <c r="CS17" s="46" t="e">
        <f>INDEX('IncStmt Data'!H$1:H$2999,MATCH(CS$1,'IncStmt Data'!A$2:A$2051,0)+MATCH(A17,'IncStmt Data'!G$2:G$2051,0))</f>
        <v>#N/A</v>
      </c>
      <c r="CT17" s="46" t="e">
        <f>INDEX('IncStmt Data'!H$1:H$2999,MATCH(CT$1,'IncStmt Data'!A$2:A$2051,0)+MATCH(A17,'IncStmt Data'!G$2:G$2051,0))</f>
        <v>#N/A</v>
      </c>
      <c r="CU17" s="46" t="e">
        <f>INDEX('IncStmt Data'!H$1:H$2999,MATCH(CU$1,'IncStmt Data'!A$2:A$2051,0)+MATCH(A17,'IncStmt Data'!G$2:G$2051,0))</f>
        <v>#N/A</v>
      </c>
      <c r="CV17" s="46" t="e">
        <f>INDEX('IncStmt Data'!H$1:H$2999,MATCH(CV$1,'IncStmt Data'!A$2:A$2051,0)+MATCH(A17,'IncStmt Data'!G$2:G$2051,0))</f>
        <v>#N/A</v>
      </c>
      <c r="CW17" s="46" t="e">
        <f>INDEX('IncStmt Data'!H$1:H$2999,MATCH(CW$1,'IncStmt Data'!A$2:A$2051,0)+MATCH(A17,'IncStmt Data'!G$2:G$2051,0))</f>
        <v>#N/A</v>
      </c>
      <c r="CX17" s="46" t="e">
        <f>INDEX('IncStmt Data'!H$1:H$2999,MATCH(CX$1,'IncStmt Data'!A$2:A$2051,0)+MATCH(A17,'IncStmt Data'!G$2:G$2051,0))</f>
        <v>#N/A</v>
      </c>
      <c r="CY17" s="46" t="e">
        <f>INDEX('IncStmt Data'!H$1:H$2999,MATCH(CY$1,'IncStmt Data'!A$2:A$2051,0)+MATCH(A17,'IncStmt Data'!G$2:G$2051,0))</f>
        <v>#N/A</v>
      </c>
      <c r="CZ17" s="46" t="e">
        <f>INDEX('IncStmt Data'!H$1:H$2999,MATCH(CZ$1,'IncStmt Data'!A$2:A$2051,0)+MATCH(A17,'IncStmt Data'!G$2:G$2051,0))</f>
        <v>#N/A</v>
      </c>
    </row>
    <row r="18" spans="1:104" s="46" customFormat="1" x14ac:dyDescent="0.2">
      <c r="A18" s="4" t="s">
        <v>44</v>
      </c>
      <c r="B18" s="46">
        <f>INDEX('IncStmt Data'!H$1:H$2999,MATCH(B$1,'IncStmt Data'!A$2:A$2051,0)+MATCH(A18,'IncStmt Data'!G$2:G$2051,0))</f>
        <v>25</v>
      </c>
      <c r="C18" s="46" t="e">
        <f>INDEX('IncStmt Data'!H$1:H$2999,MATCH(C$1,'IncStmt Data'!A$2:A$2051,0)+MATCH(A18,'IncStmt Data'!G$2:G$2051,0))</f>
        <v>#N/A</v>
      </c>
      <c r="D18" s="46" t="e">
        <f>INDEX('IncStmt Data'!H$1:H$2999,MATCH(D$1,'IncStmt Data'!A$2:A$2051,0)+MATCH(A18,'IncStmt Data'!G$2:G$2051,0))</f>
        <v>#N/A</v>
      </c>
      <c r="E18" s="46" t="e">
        <f>INDEX('IncStmt Data'!H$1:H$2999,MATCH(E$1,'IncStmt Data'!A$2:A$2051,0)+MATCH(A18,'IncStmt Data'!G$2:G$2051,0))</f>
        <v>#N/A</v>
      </c>
      <c r="F18" s="46" t="e">
        <f>INDEX('IncStmt Data'!H$1:H$2999,MATCH(F$1,'IncStmt Data'!A$2:A$2051,0)+MATCH(A18,'IncStmt Data'!G$2:G$2051,0))</f>
        <v>#N/A</v>
      </c>
      <c r="G18" s="46" t="e">
        <f>INDEX('IncStmt Data'!H$1:H$2999,MATCH(G$1,'IncStmt Data'!A$2:A$2051,0)+MATCH(A18,'IncStmt Data'!G$2:G$2051,0))</f>
        <v>#N/A</v>
      </c>
      <c r="H18" s="46" t="e">
        <f>INDEX('IncStmt Data'!H$1:H$2999,MATCH(H$1,'IncStmt Data'!A$2:A$2051,0)+MATCH(A18,'IncStmt Data'!G$2:G$2051,0))</f>
        <v>#N/A</v>
      </c>
      <c r="I18" s="47" t="e">
        <f>INDEX('IncStmt Data'!H$1:H$2999,MATCH(I$1,'IncStmt Data'!A$2:A$2051,0)+MATCH(A18,'IncStmt Data'!G$2:G$2051,0))</f>
        <v>#N/A</v>
      </c>
      <c r="J18" s="46" t="e">
        <f>INDEX('IncStmt Data'!H$1:H$2999,MATCH(J$1,'IncStmt Data'!A$2:A$2051,0)+MATCH(A18,'IncStmt Data'!G$2:G$2051,0))</f>
        <v>#N/A</v>
      </c>
      <c r="K18" s="46" t="e">
        <f>INDEX('IncStmt Data'!H$1:H$2999,MATCH(K$1,'IncStmt Data'!A$2:A$2051,0)+MATCH(A18,'IncStmt Data'!G$2:G$2051,0))</f>
        <v>#N/A</v>
      </c>
      <c r="L18" s="46" t="e">
        <f>INDEX('IncStmt Data'!H$1:H$2999,MATCH(L$1,'IncStmt Data'!A$2:A$2051,0)+MATCH(A18,'IncStmt Data'!G$2:G$2051,0))</f>
        <v>#N/A</v>
      </c>
      <c r="M18" s="46" t="e">
        <f>INDEX('IncStmt Data'!H$1:H$2999,MATCH(M$1,'IncStmt Data'!A$2:A$2051,0)+MATCH(A18,'IncStmt Data'!G$2:G$2051,0))</f>
        <v>#N/A</v>
      </c>
      <c r="N18" s="46" t="e">
        <f>INDEX('IncStmt Data'!H$1:H$2999,MATCH(N$1,'IncStmt Data'!A$2:A$2051,0)+MATCH(A18,'IncStmt Data'!G$2:G$2051,0))</f>
        <v>#N/A</v>
      </c>
      <c r="O18" s="46" t="e">
        <f>INDEX('IncStmt Data'!H$1:H$2999,MATCH(O$1,'IncStmt Data'!A$2:A$2051,0)+MATCH(A18,'IncStmt Data'!G$2:G$2051,0))</f>
        <v>#N/A</v>
      </c>
      <c r="P18" s="46" t="e">
        <f>INDEX('IncStmt Data'!H$1:H$2999,MATCH(P$1,'IncStmt Data'!A$2:A$2051,0)+MATCH(A18,'IncStmt Data'!G$2:G$2051,0))</f>
        <v>#N/A</v>
      </c>
      <c r="Q18" s="46" t="e">
        <f>INDEX('IncStmt Data'!H$1:H$2999,MATCH(Q$1,'IncStmt Data'!A$2:A$2051,0)+MATCH(A18,'IncStmt Data'!G$2:G$2051,0))</f>
        <v>#N/A</v>
      </c>
      <c r="R18" s="46" t="e">
        <f>INDEX('IncStmt Data'!H$1:H$2999,MATCH(R$1,'IncStmt Data'!A$2:A$2051,0)+MATCH(A18,'IncStmt Data'!G$2:G$2051,0))</f>
        <v>#N/A</v>
      </c>
      <c r="S18" s="46" t="e">
        <f>INDEX('IncStmt Data'!H$1:H$2999,MATCH(S$1,'IncStmt Data'!A$2:A$2051,0)+MATCH(A18,'IncStmt Data'!G$2:G$2051,0))</f>
        <v>#N/A</v>
      </c>
      <c r="T18" s="46" t="e">
        <f>INDEX('IncStmt Data'!H$1:H$2999,MATCH(T$1,'IncStmt Data'!A$2:A$2051,0)+MATCH(A18,'IncStmt Data'!G$2:G$2051,0))</f>
        <v>#N/A</v>
      </c>
      <c r="U18" s="46" t="e">
        <f>INDEX('IncStmt Data'!H$1:H$2999,MATCH(U$1,'IncStmt Data'!A$2:A$2051,0)+MATCH(A18,'IncStmt Data'!G$2:G$2051,0))</f>
        <v>#N/A</v>
      </c>
      <c r="V18" s="46" t="e">
        <f>INDEX('IncStmt Data'!H$1:H$2999,MATCH(V$1,'IncStmt Data'!A$2:A$2051,0)+MATCH(A18,'IncStmt Data'!G$2:G$2051,0))</f>
        <v>#N/A</v>
      </c>
      <c r="W18" s="46" t="e">
        <f>INDEX('IncStmt Data'!H$1:H$2999,MATCH(W$1,'IncStmt Data'!A$2:A$2051,0)+MATCH(A18,'IncStmt Data'!G$2:G$2051,0))</f>
        <v>#N/A</v>
      </c>
      <c r="X18" s="46" t="e">
        <f>INDEX('IncStmt Data'!H$1:H$2999,MATCH(X$1,'IncStmt Data'!A$2:A$2051,0)+MATCH(A18,'IncStmt Data'!G$2:G$2051,0))</f>
        <v>#N/A</v>
      </c>
      <c r="Y18" s="46" t="e">
        <f>INDEX('IncStmt Data'!H$1:H$2999,MATCH(Y$1,'IncStmt Data'!A$2:A$2051,0)+MATCH(A18,'IncStmt Data'!G$2:G$2051,0))</f>
        <v>#N/A</v>
      </c>
      <c r="Z18" s="46" t="e">
        <f>INDEX('IncStmt Data'!H$1:H$2999,MATCH(Z$1,'IncStmt Data'!A$2:A$2051,0)+MATCH(A18,'IncStmt Data'!G$2:G$2051,0))</f>
        <v>#N/A</v>
      </c>
      <c r="AA18" s="46" t="e">
        <f>INDEX('IncStmt Data'!H$1:H$2999,MATCH(AA$1,'IncStmt Data'!A$2:A$2051,0)+MATCH(A18,'IncStmt Data'!G$2:G$2051,0))</f>
        <v>#N/A</v>
      </c>
      <c r="AB18" s="46" t="e">
        <f>INDEX('IncStmt Data'!H$1:H$2999,MATCH(AB$1,'IncStmt Data'!A$2:A$2051,0)+MATCH(A18,'IncStmt Data'!G$2:G$2051,0))</f>
        <v>#N/A</v>
      </c>
      <c r="AC18" s="46" t="e">
        <f>INDEX('IncStmt Data'!H$1:H$2999,MATCH(AC$1,'IncStmt Data'!A$2:A$2051,0)+MATCH(A18,'IncStmt Data'!G$2:G$2051,0))</f>
        <v>#N/A</v>
      </c>
      <c r="AD18" s="46" t="e">
        <f>INDEX('IncStmt Data'!H$1:H$2999,MATCH(AD$1,'IncStmt Data'!A$2:A$2051,0)+MATCH(A18,'IncStmt Data'!G$2:G$2051,0))</f>
        <v>#N/A</v>
      </c>
      <c r="AE18" s="46" t="e">
        <f>INDEX('IncStmt Data'!H$1:H$2999,MATCH(AE$1,'IncStmt Data'!A$2:A$2051,0)+MATCH(A18,'IncStmt Data'!G$2:G$2051,0))</f>
        <v>#N/A</v>
      </c>
      <c r="AF18" s="46" t="e">
        <f>INDEX('IncStmt Data'!H$1:H$2999,MATCH(AF$1,'IncStmt Data'!A$2:A$2051,0)+MATCH(A18,'IncStmt Data'!G$2:G$2051,0))</f>
        <v>#N/A</v>
      </c>
      <c r="AG18" s="46" t="e">
        <f>INDEX('IncStmt Data'!H$1:H$2999,MATCH(AG$1,'IncStmt Data'!A$2:A$2051,0)+MATCH(A18,'IncStmt Data'!G$2:G$2051,0))</f>
        <v>#N/A</v>
      </c>
      <c r="AH18" s="46" t="e">
        <f>INDEX('IncStmt Data'!H$1:H$2999,MATCH(AH$1,'IncStmt Data'!A$2:A$2051,0)+MATCH(A18,'IncStmt Data'!G$2:G$2051,0))</f>
        <v>#N/A</v>
      </c>
      <c r="AI18" s="46" t="e">
        <f>INDEX('IncStmt Data'!H$1:H$2999,MATCH(AI$1,'IncStmt Data'!A$2:A$2051,0)+MATCH(A18,'IncStmt Data'!G$2:G$2051,0))</f>
        <v>#N/A</v>
      </c>
      <c r="AJ18" s="46" t="e">
        <f>INDEX('IncStmt Data'!H$1:H$2999,MATCH(AJ$1,'IncStmt Data'!A$2:A$2051,0)+MATCH(A18,'IncStmt Data'!G$2:G$2051,0))</f>
        <v>#N/A</v>
      </c>
      <c r="AK18" s="46" t="e">
        <f>INDEX('IncStmt Data'!H$1:H$2999,MATCH(AK$1,'IncStmt Data'!A$2:A$2051,0)+MATCH(A18,'IncStmt Data'!G$2:G$2051,0))</f>
        <v>#N/A</v>
      </c>
      <c r="AL18" s="46">
        <f>INDEX('IncStmt Data'!H$1:H$2999,MATCH(AL$1,'IncStmt Data'!A$2:A$2051,0)+MATCH(A18,'IncStmt Data'!G$2:G$2051,0))</f>
        <v>0</v>
      </c>
      <c r="AM18" s="46">
        <f>INDEX('IncStmt Data'!H$1:H$2999,MATCH(AM$1,'IncStmt Data'!A$2:A$2051,0)+MATCH(A18,'IncStmt Data'!G$2:G$2051,0))</f>
        <v>430</v>
      </c>
      <c r="AN18" s="46">
        <f>INDEX('IncStmt Data'!H$1:H$2999,MATCH(AN$1,'IncStmt Data'!A$2:A$2051,0)+MATCH(A18,'IncStmt Data'!G$2:G$2051,0))</f>
        <v>430</v>
      </c>
      <c r="AO18" s="46">
        <f>INDEX('IncStmt Data'!H$1:H$2999,MATCH(AO$1,'IncStmt Data'!A$2:A$2051,0)+MATCH(A18,'IncStmt Data'!G$2:G$2051,0))</f>
        <v>0</v>
      </c>
      <c r="AP18" s="46" t="e">
        <f>INDEX('IncStmt Data'!H$1:H$2999,MATCH(AP$1,'IncStmt Data'!A$2:A$2051,0)+MATCH(A18,'IncStmt Data'!G$2:G$2051,0))</f>
        <v>#N/A</v>
      </c>
      <c r="AQ18" s="46" t="e">
        <f>INDEX('IncStmt Data'!H$1:H$2999,MATCH(AQ$1,'IncStmt Data'!A$2:A$2051,0)+MATCH(A18,'IncStmt Data'!G$2:G$2051,0))</f>
        <v>#N/A</v>
      </c>
      <c r="AR18" s="46" t="e">
        <f>INDEX('IncStmt Data'!H$1:H$2999,MATCH(AR$1,'IncStmt Data'!A$2:A$2051,0)+MATCH(A18,'IncStmt Data'!G$2:G$2051,0))</f>
        <v>#N/A</v>
      </c>
      <c r="AS18" s="46" t="e">
        <f>INDEX('IncStmt Data'!H$1:H$2999,MATCH(AS$1,'IncStmt Data'!A$2:A$2051,0)+MATCH(A18,'IncStmt Data'!G$2:G$2051,0))</f>
        <v>#N/A</v>
      </c>
      <c r="AT18" s="46" t="e">
        <f>INDEX('IncStmt Data'!H$1:H$2999,MATCH(AT$1,'IncStmt Data'!A$2:A$2051,0)+MATCH(A18,'IncStmt Data'!G$2:G$2051,0))</f>
        <v>#N/A</v>
      </c>
      <c r="AU18" s="46" t="e">
        <f>INDEX('IncStmt Data'!H$1:H$2999,MATCH(AU$1,'IncStmt Data'!A$2:A$2051,0)+MATCH(A18,'IncStmt Data'!G$2:G$2051,0))</f>
        <v>#N/A</v>
      </c>
      <c r="AV18" s="46" t="e">
        <f>INDEX('IncStmt Data'!H$1:H$2999,MATCH(AV$1,'IncStmt Data'!A$2:A$2051,0)+MATCH(A18,'IncStmt Data'!G$2:G$2051,0))</f>
        <v>#N/A</v>
      </c>
      <c r="AW18" s="46" t="e">
        <f>INDEX('IncStmt Data'!H$1:H$2999,MATCH(AW$1,'IncStmt Data'!A$2:A$2051,0)+MATCH(A18,'IncStmt Data'!G$2:G$2051,0))</f>
        <v>#N/A</v>
      </c>
      <c r="AX18" s="46" t="e">
        <f>INDEX('IncStmt Data'!H$1:H$2999,MATCH(AX$1,'IncStmt Data'!A$2:A$2051,0)+MATCH(A18,'IncStmt Data'!G$2:G$2051,0))</f>
        <v>#N/A</v>
      </c>
      <c r="AY18" s="46" t="e">
        <f>INDEX('IncStmt Data'!H$1:H$2999,MATCH(AY$1,'IncStmt Data'!A$2:A$2051,0)+MATCH(A18,'IncStmt Data'!G$2:G$2051,0))</f>
        <v>#N/A</v>
      </c>
      <c r="AZ18" s="46" t="e">
        <f>INDEX('IncStmt Data'!H$1:H$2999,MATCH(AZ$1,'IncStmt Data'!A$2:A$2051,0)+MATCH(A18,'IncStmt Data'!G$2:G$2051,0))</f>
        <v>#N/A</v>
      </c>
      <c r="BA18" s="46" t="e">
        <f>INDEX('IncStmt Data'!H$1:H$2999,MATCH(BA$1,'IncStmt Data'!A$2:A$2051,0)+MATCH(A18,'IncStmt Data'!G$2:G$2051,0))</f>
        <v>#N/A</v>
      </c>
      <c r="BB18" s="46" t="e">
        <f>INDEX('IncStmt Data'!H$1:H$2999,MATCH(BB$1,'IncStmt Data'!A$2:A$2051,0)+MATCH(A18,'IncStmt Data'!G$2:G$2051,0))</f>
        <v>#N/A</v>
      </c>
      <c r="BC18" s="46" t="e">
        <f>INDEX('IncStmt Data'!H$1:H$2999,MATCH(BC$1,'IncStmt Data'!A$2:A$2051,0)+MATCH(A18,'IncStmt Data'!G$2:G$2051,0))</f>
        <v>#N/A</v>
      </c>
      <c r="BD18" s="46" t="e">
        <f>INDEX('IncStmt Data'!H$1:H$2999,MATCH(BD$1,'IncStmt Data'!A$2:A$2051,0)+MATCH(A18,'IncStmt Data'!G$2:G$2051,0))</f>
        <v>#N/A</v>
      </c>
      <c r="BE18" s="46" t="e">
        <f>INDEX('IncStmt Data'!H$1:H$2999,MATCH(BE$1,'IncStmt Data'!A$2:A$2051,0)+MATCH(A18,'IncStmt Data'!G$2:G$2051,0))</f>
        <v>#N/A</v>
      </c>
      <c r="BF18" s="46" t="e">
        <f>INDEX('IncStmt Data'!H$1:H$2999,MATCH(BF$1,'IncStmt Data'!A$2:A$2051,0)+MATCH(A18,'IncStmt Data'!G$2:G$2051,0))</f>
        <v>#N/A</v>
      </c>
      <c r="BG18" s="46" t="e">
        <f>INDEX('IncStmt Data'!H$1:H$2999,MATCH(BG$1,'IncStmt Data'!A$2:A$2051,0)+MATCH(A18,'IncStmt Data'!G$2:G$2051,0))</f>
        <v>#N/A</v>
      </c>
      <c r="BH18" s="46" t="e">
        <f>INDEX('IncStmt Data'!H$1:H$2999,MATCH(BH$1,'IncStmt Data'!A$2:A$2051,0)+MATCH(A18,'IncStmt Data'!G$2:G$2051,0))</f>
        <v>#N/A</v>
      </c>
      <c r="BI18" s="46" t="e">
        <f>INDEX('IncStmt Data'!H$1:H$2999,MATCH(BI$1,'IncStmt Data'!A$2:A$2051,0)+MATCH(A18,'IncStmt Data'!G$2:G$2051,0))</f>
        <v>#N/A</v>
      </c>
      <c r="BJ18" s="46" t="e">
        <f>INDEX('IncStmt Data'!H$1:H$2999,MATCH(BJ$1,'IncStmt Data'!A$2:A$2051,0)+MATCH(A18,'IncStmt Data'!G$2:G$2051,0))</f>
        <v>#N/A</v>
      </c>
      <c r="BK18" s="46" t="e">
        <f>INDEX('IncStmt Data'!H$1:H$2999,MATCH(BK$1,'IncStmt Data'!A$2:A$2051,0)+MATCH(A18,'IncStmt Data'!G$2:G$2051,0))</f>
        <v>#N/A</v>
      </c>
      <c r="BL18" s="46" t="e">
        <f>INDEX('IncStmt Data'!H$1:H$2999,MATCH(BL$1,'IncStmt Data'!A$2:A$2051,0)+MATCH(A18,'IncStmt Data'!G$2:G$2051,0))</f>
        <v>#N/A</v>
      </c>
      <c r="BM18" s="46" t="e">
        <f>INDEX('IncStmt Data'!H$1:H$2999,MATCH(BM$1,'IncStmt Data'!A$2:A$2051,0)+MATCH(A18,'IncStmt Data'!G$2:G$2051,0))</f>
        <v>#N/A</v>
      </c>
      <c r="BN18" s="46" t="e">
        <f>INDEX('IncStmt Data'!H$1:H$2999,MATCH(BN$1,'IncStmt Data'!A$2:A$2051,0)+MATCH(A18,'IncStmt Data'!G$2:G$2051,0))</f>
        <v>#N/A</v>
      </c>
      <c r="BO18" s="46" t="e">
        <f>INDEX('IncStmt Data'!H$1:H$2999,MATCH(BO$1,'IncStmt Data'!A$2:A$2051,0)+MATCH(A18,'IncStmt Data'!G$2:G$2051,0))</f>
        <v>#N/A</v>
      </c>
      <c r="BP18" s="46" t="e">
        <f>INDEX('IncStmt Data'!H$1:H$2999,MATCH(BP$1,'IncStmt Data'!A$2:A$2051,0)+MATCH(A18,'IncStmt Data'!G$2:G$2051,0))</f>
        <v>#N/A</v>
      </c>
      <c r="BQ18" s="46" t="e">
        <f>INDEX('IncStmt Data'!H$1:H$2999,MATCH(BQ$1,'IncStmt Data'!A$2:A$2051,0)+MATCH(A18,'IncStmt Data'!G$2:G$2051,0))</f>
        <v>#N/A</v>
      </c>
      <c r="BR18" s="46" t="e">
        <f>INDEX('IncStmt Data'!H$1:H$2999,MATCH(BR$1,'IncStmt Data'!A$2:A$2051,0)+MATCH(A18,'IncStmt Data'!G$2:G$2051,0))</f>
        <v>#N/A</v>
      </c>
      <c r="BS18" s="46" t="e">
        <f>INDEX('IncStmt Data'!H$1:H$2999,MATCH(BS$1,'IncStmt Data'!A$2:A$2051,0)+MATCH(A18,'IncStmt Data'!G$2:G$2051,0))</f>
        <v>#N/A</v>
      </c>
      <c r="BT18" s="46" t="e">
        <f>INDEX('IncStmt Data'!H$1:H$2999,MATCH(BT$1,'IncStmt Data'!A$2:A$2051,0)+MATCH(A18,'IncStmt Data'!G$2:G$2051,0))</f>
        <v>#N/A</v>
      </c>
      <c r="BU18" s="46" t="e">
        <f>INDEX('IncStmt Data'!H$1:H$2999,MATCH(BU$1,'IncStmt Data'!A$2:A$2051,0)+MATCH(A18,'IncStmt Data'!G$2:G$2051,0))</f>
        <v>#N/A</v>
      </c>
      <c r="BV18" s="46" t="e">
        <f>INDEX('IncStmt Data'!H$1:H$2999,MATCH(BV$1,'IncStmt Data'!A$2:A$2051,0)+MATCH(A18,'IncStmt Data'!G$2:G$2051,0))</f>
        <v>#N/A</v>
      </c>
      <c r="BW18" s="46" t="e">
        <f>INDEX('IncStmt Data'!H$1:H$2999,MATCH(BW$1,'IncStmt Data'!A$2:A$2051,0)+MATCH(A18,'IncStmt Data'!G$2:G$2051,0))</f>
        <v>#N/A</v>
      </c>
      <c r="BX18" s="46" t="e">
        <f>INDEX('IncStmt Data'!H$1:H$2999,MATCH(BX$1,'IncStmt Data'!A$2:A$2051,0)+MATCH(A18,'IncStmt Data'!G$2:G$2051,0))</f>
        <v>#N/A</v>
      </c>
      <c r="BY18" s="46" t="e">
        <f>INDEX('IncStmt Data'!H$1:H$2999,MATCH(BY$1,'IncStmt Data'!A$2:A$2051,0)+MATCH(A18,'IncStmt Data'!G$2:G$2051,0))</f>
        <v>#N/A</v>
      </c>
      <c r="BZ18" s="46" t="e">
        <f>INDEX('IncStmt Data'!H$1:H$2999,MATCH(BZ$1,'IncStmt Data'!A$2:A$2051,0)+MATCH(A18,'IncStmt Data'!G$2:G$2051,0))</f>
        <v>#N/A</v>
      </c>
      <c r="CA18" s="46" t="e">
        <f>INDEX('IncStmt Data'!H$1:H$2999,MATCH(CA$1,'IncStmt Data'!A$2:A$2051,0)+MATCH(A18,'IncStmt Data'!G$2:G$2051,0))</f>
        <v>#N/A</v>
      </c>
      <c r="CB18" s="46" t="e">
        <f>INDEX('IncStmt Data'!H$1:H$2999,MATCH(CB$1,'IncStmt Data'!A$2:A$2051,0)+MATCH(A18,'IncStmt Data'!G$2:G$2051,0))</f>
        <v>#N/A</v>
      </c>
      <c r="CC18" s="46" t="e">
        <f>INDEX('IncStmt Data'!H$1:H$2999,MATCH(CC$1,'IncStmt Data'!A$2:A$2051,0)+MATCH(A18,'IncStmt Data'!G$2:G$2051,0))</f>
        <v>#N/A</v>
      </c>
      <c r="CD18" s="46" t="e">
        <f>INDEX('IncStmt Data'!H$1:H$2999,MATCH(CD$1,'IncStmt Data'!A$2:A$2051,0)+MATCH(A18,'IncStmt Data'!G$2:G$2051,0))</f>
        <v>#N/A</v>
      </c>
      <c r="CE18" s="46" t="e">
        <f>INDEX('IncStmt Data'!H$1:H$2999,MATCH(CE$1,'IncStmt Data'!A$2:A$2051,0)+MATCH(A18,'IncStmt Data'!G$2:G$2051,0))</f>
        <v>#N/A</v>
      </c>
      <c r="CF18" s="46" t="e">
        <f>INDEX('IncStmt Data'!H$1:H$2999,MATCH(CF$1,'IncStmt Data'!A$2:A$2051,0)+MATCH(A18,'IncStmt Data'!G$2:G$2051,0))</f>
        <v>#N/A</v>
      </c>
      <c r="CG18" s="46" t="e">
        <f>INDEX('IncStmt Data'!H$1:H$2999,MATCH(CG$1,'IncStmt Data'!A$2:A$2051,0)+MATCH(A18,'IncStmt Data'!G$2:G$2051,0))</f>
        <v>#N/A</v>
      </c>
      <c r="CH18" s="46" t="e">
        <f>INDEX('IncStmt Data'!H$1:H$2999,MATCH(CH$1,'IncStmt Data'!A$2:A$2051,0)+MATCH(A18,'IncStmt Data'!G$2:G$2051,0))</f>
        <v>#N/A</v>
      </c>
      <c r="CI18" s="46" t="e">
        <f>INDEX('IncStmt Data'!H$1:H$2999,MATCH(CI$1,'IncStmt Data'!A$2:A$2051,0)+MATCH(A18,'IncStmt Data'!G$2:G$2051,0))</f>
        <v>#N/A</v>
      </c>
      <c r="CJ18" s="46" t="e">
        <f>INDEX('IncStmt Data'!H$1:H$2999,MATCH(CJ$1,'IncStmt Data'!A$2:A$2051,0)+MATCH(A18,'IncStmt Data'!G$2:G$2051,0))</f>
        <v>#N/A</v>
      </c>
      <c r="CK18" s="46" t="e">
        <f>INDEX('IncStmt Data'!H$1:H$2999,MATCH(CK$1,'IncStmt Data'!A$2:A$2051,0)+MATCH(A18,'IncStmt Data'!G$2:G$2051,0))</f>
        <v>#N/A</v>
      </c>
      <c r="CL18" s="46" t="e">
        <f>INDEX('IncStmt Data'!H$1:H$2999,MATCH(CL$1,'IncStmt Data'!A$2:A$2051,0)+MATCH(A18,'IncStmt Data'!G$2:G$2051,0))</f>
        <v>#N/A</v>
      </c>
      <c r="CM18" s="46" t="e">
        <f>INDEX('IncStmt Data'!H$1:H$2999,MATCH(CM$1,'IncStmt Data'!A$2:A$2051,0)+MATCH(A18,'IncStmt Data'!G$2:G$2051,0))</f>
        <v>#N/A</v>
      </c>
      <c r="CN18" s="46" t="e">
        <f>INDEX('IncStmt Data'!H$1:H$2999,MATCH(CN$1,'IncStmt Data'!A$2:A$2051,0)+MATCH(A18,'IncStmt Data'!G$2:G$2051,0))</f>
        <v>#N/A</v>
      </c>
      <c r="CO18" s="46" t="e">
        <f>INDEX('IncStmt Data'!H$1:H$2999,MATCH(CO$1,'IncStmt Data'!A$2:A$2051,0)+MATCH(A18,'IncStmt Data'!G$2:G$2051,0))</f>
        <v>#N/A</v>
      </c>
      <c r="CP18" s="46" t="e">
        <f>INDEX('IncStmt Data'!H$1:H$2999,MATCH(CP$1,'IncStmt Data'!A$2:A$2051,0)+MATCH(A18,'IncStmt Data'!G$2:G$2051,0))</f>
        <v>#N/A</v>
      </c>
      <c r="CQ18" s="46" t="e">
        <f>INDEX('IncStmt Data'!H$1:H$2999,MATCH(CQ$1,'IncStmt Data'!A$2:A$2051,0)+MATCH(A18,'IncStmt Data'!G$2:G$2051,0))</f>
        <v>#N/A</v>
      </c>
      <c r="CR18" s="46" t="e">
        <f>INDEX('IncStmt Data'!H$1:H$2999,MATCH(CR$1,'IncStmt Data'!A$2:A$2051,0)+MATCH(A18,'IncStmt Data'!G$2:G$2051,0))</f>
        <v>#N/A</v>
      </c>
      <c r="CS18" s="46" t="e">
        <f>INDEX('IncStmt Data'!H$1:H$2999,MATCH(CS$1,'IncStmt Data'!A$2:A$2051,0)+MATCH(A18,'IncStmt Data'!G$2:G$2051,0))</f>
        <v>#N/A</v>
      </c>
      <c r="CT18" s="46" t="e">
        <f>INDEX('IncStmt Data'!H$1:H$2999,MATCH(CT$1,'IncStmt Data'!A$2:A$2051,0)+MATCH(A18,'IncStmt Data'!G$2:G$2051,0))</f>
        <v>#N/A</v>
      </c>
      <c r="CU18" s="46" t="e">
        <f>INDEX('IncStmt Data'!H$1:H$2999,MATCH(CU$1,'IncStmt Data'!A$2:A$2051,0)+MATCH(A18,'IncStmt Data'!G$2:G$2051,0))</f>
        <v>#N/A</v>
      </c>
      <c r="CV18" s="46" t="e">
        <f>INDEX('IncStmt Data'!H$1:H$2999,MATCH(CV$1,'IncStmt Data'!A$2:A$2051,0)+MATCH(A18,'IncStmt Data'!G$2:G$2051,0))</f>
        <v>#N/A</v>
      </c>
      <c r="CW18" s="46" t="e">
        <f>INDEX('IncStmt Data'!H$1:H$2999,MATCH(CW$1,'IncStmt Data'!A$2:A$2051,0)+MATCH(A18,'IncStmt Data'!G$2:G$2051,0))</f>
        <v>#N/A</v>
      </c>
      <c r="CX18" s="46" t="e">
        <f>INDEX('IncStmt Data'!H$1:H$2999,MATCH(CX$1,'IncStmt Data'!A$2:A$2051,0)+MATCH(A18,'IncStmt Data'!G$2:G$2051,0))</f>
        <v>#N/A</v>
      </c>
      <c r="CY18" s="46" t="e">
        <f>INDEX('IncStmt Data'!H$1:H$2999,MATCH(CY$1,'IncStmt Data'!A$2:A$2051,0)+MATCH(A18,'IncStmt Data'!G$2:G$2051,0))</f>
        <v>#N/A</v>
      </c>
      <c r="CZ18" s="46" t="e">
        <f>INDEX('IncStmt Data'!H$1:H$2999,MATCH(CZ$1,'IncStmt Data'!A$2:A$2051,0)+MATCH(A18,'IncStmt Data'!G$2:G$2051,0))</f>
        <v>#N/A</v>
      </c>
    </row>
    <row r="19" spans="1:104" s="46" customFormat="1" x14ac:dyDescent="0.2">
      <c r="A19" s="4" t="s">
        <v>45</v>
      </c>
      <c r="B19" s="46">
        <f>INDEX('IncStmt Data'!H$1:H$2999,MATCH(B$1,'IncStmt Data'!A$2:A$2051,0)+MATCH(A19,'IncStmt Data'!G$2:G$2051,0))</f>
        <v>0</v>
      </c>
      <c r="C19" s="46" t="e">
        <f>INDEX('IncStmt Data'!H$1:H$2999,MATCH(C$1,'IncStmt Data'!A$2:A$2051,0)+MATCH(A19,'IncStmt Data'!G$2:G$2051,0))</f>
        <v>#N/A</v>
      </c>
      <c r="D19" s="46" t="e">
        <f>INDEX('IncStmt Data'!H$1:H$2999,MATCH(D$1,'IncStmt Data'!A$2:A$2051,0)+MATCH(A19,'IncStmt Data'!G$2:G$2051,0))</f>
        <v>#N/A</v>
      </c>
      <c r="E19" s="46" t="e">
        <f>INDEX('IncStmt Data'!H$1:H$2999,MATCH(E$1,'IncStmt Data'!A$2:A$2051,0)+MATCH(A19,'IncStmt Data'!G$2:G$2051,0))</f>
        <v>#N/A</v>
      </c>
      <c r="F19" s="46" t="e">
        <f>INDEX('IncStmt Data'!H$1:H$2999,MATCH(F$1,'IncStmt Data'!A$2:A$2051,0)+MATCH(A19,'IncStmt Data'!G$2:G$2051,0))</f>
        <v>#N/A</v>
      </c>
      <c r="G19" s="46" t="e">
        <f>INDEX('IncStmt Data'!H$1:H$2999,MATCH(G$1,'IncStmt Data'!A$2:A$2051,0)+MATCH(A19,'IncStmt Data'!G$2:G$2051,0))</f>
        <v>#N/A</v>
      </c>
      <c r="H19" s="46" t="e">
        <f>INDEX('IncStmt Data'!H$1:H$2999,MATCH(H$1,'IncStmt Data'!A$2:A$2051,0)+MATCH(A19,'IncStmt Data'!G$2:G$2051,0))</f>
        <v>#N/A</v>
      </c>
      <c r="I19" s="47" t="e">
        <f>INDEX('IncStmt Data'!H$1:H$2999,MATCH(I$1,'IncStmt Data'!A$2:A$2051,0)+MATCH(A19,'IncStmt Data'!G$2:G$2051,0))</f>
        <v>#N/A</v>
      </c>
      <c r="J19" s="46" t="e">
        <f>INDEX('IncStmt Data'!H$1:H$2999,MATCH(J$1,'IncStmt Data'!A$2:A$2051,0)+MATCH(A19,'IncStmt Data'!G$2:G$2051,0))</f>
        <v>#N/A</v>
      </c>
      <c r="K19" s="46" t="e">
        <f>INDEX('IncStmt Data'!H$1:H$2999,MATCH(K$1,'IncStmt Data'!A$2:A$2051,0)+MATCH(A19,'IncStmt Data'!G$2:G$2051,0))</f>
        <v>#N/A</v>
      </c>
      <c r="L19" s="46" t="e">
        <f>INDEX('IncStmt Data'!H$1:H$2999,MATCH(L$1,'IncStmt Data'!A$2:A$2051,0)+MATCH(A19,'IncStmt Data'!G$2:G$2051,0))</f>
        <v>#N/A</v>
      </c>
      <c r="M19" s="46" t="e">
        <f>INDEX('IncStmt Data'!H$1:H$2999,MATCH(M$1,'IncStmt Data'!A$2:A$2051,0)+MATCH(A19,'IncStmt Data'!G$2:G$2051,0))</f>
        <v>#N/A</v>
      </c>
      <c r="N19" s="46" t="e">
        <f>INDEX('IncStmt Data'!H$1:H$2999,MATCH(N$1,'IncStmt Data'!A$2:A$2051,0)+MATCH(A19,'IncStmt Data'!G$2:G$2051,0))</f>
        <v>#N/A</v>
      </c>
      <c r="O19" s="46" t="e">
        <f>INDEX('IncStmt Data'!H$1:H$2999,MATCH(O$1,'IncStmt Data'!A$2:A$2051,0)+MATCH(A19,'IncStmt Data'!G$2:G$2051,0))</f>
        <v>#N/A</v>
      </c>
      <c r="P19" s="46" t="e">
        <f>INDEX('IncStmt Data'!H$1:H$2999,MATCH(P$1,'IncStmt Data'!A$2:A$2051,0)+MATCH(A19,'IncStmt Data'!G$2:G$2051,0))</f>
        <v>#N/A</v>
      </c>
      <c r="Q19" s="46" t="e">
        <f>INDEX('IncStmt Data'!H$1:H$2999,MATCH(Q$1,'IncStmt Data'!A$2:A$2051,0)+MATCH(A19,'IncStmt Data'!G$2:G$2051,0))</f>
        <v>#N/A</v>
      </c>
      <c r="R19" s="46" t="e">
        <f>INDEX('IncStmt Data'!H$1:H$2999,MATCH(R$1,'IncStmt Data'!A$2:A$2051,0)+MATCH(A19,'IncStmt Data'!G$2:G$2051,0))</f>
        <v>#N/A</v>
      </c>
      <c r="S19" s="46" t="e">
        <f>INDEX('IncStmt Data'!H$1:H$2999,MATCH(S$1,'IncStmt Data'!A$2:A$2051,0)+MATCH(A19,'IncStmt Data'!G$2:G$2051,0))</f>
        <v>#N/A</v>
      </c>
      <c r="T19" s="46" t="e">
        <f>INDEX('IncStmt Data'!H$1:H$2999,MATCH(T$1,'IncStmt Data'!A$2:A$2051,0)+MATCH(A19,'IncStmt Data'!G$2:G$2051,0))</f>
        <v>#N/A</v>
      </c>
      <c r="U19" s="46" t="e">
        <f>INDEX('IncStmt Data'!H$1:H$2999,MATCH(U$1,'IncStmt Data'!A$2:A$2051,0)+MATCH(A19,'IncStmt Data'!G$2:G$2051,0))</f>
        <v>#N/A</v>
      </c>
      <c r="V19" s="46" t="e">
        <f>INDEX('IncStmt Data'!H$1:H$2999,MATCH(V$1,'IncStmt Data'!A$2:A$2051,0)+MATCH(A19,'IncStmt Data'!G$2:G$2051,0))</f>
        <v>#N/A</v>
      </c>
      <c r="W19" s="46" t="e">
        <f>INDEX('IncStmt Data'!H$1:H$2999,MATCH(W$1,'IncStmt Data'!A$2:A$2051,0)+MATCH(A19,'IncStmt Data'!G$2:G$2051,0))</f>
        <v>#N/A</v>
      </c>
      <c r="X19" s="46" t="e">
        <f>INDEX('IncStmt Data'!H$1:H$2999,MATCH(X$1,'IncStmt Data'!A$2:A$2051,0)+MATCH(A19,'IncStmt Data'!G$2:G$2051,0))</f>
        <v>#N/A</v>
      </c>
      <c r="Y19" s="46" t="e">
        <f>INDEX('IncStmt Data'!H$1:H$2999,MATCH(Y$1,'IncStmt Data'!A$2:A$2051,0)+MATCH(A19,'IncStmt Data'!G$2:G$2051,0))</f>
        <v>#N/A</v>
      </c>
      <c r="Z19" s="46" t="e">
        <f>INDEX('IncStmt Data'!H$1:H$2999,MATCH(Z$1,'IncStmt Data'!A$2:A$2051,0)+MATCH(A19,'IncStmt Data'!G$2:G$2051,0))</f>
        <v>#N/A</v>
      </c>
      <c r="AA19" s="46" t="e">
        <f>INDEX('IncStmt Data'!H$1:H$2999,MATCH(AA$1,'IncStmt Data'!A$2:A$2051,0)+MATCH(A19,'IncStmt Data'!G$2:G$2051,0))</f>
        <v>#N/A</v>
      </c>
      <c r="AB19" s="46" t="e">
        <f>INDEX('IncStmt Data'!H$1:H$2999,MATCH(AB$1,'IncStmt Data'!A$2:A$2051,0)+MATCH(A19,'IncStmt Data'!G$2:G$2051,0))</f>
        <v>#N/A</v>
      </c>
      <c r="AC19" s="46" t="e">
        <f>INDEX('IncStmt Data'!H$1:H$2999,MATCH(AC$1,'IncStmt Data'!A$2:A$2051,0)+MATCH(A19,'IncStmt Data'!G$2:G$2051,0))</f>
        <v>#N/A</v>
      </c>
      <c r="AD19" s="46" t="e">
        <f>INDEX('IncStmt Data'!H$1:H$2999,MATCH(AD$1,'IncStmt Data'!A$2:A$2051,0)+MATCH(A19,'IncStmt Data'!G$2:G$2051,0))</f>
        <v>#N/A</v>
      </c>
      <c r="AE19" s="46" t="e">
        <f>INDEX('IncStmt Data'!H$1:H$2999,MATCH(AE$1,'IncStmt Data'!A$2:A$2051,0)+MATCH(A19,'IncStmt Data'!G$2:G$2051,0))</f>
        <v>#N/A</v>
      </c>
      <c r="AF19" s="46" t="e">
        <f>INDEX('IncStmt Data'!H$1:H$2999,MATCH(AF$1,'IncStmt Data'!A$2:A$2051,0)+MATCH(A19,'IncStmt Data'!G$2:G$2051,0))</f>
        <v>#N/A</v>
      </c>
      <c r="AG19" s="46" t="e">
        <f>INDEX('IncStmt Data'!H$1:H$2999,MATCH(AG$1,'IncStmt Data'!A$2:A$2051,0)+MATCH(A19,'IncStmt Data'!G$2:G$2051,0))</f>
        <v>#N/A</v>
      </c>
      <c r="AH19" s="46" t="e">
        <f>INDEX('IncStmt Data'!H$1:H$2999,MATCH(AH$1,'IncStmt Data'!A$2:A$2051,0)+MATCH(A19,'IncStmt Data'!G$2:G$2051,0))</f>
        <v>#N/A</v>
      </c>
      <c r="AI19" s="46" t="e">
        <f>INDEX('IncStmt Data'!H$1:H$2999,MATCH(AI$1,'IncStmt Data'!A$2:A$2051,0)+MATCH(A19,'IncStmt Data'!G$2:G$2051,0))</f>
        <v>#N/A</v>
      </c>
      <c r="AJ19" s="46" t="e">
        <f>INDEX('IncStmt Data'!H$1:H$2999,MATCH(AJ$1,'IncStmt Data'!A$2:A$2051,0)+MATCH(A19,'IncStmt Data'!G$2:G$2051,0))</f>
        <v>#N/A</v>
      </c>
      <c r="AK19" s="46" t="e">
        <f>INDEX('IncStmt Data'!H$1:H$2999,MATCH(AK$1,'IncStmt Data'!A$2:A$2051,0)+MATCH(A19,'IncStmt Data'!G$2:G$2051,0))</f>
        <v>#N/A</v>
      </c>
      <c r="AL19" s="46">
        <f>INDEX('IncStmt Data'!H$1:H$2999,MATCH(AL$1,'IncStmt Data'!A$2:A$2051,0)+MATCH(A19,'IncStmt Data'!G$2:G$2051,0))</f>
        <v>0</v>
      </c>
      <c r="AM19" s="46">
        <f>INDEX('IncStmt Data'!H$1:H$2999,MATCH(AM$1,'IncStmt Data'!A$2:A$2051,0)+MATCH(A19,'IncStmt Data'!G$2:G$2051,0))</f>
        <v>970</v>
      </c>
      <c r="AN19" s="46">
        <f>INDEX('IncStmt Data'!H$1:H$2999,MATCH(AN$1,'IncStmt Data'!A$2:A$2051,0)+MATCH(A19,'IncStmt Data'!G$2:G$2051,0))</f>
        <v>970</v>
      </c>
      <c r="AO19" s="46">
        <f>INDEX('IncStmt Data'!H$1:H$2999,MATCH(AO$1,'IncStmt Data'!A$2:A$2051,0)+MATCH(A19,'IncStmt Data'!G$2:G$2051,0))</f>
        <v>0</v>
      </c>
      <c r="AP19" s="46" t="e">
        <f>INDEX('IncStmt Data'!H$1:H$2999,MATCH(AP$1,'IncStmt Data'!A$2:A$2051,0)+MATCH(A19,'IncStmt Data'!G$2:G$2051,0))</f>
        <v>#N/A</v>
      </c>
      <c r="AQ19" s="46" t="e">
        <f>INDEX('IncStmt Data'!H$1:H$2999,MATCH(AQ$1,'IncStmt Data'!A$2:A$2051,0)+MATCH(A19,'IncStmt Data'!G$2:G$2051,0))</f>
        <v>#N/A</v>
      </c>
      <c r="AR19" s="46" t="e">
        <f>INDEX('IncStmt Data'!H$1:H$2999,MATCH(AR$1,'IncStmt Data'!A$2:A$2051,0)+MATCH(A19,'IncStmt Data'!G$2:G$2051,0))</f>
        <v>#N/A</v>
      </c>
      <c r="AS19" s="46" t="e">
        <f>INDEX('IncStmt Data'!H$1:H$2999,MATCH(AS$1,'IncStmt Data'!A$2:A$2051,0)+MATCH(A19,'IncStmt Data'!G$2:G$2051,0))</f>
        <v>#N/A</v>
      </c>
      <c r="AT19" s="46" t="e">
        <f>INDEX('IncStmt Data'!H$1:H$2999,MATCH(AT$1,'IncStmt Data'!A$2:A$2051,0)+MATCH(A19,'IncStmt Data'!G$2:G$2051,0))</f>
        <v>#N/A</v>
      </c>
      <c r="AU19" s="46" t="e">
        <f>INDEX('IncStmt Data'!H$1:H$2999,MATCH(AU$1,'IncStmt Data'!A$2:A$2051,0)+MATCH(A19,'IncStmt Data'!G$2:G$2051,0))</f>
        <v>#N/A</v>
      </c>
      <c r="AV19" s="46" t="e">
        <f>INDEX('IncStmt Data'!H$1:H$2999,MATCH(AV$1,'IncStmt Data'!A$2:A$2051,0)+MATCH(A19,'IncStmt Data'!G$2:G$2051,0))</f>
        <v>#N/A</v>
      </c>
      <c r="AW19" s="46" t="e">
        <f>INDEX('IncStmt Data'!H$1:H$2999,MATCH(AW$1,'IncStmt Data'!A$2:A$2051,0)+MATCH(A19,'IncStmt Data'!G$2:G$2051,0))</f>
        <v>#N/A</v>
      </c>
      <c r="AX19" s="46" t="e">
        <f>INDEX('IncStmt Data'!H$1:H$2999,MATCH(AX$1,'IncStmt Data'!A$2:A$2051,0)+MATCH(A19,'IncStmt Data'!G$2:G$2051,0))</f>
        <v>#N/A</v>
      </c>
      <c r="AY19" s="46" t="e">
        <f>INDEX('IncStmt Data'!H$1:H$2999,MATCH(AY$1,'IncStmt Data'!A$2:A$2051,0)+MATCH(A19,'IncStmt Data'!G$2:G$2051,0))</f>
        <v>#N/A</v>
      </c>
      <c r="AZ19" s="46" t="e">
        <f>INDEX('IncStmt Data'!H$1:H$2999,MATCH(AZ$1,'IncStmt Data'!A$2:A$2051,0)+MATCH(A19,'IncStmt Data'!G$2:G$2051,0))</f>
        <v>#N/A</v>
      </c>
      <c r="BA19" s="46" t="e">
        <f>INDEX('IncStmt Data'!H$1:H$2999,MATCH(BA$1,'IncStmt Data'!A$2:A$2051,0)+MATCH(A19,'IncStmt Data'!G$2:G$2051,0))</f>
        <v>#N/A</v>
      </c>
      <c r="BB19" s="46" t="e">
        <f>INDEX('IncStmt Data'!H$1:H$2999,MATCH(BB$1,'IncStmt Data'!A$2:A$2051,0)+MATCH(A19,'IncStmt Data'!G$2:G$2051,0))</f>
        <v>#N/A</v>
      </c>
      <c r="BC19" s="46" t="e">
        <f>INDEX('IncStmt Data'!H$1:H$2999,MATCH(BC$1,'IncStmt Data'!A$2:A$2051,0)+MATCH(A19,'IncStmt Data'!G$2:G$2051,0))</f>
        <v>#N/A</v>
      </c>
      <c r="BD19" s="46" t="e">
        <f>INDEX('IncStmt Data'!H$1:H$2999,MATCH(BD$1,'IncStmt Data'!A$2:A$2051,0)+MATCH(A19,'IncStmt Data'!G$2:G$2051,0))</f>
        <v>#N/A</v>
      </c>
      <c r="BE19" s="46" t="e">
        <f>INDEX('IncStmt Data'!H$1:H$2999,MATCH(BE$1,'IncStmt Data'!A$2:A$2051,0)+MATCH(A19,'IncStmt Data'!G$2:G$2051,0))</f>
        <v>#N/A</v>
      </c>
      <c r="BF19" s="46" t="e">
        <f>INDEX('IncStmt Data'!H$1:H$2999,MATCH(BF$1,'IncStmt Data'!A$2:A$2051,0)+MATCH(A19,'IncStmt Data'!G$2:G$2051,0))</f>
        <v>#N/A</v>
      </c>
      <c r="BG19" s="46" t="e">
        <f>INDEX('IncStmt Data'!H$1:H$2999,MATCH(BG$1,'IncStmt Data'!A$2:A$2051,0)+MATCH(A19,'IncStmt Data'!G$2:G$2051,0))</f>
        <v>#N/A</v>
      </c>
      <c r="BH19" s="46" t="e">
        <f>INDEX('IncStmt Data'!H$1:H$2999,MATCH(BH$1,'IncStmt Data'!A$2:A$2051,0)+MATCH(A19,'IncStmt Data'!G$2:G$2051,0))</f>
        <v>#N/A</v>
      </c>
      <c r="BI19" s="46" t="e">
        <f>INDEX('IncStmt Data'!H$1:H$2999,MATCH(BI$1,'IncStmt Data'!A$2:A$2051,0)+MATCH(A19,'IncStmt Data'!G$2:G$2051,0))</f>
        <v>#N/A</v>
      </c>
      <c r="BJ19" s="46" t="e">
        <f>INDEX('IncStmt Data'!H$1:H$2999,MATCH(BJ$1,'IncStmt Data'!A$2:A$2051,0)+MATCH(A19,'IncStmt Data'!G$2:G$2051,0))</f>
        <v>#N/A</v>
      </c>
      <c r="BK19" s="46" t="e">
        <f>INDEX('IncStmt Data'!H$1:H$2999,MATCH(BK$1,'IncStmt Data'!A$2:A$2051,0)+MATCH(A19,'IncStmt Data'!G$2:G$2051,0))</f>
        <v>#N/A</v>
      </c>
      <c r="BL19" s="46" t="e">
        <f>INDEX('IncStmt Data'!H$1:H$2999,MATCH(BL$1,'IncStmt Data'!A$2:A$2051,0)+MATCH(A19,'IncStmt Data'!G$2:G$2051,0))</f>
        <v>#N/A</v>
      </c>
      <c r="BM19" s="46" t="e">
        <f>INDEX('IncStmt Data'!H$1:H$2999,MATCH(BM$1,'IncStmt Data'!A$2:A$2051,0)+MATCH(A19,'IncStmt Data'!G$2:G$2051,0))</f>
        <v>#N/A</v>
      </c>
      <c r="BN19" s="46" t="e">
        <f>INDEX('IncStmt Data'!H$1:H$2999,MATCH(BN$1,'IncStmt Data'!A$2:A$2051,0)+MATCH(A19,'IncStmt Data'!G$2:G$2051,0))</f>
        <v>#N/A</v>
      </c>
      <c r="BO19" s="46" t="e">
        <f>INDEX('IncStmt Data'!H$1:H$2999,MATCH(BO$1,'IncStmt Data'!A$2:A$2051,0)+MATCH(A19,'IncStmt Data'!G$2:G$2051,0))</f>
        <v>#N/A</v>
      </c>
      <c r="BP19" s="46" t="e">
        <f>INDEX('IncStmt Data'!H$1:H$2999,MATCH(BP$1,'IncStmt Data'!A$2:A$2051,0)+MATCH(A19,'IncStmt Data'!G$2:G$2051,0))</f>
        <v>#N/A</v>
      </c>
      <c r="BQ19" s="46" t="e">
        <f>INDEX('IncStmt Data'!H$1:H$2999,MATCH(BQ$1,'IncStmt Data'!A$2:A$2051,0)+MATCH(A19,'IncStmt Data'!G$2:G$2051,0))</f>
        <v>#N/A</v>
      </c>
      <c r="BR19" s="46" t="e">
        <f>INDEX('IncStmt Data'!H$1:H$2999,MATCH(BR$1,'IncStmt Data'!A$2:A$2051,0)+MATCH(A19,'IncStmt Data'!G$2:G$2051,0))</f>
        <v>#N/A</v>
      </c>
      <c r="BS19" s="46" t="e">
        <f>INDEX('IncStmt Data'!H$1:H$2999,MATCH(BS$1,'IncStmt Data'!A$2:A$2051,0)+MATCH(A19,'IncStmt Data'!G$2:G$2051,0))</f>
        <v>#N/A</v>
      </c>
      <c r="BT19" s="46" t="e">
        <f>INDEX('IncStmt Data'!H$1:H$2999,MATCH(BT$1,'IncStmt Data'!A$2:A$2051,0)+MATCH(A19,'IncStmt Data'!G$2:G$2051,0))</f>
        <v>#N/A</v>
      </c>
      <c r="BU19" s="46" t="e">
        <f>INDEX('IncStmt Data'!H$1:H$2999,MATCH(BU$1,'IncStmt Data'!A$2:A$2051,0)+MATCH(A19,'IncStmt Data'!G$2:G$2051,0))</f>
        <v>#N/A</v>
      </c>
      <c r="BV19" s="46" t="e">
        <f>INDEX('IncStmt Data'!H$1:H$2999,MATCH(BV$1,'IncStmt Data'!A$2:A$2051,0)+MATCH(A19,'IncStmt Data'!G$2:G$2051,0))</f>
        <v>#N/A</v>
      </c>
      <c r="BW19" s="46" t="e">
        <f>INDEX('IncStmt Data'!H$1:H$2999,MATCH(BW$1,'IncStmt Data'!A$2:A$2051,0)+MATCH(A19,'IncStmt Data'!G$2:G$2051,0))</f>
        <v>#N/A</v>
      </c>
      <c r="BX19" s="46" t="e">
        <f>INDEX('IncStmt Data'!H$1:H$2999,MATCH(BX$1,'IncStmt Data'!A$2:A$2051,0)+MATCH(A19,'IncStmt Data'!G$2:G$2051,0))</f>
        <v>#N/A</v>
      </c>
      <c r="BY19" s="46" t="e">
        <f>INDEX('IncStmt Data'!H$1:H$2999,MATCH(BY$1,'IncStmt Data'!A$2:A$2051,0)+MATCH(A19,'IncStmt Data'!G$2:G$2051,0))</f>
        <v>#N/A</v>
      </c>
      <c r="BZ19" s="46" t="e">
        <f>INDEX('IncStmt Data'!H$1:H$2999,MATCH(BZ$1,'IncStmt Data'!A$2:A$2051,0)+MATCH(A19,'IncStmt Data'!G$2:G$2051,0))</f>
        <v>#N/A</v>
      </c>
      <c r="CA19" s="46" t="e">
        <f>INDEX('IncStmt Data'!H$1:H$2999,MATCH(CA$1,'IncStmt Data'!A$2:A$2051,0)+MATCH(A19,'IncStmt Data'!G$2:G$2051,0))</f>
        <v>#N/A</v>
      </c>
      <c r="CB19" s="46" t="e">
        <f>INDEX('IncStmt Data'!H$1:H$2999,MATCH(CB$1,'IncStmt Data'!A$2:A$2051,0)+MATCH(A19,'IncStmt Data'!G$2:G$2051,0))</f>
        <v>#N/A</v>
      </c>
      <c r="CC19" s="46" t="e">
        <f>INDEX('IncStmt Data'!H$1:H$2999,MATCH(CC$1,'IncStmt Data'!A$2:A$2051,0)+MATCH(A19,'IncStmt Data'!G$2:G$2051,0))</f>
        <v>#N/A</v>
      </c>
      <c r="CD19" s="46" t="e">
        <f>INDEX('IncStmt Data'!H$1:H$2999,MATCH(CD$1,'IncStmt Data'!A$2:A$2051,0)+MATCH(A19,'IncStmt Data'!G$2:G$2051,0))</f>
        <v>#N/A</v>
      </c>
      <c r="CE19" s="46" t="e">
        <f>INDEX('IncStmt Data'!H$1:H$2999,MATCH(CE$1,'IncStmt Data'!A$2:A$2051,0)+MATCH(A19,'IncStmt Data'!G$2:G$2051,0))</f>
        <v>#N/A</v>
      </c>
      <c r="CF19" s="46" t="e">
        <f>INDEX('IncStmt Data'!H$1:H$2999,MATCH(CF$1,'IncStmt Data'!A$2:A$2051,0)+MATCH(A19,'IncStmt Data'!G$2:G$2051,0))</f>
        <v>#N/A</v>
      </c>
      <c r="CG19" s="46" t="e">
        <f>INDEX('IncStmt Data'!H$1:H$2999,MATCH(CG$1,'IncStmt Data'!A$2:A$2051,0)+MATCH(A19,'IncStmt Data'!G$2:G$2051,0))</f>
        <v>#N/A</v>
      </c>
      <c r="CH19" s="46" t="e">
        <f>INDEX('IncStmt Data'!H$1:H$2999,MATCH(CH$1,'IncStmt Data'!A$2:A$2051,0)+MATCH(A19,'IncStmt Data'!G$2:G$2051,0))</f>
        <v>#N/A</v>
      </c>
      <c r="CI19" s="46" t="e">
        <f>INDEX('IncStmt Data'!H$1:H$2999,MATCH(CI$1,'IncStmt Data'!A$2:A$2051,0)+MATCH(A19,'IncStmt Data'!G$2:G$2051,0))</f>
        <v>#N/A</v>
      </c>
      <c r="CJ19" s="46" t="e">
        <f>INDEX('IncStmt Data'!H$1:H$2999,MATCH(CJ$1,'IncStmt Data'!A$2:A$2051,0)+MATCH(A19,'IncStmt Data'!G$2:G$2051,0))</f>
        <v>#N/A</v>
      </c>
      <c r="CK19" s="46" t="e">
        <f>INDEX('IncStmt Data'!H$1:H$2999,MATCH(CK$1,'IncStmt Data'!A$2:A$2051,0)+MATCH(A19,'IncStmt Data'!G$2:G$2051,0))</f>
        <v>#N/A</v>
      </c>
      <c r="CL19" s="46" t="e">
        <f>INDEX('IncStmt Data'!H$1:H$2999,MATCH(CL$1,'IncStmt Data'!A$2:A$2051,0)+MATCH(A19,'IncStmt Data'!G$2:G$2051,0))</f>
        <v>#N/A</v>
      </c>
      <c r="CM19" s="46" t="e">
        <f>INDEX('IncStmt Data'!H$1:H$2999,MATCH(CM$1,'IncStmt Data'!A$2:A$2051,0)+MATCH(A19,'IncStmt Data'!G$2:G$2051,0))</f>
        <v>#N/A</v>
      </c>
      <c r="CN19" s="46" t="e">
        <f>INDEX('IncStmt Data'!H$1:H$2999,MATCH(CN$1,'IncStmt Data'!A$2:A$2051,0)+MATCH(A19,'IncStmt Data'!G$2:G$2051,0))</f>
        <v>#N/A</v>
      </c>
      <c r="CO19" s="46" t="e">
        <f>INDEX('IncStmt Data'!H$1:H$2999,MATCH(CO$1,'IncStmt Data'!A$2:A$2051,0)+MATCH(A19,'IncStmt Data'!G$2:G$2051,0))</f>
        <v>#N/A</v>
      </c>
      <c r="CP19" s="46" t="e">
        <f>INDEX('IncStmt Data'!H$1:H$2999,MATCH(CP$1,'IncStmt Data'!A$2:A$2051,0)+MATCH(A19,'IncStmt Data'!G$2:G$2051,0))</f>
        <v>#N/A</v>
      </c>
      <c r="CQ19" s="46" t="e">
        <f>INDEX('IncStmt Data'!H$1:H$2999,MATCH(CQ$1,'IncStmt Data'!A$2:A$2051,0)+MATCH(A19,'IncStmt Data'!G$2:G$2051,0))</f>
        <v>#N/A</v>
      </c>
      <c r="CR19" s="46" t="e">
        <f>INDEX('IncStmt Data'!H$1:H$2999,MATCH(CR$1,'IncStmt Data'!A$2:A$2051,0)+MATCH(A19,'IncStmt Data'!G$2:G$2051,0))</f>
        <v>#N/A</v>
      </c>
      <c r="CS19" s="46" t="e">
        <f>INDEX('IncStmt Data'!H$1:H$2999,MATCH(CS$1,'IncStmt Data'!A$2:A$2051,0)+MATCH(A19,'IncStmt Data'!G$2:G$2051,0))</f>
        <v>#N/A</v>
      </c>
      <c r="CT19" s="46" t="e">
        <f>INDEX('IncStmt Data'!H$1:H$2999,MATCH(CT$1,'IncStmt Data'!A$2:A$2051,0)+MATCH(A19,'IncStmt Data'!G$2:G$2051,0))</f>
        <v>#N/A</v>
      </c>
      <c r="CU19" s="46" t="e">
        <f>INDEX('IncStmt Data'!H$1:H$2999,MATCH(CU$1,'IncStmt Data'!A$2:A$2051,0)+MATCH(A19,'IncStmt Data'!G$2:G$2051,0))</f>
        <v>#N/A</v>
      </c>
      <c r="CV19" s="46" t="e">
        <f>INDEX('IncStmt Data'!H$1:H$2999,MATCH(CV$1,'IncStmt Data'!A$2:A$2051,0)+MATCH(A19,'IncStmt Data'!G$2:G$2051,0))</f>
        <v>#N/A</v>
      </c>
      <c r="CW19" s="46" t="e">
        <f>INDEX('IncStmt Data'!H$1:H$2999,MATCH(CW$1,'IncStmt Data'!A$2:A$2051,0)+MATCH(A19,'IncStmt Data'!G$2:G$2051,0))</f>
        <v>#N/A</v>
      </c>
      <c r="CX19" s="46" t="e">
        <f>INDEX('IncStmt Data'!H$1:H$2999,MATCH(CX$1,'IncStmt Data'!A$2:A$2051,0)+MATCH(A19,'IncStmt Data'!G$2:G$2051,0))</f>
        <v>#N/A</v>
      </c>
      <c r="CY19" s="46" t="e">
        <f>INDEX('IncStmt Data'!H$1:H$2999,MATCH(CY$1,'IncStmt Data'!A$2:A$2051,0)+MATCH(A19,'IncStmt Data'!G$2:G$2051,0))</f>
        <v>#N/A</v>
      </c>
      <c r="CZ19" s="46" t="e">
        <f>INDEX('IncStmt Data'!H$1:H$2999,MATCH(CZ$1,'IncStmt Data'!A$2:A$2051,0)+MATCH(A19,'IncStmt Data'!G$2:G$2051,0))</f>
        <v>#N/A</v>
      </c>
    </row>
    <row r="20" spans="1:104" s="46" customFormat="1" x14ac:dyDescent="0.2">
      <c r="A20" s="4" t="s">
        <v>46</v>
      </c>
      <c r="B20" s="46">
        <f>INDEX('IncStmt Data'!H$1:H$2999,MATCH(B$1,'IncStmt Data'!A$2:A$2051,0)+MATCH(A20,'IncStmt Data'!G$2:G$2051,0))</f>
        <v>103</v>
      </c>
      <c r="C20" s="46" t="e">
        <f>INDEX('IncStmt Data'!H$1:H$2999,MATCH(C$1,'IncStmt Data'!A$2:A$2051,0)+MATCH(A20,'IncStmt Data'!G$2:G$2051,0))</f>
        <v>#N/A</v>
      </c>
      <c r="D20" s="46" t="e">
        <f>INDEX('IncStmt Data'!H$1:H$2999,MATCH(D$1,'IncStmt Data'!A$2:A$2051,0)+MATCH(A20,'IncStmt Data'!G$2:G$2051,0))</f>
        <v>#N/A</v>
      </c>
      <c r="E20" s="46" t="e">
        <f>INDEX('IncStmt Data'!H$1:H$2999,MATCH(E$1,'IncStmt Data'!A$2:A$2051,0)+MATCH(A20,'IncStmt Data'!G$2:G$2051,0))</f>
        <v>#N/A</v>
      </c>
      <c r="F20" s="46" t="e">
        <f>INDEX('IncStmt Data'!H$1:H$2999,MATCH(F$1,'IncStmt Data'!A$2:A$2051,0)+MATCH(A20,'IncStmt Data'!G$2:G$2051,0))</f>
        <v>#N/A</v>
      </c>
      <c r="G20" s="46" t="e">
        <f>INDEX('IncStmt Data'!H$1:H$2999,MATCH(G$1,'IncStmt Data'!A$2:A$2051,0)+MATCH(A20,'IncStmt Data'!G$2:G$2051,0))</f>
        <v>#N/A</v>
      </c>
      <c r="H20" s="46" t="e">
        <f>INDEX('IncStmt Data'!H$1:H$2999,MATCH(H$1,'IncStmt Data'!A$2:A$2051,0)+MATCH(A20,'IncStmt Data'!G$2:G$2051,0))</f>
        <v>#N/A</v>
      </c>
      <c r="I20" s="47" t="e">
        <f>INDEX('IncStmt Data'!H$1:H$2999,MATCH(I$1,'IncStmt Data'!A$2:A$2051,0)+MATCH(A20,'IncStmt Data'!G$2:G$2051,0))</f>
        <v>#N/A</v>
      </c>
      <c r="J20" s="46" t="e">
        <f>INDEX('IncStmt Data'!H$1:H$2999,MATCH(J$1,'IncStmt Data'!A$2:A$2051,0)+MATCH(A20,'IncStmt Data'!G$2:G$2051,0))</f>
        <v>#N/A</v>
      </c>
      <c r="K20" s="46" t="e">
        <f>INDEX('IncStmt Data'!H$1:H$2999,MATCH(K$1,'IncStmt Data'!A$2:A$2051,0)+MATCH(A20,'IncStmt Data'!G$2:G$2051,0))</f>
        <v>#N/A</v>
      </c>
      <c r="L20" s="46" t="e">
        <f>INDEX('IncStmt Data'!H$1:H$2999,MATCH(L$1,'IncStmt Data'!A$2:A$2051,0)+MATCH(A20,'IncStmt Data'!G$2:G$2051,0))</f>
        <v>#N/A</v>
      </c>
      <c r="M20" s="46" t="e">
        <f>INDEX('IncStmt Data'!H$1:H$2999,MATCH(M$1,'IncStmt Data'!A$2:A$2051,0)+MATCH(A20,'IncStmt Data'!G$2:G$2051,0))</f>
        <v>#N/A</v>
      </c>
      <c r="N20" s="46" t="e">
        <f>INDEX('IncStmt Data'!H$1:H$2999,MATCH(N$1,'IncStmt Data'!A$2:A$2051,0)+MATCH(A20,'IncStmt Data'!G$2:G$2051,0))</f>
        <v>#N/A</v>
      </c>
      <c r="O20" s="46" t="e">
        <f>INDEX('IncStmt Data'!H$1:H$2999,MATCH(O$1,'IncStmt Data'!A$2:A$2051,0)+MATCH(A20,'IncStmt Data'!G$2:G$2051,0))</f>
        <v>#N/A</v>
      </c>
      <c r="P20" s="46" t="e">
        <f>INDEX('IncStmt Data'!H$1:H$2999,MATCH(P$1,'IncStmt Data'!A$2:A$2051,0)+MATCH(A20,'IncStmt Data'!G$2:G$2051,0))</f>
        <v>#N/A</v>
      </c>
      <c r="Q20" s="46" t="e">
        <f>INDEX('IncStmt Data'!H$1:H$2999,MATCH(Q$1,'IncStmt Data'!A$2:A$2051,0)+MATCH(A20,'IncStmt Data'!G$2:G$2051,0))</f>
        <v>#N/A</v>
      </c>
      <c r="R20" s="46" t="e">
        <f>INDEX('IncStmt Data'!H$1:H$2999,MATCH(R$1,'IncStmt Data'!A$2:A$2051,0)+MATCH(A20,'IncStmt Data'!G$2:G$2051,0))</f>
        <v>#N/A</v>
      </c>
      <c r="S20" s="46" t="e">
        <f>INDEX('IncStmt Data'!H$1:H$2999,MATCH(S$1,'IncStmt Data'!A$2:A$2051,0)+MATCH(A20,'IncStmt Data'!G$2:G$2051,0))</f>
        <v>#N/A</v>
      </c>
      <c r="T20" s="46" t="e">
        <f>INDEX('IncStmt Data'!H$1:H$2999,MATCH(T$1,'IncStmt Data'!A$2:A$2051,0)+MATCH(A20,'IncStmt Data'!G$2:G$2051,0))</f>
        <v>#N/A</v>
      </c>
      <c r="U20" s="46" t="e">
        <f>INDEX('IncStmt Data'!H$1:H$2999,MATCH(U$1,'IncStmt Data'!A$2:A$2051,0)+MATCH(A20,'IncStmt Data'!G$2:G$2051,0))</f>
        <v>#N/A</v>
      </c>
      <c r="V20" s="46" t="e">
        <f>INDEX('IncStmt Data'!H$1:H$2999,MATCH(V$1,'IncStmt Data'!A$2:A$2051,0)+MATCH(A20,'IncStmt Data'!G$2:G$2051,0))</f>
        <v>#N/A</v>
      </c>
      <c r="W20" s="46" t="e">
        <f>INDEX('IncStmt Data'!H$1:H$2999,MATCH(W$1,'IncStmt Data'!A$2:A$2051,0)+MATCH(A20,'IncStmt Data'!G$2:G$2051,0))</f>
        <v>#N/A</v>
      </c>
      <c r="X20" s="46" t="e">
        <f>INDEX('IncStmt Data'!H$1:H$2999,MATCH(X$1,'IncStmt Data'!A$2:A$2051,0)+MATCH(A20,'IncStmt Data'!G$2:G$2051,0))</f>
        <v>#N/A</v>
      </c>
      <c r="Y20" s="46" t="e">
        <f>INDEX('IncStmt Data'!H$1:H$2999,MATCH(Y$1,'IncStmt Data'!A$2:A$2051,0)+MATCH(A20,'IncStmt Data'!G$2:G$2051,0))</f>
        <v>#N/A</v>
      </c>
      <c r="Z20" s="46" t="e">
        <f>INDEX('IncStmt Data'!H$1:H$2999,MATCH(Z$1,'IncStmt Data'!A$2:A$2051,0)+MATCH(A20,'IncStmt Data'!G$2:G$2051,0))</f>
        <v>#N/A</v>
      </c>
      <c r="AA20" s="46" t="e">
        <f>INDEX('IncStmt Data'!H$1:H$2999,MATCH(AA$1,'IncStmt Data'!A$2:A$2051,0)+MATCH(A20,'IncStmt Data'!G$2:G$2051,0))</f>
        <v>#N/A</v>
      </c>
      <c r="AB20" s="46" t="e">
        <f>INDEX('IncStmt Data'!H$1:H$2999,MATCH(AB$1,'IncStmt Data'!A$2:A$2051,0)+MATCH(A20,'IncStmt Data'!G$2:G$2051,0))</f>
        <v>#N/A</v>
      </c>
      <c r="AC20" s="46" t="e">
        <f>INDEX('IncStmt Data'!H$1:H$2999,MATCH(AC$1,'IncStmt Data'!A$2:A$2051,0)+MATCH(A20,'IncStmt Data'!G$2:G$2051,0))</f>
        <v>#N/A</v>
      </c>
      <c r="AD20" s="46" t="e">
        <f>INDEX('IncStmt Data'!H$1:H$2999,MATCH(AD$1,'IncStmt Data'!A$2:A$2051,0)+MATCH(A20,'IncStmt Data'!G$2:G$2051,0))</f>
        <v>#N/A</v>
      </c>
      <c r="AE20" s="46" t="e">
        <f>INDEX('IncStmt Data'!H$1:H$2999,MATCH(AE$1,'IncStmt Data'!A$2:A$2051,0)+MATCH(A20,'IncStmt Data'!G$2:G$2051,0))</f>
        <v>#N/A</v>
      </c>
      <c r="AF20" s="46" t="e">
        <f>INDEX('IncStmt Data'!H$1:H$2999,MATCH(AF$1,'IncStmt Data'!A$2:A$2051,0)+MATCH(A20,'IncStmt Data'!G$2:G$2051,0))</f>
        <v>#N/A</v>
      </c>
      <c r="AG20" s="46" t="e">
        <f>INDEX('IncStmt Data'!H$1:H$2999,MATCH(AG$1,'IncStmt Data'!A$2:A$2051,0)+MATCH(A20,'IncStmt Data'!G$2:G$2051,0))</f>
        <v>#N/A</v>
      </c>
      <c r="AH20" s="46" t="e">
        <f>INDEX('IncStmt Data'!H$1:H$2999,MATCH(AH$1,'IncStmt Data'!A$2:A$2051,0)+MATCH(A20,'IncStmt Data'!G$2:G$2051,0))</f>
        <v>#N/A</v>
      </c>
      <c r="AI20" s="46" t="e">
        <f>INDEX('IncStmt Data'!H$1:H$2999,MATCH(AI$1,'IncStmt Data'!A$2:A$2051,0)+MATCH(A20,'IncStmt Data'!G$2:G$2051,0))</f>
        <v>#N/A</v>
      </c>
      <c r="AJ20" s="46" t="e">
        <f>INDEX('IncStmt Data'!H$1:H$2999,MATCH(AJ$1,'IncStmt Data'!A$2:A$2051,0)+MATCH(A20,'IncStmt Data'!G$2:G$2051,0))</f>
        <v>#N/A</v>
      </c>
      <c r="AK20" s="46" t="e">
        <f>INDEX('IncStmt Data'!H$1:H$2999,MATCH(AK$1,'IncStmt Data'!A$2:A$2051,0)+MATCH(A20,'IncStmt Data'!G$2:G$2051,0))</f>
        <v>#N/A</v>
      </c>
      <c r="AL20" s="46">
        <f>INDEX('IncStmt Data'!H$1:H$2999,MATCH(AL$1,'IncStmt Data'!A$2:A$2051,0)+MATCH(A20,'IncStmt Data'!G$2:G$2051,0))</f>
        <v>0</v>
      </c>
      <c r="AM20" s="46">
        <f>INDEX('IncStmt Data'!H$1:H$2999,MATCH(AM$1,'IncStmt Data'!A$2:A$2051,0)+MATCH(A20,'IncStmt Data'!G$2:G$2051,0))</f>
        <v>0</v>
      </c>
      <c r="AN20" s="46">
        <f>INDEX('IncStmt Data'!H$1:H$2999,MATCH(AN$1,'IncStmt Data'!A$2:A$2051,0)+MATCH(A20,'IncStmt Data'!G$2:G$2051,0))</f>
        <v>0</v>
      </c>
      <c r="AO20" s="46">
        <f>INDEX('IncStmt Data'!H$1:H$2999,MATCH(AO$1,'IncStmt Data'!A$2:A$2051,0)+MATCH(A20,'IncStmt Data'!G$2:G$2051,0))</f>
        <v>1000</v>
      </c>
      <c r="AP20" s="46" t="e">
        <f>INDEX('IncStmt Data'!H$1:H$2999,MATCH(AP$1,'IncStmt Data'!A$2:A$2051,0)+MATCH(A20,'IncStmt Data'!G$2:G$2051,0))</f>
        <v>#N/A</v>
      </c>
      <c r="AQ20" s="46" t="e">
        <f>INDEX('IncStmt Data'!H$1:H$2999,MATCH(AQ$1,'IncStmt Data'!A$2:A$2051,0)+MATCH(A20,'IncStmt Data'!G$2:G$2051,0))</f>
        <v>#N/A</v>
      </c>
      <c r="AR20" s="46" t="e">
        <f>INDEX('IncStmt Data'!H$1:H$2999,MATCH(AR$1,'IncStmt Data'!A$2:A$2051,0)+MATCH(A20,'IncStmt Data'!G$2:G$2051,0))</f>
        <v>#N/A</v>
      </c>
      <c r="AS20" s="46" t="e">
        <f>INDEX('IncStmt Data'!H$1:H$2999,MATCH(AS$1,'IncStmt Data'!A$2:A$2051,0)+MATCH(A20,'IncStmt Data'!G$2:G$2051,0))</f>
        <v>#N/A</v>
      </c>
      <c r="AT20" s="46" t="e">
        <f>INDEX('IncStmt Data'!H$1:H$2999,MATCH(AT$1,'IncStmt Data'!A$2:A$2051,0)+MATCH(A20,'IncStmt Data'!G$2:G$2051,0))</f>
        <v>#N/A</v>
      </c>
      <c r="AU20" s="46" t="e">
        <f>INDEX('IncStmt Data'!H$1:H$2999,MATCH(AU$1,'IncStmt Data'!A$2:A$2051,0)+MATCH(A20,'IncStmt Data'!G$2:G$2051,0))</f>
        <v>#N/A</v>
      </c>
      <c r="AV20" s="46" t="e">
        <f>INDEX('IncStmt Data'!H$1:H$2999,MATCH(AV$1,'IncStmt Data'!A$2:A$2051,0)+MATCH(A20,'IncStmt Data'!G$2:G$2051,0))</f>
        <v>#N/A</v>
      </c>
      <c r="AW20" s="46" t="e">
        <f>INDEX('IncStmt Data'!H$1:H$2999,MATCH(AW$1,'IncStmt Data'!A$2:A$2051,0)+MATCH(A20,'IncStmt Data'!G$2:G$2051,0))</f>
        <v>#N/A</v>
      </c>
      <c r="AX20" s="46" t="e">
        <f>INDEX('IncStmt Data'!H$1:H$2999,MATCH(AX$1,'IncStmt Data'!A$2:A$2051,0)+MATCH(A20,'IncStmt Data'!G$2:G$2051,0))</f>
        <v>#N/A</v>
      </c>
      <c r="AY20" s="46" t="e">
        <f>INDEX('IncStmt Data'!H$1:H$2999,MATCH(AY$1,'IncStmt Data'!A$2:A$2051,0)+MATCH(A20,'IncStmt Data'!G$2:G$2051,0))</f>
        <v>#N/A</v>
      </c>
      <c r="AZ20" s="46" t="e">
        <f>INDEX('IncStmt Data'!H$1:H$2999,MATCH(AZ$1,'IncStmt Data'!A$2:A$2051,0)+MATCH(A20,'IncStmt Data'!G$2:G$2051,0))</f>
        <v>#N/A</v>
      </c>
      <c r="BA20" s="46" t="e">
        <f>INDEX('IncStmt Data'!H$1:H$2999,MATCH(BA$1,'IncStmt Data'!A$2:A$2051,0)+MATCH(A20,'IncStmt Data'!G$2:G$2051,0))</f>
        <v>#N/A</v>
      </c>
      <c r="BB20" s="46" t="e">
        <f>INDEX('IncStmt Data'!H$1:H$2999,MATCH(BB$1,'IncStmt Data'!A$2:A$2051,0)+MATCH(A20,'IncStmt Data'!G$2:G$2051,0))</f>
        <v>#N/A</v>
      </c>
      <c r="BC20" s="46" t="e">
        <f>INDEX('IncStmt Data'!H$1:H$2999,MATCH(BC$1,'IncStmt Data'!A$2:A$2051,0)+MATCH(A20,'IncStmt Data'!G$2:G$2051,0))</f>
        <v>#N/A</v>
      </c>
      <c r="BD20" s="46" t="e">
        <f>INDEX('IncStmt Data'!H$1:H$2999,MATCH(BD$1,'IncStmt Data'!A$2:A$2051,0)+MATCH(A20,'IncStmt Data'!G$2:G$2051,0))</f>
        <v>#N/A</v>
      </c>
      <c r="BE20" s="46" t="e">
        <f>INDEX('IncStmt Data'!H$1:H$2999,MATCH(BE$1,'IncStmt Data'!A$2:A$2051,0)+MATCH(A20,'IncStmt Data'!G$2:G$2051,0))</f>
        <v>#N/A</v>
      </c>
      <c r="BF20" s="46" t="e">
        <f>INDEX('IncStmt Data'!H$1:H$2999,MATCH(BF$1,'IncStmt Data'!A$2:A$2051,0)+MATCH(A20,'IncStmt Data'!G$2:G$2051,0))</f>
        <v>#N/A</v>
      </c>
      <c r="BG20" s="46" t="e">
        <f>INDEX('IncStmt Data'!H$1:H$2999,MATCH(BG$1,'IncStmt Data'!A$2:A$2051,0)+MATCH(A20,'IncStmt Data'!G$2:G$2051,0))</f>
        <v>#N/A</v>
      </c>
      <c r="BH20" s="46" t="e">
        <f>INDEX('IncStmt Data'!H$1:H$2999,MATCH(BH$1,'IncStmt Data'!A$2:A$2051,0)+MATCH(A20,'IncStmt Data'!G$2:G$2051,0))</f>
        <v>#N/A</v>
      </c>
      <c r="BI20" s="46" t="e">
        <f>INDEX('IncStmt Data'!H$1:H$2999,MATCH(BI$1,'IncStmt Data'!A$2:A$2051,0)+MATCH(A20,'IncStmt Data'!G$2:G$2051,0))</f>
        <v>#N/A</v>
      </c>
      <c r="BJ20" s="46" t="e">
        <f>INDEX('IncStmt Data'!H$1:H$2999,MATCH(BJ$1,'IncStmt Data'!A$2:A$2051,0)+MATCH(A20,'IncStmt Data'!G$2:G$2051,0))</f>
        <v>#N/A</v>
      </c>
      <c r="BK20" s="46" t="e">
        <f>INDEX('IncStmt Data'!H$1:H$2999,MATCH(BK$1,'IncStmt Data'!A$2:A$2051,0)+MATCH(A20,'IncStmt Data'!G$2:G$2051,0))</f>
        <v>#N/A</v>
      </c>
      <c r="BL20" s="46" t="e">
        <f>INDEX('IncStmt Data'!H$1:H$2999,MATCH(BL$1,'IncStmt Data'!A$2:A$2051,0)+MATCH(A20,'IncStmt Data'!G$2:G$2051,0))</f>
        <v>#N/A</v>
      </c>
      <c r="BM20" s="46" t="e">
        <f>INDEX('IncStmt Data'!H$1:H$2999,MATCH(BM$1,'IncStmt Data'!A$2:A$2051,0)+MATCH(A20,'IncStmt Data'!G$2:G$2051,0))</f>
        <v>#N/A</v>
      </c>
      <c r="BN20" s="46" t="e">
        <f>INDEX('IncStmt Data'!H$1:H$2999,MATCH(BN$1,'IncStmt Data'!A$2:A$2051,0)+MATCH(A20,'IncStmt Data'!G$2:G$2051,0))</f>
        <v>#N/A</v>
      </c>
      <c r="BO20" s="46" t="e">
        <f>INDEX('IncStmt Data'!H$1:H$2999,MATCH(BO$1,'IncStmt Data'!A$2:A$2051,0)+MATCH(A20,'IncStmt Data'!G$2:G$2051,0))</f>
        <v>#N/A</v>
      </c>
      <c r="BP20" s="46" t="e">
        <f>INDEX('IncStmt Data'!H$1:H$2999,MATCH(BP$1,'IncStmt Data'!A$2:A$2051,0)+MATCH(A20,'IncStmt Data'!G$2:G$2051,0))</f>
        <v>#N/A</v>
      </c>
      <c r="BQ20" s="46" t="e">
        <f>INDEX('IncStmt Data'!H$1:H$2999,MATCH(BQ$1,'IncStmt Data'!A$2:A$2051,0)+MATCH(A20,'IncStmt Data'!G$2:G$2051,0))</f>
        <v>#N/A</v>
      </c>
      <c r="BR20" s="46" t="e">
        <f>INDEX('IncStmt Data'!H$1:H$2999,MATCH(BR$1,'IncStmt Data'!A$2:A$2051,0)+MATCH(A20,'IncStmt Data'!G$2:G$2051,0))</f>
        <v>#N/A</v>
      </c>
      <c r="BS20" s="46" t="e">
        <f>INDEX('IncStmt Data'!H$1:H$2999,MATCH(BS$1,'IncStmt Data'!A$2:A$2051,0)+MATCH(A20,'IncStmt Data'!G$2:G$2051,0))</f>
        <v>#N/A</v>
      </c>
      <c r="BT20" s="46" t="e">
        <f>INDEX('IncStmt Data'!H$1:H$2999,MATCH(BT$1,'IncStmt Data'!A$2:A$2051,0)+MATCH(A20,'IncStmt Data'!G$2:G$2051,0))</f>
        <v>#N/A</v>
      </c>
      <c r="BU20" s="46" t="e">
        <f>INDEX('IncStmt Data'!H$1:H$2999,MATCH(BU$1,'IncStmt Data'!A$2:A$2051,0)+MATCH(A20,'IncStmt Data'!G$2:G$2051,0))</f>
        <v>#N/A</v>
      </c>
      <c r="BV20" s="46" t="e">
        <f>INDEX('IncStmt Data'!H$1:H$2999,MATCH(BV$1,'IncStmt Data'!A$2:A$2051,0)+MATCH(A20,'IncStmt Data'!G$2:G$2051,0))</f>
        <v>#N/A</v>
      </c>
      <c r="BW20" s="46" t="e">
        <f>INDEX('IncStmt Data'!H$1:H$2999,MATCH(BW$1,'IncStmt Data'!A$2:A$2051,0)+MATCH(A20,'IncStmt Data'!G$2:G$2051,0))</f>
        <v>#N/A</v>
      </c>
      <c r="BX20" s="46" t="e">
        <f>INDEX('IncStmt Data'!H$1:H$2999,MATCH(BX$1,'IncStmt Data'!A$2:A$2051,0)+MATCH(A20,'IncStmt Data'!G$2:G$2051,0))</f>
        <v>#N/A</v>
      </c>
      <c r="BY20" s="46" t="e">
        <f>INDEX('IncStmt Data'!H$1:H$2999,MATCH(BY$1,'IncStmt Data'!A$2:A$2051,0)+MATCH(A20,'IncStmt Data'!G$2:G$2051,0))</f>
        <v>#N/A</v>
      </c>
      <c r="BZ20" s="46" t="e">
        <f>INDEX('IncStmt Data'!H$1:H$2999,MATCH(BZ$1,'IncStmt Data'!A$2:A$2051,0)+MATCH(A20,'IncStmt Data'!G$2:G$2051,0))</f>
        <v>#N/A</v>
      </c>
      <c r="CA20" s="46" t="e">
        <f>INDEX('IncStmt Data'!H$1:H$2999,MATCH(CA$1,'IncStmt Data'!A$2:A$2051,0)+MATCH(A20,'IncStmt Data'!G$2:G$2051,0))</f>
        <v>#N/A</v>
      </c>
      <c r="CB20" s="46" t="e">
        <f>INDEX('IncStmt Data'!H$1:H$2999,MATCH(CB$1,'IncStmt Data'!A$2:A$2051,0)+MATCH(A20,'IncStmt Data'!G$2:G$2051,0))</f>
        <v>#N/A</v>
      </c>
      <c r="CC20" s="46" t="e">
        <f>INDEX('IncStmt Data'!H$1:H$2999,MATCH(CC$1,'IncStmt Data'!A$2:A$2051,0)+MATCH(A20,'IncStmt Data'!G$2:G$2051,0))</f>
        <v>#N/A</v>
      </c>
      <c r="CD20" s="46" t="e">
        <f>INDEX('IncStmt Data'!H$1:H$2999,MATCH(CD$1,'IncStmt Data'!A$2:A$2051,0)+MATCH(A20,'IncStmt Data'!G$2:G$2051,0))</f>
        <v>#N/A</v>
      </c>
      <c r="CE20" s="46" t="e">
        <f>INDEX('IncStmt Data'!H$1:H$2999,MATCH(CE$1,'IncStmt Data'!A$2:A$2051,0)+MATCH(A20,'IncStmt Data'!G$2:G$2051,0))</f>
        <v>#N/A</v>
      </c>
      <c r="CF20" s="46" t="e">
        <f>INDEX('IncStmt Data'!H$1:H$2999,MATCH(CF$1,'IncStmt Data'!A$2:A$2051,0)+MATCH(A20,'IncStmt Data'!G$2:G$2051,0))</f>
        <v>#N/A</v>
      </c>
      <c r="CG20" s="46" t="e">
        <f>INDEX('IncStmt Data'!H$1:H$2999,MATCH(CG$1,'IncStmt Data'!A$2:A$2051,0)+MATCH(A20,'IncStmt Data'!G$2:G$2051,0))</f>
        <v>#N/A</v>
      </c>
      <c r="CH20" s="46" t="e">
        <f>INDEX('IncStmt Data'!H$1:H$2999,MATCH(CH$1,'IncStmt Data'!A$2:A$2051,0)+MATCH(A20,'IncStmt Data'!G$2:G$2051,0))</f>
        <v>#N/A</v>
      </c>
      <c r="CI20" s="46" t="e">
        <f>INDEX('IncStmt Data'!H$1:H$2999,MATCH(CI$1,'IncStmt Data'!A$2:A$2051,0)+MATCH(A20,'IncStmt Data'!G$2:G$2051,0))</f>
        <v>#N/A</v>
      </c>
      <c r="CJ20" s="46" t="e">
        <f>INDEX('IncStmt Data'!H$1:H$2999,MATCH(CJ$1,'IncStmt Data'!A$2:A$2051,0)+MATCH(A20,'IncStmt Data'!G$2:G$2051,0))</f>
        <v>#N/A</v>
      </c>
      <c r="CK20" s="46" t="e">
        <f>INDEX('IncStmt Data'!H$1:H$2999,MATCH(CK$1,'IncStmt Data'!A$2:A$2051,0)+MATCH(A20,'IncStmt Data'!G$2:G$2051,0))</f>
        <v>#N/A</v>
      </c>
      <c r="CL20" s="46" t="e">
        <f>INDEX('IncStmt Data'!H$1:H$2999,MATCH(CL$1,'IncStmt Data'!A$2:A$2051,0)+MATCH(A20,'IncStmt Data'!G$2:G$2051,0))</f>
        <v>#N/A</v>
      </c>
      <c r="CM20" s="46" t="e">
        <f>INDEX('IncStmt Data'!H$1:H$2999,MATCH(CM$1,'IncStmt Data'!A$2:A$2051,0)+MATCH(A20,'IncStmt Data'!G$2:G$2051,0))</f>
        <v>#N/A</v>
      </c>
      <c r="CN20" s="46" t="e">
        <f>INDEX('IncStmt Data'!H$1:H$2999,MATCH(CN$1,'IncStmt Data'!A$2:A$2051,0)+MATCH(A20,'IncStmt Data'!G$2:G$2051,0))</f>
        <v>#N/A</v>
      </c>
      <c r="CO20" s="46" t="e">
        <f>INDEX('IncStmt Data'!H$1:H$2999,MATCH(CO$1,'IncStmt Data'!A$2:A$2051,0)+MATCH(A20,'IncStmt Data'!G$2:G$2051,0))</f>
        <v>#N/A</v>
      </c>
      <c r="CP20" s="46" t="e">
        <f>INDEX('IncStmt Data'!H$1:H$2999,MATCH(CP$1,'IncStmt Data'!A$2:A$2051,0)+MATCH(A20,'IncStmt Data'!G$2:G$2051,0))</f>
        <v>#N/A</v>
      </c>
      <c r="CQ20" s="46" t="e">
        <f>INDEX('IncStmt Data'!H$1:H$2999,MATCH(CQ$1,'IncStmt Data'!A$2:A$2051,0)+MATCH(A20,'IncStmt Data'!G$2:G$2051,0))</f>
        <v>#N/A</v>
      </c>
      <c r="CR20" s="46" t="e">
        <f>INDEX('IncStmt Data'!H$1:H$2999,MATCH(CR$1,'IncStmt Data'!A$2:A$2051,0)+MATCH(A20,'IncStmt Data'!G$2:G$2051,0))</f>
        <v>#N/A</v>
      </c>
      <c r="CS20" s="46" t="e">
        <f>INDEX('IncStmt Data'!H$1:H$2999,MATCH(CS$1,'IncStmt Data'!A$2:A$2051,0)+MATCH(A20,'IncStmt Data'!G$2:G$2051,0))</f>
        <v>#N/A</v>
      </c>
      <c r="CT20" s="46" t="e">
        <f>INDEX('IncStmt Data'!H$1:H$2999,MATCH(CT$1,'IncStmt Data'!A$2:A$2051,0)+MATCH(A20,'IncStmt Data'!G$2:G$2051,0))</f>
        <v>#N/A</v>
      </c>
      <c r="CU20" s="46" t="e">
        <f>INDEX('IncStmt Data'!H$1:H$2999,MATCH(CU$1,'IncStmt Data'!A$2:A$2051,0)+MATCH(A20,'IncStmt Data'!G$2:G$2051,0))</f>
        <v>#N/A</v>
      </c>
      <c r="CV20" s="46" t="e">
        <f>INDEX('IncStmt Data'!H$1:H$2999,MATCH(CV$1,'IncStmt Data'!A$2:A$2051,0)+MATCH(A20,'IncStmt Data'!G$2:G$2051,0))</f>
        <v>#N/A</v>
      </c>
      <c r="CW20" s="46" t="e">
        <f>INDEX('IncStmt Data'!H$1:H$2999,MATCH(CW$1,'IncStmt Data'!A$2:A$2051,0)+MATCH(A20,'IncStmt Data'!G$2:G$2051,0))</f>
        <v>#N/A</v>
      </c>
      <c r="CX20" s="46" t="e">
        <f>INDEX('IncStmt Data'!H$1:H$2999,MATCH(CX$1,'IncStmt Data'!A$2:A$2051,0)+MATCH(A20,'IncStmt Data'!G$2:G$2051,0))</f>
        <v>#N/A</v>
      </c>
      <c r="CY20" s="46" t="e">
        <f>INDEX('IncStmt Data'!H$1:H$2999,MATCH(CY$1,'IncStmt Data'!A$2:A$2051,0)+MATCH(A20,'IncStmt Data'!G$2:G$2051,0))</f>
        <v>#N/A</v>
      </c>
      <c r="CZ20" s="46" t="e">
        <f>INDEX('IncStmt Data'!H$1:H$2999,MATCH(CZ$1,'IncStmt Data'!A$2:A$2051,0)+MATCH(A20,'IncStmt Data'!G$2:G$2051,0))</f>
        <v>#N/A</v>
      </c>
    </row>
    <row r="21" spans="1:104" s="46" customFormat="1" x14ac:dyDescent="0.2">
      <c r="A21" s="4" t="s">
        <v>46</v>
      </c>
      <c r="B21" s="46">
        <f>INDEX('IncStmt Data'!H$1:H$2999,MATCH(B$1,'IncStmt Data'!A$2:A$2051,0)+MATCH(A21,'IncStmt Data'!G$2:G$2051,0))</f>
        <v>103</v>
      </c>
      <c r="C21" s="46" t="e">
        <f>INDEX('IncStmt Data'!H$1:H$2999,MATCH(C$1,'IncStmt Data'!A$2:A$2051,0)+MATCH(A21,'IncStmt Data'!G$2:G$2051,0))</f>
        <v>#N/A</v>
      </c>
      <c r="D21" s="46" t="e">
        <f>INDEX('IncStmt Data'!H$1:H$2999,MATCH(D$1,'IncStmt Data'!A$2:A$2051,0)+MATCH(A21,'IncStmt Data'!G$2:G$2051,0))</f>
        <v>#N/A</v>
      </c>
      <c r="E21" s="46" t="e">
        <f>INDEX('IncStmt Data'!H$1:H$2999,MATCH(E$1,'IncStmt Data'!A$2:A$2051,0)+MATCH(A21,'IncStmt Data'!G$2:G$2051,0))</f>
        <v>#N/A</v>
      </c>
      <c r="F21" s="46" t="e">
        <f>INDEX('IncStmt Data'!H$1:H$2999,MATCH(F$1,'IncStmt Data'!A$2:A$2051,0)+MATCH(A21,'IncStmt Data'!G$2:G$2051,0))</f>
        <v>#N/A</v>
      </c>
      <c r="G21" s="46" t="e">
        <f>INDEX('IncStmt Data'!H$1:H$2999,MATCH(G$1,'IncStmt Data'!A$2:A$2051,0)+MATCH(A21,'IncStmt Data'!G$2:G$2051,0))</f>
        <v>#N/A</v>
      </c>
      <c r="H21" s="46" t="e">
        <f>INDEX('IncStmt Data'!H$1:H$2999,MATCH(H$1,'IncStmt Data'!A$2:A$2051,0)+MATCH(A21,'IncStmt Data'!G$2:G$2051,0))</f>
        <v>#N/A</v>
      </c>
      <c r="I21" s="47" t="e">
        <f>INDEX('IncStmt Data'!H$1:H$2999,MATCH(I$1,'IncStmt Data'!A$2:A$2051,0)+MATCH(A21,'IncStmt Data'!G$2:G$2051,0))</f>
        <v>#N/A</v>
      </c>
      <c r="J21" s="46" t="e">
        <f>INDEX('IncStmt Data'!H$1:H$2999,MATCH(J$1,'IncStmt Data'!A$2:A$2051,0)+MATCH(A21,'IncStmt Data'!G$2:G$2051,0))</f>
        <v>#N/A</v>
      </c>
      <c r="K21" s="46" t="e">
        <f>INDEX('IncStmt Data'!H$1:H$2999,MATCH(K$1,'IncStmt Data'!A$2:A$2051,0)+MATCH(A21,'IncStmt Data'!G$2:G$2051,0))</f>
        <v>#N/A</v>
      </c>
      <c r="L21" s="46" t="e">
        <f>INDEX('IncStmt Data'!H$1:H$2999,MATCH(L$1,'IncStmt Data'!A$2:A$2051,0)+MATCH(A21,'IncStmt Data'!G$2:G$2051,0))</f>
        <v>#N/A</v>
      </c>
      <c r="M21" s="46" t="e">
        <f>INDEX('IncStmt Data'!H$1:H$2999,MATCH(M$1,'IncStmt Data'!A$2:A$2051,0)+MATCH(A21,'IncStmt Data'!G$2:G$2051,0))</f>
        <v>#N/A</v>
      </c>
      <c r="N21" s="46" t="e">
        <f>INDEX('IncStmt Data'!H$1:H$2999,MATCH(N$1,'IncStmt Data'!A$2:A$2051,0)+MATCH(A21,'IncStmt Data'!G$2:G$2051,0))</f>
        <v>#N/A</v>
      </c>
      <c r="O21" s="46" t="e">
        <f>INDEX('IncStmt Data'!H$1:H$2999,MATCH(O$1,'IncStmt Data'!A$2:A$2051,0)+MATCH(A21,'IncStmt Data'!G$2:G$2051,0))</f>
        <v>#N/A</v>
      </c>
      <c r="P21" s="46" t="e">
        <f>INDEX('IncStmt Data'!H$1:H$2999,MATCH(P$1,'IncStmt Data'!A$2:A$2051,0)+MATCH(A21,'IncStmt Data'!G$2:G$2051,0))</f>
        <v>#N/A</v>
      </c>
      <c r="Q21" s="46" t="e">
        <f>INDEX('IncStmt Data'!H$1:H$2999,MATCH(Q$1,'IncStmt Data'!A$2:A$2051,0)+MATCH(A21,'IncStmt Data'!G$2:G$2051,0))</f>
        <v>#N/A</v>
      </c>
      <c r="R21" s="46" t="e">
        <f>INDEX('IncStmt Data'!H$1:H$2999,MATCH(R$1,'IncStmt Data'!A$2:A$2051,0)+MATCH(A21,'IncStmt Data'!G$2:G$2051,0))</f>
        <v>#N/A</v>
      </c>
      <c r="S21" s="46" t="e">
        <f>INDEX('IncStmt Data'!H$1:H$2999,MATCH(S$1,'IncStmt Data'!A$2:A$2051,0)+MATCH(A21,'IncStmt Data'!G$2:G$2051,0))</f>
        <v>#N/A</v>
      </c>
      <c r="T21" s="46" t="e">
        <f>INDEX('IncStmt Data'!H$1:H$2999,MATCH(T$1,'IncStmt Data'!A$2:A$2051,0)+MATCH(A21,'IncStmt Data'!G$2:G$2051,0))</f>
        <v>#N/A</v>
      </c>
      <c r="U21" s="46" t="e">
        <f>INDEX('IncStmt Data'!H$1:H$2999,MATCH(U$1,'IncStmt Data'!A$2:A$2051,0)+MATCH(A21,'IncStmt Data'!G$2:G$2051,0))</f>
        <v>#N/A</v>
      </c>
      <c r="V21" s="46" t="e">
        <f>INDEX('IncStmt Data'!H$1:H$2999,MATCH(V$1,'IncStmt Data'!A$2:A$2051,0)+MATCH(A21,'IncStmt Data'!G$2:G$2051,0))</f>
        <v>#N/A</v>
      </c>
      <c r="W21" s="46" t="e">
        <f>INDEX('IncStmt Data'!H$1:H$2999,MATCH(W$1,'IncStmt Data'!A$2:A$2051,0)+MATCH(A21,'IncStmt Data'!G$2:G$2051,0))</f>
        <v>#N/A</v>
      </c>
      <c r="X21" s="46" t="e">
        <f>INDEX('IncStmt Data'!H$1:H$2999,MATCH(X$1,'IncStmt Data'!A$2:A$2051,0)+MATCH(A21,'IncStmt Data'!G$2:G$2051,0))</f>
        <v>#N/A</v>
      </c>
      <c r="Y21" s="46" t="e">
        <f>INDEX('IncStmt Data'!H$1:H$2999,MATCH(Y$1,'IncStmt Data'!A$2:A$2051,0)+MATCH(A21,'IncStmt Data'!G$2:G$2051,0))</f>
        <v>#N/A</v>
      </c>
      <c r="Z21" s="46" t="e">
        <f>INDEX('IncStmt Data'!H$1:H$2999,MATCH(Z$1,'IncStmt Data'!A$2:A$2051,0)+MATCH(A21,'IncStmt Data'!G$2:G$2051,0))</f>
        <v>#N/A</v>
      </c>
      <c r="AA21" s="46" t="e">
        <f>INDEX('IncStmt Data'!H$1:H$2999,MATCH(AA$1,'IncStmt Data'!A$2:A$2051,0)+MATCH(A21,'IncStmt Data'!G$2:G$2051,0))</f>
        <v>#N/A</v>
      </c>
      <c r="AB21" s="46" t="e">
        <f>INDEX('IncStmt Data'!H$1:H$2999,MATCH(AB$1,'IncStmt Data'!A$2:A$2051,0)+MATCH(A21,'IncStmt Data'!G$2:G$2051,0))</f>
        <v>#N/A</v>
      </c>
      <c r="AC21" s="46" t="e">
        <f>INDEX('IncStmt Data'!H$1:H$2999,MATCH(AC$1,'IncStmt Data'!A$2:A$2051,0)+MATCH(A21,'IncStmt Data'!G$2:G$2051,0))</f>
        <v>#N/A</v>
      </c>
      <c r="AD21" s="46" t="e">
        <f>INDEX('IncStmt Data'!H$1:H$2999,MATCH(AD$1,'IncStmt Data'!A$2:A$2051,0)+MATCH(A21,'IncStmt Data'!G$2:G$2051,0))</f>
        <v>#N/A</v>
      </c>
      <c r="AE21" s="46" t="e">
        <f>INDEX('IncStmt Data'!H$1:H$2999,MATCH(AE$1,'IncStmt Data'!A$2:A$2051,0)+MATCH(A21,'IncStmt Data'!G$2:G$2051,0))</f>
        <v>#N/A</v>
      </c>
      <c r="AF21" s="46" t="e">
        <f>INDEX('IncStmt Data'!H$1:H$2999,MATCH(AF$1,'IncStmt Data'!A$2:A$2051,0)+MATCH(A21,'IncStmt Data'!G$2:G$2051,0))</f>
        <v>#N/A</v>
      </c>
      <c r="AG21" s="46" t="e">
        <f>INDEX('IncStmt Data'!H$1:H$2999,MATCH(AG$1,'IncStmt Data'!A$2:A$2051,0)+MATCH(A21,'IncStmt Data'!G$2:G$2051,0))</f>
        <v>#N/A</v>
      </c>
      <c r="AH21" s="46" t="e">
        <f>INDEX('IncStmt Data'!H$1:H$2999,MATCH(AH$1,'IncStmt Data'!A$2:A$2051,0)+MATCH(A21,'IncStmt Data'!G$2:G$2051,0))</f>
        <v>#N/A</v>
      </c>
      <c r="AI21" s="46" t="e">
        <f>INDEX('IncStmt Data'!H$1:H$2999,MATCH(AI$1,'IncStmt Data'!A$2:A$2051,0)+MATCH(A21,'IncStmt Data'!G$2:G$2051,0))</f>
        <v>#N/A</v>
      </c>
      <c r="AJ21" s="46" t="e">
        <f>INDEX('IncStmt Data'!H$1:H$2999,MATCH(AJ$1,'IncStmt Data'!A$2:A$2051,0)+MATCH(A21,'IncStmt Data'!G$2:G$2051,0))</f>
        <v>#N/A</v>
      </c>
      <c r="AK21" s="46" t="e">
        <f>INDEX('IncStmt Data'!H$1:H$2999,MATCH(AK$1,'IncStmt Data'!A$2:A$2051,0)+MATCH(A21,'IncStmt Data'!G$2:G$2051,0))</f>
        <v>#N/A</v>
      </c>
      <c r="AL21" s="46">
        <f>INDEX('IncStmt Data'!H$1:H$2999,MATCH(AL$1,'IncStmt Data'!A$2:A$2051,0)+MATCH(A21,'IncStmt Data'!G$2:G$2051,0))</f>
        <v>0</v>
      </c>
      <c r="AM21" s="46">
        <f>INDEX('IncStmt Data'!H$1:H$2999,MATCH(AM$1,'IncStmt Data'!A$2:A$2051,0)+MATCH(A21,'IncStmt Data'!G$2:G$2051,0))</f>
        <v>0</v>
      </c>
      <c r="AN21" s="46">
        <f>INDEX('IncStmt Data'!H$1:H$2999,MATCH(AN$1,'IncStmt Data'!A$2:A$2051,0)+MATCH(A21,'IncStmt Data'!G$2:G$2051,0))</f>
        <v>0</v>
      </c>
      <c r="AO21" s="46">
        <f>INDEX('IncStmt Data'!H$1:H$2999,MATCH(AO$1,'IncStmt Data'!A$2:A$2051,0)+MATCH(A21,'IncStmt Data'!G$2:G$2051,0))</f>
        <v>1000</v>
      </c>
      <c r="AP21" s="46" t="e">
        <f>INDEX('IncStmt Data'!H$1:H$2999,MATCH(AP$1,'IncStmt Data'!A$2:A$2051,0)+MATCH(A21,'IncStmt Data'!G$2:G$2051,0))</f>
        <v>#N/A</v>
      </c>
      <c r="AQ21" s="46" t="e">
        <f>INDEX('IncStmt Data'!H$1:H$2999,MATCH(AQ$1,'IncStmt Data'!A$2:A$2051,0)+MATCH(A21,'IncStmt Data'!G$2:G$2051,0))</f>
        <v>#N/A</v>
      </c>
      <c r="AR21" s="46" t="e">
        <f>INDEX('IncStmt Data'!H$1:H$2999,MATCH(AR$1,'IncStmt Data'!A$2:A$2051,0)+MATCH(A21,'IncStmt Data'!G$2:G$2051,0))</f>
        <v>#N/A</v>
      </c>
      <c r="AS21" s="46" t="e">
        <f>INDEX('IncStmt Data'!H$1:H$2999,MATCH(AS$1,'IncStmt Data'!A$2:A$2051,0)+MATCH(A21,'IncStmt Data'!G$2:G$2051,0))</f>
        <v>#N/A</v>
      </c>
      <c r="AT21" s="46" t="e">
        <f>INDEX('IncStmt Data'!H$1:H$2999,MATCH(AT$1,'IncStmt Data'!A$2:A$2051,0)+MATCH(A21,'IncStmt Data'!G$2:G$2051,0))</f>
        <v>#N/A</v>
      </c>
      <c r="AU21" s="46" t="e">
        <f>INDEX('IncStmt Data'!H$1:H$2999,MATCH(AU$1,'IncStmt Data'!A$2:A$2051,0)+MATCH(A21,'IncStmt Data'!G$2:G$2051,0))</f>
        <v>#N/A</v>
      </c>
      <c r="AV21" s="46" t="e">
        <f>INDEX('IncStmt Data'!H$1:H$2999,MATCH(AV$1,'IncStmt Data'!A$2:A$2051,0)+MATCH(A21,'IncStmt Data'!G$2:G$2051,0))</f>
        <v>#N/A</v>
      </c>
      <c r="AW21" s="46" t="e">
        <f>INDEX('IncStmt Data'!H$1:H$2999,MATCH(AW$1,'IncStmt Data'!A$2:A$2051,0)+MATCH(A21,'IncStmt Data'!G$2:G$2051,0))</f>
        <v>#N/A</v>
      </c>
      <c r="AX21" s="46" t="e">
        <f>INDEX('IncStmt Data'!H$1:H$2999,MATCH(AX$1,'IncStmt Data'!A$2:A$2051,0)+MATCH(A21,'IncStmt Data'!G$2:G$2051,0))</f>
        <v>#N/A</v>
      </c>
      <c r="AY21" s="46" t="e">
        <f>INDEX('IncStmt Data'!H$1:H$2999,MATCH(AY$1,'IncStmt Data'!A$2:A$2051,0)+MATCH(A21,'IncStmt Data'!G$2:G$2051,0))</f>
        <v>#N/A</v>
      </c>
      <c r="AZ21" s="46" t="e">
        <f>INDEX('IncStmt Data'!H$1:H$2999,MATCH(AZ$1,'IncStmt Data'!A$2:A$2051,0)+MATCH(A21,'IncStmt Data'!G$2:G$2051,0))</f>
        <v>#N/A</v>
      </c>
      <c r="BA21" s="46" t="e">
        <f>INDEX('IncStmt Data'!H$1:H$2999,MATCH(BA$1,'IncStmt Data'!A$2:A$2051,0)+MATCH(A21,'IncStmt Data'!G$2:G$2051,0))</f>
        <v>#N/A</v>
      </c>
      <c r="BB21" s="46" t="e">
        <f>INDEX('IncStmt Data'!H$1:H$2999,MATCH(BB$1,'IncStmt Data'!A$2:A$2051,0)+MATCH(A21,'IncStmt Data'!G$2:G$2051,0))</f>
        <v>#N/A</v>
      </c>
      <c r="BC21" s="46" t="e">
        <f>INDEX('IncStmt Data'!H$1:H$2999,MATCH(BC$1,'IncStmt Data'!A$2:A$2051,0)+MATCH(A21,'IncStmt Data'!G$2:G$2051,0))</f>
        <v>#N/A</v>
      </c>
      <c r="BD21" s="46" t="e">
        <f>INDEX('IncStmt Data'!H$1:H$2999,MATCH(BD$1,'IncStmt Data'!A$2:A$2051,0)+MATCH(A21,'IncStmt Data'!G$2:G$2051,0))</f>
        <v>#N/A</v>
      </c>
      <c r="BE21" s="46" t="e">
        <f>INDEX('IncStmt Data'!H$1:H$2999,MATCH(BE$1,'IncStmt Data'!A$2:A$2051,0)+MATCH(A21,'IncStmt Data'!G$2:G$2051,0))</f>
        <v>#N/A</v>
      </c>
      <c r="BF21" s="46" t="e">
        <f>INDEX('IncStmt Data'!H$1:H$2999,MATCH(BF$1,'IncStmt Data'!A$2:A$2051,0)+MATCH(A21,'IncStmt Data'!G$2:G$2051,0))</f>
        <v>#N/A</v>
      </c>
      <c r="BG21" s="46" t="e">
        <f>INDEX('IncStmt Data'!H$1:H$2999,MATCH(BG$1,'IncStmt Data'!A$2:A$2051,0)+MATCH(A21,'IncStmt Data'!G$2:G$2051,0))</f>
        <v>#N/A</v>
      </c>
      <c r="BH21" s="46" t="e">
        <f>INDEX('IncStmt Data'!H$1:H$2999,MATCH(BH$1,'IncStmt Data'!A$2:A$2051,0)+MATCH(A21,'IncStmt Data'!G$2:G$2051,0))</f>
        <v>#N/A</v>
      </c>
      <c r="BI21" s="46" t="e">
        <f>INDEX('IncStmt Data'!H$1:H$2999,MATCH(BI$1,'IncStmt Data'!A$2:A$2051,0)+MATCH(A21,'IncStmt Data'!G$2:G$2051,0))</f>
        <v>#N/A</v>
      </c>
      <c r="BJ21" s="46" t="e">
        <f>INDEX('IncStmt Data'!H$1:H$2999,MATCH(BJ$1,'IncStmt Data'!A$2:A$2051,0)+MATCH(A21,'IncStmt Data'!G$2:G$2051,0))</f>
        <v>#N/A</v>
      </c>
      <c r="BK21" s="46" t="e">
        <f>INDEX('IncStmt Data'!H$1:H$2999,MATCH(BK$1,'IncStmt Data'!A$2:A$2051,0)+MATCH(A21,'IncStmt Data'!G$2:G$2051,0))</f>
        <v>#N/A</v>
      </c>
      <c r="BL21" s="46" t="e">
        <f>INDEX('IncStmt Data'!H$1:H$2999,MATCH(BL$1,'IncStmt Data'!A$2:A$2051,0)+MATCH(A21,'IncStmt Data'!G$2:G$2051,0))</f>
        <v>#N/A</v>
      </c>
      <c r="BM21" s="46" t="e">
        <f>INDEX('IncStmt Data'!H$1:H$2999,MATCH(BM$1,'IncStmt Data'!A$2:A$2051,0)+MATCH(A21,'IncStmt Data'!G$2:G$2051,0))</f>
        <v>#N/A</v>
      </c>
      <c r="BN21" s="46" t="e">
        <f>INDEX('IncStmt Data'!H$1:H$2999,MATCH(BN$1,'IncStmt Data'!A$2:A$2051,0)+MATCH(A21,'IncStmt Data'!G$2:G$2051,0))</f>
        <v>#N/A</v>
      </c>
      <c r="BO21" s="46" t="e">
        <f>INDEX('IncStmt Data'!H$1:H$2999,MATCH(BO$1,'IncStmt Data'!A$2:A$2051,0)+MATCH(A21,'IncStmt Data'!G$2:G$2051,0))</f>
        <v>#N/A</v>
      </c>
      <c r="BP21" s="46" t="e">
        <f>INDEX('IncStmt Data'!H$1:H$2999,MATCH(BP$1,'IncStmt Data'!A$2:A$2051,0)+MATCH(A21,'IncStmt Data'!G$2:G$2051,0))</f>
        <v>#N/A</v>
      </c>
      <c r="BQ21" s="46" t="e">
        <f>INDEX('IncStmt Data'!H$1:H$2999,MATCH(BQ$1,'IncStmt Data'!A$2:A$2051,0)+MATCH(A21,'IncStmt Data'!G$2:G$2051,0))</f>
        <v>#N/A</v>
      </c>
      <c r="BR21" s="46" t="e">
        <f>INDEX('IncStmt Data'!H$1:H$2999,MATCH(BR$1,'IncStmt Data'!A$2:A$2051,0)+MATCH(A21,'IncStmt Data'!G$2:G$2051,0))</f>
        <v>#N/A</v>
      </c>
      <c r="BS21" s="46" t="e">
        <f>INDEX('IncStmt Data'!H$1:H$2999,MATCH(BS$1,'IncStmt Data'!A$2:A$2051,0)+MATCH(A21,'IncStmt Data'!G$2:G$2051,0))</f>
        <v>#N/A</v>
      </c>
      <c r="BT21" s="46" t="e">
        <f>INDEX('IncStmt Data'!H$1:H$2999,MATCH(BT$1,'IncStmt Data'!A$2:A$2051,0)+MATCH(A21,'IncStmt Data'!G$2:G$2051,0))</f>
        <v>#N/A</v>
      </c>
      <c r="BU21" s="46" t="e">
        <f>INDEX('IncStmt Data'!H$1:H$2999,MATCH(BU$1,'IncStmt Data'!A$2:A$2051,0)+MATCH(A21,'IncStmt Data'!G$2:G$2051,0))</f>
        <v>#N/A</v>
      </c>
      <c r="BV21" s="46" t="e">
        <f>INDEX('IncStmt Data'!H$1:H$2999,MATCH(BV$1,'IncStmt Data'!A$2:A$2051,0)+MATCH(A21,'IncStmt Data'!G$2:G$2051,0))</f>
        <v>#N/A</v>
      </c>
      <c r="BW21" s="46" t="e">
        <f>INDEX('IncStmt Data'!H$1:H$2999,MATCH(BW$1,'IncStmt Data'!A$2:A$2051,0)+MATCH(A21,'IncStmt Data'!G$2:G$2051,0))</f>
        <v>#N/A</v>
      </c>
      <c r="BX21" s="46" t="e">
        <f>INDEX('IncStmt Data'!H$1:H$2999,MATCH(BX$1,'IncStmt Data'!A$2:A$2051,0)+MATCH(A21,'IncStmt Data'!G$2:G$2051,0))</f>
        <v>#N/A</v>
      </c>
      <c r="BY21" s="46" t="e">
        <f>INDEX('IncStmt Data'!H$1:H$2999,MATCH(BY$1,'IncStmt Data'!A$2:A$2051,0)+MATCH(A21,'IncStmt Data'!G$2:G$2051,0))</f>
        <v>#N/A</v>
      </c>
      <c r="BZ21" s="46" t="e">
        <f>INDEX('IncStmt Data'!H$1:H$2999,MATCH(BZ$1,'IncStmt Data'!A$2:A$2051,0)+MATCH(A21,'IncStmt Data'!G$2:G$2051,0))</f>
        <v>#N/A</v>
      </c>
      <c r="CA21" s="46" t="e">
        <f>INDEX('IncStmt Data'!H$1:H$2999,MATCH(CA$1,'IncStmt Data'!A$2:A$2051,0)+MATCH(A21,'IncStmt Data'!G$2:G$2051,0))</f>
        <v>#N/A</v>
      </c>
      <c r="CB21" s="46" t="e">
        <f>INDEX('IncStmt Data'!H$1:H$2999,MATCH(CB$1,'IncStmt Data'!A$2:A$2051,0)+MATCH(A21,'IncStmt Data'!G$2:G$2051,0))</f>
        <v>#N/A</v>
      </c>
      <c r="CC21" s="46" t="e">
        <f>INDEX('IncStmt Data'!H$1:H$2999,MATCH(CC$1,'IncStmt Data'!A$2:A$2051,0)+MATCH(A21,'IncStmt Data'!G$2:G$2051,0))</f>
        <v>#N/A</v>
      </c>
      <c r="CD21" s="46" t="e">
        <f>INDEX('IncStmt Data'!H$1:H$2999,MATCH(CD$1,'IncStmt Data'!A$2:A$2051,0)+MATCH(A21,'IncStmt Data'!G$2:G$2051,0))</f>
        <v>#N/A</v>
      </c>
      <c r="CE21" s="46" t="e">
        <f>INDEX('IncStmt Data'!H$1:H$2999,MATCH(CE$1,'IncStmt Data'!A$2:A$2051,0)+MATCH(A21,'IncStmt Data'!G$2:G$2051,0))</f>
        <v>#N/A</v>
      </c>
      <c r="CF21" s="46" t="e">
        <f>INDEX('IncStmt Data'!H$1:H$2999,MATCH(CF$1,'IncStmt Data'!A$2:A$2051,0)+MATCH(A21,'IncStmt Data'!G$2:G$2051,0))</f>
        <v>#N/A</v>
      </c>
      <c r="CG21" s="46" t="e">
        <f>INDEX('IncStmt Data'!H$1:H$2999,MATCH(CG$1,'IncStmt Data'!A$2:A$2051,0)+MATCH(A21,'IncStmt Data'!G$2:G$2051,0))</f>
        <v>#N/A</v>
      </c>
      <c r="CH21" s="46" t="e">
        <f>INDEX('IncStmt Data'!H$1:H$2999,MATCH(CH$1,'IncStmt Data'!A$2:A$2051,0)+MATCH(A21,'IncStmt Data'!G$2:G$2051,0))</f>
        <v>#N/A</v>
      </c>
      <c r="CI21" s="46" t="e">
        <f>INDEX('IncStmt Data'!H$1:H$2999,MATCH(CI$1,'IncStmt Data'!A$2:A$2051,0)+MATCH(A21,'IncStmt Data'!G$2:G$2051,0))</f>
        <v>#N/A</v>
      </c>
      <c r="CJ21" s="46" t="e">
        <f>INDEX('IncStmt Data'!H$1:H$2999,MATCH(CJ$1,'IncStmt Data'!A$2:A$2051,0)+MATCH(A21,'IncStmt Data'!G$2:G$2051,0))</f>
        <v>#N/A</v>
      </c>
      <c r="CK21" s="46" t="e">
        <f>INDEX('IncStmt Data'!H$1:H$2999,MATCH(CK$1,'IncStmt Data'!A$2:A$2051,0)+MATCH(A21,'IncStmt Data'!G$2:G$2051,0))</f>
        <v>#N/A</v>
      </c>
      <c r="CL21" s="46" t="e">
        <f>INDEX('IncStmt Data'!H$1:H$2999,MATCH(CL$1,'IncStmt Data'!A$2:A$2051,0)+MATCH(A21,'IncStmt Data'!G$2:G$2051,0))</f>
        <v>#N/A</v>
      </c>
      <c r="CM21" s="46" t="e">
        <f>INDEX('IncStmt Data'!H$1:H$2999,MATCH(CM$1,'IncStmt Data'!A$2:A$2051,0)+MATCH(A21,'IncStmt Data'!G$2:G$2051,0))</f>
        <v>#N/A</v>
      </c>
      <c r="CN21" s="46" t="e">
        <f>INDEX('IncStmt Data'!H$1:H$2999,MATCH(CN$1,'IncStmt Data'!A$2:A$2051,0)+MATCH(A21,'IncStmt Data'!G$2:G$2051,0))</f>
        <v>#N/A</v>
      </c>
      <c r="CO21" s="46" t="e">
        <f>INDEX('IncStmt Data'!H$1:H$2999,MATCH(CO$1,'IncStmt Data'!A$2:A$2051,0)+MATCH(A21,'IncStmt Data'!G$2:G$2051,0))</f>
        <v>#N/A</v>
      </c>
      <c r="CP21" s="46" t="e">
        <f>INDEX('IncStmt Data'!H$1:H$2999,MATCH(CP$1,'IncStmt Data'!A$2:A$2051,0)+MATCH(A21,'IncStmt Data'!G$2:G$2051,0))</f>
        <v>#N/A</v>
      </c>
      <c r="CQ21" s="46" t="e">
        <f>INDEX('IncStmt Data'!H$1:H$2999,MATCH(CQ$1,'IncStmt Data'!A$2:A$2051,0)+MATCH(A21,'IncStmt Data'!G$2:G$2051,0))</f>
        <v>#N/A</v>
      </c>
      <c r="CR21" s="46" t="e">
        <f>INDEX('IncStmt Data'!H$1:H$2999,MATCH(CR$1,'IncStmt Data'!A$2:A$2051,0)+MATCH(A21,'IncStmt Data'!G$2:G$2051,0))</f>
        <v>#N/A</v>
      </c>
      <c r="CS21" s="46" t="e">
        <f>INDEX('IncStmt Data'!H$1:H$2999,MATCH(CS$1,'IncStmt Data'!A$2:A$2051,0)+MATCH(A21,'IncStmt Data'!G$2:G$2051,0))</f>
        <v>#N/A</v>
      </c>
      <c r="CT21" s="46" t="e">
        <f>INDEX('IncStmt Data'!H$1:H$2999,MATCH(CT$1,'IncStmt Data'!A$2:A$2051,0)+MATCH(A21,'IncStmt Data'!G$2:G$2051,0))</f>
        <v>#N/A</v>
      </c>
      <c r="CU21" s="46" t="e">
        <f>INDEX('IncStmt Data'!H$1:H$2999,MATCH(CU$1,'IncStmt Data'!A$2:A$2051,0)+MATCH(A21,'IncStmt Data'!G$2:G$2051,0))</f>
        <v>#N/A</v>
      </c>
      <c r="CV21" s="46" t="e">
        <f>INDEX('IncStmt Data'!H$1:H$2999,MATCH(CV$1,'IncStmt Data'!A$2:A$2051,0)+MATCH(A21,'IncStmt Data'!G$2:G$2051,0))</f>
        <v>#N/A</v>
      </c>
      <c r="CW21" s="46" t="e">
        <f>INDEX('IncStmt Data'!H$1:H$2999,MATCH(CW$1,'IncStmt Data'!A$2:A$2051,0)+MATCH(A21,'IncStmt Data'!G$2:G$2051,0))</f>
        <v>#N/A</v>
      </c>
      <c r="CX21" s="46" t="e">
        <f>INDEX('IncStmt Data'!H$1:H$2999,MATCH(CX$1,'IncStmt Data'!A$2:A$2051,0)+MATCH(A21,'IncStmt Data'!G$2:G$2051,0))</f>
        <v>#N/A</v>
      </c>
      <c r="CY21" s="46" t="e">
        <f>INDEX('IncStmt Data'!H$1:H$2999,MATCH(CY$1,'IncStmt Data'!A$2:A$2051,0)+MATCH(A21,'IncStmt Data'!G$2:G$2051,0))</f>
        <v>#N/A</v>
      </c>
      <c r="CZ21" s="46" t="e">
        <f>INDEX('IncStmt Data'!H$1:H$2999,MATCH(CZ$1,'IncStmt Data'!A$2:A$2051,0)+MATCH(A21,'IncStmt Data'!G$2:G$2051,0))</f>
        <v>#N/A</v>
      </c>
    </row>
    <row r="22" spans="1:104" s="48" customFormat="1" ht="15" x14ac:dyDescent="0.35">
      <c r="A22" s="4" t="s">
        <v>47</v>
      </c>
      <c r="B22" s="57">
        <f>INDEX('IncStmt Data'!H$1:H$2999,MATCH(B$1,'IncStmt Data'!A$2:A$2051,0)+MATCH(A22,'IncStmt Data'!G$2:G$2051,0))</f>
        <v>0</v>
      </c>
      <c r="C22" s="57" t="e">
        <f>INDEX('IncStmt Data'!H$1:H$2999,MATCH(C$1,'IncStmt Data'!A$2:A$2051,0)+MATCH(A22,'IncStmt Data'!G$2:G$2051,0))</f>
        <v>#N/A</v>
      </c>
      <c r="D22" s="57" t="e">
        <f>INDEX('IncStmt Data'!H$1:H$2999,MATCH(D$1,'IncStmt Data'!A$2:A$2051,0)+MATCH(A22,'IncStmt Data'!G$2:G$2051,0))</f>
        <v>#N/A</v>
      </c>
      <c r="E22" s="57" t="e">
        <f>INDEX('IncStmt Data'!H$1:H$2999,MATCH(E$1,'IncStmt Data'!A$2:A$2051,0)+MATCH(A22,'IncStmt Data'!G$2:G$2051,0))</f>
        <v>#N/A</v>
      </c>
      <c r="F22" s="57" t="e">
        <f>INDEX('IncStmt Data'!H$1:H$2999,MATCH(F$1,'IncStmt Data'!A$2:A$2051,0)+MATCH(A22,'IncStmt Data'!G$2:G$2051,0))</f>
        <v>#N/A</v>
      </c>
      <c r="G22" s="57" t="e">
        <f>INDEX('IncStmt Data'!H$1:H$2999,MATCH(G$1,'IncStmt Data'!A$2:A$2051,0)+MATCH(A22,'IncStmt Data'!G$2:G$2051,0))</f>
        <v>#N/A</v>
      </c>
      <c r="H22" s="57" t="e">
        <f>INDEX('IncStmt Data'!H$1:H$2999,MATCH(H$1,'IncStmt Data'!A$2:A$2051,0)+MATCH(A22,'IncStmt Data'!G$2:G$2051,0))</f>
        <v>#N/A</v>
      </c>
      <c r="I22" s="58" t="e">
        <f>INDEX('IncStmt Data'!H$1:H$2999,MATCH(I$1,'IncStmt Data'!A$2:A$2051,0)+MATCH(A22,'IncStmt Data'!G$2:G$2051,0))</f>
        <v>#N/A</v>
      </c>
      <c r="J22" s="57" t="e">
        <f>INDEX('IncStmt Data'!H$1:H$2999,MATCH(J$1,'IncStmt Data'!A$2:A$2051,0)+MATCH(A22,'IncStmt Data'!G$2:G$2051,0))</f>
        <v>#N/A</v>
      </c>
      <c r="K22" s="57" t="e">
        <f>INDEX('IncStmt Data'!H$1:H$2999,MATCH(K$1,'IncStmt Data'!A$2:A$2051,0)+MATCH(A22,'IncStmt Data'!G$2:G$2051,0))</f>
        <v>#N/A</v>
      </c>
      <c r="L22" s="57" t="e">
        <f>INDEX('IncStmt Data'!H$1:H$2999,MATCH(L$1,'IncStmt Data'!A$2:A$2051,0)+MATCH(A22,'IncStmt Data'!G$2:G$2051,0))</f>
        <v>#N/A</v>
      </c>
      <c r="M22" s="57" t="e">
        <f>INDEX('IncStmt Data'!H$1:H$2999,MATCH(M$1,'IncStmt Data'!A$2:A$2051,0)+MATCH(A22,'IncStmt Data'!G$2:G$2051,0))</f>
        <v>#N/A</v>
      </c>
      <c r="N22" s="57" t="e">
        <f>INDEX('IncStmt Data'!H$1:H$2999,MATCH(N$1,'IncStmt Data'!A$2:A$2051,0)+MATCH(A22,'IncStmt Data'!G$2:G$2051,0))</f>
        <v>#N/A</v>
      </c>
      <c r="O22" s="57" t="e">
        <f>INDEX('IncStmt Data'!H$1:H$2999,MATCH(O$1,'IncStmt Data'!A$2:A$2051,0)+MATCH(A22,'IncStmt Data'!G$2:G$2051,0))</f>
        <v>#N/A</v>
      </c>
      <c r="P22" s="57" t="e">
        <f>INDEX('IncStmt Data'!H$1:H$2999,MATCH(P$1,'IncStmt Data'!A$2:A$2051,0)+MATCH(A22,'IncStmt Data'!G$2:G$2051,0))</f>
        <v>#N/A</v>
      </c>
      <c r="Q22" s="57" t="e">
        <f>INDEX('IncStmt Data'!H$1:H$2999,MATCH(Q$1,'IncStmt Data'!A$2:A$2051,0)+MATCH(A22,'IncStmt Data'!G$2:G$2051,0))</f>
        <v>#N/A</v>
      </c>
      <c r="R22" s="57" t="e">
        <f>INDEX('IncStmt Data'!H$1:H$2999,MATCH(R$1,'IncStmt Data'!A$2:A$2051,0)+MATCH(A22,'IncStmt Data'!G$2:G$2051,0))</f>
        <v>#N/A</v>
      </c>
      <c r="S22" s="57" t="e">
        <f>INDEX('IncStmt Data'!H$1:H$2999,MATCH(S$1,'IncStmt Data'!A$2:A$2051,0)+MATCH(A22,'IncStmt Data'!G$2:G$2051,0))</f>
        <v>#N/A</v>
      </c>
      <c r="T22" s="57" t="e">
        <f>INDEX('IncStmt Data'!H$1:H$2999,MATCH(T$1,'IncStmt Data'!A$2:A$2051,0)+MATCH(A22,'IncStmt Data'!G$2:G$2051,0))</f>
        <v>#N/A</v>
      </c>
      <c r="U22" s="57" t="e">
        <f>INDEX('IncStmt Data'!H$1:H$2999,MATCH(U$1,'IncStmt Data'!A$2:A$2051,0)+MATCH(A22,'IncStmt Data'!G$2:G$2051,0))</f>
        <v>#N/A</v>
      </c>
      <c r="V22" s="57" t="e">
        <f>INDEX('IncStmt Data'!H$1:H$2999,MATCH(V$1,'IncStmt Data'!A$2:A$2051,0)+MATCH(A22,'IncStmt Data'!G$2:G$2051,0))</f>
        <v>#N/A</v>
      </c>
      <c r="W22" s="57" t="e">
        <f>INDEX('IncStmt Data'!H$1:H$2999,MATCH(W$1,'IncStmt Data'!A$2:A$2051,0)+MATCH(A22,'IncStmt Data'!G$2:G$2051,0))</f>
        <v>#N/A</v>
      </c>
      <c r="X22" s="57" t="e">
        <f>INDEX('IncStmt Data'!H$1:H$2999,MATCH(X$1,'IncStmt Data'!A$2:A$2051,0)+MATCH(A22,'IncStmt Data'!G$2:G$2051,0))</f>
        <v>#N/A</v>
      </c>
      <c r="Y22" s="57" t="e">
        <f>INDEX('IncStmt Data'!H$1:H$2999,MATCH(Y$1,'IncStmt Data'!A$2:A$2051,0)+MATCH(A22,'IncStmt Data'!G$2:G$2051,0))</f>
        <v>#N/A</v>
      </c>
      <c r="Z22" s="57" t="e">
        <f>INDEX('IncStmt Data'!H$1:H$2999,MATCH(Z$1,'IncStmt Data'!A$2:A$2051,0)+MATCH(A22,'IncStmt Data'!G$2:G$2051,0))</f>
        <v>#N/A</v>
      </c>
      <c r="AA22" s="57" t="e">
        <f>INDEX('IncStmt Data'!H$1:H$2999,MATCH(AA$1,'IncStmt Data'!A$2:A$2051,0)+MATCH(A22,'IncStmt Data'!G$2:G$2051,0))</f>
        <v>#N/A</v>
      </c>
      <c r="AB22" s="57" t="e">
        <f>INDEX('IncStmt Data'!H$1:H$2999,MATCH(AB$1,'IncStmt Data'!A$2:A$2051,0)+MATCH(A22,'IncStmt Data'!G$2:G$2051,0))</f>
        <v>#N/A</v>
      </c>
      <c r="AC22" s="57" t="e">
        <f>INDEX('IncStmt Data'!H$1:H$2999,MATCH(AC$1,'IncStmt Data'!A$2:A$2051,0)+MATCH(A22,'IncStmt Data'!G$2:G$2051,0))</f>
        <v>#N/A</v>
      </c>
      <c r="AD22" s="57" t="e">
        <f>INDEX('IncStmt Data'!H$1:H$2999,MATCH(AD$1,'IncStmt Data'!A$2:A$2051,0)+MATCH(A22,'IncStmt Data'!G$2:G$2051,0))</f>
        <v>#N/A</v>
      </c>
      <c r="AE22" s="57" t="e">
        <f>INDEX('IncStmt Data'!H$1:H$2999,MATCH(AE$1,'IncStmt Data'!A$2:A$2051,0)+MATCH(A22,'IncStmt Data'!G$2:G$2051,0))</f>
        <v>#N/A</v>
      </c>
      <c r="AF22" s="57" t="e">
        <f>INDEX('IncStmt Data'!H$1:H$2999,MATCH(AF$1,'IncStmt Data'!A$2:A$2051,0)+MATCH(A22,'IncStmt Data'!G$2:G$2051,0))</f>
        <v>#N/A</v>
      </c>
      <c r="AG22" s="57" t="e">
        <f>INDEX('IncStmt Data'!H$1:H$2999,MATCH(AG$1,'IncStmt Data'!A$2:A$2051,0)+MATCH(A22,'IncStmt Data'!G$2:G$2051,0))</f>
        <v>#N/A</v>
      </c>
      <c r="AH22" s="57" t="e">
        <f>INDEX('IncStmt Data'!H$1:H$2999,MATCH(AH$1,'IncStmt Data'!A$2:A$2051,0)+MATCH(A22,'IncStmt Data'!G$2:G$2051,0))</f>
        <v>#N/A</v>
      </c>
      <c r="AI22" s="57" t="e">
        <f>INDEX('IncStmt Data'!H$1:H$2999,MATCH(AI$1,'IncStmt Data'!A$2:A$2051,0)+MATCH(A22,'IncStmt Data'!G$2:G$2051,0))</f>
        <v>#N/A</v>
      </c>
      <c r="AJ22" s="57" t="e">
        <f>INDEX('IncStmt Data'!H$1:H$2999,MATCH(AJ$1,'IncStmt Data'!A$2:A$2051,0)+MATCH(A22,'IncStmt Data'!G$2:G$2051,0))</f>
        <v>#N/A</v>
      </c>
      <c r="AK22" s="57" t="e">
        <f>INDEX('IncStmt Data'!H$1:H$2999,MATCH(AK$1,'IncStmt Data'!A$2:A$2051,0)+MATCH(A22,'IncStmt Data'!G$2:G$2051,0))</f>
        <v>#N/A</v>
      </c>
      <c r="AL22" s="57">
        <f>INDEX('IncStmt Data'!H$1:H$2999,MATCH(AL$1,'IncStmt Data'!A$2:A$2051,0)+MATCH(A22,'IncStmt Data'!G$2:G$2051,0))</f>
        <v>0</v>
      </c>
      <c r="AM22" s="57">
        <f>INDEX('IncStmt Data'!H$1:H$2999,MATCH(AM$1,'IncStmt Data'!A$2:A$2051,0)+MATCH(A22,'IncStmt Data'!G$2:G$2051,0))</f>
        <v>0</v>
      </c>
      <c r="AN22" s="57">
        <f>INDEX('IncStmt Data'!H$1:H$2999,MATCH(AN$1,'IncStmt Data'!A$2:A$2051,0)+MATCH(A22,'IncStmt Data'!G$2:G$2051,0))</f>
        <v>0</v>
      </c>
      <c r="AO22" s="57">
        <f>INDEX('IncStmt Data'!H$1:H$2999,MATCH(AO$1,'IncStmt Data'!A$2:A$2051,0)+MATCH(A22,'IncStmt Data'!G$2:G$2051,0))</f>
        <v>0</v>
      </c>
      <c r="AP22" s="57" t="e">
        <f>INDEX('IncStmt Data'!H$1:H$2999,MATCH(AP$1,'IncStmt Data'!A$2:A$2051,0)+MATCH(A22,'IncStmt Data'!G$2:G$2051,0))</f>
        <v>#N/A</v>
      </c>
      <c r="AQ22" s="57" t="e">
        <f>INDEX('IncStmt Data'!H$1:H$2999,MATCH(AQ$1,'IncStmt Data'!A$2:A$2051,0)+MATCH(A22,'IncStmt Data'!G$2:G$2051,0))</f>
        <v>#N/A</v>
      </c>
      <c r="AR22" s="57" t="e">
        <f>INDEX('IncStmt Data'!H$1:H$2999,MATCH(AR$1,'IncStmt Data'!A$2:A$2051,0)+MATCH(A22,'IncStmt Data'!G$2:G$2051,0))</f>
        <v>#N/A</v>
      </c>
      <c r="AS22" s="57" t="e">
        <f>INDEX('IncStmt Data'!H$1:H$2999,MATCH(AS$1,'IncStmt Data'!A$2:A$2051,0)+MATCH(A22,'IncStmt Data'!G$2:G$2051,0))</f>
        <v>#N/A</v>
      </c>
      <c r="AT22" s="57" t="e">
        <f>INDEX('IncStmt Data'!H$1:H$2999,MATCH(AT$1,'IncStmt Data'!A$2:A$2051,0)+MATCH(A22,'IncStmt Data'!G$2:G$2051,0))</f>
        <v>#N/A</v>
      </c>
      <c r="AU22" s="57" t="e">
        <f>INDEX('IncStmt Data'!H$1:H$2999,MATCH(AU$1,'IncStmt Data'!A$2:A$2051,0)+MATCH(A22,'IncStmt Data'!G$2:G$2051,0))</f>
        <v>#N/A</v>
      </c>
      <c r="AV22" s="57" t="e">
        <f>INDEX('IncStmt Data'!H$1:H$2999,MATCH(AV$1,'IncStmt Data'!A$2:A$2051,0)+MATCH(A22,'IncStmt Data'!G$2:G$2051,0))</f>
        <v>#N/A</v>
      </c>
      <c r="AW22" s="57" t="e">
        <f>INDEX('IncStmt Data'!H$1:H$2999,MATCH(AW$1,'IncStmt Data'!A$2:A$2051,0)+MATCH(A22,'IncStmt Data'!G$2:G$2051,0))</f>
        <v>#N/A</v>
      </c>
      <c r="AX22" s="57" t="e">
        <f>INDEX('IncStmt Data'!H$1:H$2999,MATCH(AX$1,'IncStmt Data'!A$2:A$2051,0)+MATCH(A22,'IncStmt Data'!G$2:G$2051,0))</f>
        <v>#N/A</v>
      </c>
      <c r="AY22" s="57" t="e">
        <f>INDEX('IncStmt Data'!H$1:H$2999,MATCH(AY$1,'IncStmt Data'!A$2:A$2051,0)+MATCH(A22,'IncStmt Data'!G$2:G$2051,0))</f>
        <v>#N/A</v>
      </c>
      <c r="AZ22" s="57" t="e">
        <f>INDEX('IncStmt Data'!H$1:H$2999,MATCH(AZ$1,'IncStmt Data'!A$2:A$2051,0)+MATCH(A22,'IncStmt Data'!G$2:G$2051,0))</f>
        <v>#N/A</v>
      </c>
      <c r="BA22" s="57" t="e">
        <f>INDEX('IncStmt Data'!H$1:H$2999,MATCH(BA$1,'IncStmt Data'!A$2:A$2051,0)+MATCH(A22,'IncStmt Data'!G$2:G$2051,0))</f>
        <v>#N/A</v>
      </c>
      <c r="BB22" s="57" t="e">
        <f>INDEX('IncStmt Data'!H$1:H$2999,MATCH(BB$1,'IncStmt Data'!A$2:A$2051,0)+MATCH(A22,'IncStmt Data'!G$2:G$2051,0))</f>
        <v>#N/A</v>
      </c>
      <c r="BC22" s="57" t="e">
        <f>INDEX('IncStmt Data'!H$1:H$2999,MATCH(BC$1,'IncStmt Data'!A$2:A$2051,0)+MATCH(A22,'IncStmt Data'!G$2:G$2051,0))</f>
        <v>#N/A</v>
      </c>
      <c r="BD22" s="57" t="e">
        <f>INDEX('IncStmt Data'!H$1:H$2999,MATCH(BD$1,'IncStmt Data'!A$2:A$2051,0)+MATCH(A22,'IncStmt Data'!G$2:G$2051,0))</f>
        <v>#N/A</v>
      </c>
      <c r="BE22" s="57" t="e">
        <f>INDEX('IncStmt Data'!H$1:H$2999,MATCH(BE$1,'IncStmt Data'!A$2:A$2051,0)+MATCH(A22,'IncStmt Data'!G$2:G$2051,0))</f>
        <v>#N/A</v>
      </c>
      <c r="BF22" s="57" t="e">
        <f>INDEX('IncStmt Data'!H$1:H$2999,MATCH(BF$1,'IncStmt Data'!A$2:A$2051,0)+MATCH(A22,'IncStmt Data'!G$2:G$2051,0))</f>
        <v>#N/A</v>
      </c>
      <c r="BG22" s="57" t="e">
        <f>INDEX('IncStmt Data'!H$1:H$2999,MATCH(BG$1,'IncStmt Data'!A$2:A$2051,0)+MATCH(A22,'IncStmt Data'!G$2:G$2051,0))</f>
        <v>#N/A</v>
      </c>
      <c r="BH22" s="57" t="e">
        <f>INDEX('IncStmt Data'!H$1:H$2999,MATCH(BH$1,'IncStmt Data'!A$2:A$2051,0)+MATCH(A22,'IncStmt Data'!G$2:G$2051,0))</f>
        <v>#N/A</v>
      </c>
      <c r="BI22" s="57" t="e">
        <f>INDEX('IncStmt Data'!H$1:H$2999,MATCH(BI$1,'IncStmt Data'!A$2:A$2051,0)+MATCH(A22,'IncStmt Data'!G$2:G$2051,0))</f>
        <v>#N/A</v>
      </c>
      <c r="BJ22" s="57" t="e">
        <f>INDEX('IncStmt Data'!H$1:H$2999,MATCH(BJ$1,'IncStmt Data'!A$2:A$2051,0)+MATCH(A22,'IncStmt Data'!G$2:G$2051,0))</f>
        <v>#N/A</v>
      </c>
      <c r="BK22" s="57" t="e">
        <f>INDEX('IncStmt Data'!H$1:H$2999,MATCH(BK$1,'IncStmt Data'!A$2:A$2051,0)+MATCH(A22,'IncStmt Data'!G$2:G$2051,0))</f>
        <v>#N/A</v>
      </c>
      <c r="BL22" s="57" t="e">
        <f>INDEX('IncStmt Data'!H$1:H$2999,MATCH(BL$1,'IncStmt Data'!A$2:A$2051,0)+MATCH(A22,'IncStmt Data'!G$2:G$2051,0))</f>
        <v>#N/A</v>
      </c>
      <c r="BM22" s="57" t="e">
        <f>INDEX('IncStmt Data'!H$1:H$2999,MATCH(BM$1,'IncStmt Data'!A$2:A$2051,0)+MATCH(A22,'IncStmt Data'!G$2:G$2051,0))</f>
        <v>#N/A</v>
      </c>
      <c r="BN22" s="57" t="e">
        <f>INDEX('IncStmt Data'!H$1:H$2999,MATCH(BN$1,'IncStmt Data'!A$2:A$2051,0)+MATCH(A22,'IncStmt Data'!G$2:G$2051,0))</f>
        <v>#N/A</v>
      </c>
      <c r="BO22" s="57" t="e">
        <f>INDEX('IncStmt Data'!H$1:H$2999,MATCH(BO$1,'IncStmt Data'!A$2:A$2051,0)+MATCH(A22,'IncStmt Data'!G$2:G$2051,0))</f>
        <v>#N/A</v>
      </c>
      <c r="BP22" s="57" t="e">
        <f>INDEX('IncStmt Data'!H$1:H$2999,MATCH(BP$1,'IncStmt Data'!A$2:A$2051,0)+MATCH(A22,'IncStmt Data'!G$2:G$2051,0))</f>
        <v>#N/A</v>
      </c>
      <c r="BQ22" s="57" t="e">
        <f>INDEX('IncStmt Data'!H$1:H$2999,MATCH(BQ$1,'IncStmt Data'!A$2:A$2051,0)+MATCH(A22,'IncStmt Data'!G$2:G$2051,0))</f>
        <v>#N/A</v>
      </c>
      <c r="BR22" s="57" t="e">
        <f>INDEX('IncStmt Data'!H$1:H$2999,MATCH(BR$1,'IncStmt Data'!A$2:A$2051,0)+MATCH(A22,'IncStmt Data'!G$2:G$2051,0))</f>
        <v>#N/A</v>
      </c>
      <c r="BS22" s="57" t="e">
        <f>INDEX('IncStmt Data'!H$1:H$2999,MATCH(BS$1,'IncStmt Data'!A$2:A$2051,0)+MATCH(A22,'IncStmt Data'!G$2:G$2051,0))</f>
        <v>#N/A</v>
      </c>
      <c r="BT22" s="57" t="e">
        <f>INDEX('IncStmt Data'!H$1:H$2999,MATCH(BT$1,'IncStmt Data'!A$2:A$2051,0)+MATCH(A22,'IncStmt Data'!G$2:G$2051,0))</f>
        <v>#N/A</v>
      </c>
      <c r="BU22" s="57" t="e">
        <f>INDEX('IncStmt Data'!H$1:H$2999,MATCH(BU$1,'IncStmt Data'!A$2:A$2051,0)+MATCH(A22,'IncStmt Data'!G$2:G$2051,0))</f>
        <v>#N/A</v>
      </c>
      <c r="BV22" s="57" t="e">
        <f>INDEX('IncStmt Data'!H$1:H$2999,MATCH(BV$1,'IncStmt Data'!A$2:A$2051,0)+MATCH(A22,'IncStmt Data'!G$2:G$2051,0))</f>
        <v>#N/A</v>
      </c>
      <c r="BW22" s="57" t="e">
        <f>INDEX('IncStmt Data'!H$1:H$2999,MATCH(BW$1,'IncStmt Data'!A$2:A$2051,0)+MATCH(A22,'IncStmt Data'!G$2:G$2051,0))</f>
        <v>#N/A</v>
      </c>
      <c r="BX22" s="57" t="e">
        <f>INDEX('IncStmt Data'!H$1:H$2999,MATCH(BX$1,'IncStmt Data'!A$2:A$2051,0)+MATCH(A22,'IncStmt Data'!G$2:G$2051,0))</f>
        <v>#N/A</v>
      </c>
      <c r="BY22" s="57" t="e">
        <f>INDEX('IncStmt Data'!H$1:H$2999,MATCH(BY$1,'IncStmt Data'!A$2:A$2051,0)+MATCH(A22,'IncStmt Data'!G$2:G$2051,0))</f>
        <v>#N/A</v>
      </c>
      <c r="BZ22" s="57" t="e">
        <f>INDEX('IncStmt Data'!H$1:H$2999,MATCH(BZ$1,'IncStmt Data'!A$2:A$2051,0)+MATCH(A22,'IncStmt Data'!G$2:G$2051,0))</f>
        <v>#N/A</v>
      </c>
      <c r="CA22" s="57" t="e">
        <f>INDEX('IncStmt Data'!H$1:H$2999,MATCH(CA$1,'IncStmt Data'!A$2:A$2051,0)+MATCH(A22,'IncStmt Data'!G$2:G$2051,0))</f>
        <v>#N/A</v>
      </c>
      <c r="CB22" s="57" t="e">
        <f>INDEX('IncStmt Data'!H$1:H$2999,MATCH(CB$1,'IncStmt Data'!A$2:A$2051,0)+MATCH(A22,'IncStmt Data'!G$2:G$2051,0))</f>
        <v>#N/A</v>
      </c>
      <c r="CC22" s="57" t="e">
        <f>INDEX('IncStmt Data'!H$1:H$2999,MATCH(CC$1,'IncStmt Data'!A$2:A$2051,0)+MATCH(A22,'IncStmt Data'!G$2:G$2051,0))</f>
        <v>#N/A</v>
      </c>
      <c r="CD22" s="57" t="e">
        <f>INDEX('IncStmt Data'!H$1:H$2999,MATCH(CD$1,'IncStmt Data'!A$2:A$2051,0)+MATCH(A22,'IncStmt Data'!G$2:G$2051,0))</f>
        <v>#N/A</v>
      </c>
      <c r="CE22" s="57" t="e">
        <f>INDEX('IncStmt Data'!H$1:H$2999,MATCH(CE$1,'IncStmt Data'!A$2:A$2051,0)+MATCH(A22,'IncStmt Data'!G$2:G$2051,0))</f>
        <v>#N/A</v>
      </c>
      <c r="CF22" s="57" t="e">
        <f>INDEX('IncStmt Data'!H$1:H$2999,MATCH(CF$1,'IncStmt Data'!A$2:A$2051,0)+MATCH(A22,'IncStmt Data'!G$2:G$2051,0))</f>
        <v>#N/A</v>
      </c>
      <c r="CG22" s="57" t="e">
        <f>INDEX('IncStmt Data'!H$1:H$2999,MATCH(CG$1,'IncStmt Data'!A$2:A$2051,0)+MATCH(A22,'IncStmt Data'!G$2:G$2051,0))</f>
        <v>#N/A</v>
      </c>
      <c r="CH22" s="57" t="e">
        <f>INDEX('IncStmt Data'!H$1:H$2999,MATCH(CH$1,'IncStmt Data'!A$2:A$2051,0)+MATCH(A22,'IncStmt Data'!G$2:G$2051,0))</f>
        <v>#N/A</v>
      </c>
      <c r="CI22" s="57" t="e">
        <f>INDEX('IncStmt Data'!H$1:H$2999,MATCH(CI$1,'IncStmt Data'!A$2:A$2051,0)+MATCH(A22,'IncStmt Data'!G$2:G$2051,0))</f>
        <v>#N/A</v>
      </c>
      <c r="CJ22" s="57" t="e">
        <f>INDEX('IncStmt Data'!H$1:H$2999,MATCH(CJ$1,'IncStmt Data'!A$2:A$2051,0)+MATCH(A22,'IncStmt Data'!G$2:G$2051,0))</f>
        <v>#N/A</v>
      </c>
      <c r="CK22" s="57" t="e">
        <f>INDEX('IncStmt Data'!H$1:H$2999,MATCH(CK$1,'IncStmt Data'!A$2:A$2051,0)+MATCH(A22,'IncStmt Data'!G$2:G$2051,0))</f>
        <v>#N/A</v>
      </c>
      <c r="CL22" s="57" t="e">
        <f>INDEX('IncStmt Data'!H$1:H$2999,MATCH(CL$1,'IncStmt Data'!A$2:A$2051,0)+MATCH(A22,'IncStmt Data'!G$2:G$2051,0))</f>
        <v>#N/A</v>
      </c>
      <c r="CM22" s="57" t="e">
        <f>INDEX('IncStmt Data'!H$1:H$2999,MATCH(CM$1,'IncStmt Data'!A$2:A$2051,0)+MATCH(A22,'IncStmt Data'!G$2:G$2051,0))</f>
        <v>#N/A</v>
      </c>
      <c r="CN22" s="57" t="e">
        <f>INDEX('IncStmt Data'!H$1:H$2999,MATCH(CN$1,'IncStmt Data'!A$2:A$2051,0)+MATCH(A22,'IncStmt Data'!G$2:G$2051,0))</f>
        <v>#N/A</v>
      </c>
      <c r="CO22" s="57" t="e">
        <f>INDEX('IncStmt Data'!H$1:H$2999,MATCH(CO$1,'IncStmt Data'!A$2:A$2051,0)+MATCH(A22,'IncStmt Data'!G$2:G$2051,0))</f>
        <v>#N/A</v>
      </c>
      <c r="CP22" s="57" t="e">
        <f>INDEX('IncStmt Data'!H$1:H$2999,MATCH(CP$1,'IncStmt Data'!A$2:A$2051,0)+MATCH(A22,'IncStmt Data'!G$2:G$2051,0))</f>
        <v>#N/A</v>
      </c>
      <c r="CQ22" s="57" t="e">
        <f>INDEX('IncStmt Data'!H$1:H$2999,MATCH(CQ$1,'IncStmt Data'!A$2:A$2051,0)+MATCH(A22,'IncStmt Data'!G$2:G$2051,0))</f>
        <v>#N/A</v>
      </c>
      <c r="CR22" s="57" t="e">
        <f>INDEX('IncStmt Data'!H$1:H$2999,MATCH(CR$1,'IncStmt Data'!A$2:A$2051,0)+MATCH(A22,'IncStmt Data'!G$2:G$2051,0))</f>
        <v>#N/A</v>
      </c>
      <c r="CS22" s="57" t="e">
        <f>INDEX('IncStmt Data'!H$1:H$2999,MATCH(CS$1,'IncStmt Data'!A$2:A$2051,0)+MATCH(A22,'IncStmt Data'!G$2:G$2051,0))</f>
        <v>#N/A</v>
      </c>
      <c r="CT22" s="57" t="e">
        <f>INDEX('IncStmt Data'!H$1:H$2999,MATCH(CT$1,'IncStmt Data'!A$2:A$2051,0)+MATCH(A22,'IncStmt Data'!G$2:G$2051,0))</f>
        <v>#N/A</v>
      </c>
      <c r="CU22" s="57" t="e">
        <f>INDEX('IncStmt Data'!H$1:H$2999,MATCH(CU$1,'IncStmt Data'!A$2:A$2051,0)+MATCH(A22,'IncStmt Data'!G$2:G$2051,0))</f>
        <v>#N/A</v>
      </c>
      <c r="CV22" s="57" t="e">
        <f>INDEX('IncStmt Data'!H$1:H$2999,MATCH(CV$1,'IncStmt Data'!A$2:A$2051,0)+MATCH(A22,'IncStmt Data'!G$2:G$2051,0))</f>
        <v>#N/A</v>
      </c>
      <c r="CW22" s="57" t="e">
        <f>INDEX('IncStmt Data'!H$1:H$2999,MATCH(CW$1,'IncStmt Data'!A$2:A$2051,0)+MATCH(A22,'IncStmt Data'!G$2:G$2051,0))</f>
        <v>#N/A</v>
      </c>
      <c r="CX22" s="57" t="e">
        <f>INDEX('IncStmt Data'!H$1:H$2999,MATCH(CX$1,'IncStmt Data'!A$2:A$2051,0)+MATCH(A22,'IncStmt Data'!G$2:G$2051,0))</f>
        <v>#N/A</v>
      </c>
      <c r="CY22" s="57" t="e">
        <f>INDEX('IncStmt Data'!H$1:H$2999,MATCH(CY$1,'IncStmt Data'!A$2:A$2051,0)+MATCH(A22,'IncStmt Data'!G$2:G$2051,0))</f>
        <v>#N/A</v>
      </c>
      <c r="CZ22" s="57" t="e">
        <f>INDEX('IncStmt Data'!H$1:H$2999,MATCH(CZ$1,'IncStmt Data'!A$2:A$2051,0)+MATCH(A22,'IncStmt Data'!G$2:G$2051,0))</f>
        <v>#N/A</v>
      </c>
    </row>
    <row r="23" spans="1:104" s="46" customFormat="1" x14ac:dyDescent="0.2">
      <c r="A23" s="43"/>
      <c r="B23" s="46">
        <f>SUM(B11:B22)</f>
        <v>3048</v>
      </c>
      <c r="C23" s="46" t="e">
        <f t="shared" ref="C23:BM23" si="2">SUM(C11:C22)</f>
        <v>#N/A</v>
      </c>
      <c r="D23" s="46" t="e">
        <f t="shared" si="2"/>
        <v>#N/A</v>
      </c>
      <c r="E23" s="46" t="e">
        <f t="shared" si="2"/>
        <v>#N/A</v>
      </c>
      <c r="F23" s="46" t="e">
        <f t="shared" si="2"/>
        <v>#N/A</v>
      </c>
      <c r="G23" s="46" t="e">
        <f t="shared" si="2"/>
        <v>#N/A</v>
      </c>
      <c r="H23" s="46" t="e">
        <f t="shared" si="2"/>
        <v>#N/A</v>
      </c>
      <c r="I23" s="46" t="e">
        <f t="shared" si="2"/>
        <v>#N/A</v>
      </c>
      <c r="J23" s="46" t="e">
        <f t="shared" si="2"/>
        <v>#N/A</v>
      </c>
      <c r="K23" s="46" t="e">
        <f t="shared" si="2"/>
        <v>#N/A</v>
      </c>
      <c r="L23" s="46" t="e">
        <f t="shared" si="2"/>
        <v>#N/A</v>
      </c>
      <c r="M23" s="46" t="e">
        <f t="shared" si="2"/>
        <v>#N/A</v>
      </c>
      <c r="N23" s="46" t="e">
        <f t="shared" si="2"/>
        <v>#N/A</v>
      </c>
      <c r="O23" s="46" t="e">
        <f t="shared" si="2"/>
        <v>#N/A</v>
      </c>
      <c r="P23" s="46" t="e">
        <f t="shared" si="2"/>
        <v>#N/A</v>
      </c>
      <c r="Q23" s="46" t="e">
        <f t="shared" si="2"/>
        <v>#N/A</v>
      </c>
      <c r="R23" s="46" t="e">
        <f t="shared" si="2"/>
        <v>#N/A</v>
      </c>
      <c r="S23" s="46" t="e">
        <f t="shared" si="2"/>
        <v>#N/A</v>
      </c>
      <c r="T23" s="46" t="e">
        <f t="shared" si="2"/>
        <v>#N/A</v>
      </c>
      <c r="U23" s="46" t="e">
        <f t="shared" si="2"/>
        <v>#N/A</v>
      </c>
      <c r="V23" s="46" t="e">
        <f t="shared" si="2"/>
        <v>#N/A</v>
      </c>
      <c r="W23" s="46" t="e">
        <f t="shared" si="2"/>
        <v>#N/A</v>
      </c>
      <c r="X23" s="46" t="e">
        <f t="shared" si="2"/>
        <v>#N/A</v>
      </c>
      <c r="Y23" s="46" t="e">
        <f t="shared" si="2"/>
        <v>#N/A</v>
      </c>
      <c r="Z23" s="46" t="e">
        <f t="shared" si="2"/>
        <v>#N/A</v>
      </c>
      <c r="AA23" s="46" t="e">
        <f t="shared" si="2"/>
        <v>#N/A</v>
      </c>
      <c r="AB23" s="46" t="e">
        <f t="shared" si="2"/>
        <v>#N/A</v>
      </c>
      <c r="AC23" s="46" t="e">
        <f t="shared" si="2"/>
        <v>#N/A</v>
      </c>
      <c r="AD23" s="46" t="e">
        <f t="shared" si="2"/>
        <v>#N/A</v>
      </c>
      <c r="AE23" s="46" t="e">
        <f t="shared" si="2"/>
        <v>#N/A</v>
      </c>
      <c r="AF23" s="46" t="e">
        <f t="shared" si="2"/>
        <v>#N/A</v>
      </c>
      <c r="AG23" s="46" t="e">
        <f t="shared" si="2"/>
        <v>#N/A</v>
      </c>
      <c r="AH23" s="46" t="e">
        <f t="shared" si="2"/>
        <v>#N/A</v>
      </c>
      <c r="AI23" s="46" t="e">
        <f t="shared" si="2"/>
        <v>#N/A</v>
      </c>
      <c r="AJ23" s="46" t="e">
        <f t="shared" si="2"/>
        <v>#N/A</v>
      </c>
      <c r="AK23" s="46" t="e">
        <f>SUM(AK11:AK22)</f>
        <v>#N/A</v>
      </c>
      <c r="AL23" s="46">
        <f t="shared" si="2"/>
        <v>0</v>
      </c>
      <c r="AM23" s="46">
        <f t="shared" si="2"/>
        <v>1400</v>
      </c>
      <c r="AN23" s="46">
        <f t="shared" si="2"/>
        <v>1400</v>
      </c>
      <c r="AO23" s="46">
        <f t="shared" si="2"/>
        <v>2000</v>
      </c>
      <c r="AP23" s="46" t="e">
        <f t="shared" si="2"/>
        <v>#N/A</v>
      </c>
      <c r="AQ23" s="46" t="e">
        <f t="shared" si="2"/>
        <v>#N/A</v>
      </c>
      <c r="AR23" s="46" t="e">
        <f t="shared" si="2"/>
        <v>#N/A</v>
      </c>
      <c r="AS23" s="46" t="e">
        <f t="shared" si="2"/>
        <v>#N/A</v>
      </c>
      <c r="AT23" s="46" t="e">
        <f t="shared" si="2"/>
        <v>#N/A</v>
      </c>
      <c r="AU23" s="46" t="e">
        <f t="shared" si="2"/>
        <v>#N/A</v>
      </c>
      <c r="AV23" s="46" t="e">
        <f t="shared" si="2"/>
        <v>#N/A</v>
      </c>
      <c r="AW23" s="46" t="e">
        <f t="shared" si="2"/>
        <v>#N/A</v>
      </c>
      <c r="AX23" s="46" t="e">
        <f t="shared" si="2"/>
        <v>#N/A</v>
      </c>
      <c r="AY23" s="46" t="e">
        <f t="shared" si="2"/>
        <v>#N/A</v>
      </c>
      <c r="AZ23" s="46" t="e">
        <f t="shared" si="2"/>
        <v>#N/A</v>
      </c>
      <c r="BA23" s="46" t="e">
        <f t="shared" si="2"/>
        <v>#N/A</v>
      </c>
      <c r="BB23" s="46" t="e">
        <f t="shared" si="2"/>
        <v>#N/A</v>
      </c>
      <c r="BC23" s="46" t="e">
        <f t="shared" si="2"/>
        <v>#N/A</v>
      </c>
      <c r="BD23" s="46" t="e">
        <f t="shared" si="2"/>
        <v>#N/A</v>
      </c>
      <c r="BE23" s="46" t="e">
        <f t="shared" si="2"/>
        <v>#N/A</v>
      </c>
      <c r="BF23" s="46" t="e">
        <f t="shared" si="2"/>
        <v>#N/A</v>
      </c>
      <c r="BG23" s="46" t="e">
        <f t="shared" si="2"/>
        <v>#N/A</v>
      </c>
      <c r="BH23" s="46" t="e">
        <f t="shared" si="2"/>
        <v>#N/A</v>
      </c>
      <c r="BI23" s="46" t="e">
        <f t="shared" si="2"/>
        <v>#N/A</v>
      </c>
      <c r="BJ23" s="46" t="e">
        <f t="shared" si="2"/>
        <v>#N/A</v>
      </c>
      <c r="BK23" s="46" t="e">
        <f t="shared" si="2"/>
        <v>#N/A</v>
      </c>
      <c r="BL23" s="46" t="e">
        <f t="shared" si="2"/>
        <v>#N/A</v>
      </c>
      <c r="BM23" s="46" t="e">
        <f t="shared" si="2"/>
        <v>#N/A</v>
      </c>
      <c r="BN23" s="46" t="e">
        <f t="shared" ref="BN23:CZ23" si="3">SUM(BN11:BN22)</f>
        <v>#N/A</v>
      </c>
      <c r="BO23" s="46" t="e">
        <f t="shared" si="3"/>
        <v>#N/A</v>
      </c>
      <c r="BP23" s="46" t="e">
        <f t="shared" si="3"/>
        <v>#N/A</v>
      </c>
      <c r="BQ23" s="46" t="e">
        <f t="shared" si="3"/>
        <v>#N/A</v>
      </c>
      <c r="BR23" s="46" t="e">
        <f t="shared" si="3"/>
        <v>#N/A</v>
      </c>
      <c r="BS23" s="46" t="e">
        <f t="shared" si="3"/>
        <v>#N/A</v>
      </c>
      <c r="BT23" s="46" t="e">
        <f t="shared" si="3"/>
        <v>#N/A</v>
      </c>
      <c r="BU23" s="46" t="e">
        <f t="shared" si="3"/>
        <v>#N/A</v>
      </c>
      <c r="BV23" s="46" t="e">
        <f t="shared" si="3"/>
        <v>#N/A</v>
      </c>
      <c r="BW23" s="46" t="e">
        <f t="shared" si="3"/>
        <v>#N/A</v>
      </c>
      <c r="BX23" s="46" t="e">
        <f t="shared" si="3"/>
        <v>#N/A</v>
      </c>
      <c r="BY23" s="46" t="e">
        <f t="shared" si="3"/>
        <v>#N/A</v>
      </c>
      <c r="BZ23" s="46" t="e">
        <f t="shared" si="3"/>
        <v>#N/A</v>
      </c>
      <c r="CA23" s="46" t="e">
        <f t="shared" si="3"/>
        <v>#N/A</v>
      </c>
      <c r="CB23" s="46" t="e">
        <f t="shared" si="3"/>
        <v>#N/A</v>
      </c>
      <c r="CC23" s="46" t="e">
        <f t="shared" si="3"/>
        <v>#N/A</v>
      </c>
      <c r="CD23" s="46" t="e">
        <f t="shared" si="3"/>
        <v>#N/A</v>
      </c>
      <c r="CE23" s="46" t="e">
        <f t="shared" si="3"/>
        <v>#N/A</v>
      </c>
      <c r="CF23" s="46" t="e">
        <f t="shared" si="3"/>
        <v>#N/A</v>
      </c>
      <c r="CG23" s="46" t="e">
        <f t="shared" si="3"/>
        <v>#N/A</v>
      </c>
      <c r="CH23" s="46" t="e">
        <f t="shared" si="3"/>
        <v>#N/A</v>
      </c>
      <c r="CI23" s="46" t="e">
        <f t="shared" si="3"/>
        <v>#N/A</v>
      </c>
      <c r="CJ23" s="46" t="e">
        <f t="shared" si="3"/>
        <v>#N/A</v>
      </c>
      <c r="CK23" s="46" t="e">
        <f t="shared" si="3"/>
        <v>#N/A</v>
      </c>
      <c r="CL23" s="46" t="e">
        <f t="shared" si="3"/>
        <v>#N/A</v>
      </c>
      <c r="CM23" s="46" t="e">
        <f t="shared" si="3"/>
        <v>#N/A</v>
      </c>
      <c r="CN23" s="46" t="e">
        <f t="shared" si="3"/>
        <v>#N/A</v>
      </c>
      <c r="CO23" s="46" t="e">
        <f t="shared" si="3"/>
        <v>#N/A</v>
      </c>
      <c r="CP23" s="46" t="e">
        <f t="shared" si="3"/>
        <v>#N/A</v>
      </c>
      <c r="CQ23" s="46" t="e">
        <f t="shared" si="3"/>
        <v>#N/A</v>
      </c>
      <c r="CR23" s="46" t="e">
        <f t="shared" si="3"/>
        <v>#N/A</v>
      </c>
      <c r="CS23" s="46" t="e">
        <f t="shared" si="3"/>
        <v>#N/A</v>
      </c>
      <c r="CT23" s="46" t="e">
        <f t="shared" si="3"/>
        <v>#N/A</v>
      </c>
      <c r="CU23" s="46" t="e">
        <f t="shared" si="3"/>
        <v>#N/A</v>
      </c>
      <c r="CV23" s="46" t="e">
        <f t="shared" si="3"/>
        <v>#N/A</v>
      </c>
      <c r="CW23" s="46" t="e">
        <f t="shared" si="3"/>
        <v>#N/A</v>
      </c>
      <c r="CX23" s="46" t="e">
        <f t="shared" si="3"/>
        <v>#N/A</v>
      </c>
      <c r="CY23" s="46" t="e">
        <f t="shared" si="3"/>
        <v>#N/A</v>
      </c>
      <c r="CZ23" s="46" t="e">
        <f t="shared" si="3"/>
        <v>#N/A</v>
      </c>
    </row>
    <row r="24" spans="1:104" s="46" customFormat="1" x14ac:dyDescent="0.2">
      <c r="A24" s="43"/>
    </row>
    <row r="25" spans="1:104" s="46" customFormat="1" x14ac:dyDescent="0.2">
      <c r="A25" s="3"/>
      <c r="I25" s="47"/>
    </row>
    <row r="26" spans="1:104" s="46" customFormat="1" x14ac:dyDescent="0.2">
      <c r="A26" s="3"/>
    </row>
    <row r="27" spans="1:104" s="59" customFormat="1" ht="15" x14ac:dyDescent="0.35">
      <c r="A27" s="52" t="s">
        <v>50</v>
      </c>
      <c r="B27" s="50">
        <f t="shared" ref="B27:BM27" si="4">B8-B23</f>
        <v>-2578</v>
      </c>
      <c r="C27" s="50" t="e">
        <f t="shared" si="4"/>
        <v>#N/A</v>
      </c>
      <c r="D27" s="50" t="e">
        <f t="shared" si="4"/>
        <v>#N/A</v>
      </c>
      <c r="E27" s="50" t="e">
        <f t="shared" si="4"/>
        <v>#N/A</v>
      </c>
      <c r="F27" s="50" t="e">
        <f t="shared" si="4"/>
        <v>#N/A</v>
      </c>
      <c r="G27" s="50" t="e">
        <f t="shared" si="4"/>
        <v>#N/A</v>
      </c>
      <c r="H27" s="50" t="e">
        <f t="shared" si="4"/>
        <v>#N/A</v>
      </c>
      <c r="I27" s="50" t="e">
        <f t="shared" si="4"/>
        <v>#N/A</v>
      </c>
      <c r="J27" s="50" t="e">
        <f t="shared" si="4"/>
        <v>#N/A</v>
      </c>
      <c r="K27" s="50" t="e">
        <f t="shared" si="4"/>
        <v>#N/A</v>
      </c>
      <c r="L27" s="50" t="e">
        <f t="shared" si="4"/>
        <v>#N/A</v>
      </c>
      <c r="M27" s="50" t="e">
        <f t="shared" si="4"/>
        <v>#N/A</v>
      </c>
      <c r="N27" s="50" t="e">
        <f t="shared" si="4"/>
        <v>#N/A</v>
      </c>
      <c r="O27" s="50" t="e">
        <f t="shared" si="4"/>
        <v>#N/A</v>
      </c>
      <c r="P27" s="50" t="e">
        <f t="shared" si="4"/>
        <v>#N/A</v>
      </c>
      <c r="Q27" s="50" t="e">
        <f t="shared" si="4"/>
        <v>#N/A</v>
      </c>
      <c r="R27" s="50" t="e">
        <f t="shared" si="4"/>
        <v>#N/A</v>
      </c>
      <c r="S27" s="50" t="e">
        <f t="shared" si="4"/>
        <v>#N/A</v>
      </c>
      <c r="T27" s="50" t="e">
        <f t="shared" si="4"/>
        <v>#N/A</v>
      </c>
      <c r="U27" s="50" t="e">
        <f t="shared" si="4"/>
        <v>#N/A</v>
      </c>
      <c r="V27" s="50" t="e">
        <f t="shared" si="4"/>
        <v>#N/A</v>
      </c>
      <c r="W27" s="50" t="e">
        <f t="shared" si="4"/>
        <v>#N/A</v>
      </c>
      <c r="X27" s="50" t="e">
        <f t="shared" si="4"/>
        <v>#N/A</v>
      </c>
      <c r="Y27" s="50" t="e">
        <f t="shared" si="4"/>
        <v>#N/A</v>
      </c>
      <c r="Z27" s="50" t="e">
        <f t="shared" si="4"/>
        <v>#N/A</v>
      </c>
      <c r="AA27" s="50" t="e">
        <f t="shared" si="4"/>
        <v>#N/A</v>
      </c>
      <c r="AB27" s="50" t="e">
        <f t="shared" si="4"/>
        <v>#N/A</v>
      </c>
      <c r="AC27" s="50" t="e">
        <f t="shared" si="4"/>
        <v>#N/A</v>
      </c>
      <c r="AD27" s="50" t="e">
        <f t="shared" si="4"/>
        <v>#N/A</v>
      </c>
      <c r="AE27" s="50" t="e">
        <f t="shared" si="4"/>
        <v>#N/A</v>
      </c>
      <c r="AF27" s="50" t="e">
        <f t="shared" si="4"/>
        <v>#N/A</v>
      </c>
      <c r="AG27" s="50" t="e">
        <f t="shared" si="4"/>
        <v>#N/A</v>
      </c>
      <c r="AH27" s="50" t="e">
        <f t="shared" si="4"/>
        <v>#N/A</v>
      </c>
      <c r="AI27" s="50" t="e">
        <f t="shared" si="4"/>
        <v>#N/A</v>
      </c>
      <c r="AJ27" s="50" t="e">
        <f t="shared" si="4"/>
        <v>#N/A</v>
      </c>
      <c r="AK27" s="50" t="e">
        <f t="shared" si="4"/>
        <v>#N/A</v>
      </c>
      <c r="AL27" s="50">
        <f t="shared" si="4"/>
        <v>597</v>
      </c>
      <c r="AM27" s="50">
        <f t="shared" si="4"/>
        <v>-1400</v>
      </c>
      <c r="AN27" s="50">
        <f t="shared" si="4"/>
        <v>-1400</v>
      </c>
      <c r="AO27" s="50">
        <f t="shared" si="4"/>
        <v>-2000</v>
      </c>
      <c r="AP27" s="50" t="e">
        <f t="shared" si="4"/>
        <v>#N/A</v>
      </c>
      <c r="AQ27" s="50" t="e">
        <f t="shared" si="4"/>
        <v>#N/A</v>
      </c>
      <c r="AR27" s="50" t="e">
        <f t="shared" si="4"/>
        <v>#N/A</v>
      </c>
      <c r="AS27" s="50" t="e">
        <f t="shared" si="4"/>
        <v>#N/A</v>
      </c>
      <c r="AT27" s="50" t="e">
        <f t="shared" si="4"/>
        <v>#N/A</v>
      </c>
      <c r="AU27" s="50" t="e">
        <f t="shared" si="4"/>
        <v>#N/A</v>
      </c>
      <c r="AV27" s="50" t="e">
        <f t="shared" si="4"/>
        <v>#N/A</v>
      </c>
      <c r="AW27" s="50" t="e">
        <f t="shared" si="4"/>
        <v>#N/A</v>
      </c>
      <c r="AX27" s="50" t="e">
        <f t="shared" si="4"/>
        <v>#N/A</v>
      </c>
      <c r="AY27" s="50" t="e">
        <f t="shared" si="4"/>
        <v>#N/A</v>
      </c>
      <c r="AZ27" s="50" t="e">
        <f t="shared" si="4"/>
        <v>#N/A</v>
      </c>
      <c r="BA27" s="50" t="e">
        <f t="shared" si="4"/>
        <v>#N/A</v>
      </c>
      <c r="BB27" s="50" t="e">
        <f t="shared" si="4"/>
        <v>#N/A</v>
      </c>
      <c r="BC27" s="50" t="e">
        <f t="shared" si="4"/>
        <v>#N/A</v>
      </c>
      <c r="BD27" s="50" t="e">
        <f t="shared" si="4"/>
        <v>#N/A</v>
      </c>
      <c r="BE27" s="50" t="e">
        <f t="shared" si="4"/>
        <v>#N/A</v>
      </c>
      <c r="BF27" s="50" t="e">
        <f t="shared" si="4"/>
        <v>#N/A</v>
      </c>
      <c r="BG27" s="50" t="e">
        <f t="shared" si="4"/>
        <v>#N/A</v>
      </c>
      <c r="BH27" s="50" t="e">
        <f t="shared" si="4"/>
        <v>#N/A</v>
      </c>
      <c r="BI27" s="50" t="e">
        <f t="shared" si="4"/>
        <v>#N/A</v>
      </c>
      <c r="BJ27" s="50" t="e">
        <f t="shared" si="4"/>
        <v>#N/A</v>
      </c>
      <c r="BK27" s="50" t="e">
        <f t="shared" si="4"/>
        <v>#N/A</v>
      </c>
      <c r="BL27" s="50" t="e">
        <f t="shared" si="4"/>
        <v>#N/A</v>
      </c>
      <c r="BM27" s="50" t="e">
        <f t="shared" si="4"/>
        <v>#N/A</v>
      </c>
      <c r="BN27" s="50" t="e">
        <f t="shared" ref="BN27:CZ27" si="5">BN8-BN23</f>
        <v>#N/A</v>
      </c>
      <c r="BO27" s="50" t="e">
        <f t="shared" si="5"/>
        <v>#N/A</v>
      </c>
      <c r="BP27" s="50" t="e">
        <f t="shared" si="5"/>
        <v>#N/A</v>
      </c>
      <c r="BQ27" s="50" t="e">
        <f t="shared" si="5"/>
        <v>#N/A</v>
      </c>
      <c r="BR27" s="50" t="e">
        <f t="shared" si="5"/>
        <v>#N/A</v>
      </c>
      <c r="BS27" s="50" t="e">
        <f t="shared" si="5"/>
        <v>#N/A</v>
      </c>
      <c r="BT27" s="50" t="e">
        <f t="shared" si="5"/>
        <v>#N/A</v>
      </c>
      <c r="BU27" s="50" t="e">
        <f t="shared" si="5"/>
        <v>#N/A</v>
      </c>
      <c r="BV27" s="50" t="e">
        <f t="shared" si="5"/>
        <v>#N/A</v>
      </c>
      <c r="BW27" s="50" t="e">
        <f t="shared" si="5"/>
        <v>#N/A</v>
      </c>
      <c r="BX27" s="50" t="e">
        <f t="shared" si="5"/>
        <v>#N/A</v>
      </c>
      <c r="BY27" s="50" t="e">
        <f t="shared" si="5"/>
        <v>#N/A</v>
      </c>
      <c r="BZ27" s="50" t="e">
        <f t="shared" si="5"/>
        <v>#N/A</v>
      </c>
      <c r="CA27" s="50" t="e">
        <f t="shared" si="5"/>
        <v>#N/A</v>
      </c>
      <c r="CB27" s="50" t="e">
        <f t="shared" si="5"/>
        <v>#N/A</v>
      </c>
      <c r="CC27" s="50" t="e">
        <f t="shared" si="5"/>
        <v>#N/A</v>
      </c>
      <c r="CD27" s="50" t="e">
        <f t="shared" si="5"/>
        <v>#N/A</v>
      </c>
      <c r="CE27" s="50" t="e">
        <f t="shared" si="5"/>
        <v>#N/A</v>
      </c>
      <c r="CF27" s="50" t="e">
        <f t="shared" si="5"/>
        <v>#N/A</v>
      </c>
      <c r="CG27" s="50" t="e">
        <f t="shared" si="5"/>
        <v>#N/A</v>
      </c>
      <c r="CH27" s="50" t="e">
        <f t="shared" si="5"/>
        <v>#N/A</v>
      </c>
      <c r="CI27" s="50" t="e">
        <f t="shared" si="5"/>
        <v>#N/A</v>
      </c>
      <c r="CJ27" s="50" t="e">
        <f t="shared" si="5"/>
        <v>#N/A</v>
      </c>
      <c r="CK27" s="50" t="e">
        <f t="shared" si="5"/>
        <v>#N/A</v>
      </c>
      <c r="CL27" s="50" t="e">
        <f t="shared" si="5"/>
        <v>#N/A</v>
      </c>
      <c r="CM27" s="50" t="e">
        <f t="shared" si="5"/>
        <v>#N/A</v>
      </c>
      <c r="CN27" s="50" t="e">
        <f t="shared" si="5"/>
        <v>#N/A</v>
      </c>
      <c r="CO27" s="50" t="e">
        <f t="shared" si="5"/>
        <v>#N/A</v>
      </c>
      <c r="CP27" s="50" t="e">
        <f t="shared" si="5"/>
        <v>#N/A</v>
      </c>
      <c r="CQ27" s="50" t="e">
        <f t="shared" si="5"/>
        <v>#N/A</v>
      </c>
      <c r="CR27" s="50" t="e">
        <f t="shared" si="5"/>
        <v>#N/A</v>
      </c>
      <c r="CS27" s="50" t="e">
        <f t="shared" si="5"/>
        <v>#N/A</v>
      </c>
      <c r="CT27" s="50" t="e">
        <f t="shared" si="5"/>
        <v>#N/A</v>
      </c>
      <c r="CU27" s="50" t="e">
        <f t="shared" si="5"/>
        <v>#N/A</v>
      </c>
      <c r="CV27" s="50" t="e">
        <f t="shared" si="5"/>
        <v>#N/A</v>
      </c>
      <c r="CW27" s="50" t="e">
        <f t="shared" si="5"/>
        <v>#N/A</v>
      </c>
      <c r="CX27" s="50" t="e">
        <f t="shared" si="5"/>
        <v>#N/A</v>
      </c>
      <c r="CY27" s="50" t="e">
        <f t="shared" si="5"/>
        <v>#N/A</v>
      </c>
      <c r="CZ27" s="50" t="e">
        <f t="shared" si="5"/>
        <v>#N/A</v>
      </c>
    </row>
    <row r="29" spans="1:104" s="44" customFormat="1" x14ac:dyDescent="0.2">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L29" s="49"/>
      <c r="AM29" s="49"/>
      <c r="AN29" s="49"/>
      <c r="AO29" s="49"/>
      <c r="AP29" s="49"/>
      <c r="AQ29" s="49"/>
      <c r="AR29" s="49"/>
      <c r="AS29" s="49"/>
    </row>
    <row r="30" spans="1:104" s="43" customFormat="1" x14ac:dyDescent="0.2">
      <c r="B30" s="46"/>
      <c r="C30" s="46"/>
      <c r="D30" s="46"/>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4"/>
      <c r="AL30" s="46"/>
      <c r="AM30" s="46"/>
      <c r="AN30" s="46"/>
      <c r="AO30" s="46"/>
      <c r="AP30" s="46"/>
      <c r="AQ30" s="46"/>
      <c r="AR30" s="46"/>
      <c r="AS30" s="4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27"/>
  <sheetViews>
    <sheetView workbookViewId="0">
      <selection activeCell="A2" sqref="A2"/>
    </sheetView>
  </sheetViews>
  <sheetFormatPr defaultRowHeight="15" x14ac:dyDescent="0.25"/>
  <cols>
    <col min="1" max="1" width="9.42578125" bestFit="1" customWidth="1"/>
    <col min="2" max="2" width="13.140625" bestFit="1" customWidth="1"/>
    <col min="3" max="3" width="8.85546875" bestFit="1" customWidth="1"/>
    <col min="5" max="5" width="21" bestFit="1" customWidth="1"/>
    <col min="6" max="6" width="22.140625" bestFit="1" customWidth="1"/>
    <col min="7" max="7" width="26.5703125" bestFit="1" customWidth="1"/>
  </cols>
  <sheetData>
    <row r="1" spans="1:8" x14ac:dyDescent="0.25">
      <c r="A1" s="1" t="s">
        <v>6</v>
      </c>
      <c r="B1" s="1" t="s">
        <v>4</v>
      </c>
      <c r="C1" s="1" t="s">
        <v>7</v>
      </c>
      <c r="D1" s="1" t="s">
        <v>8</v>
      </c>
      <c r="E1" s="1" t="s">
        <v>5</v>
      </c>
      <c r="F1" s="1" t="s">
        <v>9</v>
      </c>
      <c r="G1" s="1" t="s">
        <v>10</v>
      </c>
      <c r="H1" s="1" t="s">
        <v>11</v>
      </c>
    </row>
    <row r="2" spans="1:8" x14ac:dyDescent="0.25">
      <c r="A2">
        <v>70301</v>
      </c>
      <c r="B2" t="s">
        <v>245</v>
      </c>
      <c r="C2" t="s">
        <v>154</v>
      </c>
      <c r="D2">
        <v>2</v>
      </c>
      <c r="E2">
        <v>-301307</v>
      </c>
      <c r="F2" t="s">
        <v>238</v>
      </c>
      <c r="G2" t="s">
        <v>39</v>
      </c>
    </row>
    <row r="3" spans="1:8" x14ac:dyDescent="0.25">
      <c r="A3">
        <v>70301</v>
      </c>
      <c r="B3" t="s">
        <v>245</v>
      </c>
      <c r="C3" t="s">
        <v>154</v>
      </c>
      <c r="D3">
        <v>2</v>
      </c>
      <c r="E3">
        <v>-301307</v>
      </c>
      <c r="F3" t="s">
        <v>238</v>
      </c>
      <c r="G3" t="s">
        <v>39</v>
      </c>
      <c r="H3">
        <v>50</v>
      </c>
    </row>
    <row r="4" spans="1:8" x14ac:dyDescent="0.25">
      <c r="A4">
        <v>70301</v>
      </c>
      <c r="B4" t="s">
        <v>245</v>
      </c>
      <c r="C4" t="s">
        <v>154</v>
      </c>
      <c r="D4">
        <v>2</v>
      </c>
      <c r="E4">
        <v>-301307</v>
      </c>
      <c r="F4" t="s">
        <v>238</v>
      </c>
      <c r="G4" t="s">
        <v>39</v>
      </c>
      <c r="H4">
        <v>1082</v>
      </c>
    </row>
    <row r="5" spans="1:8" x14ac:dyDescent="0.25">
      <c r="A5">
        <v>70301</v>
      </c>
      <c r="B5" t="s">
        <v>245</v>
      </c>
      <c r="C5" t="s">
        <v>154</v>
      </c>
      <c r="D5">
        <v>2</v>
      </c>
      <c r="E5">
        <v>-301307</v>
      </c>
      <c r="F5" t="s">
        <v>238</v>
      </c>
      <c r="G5" t="s">
        <v>39</v>
      </c>
      <c r="H5">
        <v>1920</v>
      </c>
    </row>
    <row r="6" spans="1:8" x14ac:dyDescent="0.25">
      <c r="A6">
        <v>70301</v>
      </c>
      <c r="B6" t="s">
        <v>245</v>
      </c>
      <c r="C6" t="s">
        <v>154</v>
      </c>
      <c r="D6">
        <v>2</v>
      </c>
      <c r="E6">
        <v>-301307</v>
      </c>
      <c r="F6" t="s">
        <v>238</v>
      </c>
      <c r="G6" t="s">
        <v>39</v>
      </c>
      <c r="H6">
        <v>3471</v>
      </c>
    </row>
    <row r="7" spans="1:8" x14ac:dyDescent="0.25">
      <c r="A7">
        <v>70301</v>
      </c>
      <c r="B7" t="s">
        <v>245</v>
      </c>
      <c r="C7" t="s">
        <v>154</v>
      </c>
      <c r="D7">
        <v>2</v>
      </c>
      <c r="E7">
        <v>-301307</v>
      </c>
      <c r="F7" t="s">
        <v>238</v>
      </c>
      <c r="G7" t="s">
        <v>39</v>
      </c>
      <c r="H7">
        <v>10928</v>
      </c>
    </row>
    <row r="8" spans="1:8" x14ac:dyDescent="0.25">
      <c r="A8">
        <v>70301</v>
      </c>
      <c r="B8" t="s">
        <v>245</v>
      </c>
      <c r="C8" t="s">
        <v>154</v>
      </c>
      <c r="D8">
        <v>2</v>
      </c>
      <c r="E8">
        <v>-301307</v>
      </c>
      <c r="F8" t="s">
        <v>238</v>
      </c>
      <c r="G8" t="s">
        <v>39</v>
      </c>
      <c r="H8">
        <v>22213</v>
      </c>
    </row>
    <row r="9" spans="1:8" x14ac:dyDescent="0.25">
      <c r="A9">
        <v>70301</v>
      </c>
      <c r="B9" t="s">
        <v>245</v>
      </c>
      <c r="C9" t="s">
        <v>154</v>
      </c>
      <c r="D9">
        <v>2</v>
      </c>
      <c r="E9">
        <v>-301307</v>
      </c>
      <c r="F9" t="s">
        <v>238</v>
      </c>
      <c r="G9" t="s">
        <v>39</v>
      </c>
      <c r="H9">
        <v>43358</v>
      </c>
    </row>
    <row r="10" spans="1:8" x14ac:dyDescent="0.25">
      <c r="A10">
        <v>70301</v>
      </c>
      <c r="B10" t="s">
        <v>245</v>
      </c>
      <c r="C10" t="s">
        <v>154</v>
      </c>
      <c r="D10">
        <v>2</v>
      </c>
      <c r="E10">
        <v>-301307</v>
      </c>
      <c r="F10" t="s">
        <v>238</v>
      </c>
      <c r="G10" t="s">
        <v>40</v>
      </c>
      <c r="H10">
        <v>2817</v>
      </c>
    </row>
    <row r="11" spans="1:8" x14ac:dyDescent="0.25">
      <c r="A11">
        <v>70301</v>
      </c>
      <c r="B11" t="s">
        <v>245</v>
      </c>
      <c r="C11" t="s">
        <v>154</v>
      </c>
      <c r="D11">
        <v>2</v>
      </c>
      <c r="E11">
        <v>-301307</v>
      </c>
      <c r="F11" t="s">
        <v>238</v>
      </c>
      <c r="G11" t="s">
        <v>40</v>
      </c>
      <c r="H11">
        <v>268102</v>
      </c>
    </row>
    <row r="12" spans="1:8" x14ac:dyDescent="0.25">
      <c r="A12">
        <v>70301</v>
      </c>
      <c r="B12" t="s">
        <v>245</v>
      </c>
      <c r="C12" t="s">
        <v>154</v>
      </c>
      <c r="D12">
        <v>2</v>
      </c>
      <c r="E12">
        <v>-301307</v>
      </c>
      <c r="F12" t="s">
        <v>238</v>
      </c>
      <c r="G12" t="s">
        <v>41</v>
      </c>
    </row>
    <row r="13" spans="1:8" x14ac:dyDescent="0.25">
      <c r="A13">
        <v>70301</v>
      </c>
      <c r="B13" t="s">
        <v>245</v>
      </c>
      <c r="C13" t="s">
        <v>154</v>
      </c>
      <c r="D13">
        <v>2</v>
      </c>
      <c r="E13">
        <v>-301307</v>
      </c>
      <c r="F13" t="s">
        <v>238</v>
      </c>
      <c r="G13" t="s">
        <v>41</v>
      </c>
      <c r="H13">
        <v>23</v>
      </c>
    </row>
    <row r="14" spans="1:8" x14ac:dyDescent="0.25">
      <c r="A14">
        <v>70301</v>
      </c>
      <c r="B14" t="s">
        <v>245</v>
      </c>
      <c r="C14" t="s">
        <v>154</v>
      </c>
      <c r="D14">
        <v>2</v>
      </c>
      <c r="E14">
        <v>-301307</v>
      </c>
      <c r="F14" t="s">
        <v>238</v>
      </c>
      <c r="G14" t="s">
        <v>42</v>
      </c>
    </row>
    <row r="15" spans="1:8" x14ac:dyDescent="0.25">
      <c r="A15">
        <v>70301</v>
      </c>
      <c r="B15" t="s">
        <v>245</v>
      </c>
      <c r="C15" t="s">
        <v>154</v>
      </c>
      <c r="D15">
        <v>2</v>
      </c>
      <c r="E15">
        <v>-301307</v>
      </c>
      <c r="F15" t="s">
        <v>238</v>
      </c>
      <c r="G15" t="s">
        <v>42</v>
      </c>
      <c r="H15">
        <v>5000</v>
      </c>
    </row>
    <row r="16" spans="1:8" x14ac:dyDescent="0.25">
      <c r="A16">
        <v>70301</v>
      </c>
      <c r="B16" t="s">
        <v>245</v>
      </c>
      <c r="C16" t="s">
        <v>154</v>
      </c>
      <c r="D16">
        <v>2</v>
      </c>
      <c r="E16">
        <v>-301307</v>
      </c>
      <c r="F16" t="s">
        <v>238</v>
      </c>
      <c r="G16" t="s">
        <v>42</v>
      </c>
      <c r="H16">
        <v>11471</v>
      </c>
    </row>
    <row r="17" spans="1:8" x14ac:dyDescent="0.25">
      <c r="A17">
        <v>70301</v>
      </c>
      <c r="B17" t="s">
        <v>245</v>
      </c>
      <c r="C17" t="s">
        <v>154</v>
      </c>
      <c r="D17">
        <v>2</v>
      </c>
      <c r="E17">
        <v>-301307</v>
      </c>
      <c r="F17" t="s">
        <v>238</v>
      </c>
      <c r="G17" t="s">
        <v>43</v>
      </c>
    </row>
    <row r="18" spans="1:8" x14ac:dyDescent="0.25">
      <c r="A18">
        <v>70301</v>
      </c>
      <c r="B18" t="s">
        <v>245</v>
      </c>
      <c r="C18" t="s">
        <v>154</v>
      </c>
      <c r="D18">
        <v>2</v>
      </c>
      <c r="E18">
        <v>-301307</v>
      </c>
      <c r="F18" t="s">
        <v>238</v>
      </c>
      <c r="G18" t="s">
        <v>43</v>
      </c>
      <c r="H18">
        <v>57648</v>
      </c>
    </row>
    <row r="19" spans="1:8" x14ac:dyDescent="0.25">
      <c r="A19">
        <v>70301</v>
      </c>
      <c r="B19" t="s">
        <v>245</v>
      </c>
      <c r="C19" t="s">
        <v>154</v>
      </c>
      <c r="D19">
        <v>2</v>
      </c>
      <c r="E19">
        <v>-301307</v>
      </c>
      <c r="F19" t="s">
        <v>238</v>
      </c>
      <c r="G19" t="s">
        <v>44</v>
      </c>
      <c r="H19">
        <v>25</v>
      </c>
    </row>
    <row r="20" spans="1:8" x14ac:dyDescent="0.25">
      <c r="A20">
        <v>70301</v>
      </c>
      <c r="B20" t="s">
        <v>245</v>
      </c>
      <c r="C20" t="s">
        <v>154</v>
      </c>
      <c r="D20">
        <v>2</v>
      </c>
      <c r="E20">
        <v>-301307</v>
      </c>
      <c r="F20" t="s">
        <v>238</v>
      </c>
      <c r="G20" t="s">
        <v>44</v>
      </c>
      <c r="H20">
        <v>10895</v>
      </c>
    </row>
    <row r="21" spans="1:8" x14ac:dyDescent="0.25">
      <c r="A21">
        <v>70301</v>
      </c>
      <c r="B21" t="s">
        <v>245</v>
      </c>
      <c r="C21" t="s">
        <v>154</v>
      </c>
      <c r="D21">
        <v>2</v>
      </c>
      <c r="E21">
        <v>-301307</v>
      </c>
      <c r="F21" t="s">
        <v>238</v>
      </c>
      <c r="G21" t="s">
        <v>45</v>
      </c>
    </row>
    <row r="22" spans="1:8" x14ac:dyDescent="0.25">
      <c r="A22">
        <v>70301</v>
      </c>
      <c r="B22" t="s">
        <v>245</v>
      </c>
      <c r="C22" t="s">
        <v>154</v>
      </c>
      <c r="D22">
        <v>2</v>
      </c>
      <c r="E22">
        <v>-301307</v>
      </c>
      <c r="F22" t="s">
        <v>238</v>
      </c>
      <c r="G22" t="s">
        <v>45</v>
      </c>
      <c r="H22">
        <v>485</v>
      </c>
    </row>
    <row r="23" spans="1:8" x14ac:dyDescent="0.25">
      <c r="A23">
        <v>70301</v>
      </c>
      <c r="B23" t="s">
        <v>245</v>
      </c>
      <c r="C23" t="s">
        <v>154</v>
      </c>
      <c r="D23">
        <v>2</v>
      </c>
      <c r="E23">
        <v>-301307</v>
      </c>
      <c r="F23" t="s">
        <v>238</v>
      </c>
      <c r="G23" t="s">
        <v>45</v>
      </c>
      <c r="H23">
        <v>683</v>
      </c>
    </row>
    <row r="24" spans="1:8" x14ac:dyDescent="0.25">
      <c r="A24">
        <v>70301</v>
      </c>
      <c r="B24" t="s">
        <v>245</v>
      </c>
      <c r="C24" t="s">
        <v>154</v>
      </c>
      <c r="D24">
        <v>2</v>
      </c>
      <c r="E24">
        <v>-301307</v>
      </c>
      <c r="F24" t="s">
        <v>238</v>
      </c>
      <c r="G24" t="s">
        <v>45</v>
      </c>
      <c r="H24">
        <v>998</v>
      </c>
    </row>
    <row r="25" spans="1:8" x14ac:dyDescent="0.25">
      <c r="A25">
        <v>70301</v>
      </c>
      <c r="B25" t="s">
        <v>245</v>
      </c>
      <c r="C25" t="s">
        <v>154</v>
      </c>
      <c r="D25">
        <v>2</v>
      </c>
      <c r="E25">
        <v>-301307</v>
      </c>
      <c r="F25" t="s">
        <v>238</v>
      </c>
      <c r="G25" t="s">
        <v>45</v>
      </c>
      <c r="H25">
        <v>2771</v>
      </c>
    </row>
    <row r="26" spans="1:8" x14ac:dyDescent="0.25">
      <c r="A26">
        <v>70301</v>
      </c>
      <c r="B26" t="s">
        <v>245</v>
      </c>
      <c r="C26" t="s">
        <v>154</v>
      </c>
      <c r="D26">
        <v>2</v>
      </c>
      <c r="E26">
        <v>-301307</v>
      </c>
      <c r="F26" t="s">
        <v>238</v>
      </c>
      <c r="G26" t="s">
        <v>45</v>
      </c>
      <c r="H26">
        <v>3516</v>
      </c>
    </row>
    <row r="27" spans="1:8" x14ac:dyDescent="0.25">
      <c r="A27">
        <v>70301</v>
      </c>
      <c r="B27" t="s">
        <v>245</v>
      </c>
      <c r="C27" t="s">
        <v>154</v>
      </c>
      <c r="D27">
        <v>2</v>
      </c>
      <c r="E27">
        <v>-301307</v>
      </c>
      <c r="F27" t="s">
        <v>238</v>
      </c>
      <c r="G27" t="s">
        <v>45</v>
      </c>
      <c r="H27">
        <v>4148</v>
      </c>
    </row>
    <row r="28" spans="1:8" x14ac:dyDescent="0.25">
      <c r="A28">
        <v>70301</v>
      </c>
      <c r="B28" t="s">
        <v>245</v>
      </c>
      <c r="C28" t="s">
        <v>154</v>
      </c>
      <c r="D28">
        <v>2</v>
      </c>
      <c r="E28">
        <v>-301307</v>
      </c>
      <c r="F28" t="s">
        <v>238</v>
      </c>
      <c r="G28" t="s">
        <v>45</v>
      </c>
      <c r="H28">
        <v>9997</v>
      </c>
    </row>
    <row r="29" spans="1:8" x14ac:dyDescent="0.25">
      <c r="A29">
        <v>70301</v>
      </c>
      <c r="B29" t="s">
        <v>245</v>
      </c>
      <c r="C29" t="s">
        <v>154</v>
      </c>
      <c r="D29">
        <v>2</v>
      </c>
      <c r="E29">
        <v>-301307</v>
      </c>
      <c r="F29" t="s">
        <v>238</v>
      </c>
      <c r="G29" t="s">
        <v>46</v>
      </c>
      <c r="H29">
        <v>103</v>
      </c>
    </row>
    <row r="30" spans="1:8" x14ac:dyDescent="0.25">
      <c r="A30">
        <v>70301</v>
      </c>
      <c r="B30" t="s">
        <v>245</v>
      </c>
      <c r="C30" t="s">
        <v>154</v>
      </c>
      <c r="D30">
        <v>2</v>
      </c>
      <c r="E30">
        <v>-301307</v>
      </c>
      <c r="F30" t="s">
        <v>238</v>
      </c>
      <c r="G30" t="s">
        <v>46</v>
      </c>
      <c r="H30">
        <v>18704</v>
      </c>
    </row>
    <row r="31" spans="1:8" x14ac:dyDescent="0.25">
      <c r="A31">
        <v>70301</v>
      </c>
      <c r="B31" t="s">
        <v>245</v>
      </c>
      <c r="C31" t="s">
        <v>154</v>
      </c>
      <c r="D31">
        <v>2</v>
      </c>
      <c r="E31">
        <v>-301307</v>
      </c>
      <c r="F31" t="s">
        <v>238</v>
      </c>
      <c r="G31" t="s">
        <v>47</v>
      </c>
    </row>
    <row r="32" spans="1:8" x14ac:dyDescent="0.25">
      <c r="A32">
        <v>70301</v>
      </c>
      <c r="B32" t="s">
        <v>245</v>
      </c>
      <c r="C32" t="s">
        <v>154</v>
      </c>
      <c r="D32">
        <v>2</v>
      </c>
      <c r="E32">
        <v>-301307</v>
      </c>
      <c r="F32" t="s">
        <v>238</v>
      </c>
      <c r="G32" t="s">
        <v>47</v>
      </c>
      <c r="H32">
        <v>32</v>
      </c>
    </row>
    <row r="33" spans="1:8" x14ac:dyDescent="0.25">
      <c r="A33">
        <v>70301</v>
      </c>
      <c r="B33" t="s">
        <v>245</v>
      </c>
      <c r="C33" t="s">
        <v>154</v>
      </c>
      <c r="D33">
        <v>2</v>
      </c>
      <c r="E33">
        <v>-301307</v>
      </c>
      <c r="F33" t="s">
        <v>238</v>
      </c>
      <c r="G33" t="s">
        <v>47</v>
      </c>
      <c r="H33">
        <v>51</v>
      </c>
    </row>
    <row r="34" spans="1:8" x14ac:dyDescent="0.25">
      <c r="A34">
        <v>70301</v>
      </c>
      <c r="B34" t="s">
        <v>245</v>
      </c>
      <c r="C34" t="s">
        <v>154</v>
      </c>
      <c r="D34">
        <v>2</v>
      </c>
      <c r="E34">
        <v>-301307</v>
      </c>
      <c r="F34" t="s">
        <v>238</v>
      </c>
      <c r="G34" t="s">
        <v>47</v>
      </c>
      <c r="H34">
        <v>22899</v>
      </c>
    </row>
    <row r="35" spans="1:8" x14ac:dyDescent="0.25">
      <c r="A35">
        <v>70301</v>
      </c>
      <c r="B35" t="s">
        <v>245</v>
      </c>
      <c r="C35" t="s">
        <v>154</v>
      </c>
      <c r="D35">
        <v>2</v>
      </c>
      <c r="E35">
        <v>-301307</v>
      </c>
      <c r="F35" t="s">
        <v>239</v>
      </c>
      <c r="G35" t="s">
        <v>240</v>
      </c>
      <c r="H35">
        <v>470</v>
      </c>
    </row>
    <row r="36" spans="1:8" x14ac:dyDescent="0.25">
      <c r="A36">
        <v>70301</v>
      </c>
      <c r="B36" t="s">
        <v>245</v>
      </c>
      <c r="C36" t="s">
        <v>154</v>
      </c>
      <c r="D36">
        <v>2</v>
      </c>
      <c r="E36">
        <v>-301307</v>
      </c>
      <c r="F36" t="s">
        <v>239</v>
      </c>
      <c r="G36" t="s">
        <v>241</v>
      </c>
    </row>
    <row r="37" spans="1:8" x14ac:dyDescent="0.25">
      <c r="A37">
        <v>70301</v>
      </c>
      <c r="B37" t="s">
        <v>245</v>
      </c>
      <c r="C37" t="s">
        <v>154</v>
      </c>
      <c r="D37">
        <v>2</v>
      </c>
      <c r="E37">
        <v>-301307</v>
      </c>
      <c r="F37" t="s">
        <v>239</v>
      </c>
      <c r="G37" t="s">
        <v>241</v>
      </c>
      <c r="H37">
        <v>5259</v>
      </c>
    </row>
    <row r="38" spans="1:8" x14ac:dyDescent="0.25">
      <c r="A38">
        <v>70301</v>
      </c>
      <c r="B38" t="s">
        <v>245</v>
      </c>
      <c r="C38" t="s">
        <v>154</v>
      </c>
      <c r="D38">
        <v>2</v>
      </c>
      <c r="E38">
        <v>-301307</v>
      </c>
      <c r="F38" t="s">
        <v>239</v>
      </c>
      <c r="G38" t="s">
        <v>242</v>
      </c>
    </row>
    <row r="39" spans="1:8" x14ac:dyDescent="0.25">
      <c r="A39">
        <v>70301</v>
      </c>
      <c r="B39" t="s">
        <v>245</v>
      </c>
      <c r="C39" t="s">
        <v>154</v>
      </c>
      <c r="D39">
        <v>2</v>
      </c>
      <c r="E39">
        <v>-301307</v>
      </c>
      <c r="F39" t="s">
        <v>239</v>
      </c>
      <c r="G39" t="s">
        <v>242</v>
      </c>
      <c r="H39">
        <v>-286547</v>
      </c>
    </row>
    <row r="40" spans="1:8" x14ac:dyDescent="0.25">
      <c r="A40">
        <v>70301</v>
      </c>
      <c r="B40" t="s">
        <v>245</v>
      </c>
      <c r="C40" t="s">
        <v>154</v>
      </c>
      <c r="D40">
        <v>2</v>
      </c>
      <c r="E40">
        <v>-301307</v>
      </c>
      <c r="F40" t="s">
        <v>239</v>
      </c>
      <c r="G40" t="s">
        <v>242</v>
      </c>
      <c r="H40">
        <v>-4206</v>
      </c>
    </row>
    <row r="41" spans="1:8" x14ac:dyDescent="0.25">
      <c r="A41">
        <v>70301</v>
      </c>
      <c r="B41" t="s">
        <v>245</v>
      </c>
      <c r="C41" t="s">
        <v>154</v>
      </c>
      <c r="D41">
        <v>2</v>
      </c>
      <c r="E41">
        <v>-301307</v>
      </c>
      <c r="F41" t="s">
        <v>239</v>
      </c>
      <c r="G41" t="s">
        <v>242</v>
      </c>
      <c r="H41">
        <v>139083</v>
      </c>
    </row>
    <row r="42" spans="1:8" x14ac:dyDescent="0.25">
      <c r="A42">
        <v>70301</v>
      </c>
      <c r="B42" t="s">
        <v>245</v>
      </c>
      <c r="C42" t="s">
        <v>154</v>
      </c>
      <c r="D42">
        <v>2</v>
      </c>
      <c r="E42">
        <v>-301307</v>
      </c>
      <c r="F42" t="s">
        <v>239</v>
      </c>
      <c r="G42" t="s">
        <v>242</v>
      </c>
      <c r="H42">
        <v>348024</v>
      </c>
    </row>
    <row r="43" spans="1:8" x14ac:dyDescent="0.25">
      <c r="A43">
        <v>70416</v>
      </c>
      <c r="B43" t="s">
        <v>153</v>
      </c>
      <c r="C43" t="s">
        <v>154</v>
      </c>
      <c r="D43">
        <v>2</v>
      </c>
      <c r="E43">
        <v>-1880</v>
      </c>
      <c r="F43" t="s">
        <v>238</v>
      </c>
      <c r="G43" t="s">
        <v>39</v>
      </c>
    </row>
    <row r="44" spans="1:8" x14ac:dyDescent="0.25">
      <c r="A44">
        <v>70416</v>
      </c>
      <c r="B44" t="s">
        <v>153</v>
      </c>
      <c r="C44" t="s">
        <v>154</v>
      </c>
      <c r="D44">
        <v>2</v>
      </c>
      <c r="E44">
        <v>-1880</v>
      </c>
      <c r="F44" t="s">
        <v>238</v>
      </c>
      <c r="G44" t="s">
        <v>39</v>
      </c>
      <c r="H44">
        <v>0</v>
      </c>
    </row>
    <row r="45" spans="1:8" x14ac:dyDescent="0.25">
      <c r="A45">
        <v>70416</v>
      </c>
      <c r="B45" t="s">
        <v>153</v>
      </c>
      <c r="C45" t="s">
        <v>154</v>
      </c>
      <c r="D45">
        <v>2</v>
      </c>
      <c r="E45">
        <v>-1880</v>
      </c>
      <c r="F45" t="s">
        <v>238</v>
      </c>
      <c r="G45" t="s">
        <v>39</v>
      </c>
      <c r="H45">
        <v>780</v>
      </c>
    </row>
    <row r="46" spans="1:8" x14ac:dyDescent="0.25">
      <c r="A46">
        <v>70416</v>
      </c>
      <c r="B46" t="s">
        <v>153</v>
      </c>
      <c r="C46" t="s">
        <v>154</v>
      </c>
      <c r="D46">
        <v>2</v>
      </c>
      <c r="E46">
        <v>-1880</v>
      </c>
      <c r="F46" t="s">
        <v>238</v>
      </c>
      <c r="G46" t="s">
        <v>39</v>
      </c>
      <c r="H46">
        <v>1300</v>
      </c>
    </row>
    <row r="47" spans="1:8" x14ac:dyDescent="0.25">
      <c r="A47">
        <v>70416</v>
      </c>
      <c r="B47" t="s">
        <v>153</v>
      </c>
      <c r="C47" t="s">
        <v>154</v>
      </c>
      <c r="D47">
        <v>2</v>
      </c>
      <c r="E47">
        <v>-1880</v>
      </c>
      <c r="F47" t="s">
        <v>238</v>
      </c>
      <c r="G47" t="s">
        <v>40</v>
      </c>
    </row>
    <row r="48" spans="1:8" x14ac:dyDescent="0.25">
      <c r="A48">
        <v>70416</v>
      </c>
      <c r="B48" t="s">
        <v>153</v>
      </c>
      <c r="C48" t="s">
        <v>154</v>
      </c>
      <c r="D48">
        <v>2</v>
      </c>
      <c r="E48">
        <v>-1880</v>
      </c>
      <c r="F48" t="s">
        <v>238</v>
      </c>
      <c r="G48" t="s">
        <v>41</v>
      </c>
    </row>
    <row r="49" spans="1:8" x14ac:dyDescent="0.25">
      <c r="A49">
        <v>70416</v>
      </c>
      <c r="B49" t="s">
        <v>153</v>
      </c>
      <c r="C49" t="s">
        <v>154</v>
      </c>
      <c r="D49">
        <v>2</v>
      </c>
      <c r="E49">
        <v>-1880</v>
      </c>
      <c r="F49" t="s">
        <v>238</v>
      </c>
      <c r="G49" t="s">
        <v>42</v>
      </c>
    </row>
    <row r="50" spans="1:8" x14ac:dyDescent="0.25">
      <c r="A50">
        <v>70416</v>
      </c>
      <c r="B50" t="s">
        <v>153</v>
      </c>
      <c r="C50" t="s">
        <v>154</v>
      </c>
      <c r="D50">
        <v>2</v>
      </c>
      <c r="E50">
        <v>-1880</v>
      </c>
      <c r="F50" t="s">
        <v>238</v>
      </c>
      <c r="G50" t="s">
        <v>42</v>
      </c>
      <c r="H50">
        <v>0</v>
      </c>
    </row>
    <row r="51" spans="1:8" x14ac:dyDescent="0.25">
      <c r="A51">
        <v>70416</v>
      </c>
      <c r="B51" t="s">
        <v>153</v>
      </c>
      <c r="C51" t="s">
        <v>154</v>
      </c>
      <c r="D51">
        <v>2</v>
      </c>
      <c r="E51">
        <v>-1880</v>
      </c>
      <c r="F51" t="s">
        <v>238</v>
      </c>
      <c r="G51" t="s">
        <v>43</v>
      </c>
    </row>
    <row r="52" spans="1:8" x14ac:dyDescent="0.25">
      <c r="A52">
        <v>70416</v>
      </c>
      <c r="B52" t="s">
        <v>153</v>
      </c>
      <c r="C52" t="s">
        <v>154</v>
      </c>
      <c r="D52">
        <v>2</v>
      </c>
      <c r="E52">
        <v>-1880</v>
      </c>
      <c r="F52" t="s">
        <v>238</v>
      </c>
      <c r="G52" t="s">
        <v>44</v>
      </c>
      <c r="H52">
        <v>600</v>
      </c>
    </row>
    <row r="53" spans="1:8" x14ac:dyDescent="0.25">
      <c r="A53">
        <v>70416</v>
      </c>
      <c r="B53" t="s">
        <v>153</v>
      </c>
      <c r="C53" t="s">
        <v>154</v>
      </c>
      <c r="D53">
        <v>2</v>
      </c>
      <c r="E53">
        <v>-1880</v>
      </c>
      <c r="F53" t="s">
        <v>238</v>
      </c>
      <c r="G53" t="s">
        <v>45</v>
      </c>
    </row>
    <row r="54" spans="1:8" x14ac:dyDescent="0.25">
      <c r="A54">
        <v>70416</v>
      </c>
      <c r="B54" t="s">
        <v>153</v>
      </c>
      <c r="C54" t="s">
        <v>154</v>
      </c>
      <c r="D54">
        <v>2</v>
      </c>
      <c r="E54">
        <v>-1880</v>
      </c>
      <c r="F54" t="s">
        <v>238</v>
      </c>
      <c r="G54" t="s">
        <v>46</v>
      </c>
    </row>
    <row r="55" spans="1:8" x14ac:dyDescent="0.25">
      <c r="A55">
        <v>70416</v>
      </c>
      <c r="B55" t="s">
        <v>153</v>
      </c>
      <c r="C55" t="s">
        <v>154</v>
      </c>
      <c r="D55">
        <v>2</v>
      </c>
      <c r="E55">
        <v>-1880</v>
      </c>
      <c r="F55" t="s">
        <v>238</v>
      </c>
      <c r="G55" t="s">
        <v>46</v>
      </c>
      <c r="H55">
        <v>0</v>
      </c>
    </row>
    <row r="56" spans="1:8" x14ac:dyDescent="0.25">
      <c r="A56">
        <v>70416</v>
      </c>
      <c r="B56" t="s">
        <v>153</v>
      </c>
      <c r="C56" t="s">
        <v>154</v>
      </c>
      <c r="D56">
        <v>2</v>
      </c>
      <c r="E56">
        <v>-1880</v>
      </c>
      <c r="F56" t="s">
        <v>238</v>
      </c>
      <c r="G56" t="s">
        <v>47</v>
      </c>
    </row>
    <row r="57" spans="1:8" x14ac:dyDescent="0.25">
      <c r="A57">
        <v>70416</v>
      </c>
      <c r="B57" t="s">
        <v>153</v>
      </c>
      <c r="C57" t="s">
        <v>154</v>
      </c>
      <c r="D57">
        <v>2</v>
      </c>
      <c r="E57">
        <v>-1880</v>
      </c>
      <c r="F57" t="s">
        <v>239</v>
      </c>
      <c r="G57" t="s">
        <v>240</v>
      </c>
      <c r="H57">
        <v>100</v>
      </c>
    </row>
    <row r="58" spans="1:8" x14ac:dyDescent="0.25">
      <c r="A58">
        <v>70416</v>
      </c>
      <c r="B58" t="s">
        <v>153</v>
      </c>
      <c r="C58" t="s">
        <v>154</v>
      </c>
      <c r="D58">
        <v>2</v>
      </c>
      <c r="E58">
        <v>-1880</v>
      </c>
      <c r="F58" t="s">
        <v>239</v>
      </c>
      <c r="G58" t="s">
        <v>241</v>
      </c>
    </row>
    <row r="59" spans="1:8" x14ac:dyDescent="0.25">
      <c r="A59">
        <v>70416</v>
      </c>
      <c r="B59" t="s">
        <v>153</v>
      </c>
      <c r="C59" t="s">
        <v>154</v>
      </c>
      <c r="D59">
        <v>2</v>
      </c>
      <c r="E59">
        <v>-1880</v>
      </c>
      <c r="F59" t="s">
        <v>239</v>
      </c>
      <c r="G59" t="s">
        <v>241</v>
      </c>
      <c r="H59">
        <v>300</v>
      </c>
    </row>
    <row r="60" spans="1:8" x14ac:dyDescent="0.25">
      <c r="A60">
        <v>70416</v>
      </c>
      <c r="B60" t="s">
        <v>153</v>
      </c>
      <c r="C60" t="s">
        <v>154</v>
      </c>
      <c r="D60">
        <v>2</v>
      </c>
      <c r="E60">
        <v>-1880</v>
      </c>
      <c r="F60" t="s">
        <v>239</v>
      </c>
      <c r="G60" t="s">
        <v>242</v>
      </c>
    </row>
    <row r="61" spans="1:8" x14ac:dyDescent="0.25">
      <c r="A61">
        <v>70416</v>
      </c>
      <c r="B61" t="s">
        <v>153</v>
      </c>
      <c r="C61" t="s">
        <v>154</v>
      </c>
      <c r="D61">
        <v>2</v>
      </c>
      <c r="E61">
        <v>-1880</v>
      </c>
      <c r="F61" t="s">
        <v>239</v>
      </c>
      <c r="G61" t="s">
        <v>242</v>
      </c>
      <c r="H61">
        <v>1000</v>
      </c>
    </row>
    <row r="62" spans="1:8" x14ac:dyDescent="0.25">
      <c r="A62">
        <v>70444</v>
      </c>
      <c r="B62" t="s">
        <v>160</v>
      </c>
      <c r="C62" t="s">
        <v>154</v>
      </c>
      <c r="D62">
        <v>2</v>
      </c>
      <c r="E62">
        <v>1661</v>
      </c>
      <c r="F62" t="s">
        <v>238</v>
      </c>
      <c r="G62" t="s">
        <v>39</v>
      </c>
    </row>
    <row r="63" spans="1:8" x14ac:dyDescent="0.25">
      <c r="A63">
        <v>70444</v>
      </c>
      <c r="B63" t="s">
        <v>160</v>
      </c>
      <c r="C63" t="s">
        <v>154</v>
      </c>
      <c r="D63">
        <v>2</v>
      </c>
      <c r="E63">
        <v>1661</v>
      </c>
      <c r="F63" t="s">
        <v>238</v>
      </c>
      <c r="G63" t="s">
        <v>39</v>
      </c>
      <c r="H63">
        <v>200</v>
      </c>
    </row>
    <row r="64" spans="1:8" x14ac:dyDescent="0.25">
      <c r="A64">
        <v>70444</v>
      </c>
      <c r="B64" t="s">
        <v>160</v>
      </c>
      <c r="C64" t="s">
        <v>154</v>
      </c>
      <c r="D64">
        <v>2</v>
      </c>
      <c r="E64">
        <v>1661</v>
      </c>
      <c r="F64" t="s">
        <v>238</v>
      </c>
      <c r="G64" t="s">
        <v>39</v>
      </c>
      <c r="H64">
        <v>300</v>
      </c>
    </row>
    <row r="65" spans="1:8" x14ac:dyDescent="0.25">
      <c r="A65">
        <v>70444</v>
      </c>
      <c r="B65" t="s">
        <v>160</v>
      </c>
      <c r="C65" t="s">
        <v>154</v>
      </c>
      <c r="D65">
        <v>2</v>
      </c>
      <c r="E65">
        <v>1661</v>
      </c>
      <c r="F65" t="s">
        <v>238</v>
      </c>
      <c r="G65" t="s">
        <v>39</v>
      </c>
      <c r="H65">
        <v>980</v>
      </c>
    </row>
    <row r="66" spans="1:8" x14ac:dyDescent="0.25">
      <c r="A66">
        <v>70444</v>
      </c>
      <c r="B66" t="s">
        <v>160</v>
      </c>
      <c r="C66" t="s">
        <v>154</v>
      </c>
      <c r="D66">
        <v>2</v>
      </c>
      <c r="E66">
        <v>1661</v>
      </c>
      <c r="F66" t="s">
        <v>238</v>
      </c>
      <c r="G66" t="s">
        <v>39</v>
      </c>
      <c r="H66">
        <v>1289</v>
      </c>
    </row>
    <row r="67" spans="1:8" x14ac:dyDescent="0.25">
      <c r="A67">
        <v>70444</v>
      </c>
      <c r="B67" t="s">
        <v>160</v>
      </c>
      <c r="C67" t="s">
        <v>154</v>
      </c>
      <c r="D67">
        <v>2</v>
      </c>
      <c r="E67">
        <v>1661</v>
      </c>
      <c r="F67" t="s">
        <v>238</v>
      </c>
      <c r="G67" t="s">
        <v>40</v>
      </c>
    </row>
    <row r="68" spans="1:8" x14ac:dyDescent="0.25">
      <c r="A68">
        <v>70444</v>
      </c>
      <c r="B68" t="s">
        <v>160</v>
      </c>
      <c r="C68" t="s">
        <v>154</v>
      </c>
      <c r="D68">
        <v>2</v>
      </c>
      <c r="E68">
        <v>1661</v>
      </c>
      <c r="F68" t="s">
        <v>238</v>
      </c>
      <c r="G68" t="s">
        <v>40</v>
      </c>
      <c r="H68">
        <v>150</v>
      </c>
    </row>
    <row r="69" spans="1:8" x14ac:dyDescent="0.25">
      <c r="A69">
        <v>70444</v>
      </c>
      <c r="B69" t="s">
        <v>160</v>
      </c>
      <c r="C69" t="s">
        <v>154</v>
      </c>
      <c r="D69">
        <v>2</v>
      </c>
      <c r="E69">
        <v>1661</v>
      </c>
      <c r="F69" t="s">
        <v>238</v>
      </c>
      <c r="G69" t="s">
        <v>41</v>
      </c>
    </row>
    <row r="70" spans="1:8" x14ac:dyDescent="0.25">
      <c r="A70">
        <v>70444</v>
      </c>
      <c r="B70" t="s">
        <v>160</v>
      </c>
      <c r="C70" t="s">
        <v>154</v>
      </c>
      <c r="D70">
        <v>2</v>
      </c>
      <c r="E70">
        <v>1661</v>
      </c>
      <c r="F70" t="s">
        <v>238</v>
      </c>
      <c r="G70" t="s">
        <v>42</v>
      </c>
    </row>
    <row r="71" spans="1:8" x14ac:dyDescent="0.25">
      <c r="A71">
        <v>70444</v>
      </c>
      <c r="B71" t="s">
        <v>160</v>
      </c>
      <c r="C71" t="s">
        <v>154</v>
      </c>
      <c r="D71">
        <v>2</v>
      </c>
      <c r="E71">
        <v>1661</v>
      </c>
      <c r="F71" t="s">
        <v>238</v>
      </c>
      <c r="G71" t="s">
        <v>42</v>
      </c>
      <c r="H71">
        <v>567</v>
      </c>
    </row>
    <row r="72" spans="1:8" x14ac:dyDescent="0.25">
      <c r="A72">
        <v>70444</v>
      </c>
      <c r="B72" t="s">
        <v>160</v>
      </c>
      <c r="C72" t="s">
        <v>154</v>
      </c>
      <c r="D72">
        <v>2</v>
      </c>
      <c r="E72">
        <v>1661</v>
      </c>
      <c r="F72" t="s">
        <v>238</v>
      </c>
      <c r="G72" t="s">
        <v>43</v>
      </c>
    </row>
    <row r="73" spans="1:8" x14ac:dyDescent="0.25">
      <c r="A73">
        <v>70444</v>
      </c>
      <c r="B73" t="s">
        <v>160</v>
      </c>
      <c r="C73" t="s">
        <v>154</v>
      </c>
      <c r="D73">
        <v>2</v>
      </c>
      <c r="E73">
        <v>1661</v>
      </c>
      <c r="F73" t="s">
        <v>238</v>
      </c>
      <c r="G73" t="s">
        <v>43</v>
      </c>
      <c r="H73">
        <v>36</v>
      </c>
    </row>
    <row r="74" spans="1:8" x14ac:dyDescent="0.25">
      <c r="A74">
        <v>70444</v>
      </c>
      <c r="B74" t="s">
        <v>160</v>
      </c>
      <c r="C74" t="s">
        <v>154</v>
      </c>
      <c r="D74">
        <v>2</v>
      </c>
      <c r="E74">
        <v>1661</v>
      </c>
      <c r="F74" t="s">
        <v>238</v>
      </c>
      <c r="G74" t="s">
        <v>44</v>
      </c>
    </row>
    <row r="75" spans="1:8" x14ac:dyDescent="0.25">
      <c r="A75">
        <v>70444</v>
      </c>
      <c r="B75" t="s">
        <v>160</v>
      </c>
      <c r="C75" t="s">
        <v>154</v>
      </c>
      <c r="D75">
        <v>2</v>
      </c>
      <c r="E75">
        <v>1661</v>
      </c>
      <c r="F75" t="s">
        <v>238</v>
      </c>
      <c r="G75" t="s">
        <v>45</v>
      </c>
    </row>
    <row r="76" spans="1:8" x14ac:dyDescent="0.25">
      <c r="A76">
        <v>70444</v>
      </c>
      <c r="B76" t="s">
        <v>160</v>
      </c>
      <c r="C76" t="s">
        <v>154</v>
      </c>
      <c r="D76">
        <v>2</v>
      </c>
      <c r="E76">
        <v>1661</v>
      </c>
      <c r="F76" t="s">
        <v>238</v>
      </c>
      <c r="G76" t="s">
        <v>45</v>
      </c>
      <c r="H76">
        <v>167</v>
      </c>
    </row>
    <row r="77" spans="1:8" x14ac:dyDescent="0.25">
      <c r="A77">
        <v>70444</v>
      </c>
      <c r="B77" t="s">
        <v>160</v>
      </c>
      <c r="C77" t="s">
        <v>154</v>
      </c>
      <c r="D77">
        <v>2</v>
      </c>
      <c r="E77">
        <v>1661</v>
      </c>
      <c r="F77" t="s">
        <v>238</v>
      </c>
      <c r="G77" t="s">
        <v>46</v>
      </c>
    </row>
    <row r="78" spans="1:8" x14ac:dyDescent="0.25">
      <c r="A78">
        <v>70444</v>
      </c>
      <c r="B78" t="s">
        <v>160</v>
      </c>
      <c r="C78" t="s">
        <v>154</v>
      </c>
      <c r="D78">
        <v>2</v>
      </c>
      <c r="E78">
        <v>1661</v>
      </c>
      <c r="F78" t="s">
        <v>238</v>
      </c>
      <c r="G78" t="s">
        <v>47</v>
      </c>
    </row>
    <row r="79" spans="1:8" x14ac:dyDescent="0.25">
      <c r="A79">
        <v>70444</v>
      </c>
      <c r="B79" t="s">
        <v>160</v>
      </c>
      <c r="C79" t="s">
        <v>154</v>
      </c>
      <c r="D79">
        <v>2</v>
      </c>
      <c r="E79">
        <v>1661</v>
      </c>
      <c r="F79" t="s">
        <v>239</v>
      </c>
      <c r="G79" t="s">
        <v>240</v>
      </c>
      <c r="H79">
        <v>430</v>
      </c>
    </row>
    <row r="80" spans="1:8" x14ac:dyDescent="0.25">
      <c r="A80">
        <v>70444</v>
      </c>
      <c r="B80" t="s">
        <v>160</v>
      </c>
      <c r="C80" t="s">
        <v>154</v>
      </c>
      <c r="D80">
        <v>2</v>
      </c>
      <c r="E80">
        <v>1661</v>
      </c>
      <c r="F80" t="s">
        <v>239</v>
      </c>
      <c r="G80" t="s">
        <v>241</v>
      </c>
      <c r="H80">
        <v>200</v>
      </c>
    </row>
    <row r="81" spans="1:8" x14ac:dyDescent="0.25">
      <c r="A81">
        <v>70444</v>
      </c>
      <c r="B81" t="s">
        <v>160</v>
      </c>
      <c r="C81" t="s">
        <v>154</v>
      </c>
      <c r="D81">
        <v>2</v>
      </c>
      <c r="E81">
        <v>1661</v>
      </c>
      <c r="F81" t="s">
        <v>239</v>
      </c>
      <c r="G81" t="s">
        <v>241</v>
      </c>
      <c r="H81">
        <v>970</v>
      </c>
    </row>
    <row r="82" spans="1:8" x14ac:dyDescent="0.25">
      <c r="A82">
        <v>70444</v>
      </c>
      <c r="B82" t="s">
        <v>160</v>
      </c>
      <c r="C82" t="s">
        <v>154</v>
      </c>
      <c r="D82">
        <v>2</v>
      </c>
      <c r="E82">
        <v>1661</v>
      </c>
      <c r="F82" t="s">
        <v>239</v>
      </c>
      <c r="G82" t="s">
        <v>242</v>
      </c>
      <c r="H82">
        <v>300</v>
      </c>
    </row>
    <row r="83" spans="1:8" x14ac:dyDescent="0.25">
      <c r="A83">
        <v>70444</v>
      </c>
      <c r="B83" t="s">
        <v>160</v>
      </c>
      <c r="C83" t="s">
        <v>154</v>
      </c>
      <c r="D83">
        <v>2</v>
      </c>
      <c r="E83">
        <v>1661</v>
      </c>
      <c r="F83" t="s">
        <v>239</v>
      </c>
      <c r="G83" t="s">
        <v>242</v>
      </c>
      <c r="H83">
        <v>600</v>
      </c>
    </row>
    <row r="84" spans="1:8" x14ac:dyDescent="0.25">
      <c r="A84">
        <v>70444</v>
      </c>
      <c r="B84" t="s">
        <v>160</v>
      </c>
      <c r="C84" t="s">
        <v>154</v>
      </c>
      <c r="D84">
        <v>2</v>
      </c>
      <c r="E84">
        <v>1661</v>
      </c>
      <c r="F84" t="s">
        <v>239</v>
      </c>
      <c r="G84" t="s">
        <v>242</v>
      </c>
      <c r="H84">
        <v>800</v>
      </c>
    </row>
    <row r="85" spans="1:8" x14ac:dyDescent="0.25">
      <c r="A85">
        <v>70444</v>
      </c>
      <c r="B85" t="s">
        <v>160</v>
      </c>
      <c r="C85" t="s">
        <v>154</v>
      </c>
      <c r="D85">
        <v>2</v>
      </c>
      <c r="E85">
        <v>1661</v>
      </c>
      <c r="F85" t="s">
        <v>239</v>
      </c>
      <c r="G85" t="s">
        <v>242</v>
      </c>
      <c r="H85">
        <v>850</v>
      </c>
    </row>
    <row r="86" spans="1:8" x14ac:dyDescent="0.25">
      <c r="A86">
        <v>70444</v>
      </c>
      <c r="B86" t="s">
        <v>160</v>
      </c>
      <c r="C86" t="s">
        <v>154</v>
      </c>
      <c r="D86">
        <v>2</v>
      </c>
      <c r="E86">
        <v>1661</v>
      </c>
      <c r="F86" t="s">
        <v>239</v>
      </c>
      <c r="G86" t="s">
        <v>242</v>
      </c>
      <c r="H86">
        <v>1000</v>
      </c>
    </row>
    <row r="87" spans="1:8" x14ac:dyDescent="0.25">
      <c r="A87">
        <v>70446</v>
      </c>
      <c r="B87" t="s">
        <v>162</v>
      </c>
      <c r="C87" t="s">
        <v>154</v>
      </c>
      <c r="D87">
        <v>2</v>
      </c>
      <c r="E87">
        <v>0</v>
      </c>
      <c r="F87" t="s">
        <v>238</v>
      </c>
      <c r="G87" t="s">
        <v>39</v>
      </c>
    </row>
    <row r="88" spans="1:8" x14ac:dyDescent="0.25">
      <c r="A88">
        <v>70446</v>
      </c>
      <c r="B88" t="s">
        <v>162</v>
      </c>
      <c r="C88" t="s">
        <v>154</v>
      </c>
      <c r="D88">
        <v>2</v>
      </c>
      <c r="E88">
        <v>0</v>
      </c>
      <c r="F88" t="s">
        <v>238</v>
      </c>
      <c r="G88" t="s">
        <v>40</v>
      </c>
    </row>
    <row r="89" spans="1:8" x14ac:dyDescent="0.25">
      <c r="A89">
        <v>70446</v>
      </c>
      <c r="B89" t="s">
        <v>162</v>
      </c>
      <c r="C89" t="s">
        <v>154</v>
      </c>
      <c r="D89">
        <v>2</v>
      </c>
      <c r="E89">
        <v>0</v>
      </c>
      <c r="F89" t="s">
        <v>238</v>
      </c>
      <c r="G89" t="s">
        <v>41</v>
      </c>
    </row>
    <row r="90" spans="1:8" x14ac:dyDescent="0.25">
      <c r="A90">
        <v>70446</v>
      </c>
      <c r="B90" t="s">
        <v>162</v>
      </c>
      <c r="C90" t="s">
        <v>154</v>
      </c>
      <c r="D90">
        <v>2</v>
      </c>
      <c r="E90">
        <v>0</v>
      </c>
      <c r="F90" t="s">
        <v>238</v>
      </c>
      <c r="G90" t="s">
        <v>42</v>
      </c>
    </row>
    <row r="91" spans="1:8" x14ac:dyDescent="0.25">
      <c r="A91">
        <v>70446</v>
      </c>
      <c r="B91" t="s">
        <v>162</v>
      </c>
      <c r="C91" t="s">
        <v>154</v>
      </c>
      <c r="D91">
        <v>2</v>
      </c>
      <c r="E91">
        <v>0</v>
      </c>
      <c r="F91" t="s">
        <v>238</v>
      </c>
      <c r="G91" t="s">
        <v>43</v>
      </c>
    </row>
    <row r="92" spans="1:8" x14ac:dyDescent="0.25">
      <c r="A92">
        <v>70446</v>
      </c>
      <c r="B92" t="s">
        <v>162</v>
      </c>
      <c r="C92" t="s">
        <v>154</v>
      </c>
      <c r="D92">
        <v>2</v>
      </c>
      <c r="E92">
        <v>0</v>
      </c>
      <c r="F92" t="s">
        <v>238</v>
      </c>
      <c r="G92" t="s">
        <v>44</v>
      </c>
    </row>
    <row r="93" spans="1:8" x14ac:dyDescent="0.25">
      <c r="A93">
        <v>70446</v>
      </c>
      <c r="B93" t="s">
        <v>162</v>
      </c>
      <c r="C93" t="s">
        <v>154</v>
      </c>
      <c r="D93">
        <v>2</v>
      </c>
      <c r="E93">
        <v>0</v>
      </c>
      <c r="F93" t="s">
        <v>238</v>
      </c>
      <c r="G93" t="s">
        <v>45</v>
      </c>
    </row>
    <row r="94" spans="1:8" x14ac:dyDescent="0.25">
      <c r="A94">
        <v>70446</v>
      </c>
      <c r="B94" t="s">
        <v>162</v>
      </c>
      <c r="C94" t="s">
        <v>154</v>
      </c>
      <c r="D94">
        <v>2</v>
      </c>
      <c r="E94">
        <v>0</v>
      </c>
      <c r="F94" t="s">
        <v>238</v>
      </c>
      <c r="G94" t="s">
        <v>46</v>
      </c>
    </row>
    <row r="95" spans="1:8" x14ac:dyDescent="0.25">
      <c r="A95">
        <v>70446</v>
      </c>
      <c r="B95" t="s">
        <v>162</v>
      </c>
      <c r="C95" t="s">
        <v>154</v>
      </c>
      <c r="D95">
        <v>2</v>
      </c>
      <c r="E95">
        <v>0</v>
      </c>
      <c r="F95" t="s">
        <v>238</v>
      </c>
      <c r="G95" t="s">
        <v>47</v>
      </c>
    </row>
    <row r="96" spans="1:8" x14ac:dyDescent="0.25">
      <c r="A96">
        <v>70446</v>
      </c>
      <c r="B96" t="s">
        <v>162</v>
      </c>
      <c r="C96" t="s">
        <v>154</v>
      </c>
      <c r="D96">
        <v>2</v>
      </c>
      <c r="E96">
        <v>0</v>
      </c>
      <c r="F96" t="s">
        <v>239</v>
      </c>
      <c r="G96" t="s">
        <v>240</v>
      </c>
    </row>
    <row r="97" spans="1:8" x14ac:dyDescent="0.25">
      <c r="A97">
        <v>70446</v>
      </c>
      <c r="B97" t="s">
        <v>162</v>
      </c>
      <c r="C97" t="s">
        <v>154</v>
      </c>
      <c r="D97">
        <v>2</v>
      </c>
      <c r="E97">
        <v>0</v>
      </c>
      <c r="F97" t="s">
        <v>239</v>
      </c>
      <c r="G97" t="s">
        <v>241</v>
      </c>
    </row>
    <row r="98" spans="1:8" x14ac:dyDescent="0.25">
      <c r="A98">
        <v>70446</v>
      </c>
      <c r="B98" t="s">
        <v>162</v>
      </c>
      <c r="C98" t="s">
        <v>154</v>
      </c>
      <c r="D98">
        <v>2</v>
      </c>
      <c r="E98">
        <v>0</v>
      </c>
      <c r="F98" t="s">
        <v>239</v>
      </c>
      <c r="G98" t="s">
        <v>242</v>
      </c>
    </row>
    <row r="99" spans="1:8" x14ac:dyDescent="0.25">
      <c r="A99">
        <v>70446</v>
      </c>
      <c r="B99" t="s">
        <v>162</v>
      </c>
      <c r="C99" t="s">
        <v>154</v>
      </c>
      <c r="D99">
        <v>2</v>
      </c>
      <c r="E99">
        <v>5569</v>
      </c>
      <c r="F99" t="s">
        <v>238</v>
      </c>
      <c r="G99" t="s">
        <v>39</v>
      </c>
    </row>
    <row r="100" spans="1:8" x14ac:dyDescent="0.25">
      <c r="A100">
        <v>70446</v>
      </c>
      <c r="B100" t="s">
        <v>162</v>
      </c>
      <c r="C100" t="s">
        <v>154</v>
      </c>
      <c r="D100">
        <v>2</v>
      </c>
      <c r="E100">
        <v>5569</v>
      </c>
      <c r="F100" t="s">
        <v>238</v>
      </c>
      <c r="G100" t="s">
        <v>40</v>
      </c>
    </row>
    <row r="101" spans="1:8" x14ac:dyDescent="0.25">
      <c r="A101">
        <v>70446</v>
      </c>
      <c r="B101" t="s">
        <v>162</v>
      </c>
      <c r="C101" t="s">
        <v>154</v>
      </c>
      <c r="D101">
        <v>2</v>
      </c>
      <c r="E101">
        <v>5569</v>
      </c>
      <c r="F101" t="s">
        <v>238</v>
      </c>
      <c r="G101" t="s">
        <v>41</v>
      </c>
    </row>
    <row r="102" spans="1:8" x14ac:dyDescent="0.25">
      <c r="A102">
        <v>70446</v>
      </c>
      <c r="B102" t="s">
        <v>162</v>
      </c>
      <c r="C102" t="s">
        <v>154</v>
      </c>
      <c r="D102">
        <v>2</v>
      </c>
      <c r="E102">
        <v>5569</v>
      </c>
      <c r="F102" t="s">
        <v>238</v>
      </c>
      <c r="G102" t="s">
        <v>42</v>
      </c>
    </row>
    <row r="103" spans="1:8" x14ac:dyDescent="0.25">
      <c r="A103">
        <v>70446</v>
      </c>
      <c r="B103" t="s">
        <v>162</v>
      </c>
      <c r="C103" t="s">
        <v>154</v>
      </c>
      <c r="D103">
        <v>2</v>
      </c>
      <c r="E103">
        <v>5569</v>
      </c>
      <c r="F103" t="s">
        <v>238</v>
      </c>
      <c r="G103" t="s">
        <v>43</v>
      </c>
    </row>
    <row r="104" spans="1:8" x14ac:dyDescent="0.25">
      <c r="A104">
        <v>70446</v>
      </c>
      <c r="B104" t="s">
        <v>162</v>
      </c>
      <c r="C104" t="s">
        <v>154</v>
      </c>
      <c r="D104">
        <v>2</v>
      </c>
      <c r="E104">
        <v>5569</v>
      </c>
      <c r="F104" t="s">
        <v>238</v>
      </c>
      <c r="G104" t="s">
        <v>44</v>
      </c>
    </row>
    <row r="105" spans="1:8" x14ac:dyDescent="0.25">
      <c r="A105">
        <v>70446</v>
      </c>
      <c r="B105" t="s">
        <v>162</v>
      </c>
      <c r="C105" t="s">
        <v>154</v>
      </c>
      <c r="D105">
        <v>2</v>
      </c>
      <c r="E105">
        <v>5569</v>
      </c>
      <c r="F105" t="s">
        <v>238</v>
      </c>
      <c r="G105" t="s">
        <v>45</v>
      </c>
    </row>
    <row r="106" spans="1:8" x14ac:dyDescent="0.25">
      <c r="A106">
        <v>70446</v>
      </c>
      <c r="B106" t="s">
        <v>162</v>
      </c>
      <c r="C106" t="s">
        <v>154</v>
      </c>
      <c r="D106">
        <v>2</v>
      </c>
      <c r="E106">
        <v>5569</v>
      </c>
      <c r="F106" t="s">
        <v>238</v>
      </c>
      <c r="G106" t="s">
        <v>46</v>
      </c>
    </row>
    <row r="107" spans="1:8" x14ac:dyDescent="0.25">
      <c r="A107">
        <v>70446</v>
      </c>
      <c r="B107" t="s">
        <v>162</v>
      </c>
      <c r="C107" t="s">
        <v>154</v>
      </c>
      <c r="D107">
        <v>2</v>
      </c>
      <c r="E107">
        <v>5569</v>
      </c>
      <c r="F107" t="s">
        <v>238</v>
      </c>
      <c r="G107" t="s">
        <v>47</v>
      </c>
    </row>
    <row r="108" spans="1:8" x14ac:dyDescent="0.25">
      <c r="A108">
        <v>70446</v>
      </c>
      <c r="B108" t="s">
        <v>162</v>
      </c>
      <c r="C108" t="s">
        <v>154</v>
      </c>
      <c r="D108">
        <v>2</v>
      </c>
      <c r="E108">
        <v>5569</v>
      </c>
      <c r="F108" t="s">
        <v>239</v>
      </c>
      <c r="G108" t="s">
        <v>240</v>
      </c>
      <c r="H108">
        <v>120</v>
      </c>
    </row>
    <row r="109" spans="1:8" x14ac:dyDescent="0.25">
      <c r="A109">
        <v>70446</v>
      </c>
      <c r="B109" t="s">
        <v>162</v>
      </c>
      <c r="C109" t="s">
        <v>154</v>
      </c>
      <c r="D109">
        <v>2</v>
      </c>
      <c r="E109">
        <v>5569</v>
      </c>
      <c r="F109" t="s">
        <v>239</v>
      </c>
      <c r="G109" t="s">
        <v>241</v>
      </c>
      <c r="H109">
        <v>170</v>
      </c>
    </row>
    <row r="110" spans="1:8" x14ac:dyDescent="0.25">
      <c r="A110">
        <v>70446</v>
      </c>
      <c r="B110" t="s">
        <v>162</v>
      </c>
      <c r="C110" t="s">
        <v>154</v>
      </c>
      <c r="D110">
        <v>2</v>
      </c>
      <c r="E110">
        <v>5569</v>
      </c>
      <c r="F110" t="s">
        <v>239</v>
      </c>
      <c r="G110" t="s">
        <v>241</v>
      </c>
      <c r="H110">
        <v>1500</v>
      </c>
    </row>
    <row r="111" spans="1:8" x14ac:dyDescent="0.25">
      <c r="A111">
        <v>70446</v>
      </c>
      <c r="B111" t="s">
        <v>162</v>
      </c>
      <c r="C111" t="s">
        <v>154</v>
      </c>
      <c r="D111">
        <v>2</v>
      </c>
      <c r="E111">
        <v>5569</v>
      </c>
      <c r="F111" t="s">
        <v>239</v>
      </c>
      <c r="G111" t="s">
        <v>242</v>
      </c>
    </row>
    <row r="112" spans="1:8" x14ac:dyDescent="0.25">
      <c r="A112">
        <v>70446</v>
      </c>
      <c r="B112" t="s">
        <v>162</v>
      </c>
      <c r="C112" t="s">
        <v>154</v>
      </c>
      <c r="D112">
        <v>2</v>
      </c>
      <c r="E112">
        <v>5569</v>
      </c>
      <c r="F112" t="s">
        <v>239</v>
      </c>
      <c r="G112" t="s">
        <v>242</v>
      </c>
      <c r="H112">
        <v>180</v>
      </c>
    </row>
    <row r="113" spans="1:8" x14ac:dyDescent="0.25">
      <c r="A113">
        <v>70446</v>
      </c>
      <c r="B113" t="s">
        <v>162</v>
      </c>
      <c r="C113" t="s">
        <v>154</v>
      </c>
      <c r="D113">
        <v>2</v>
      </c>
      <c r="E113">
        <v>5569</v>
      </c>
      <c r="F113" t="s">
        <v>239</v>
      </c>
      <c r="G113" t="s">
        <v>242</v>
      </c>
      <c r="H113">
        <v>999</v>
      </c>
    </row>
    <row r="114" spans="1:8" x14ac:dyDescent="0.25">
      <c r="A114">
        <v>70446</v>
      </c>
      <c r="B114" t="s">
        <v>162</v>
      </c>
      <c r="C114" t="s">
        <v>154</v>
      </c>
      <c r="D114">
        <v>2</v>
      </c>
      <c r="E114">
        <v>5569</v>
      </c>
      <c r="F114" t="s">
        <v>239</v>
      </c>
      <c r="G114" t="s">
        <v>242</v>
      </c>
      <c r="H114">
        <v>1000</v>
      </c>
    </row>
    <row r="115" spans="1:8" x14ac:dyDescent="0.25">
      <c r="A115">
        <v>70446</v>
      </c>
      <c r="B115" t="s">
        <v>162</v>
      </c>
      <c r="C115" t="s">
        <v>154</v>
      </c>
      <c r="D115">
        <v>2</v>
      </c>
      <c r="E115">
        <v>5569</v>
      </c>
      <c r="F115" t="s">
        <v>239</v>
      </c>
      <c r="G115" t="s">
        <v>242</v>
      </c>
      <c r="H115">
        <v>1600</v>
      </c>
    </row>
    <row r="116" spans="1:8" x14ac:dyDescent="0.25">
      <c r="A116">
        <v>70450</v>
      </c>
      <c r="B116" t="s">
        <v>243</v>
      </c>
      <c r="C116" t="s">
        <v>154</v>
      </c>
      <c r="D116">
        <v>2</v>
      </c>
      <c r="E116">
        <v>0</v>
      </c>
      <c r="F116" t="s">
        <v>238</v>
      </c>
      <c r="G116" t="s">
        <v>39</v>
      </c>
    </row>
    <row r="117" spans="1:8" x14ac:dyDescent="0.25">
      <c r="A117">
        <v>70450</v>
      </c>
      <c r="B117" t="s">
        <v>243</v>
      </c>
      <c r="C117" t="s">
        <v>154</v>
      </c>
      <c r="D117">
        <v>2</v>
      </c>
      <c r="E117">
        <v>0</v>
      </c>
      <c r="F117" t="s">
        <v>238</v>
      </c>
      <c r="G117" t="s">
        <v>40</v>
      </c>
    </row>
    <row r="118" spans="1:8" x14ac:dyDescent="0.25">
      <c r="A118">
        <v>70450</v>
      </c>
      <c r="B118" t="s">
        <v>243</v>
      </c>
      <c r="C118" t="s">
        <v>154</v>
      </c>
      <c r="D118">
        <v>2</v>
      </c>
      <c r="E118">
        <v>0</v>
      </c>
      <c r="F118" t="s">
        <v>238</v>
      </c>
      <c r="G118" t="s">
        <v>41</v>
      </c>
    </row>
    <row r="119" spans="1:8" x14ac:dyDescent="0.25">
      <c r="A119">
        <v>70450</v>
      </c>
      <c r="B119" t="s">
        <v>243</v>
      </c>
      <c r="C119" t="s">
        <v>154</v>
      </c>
      <c r="D119">
        <v>2</v>
      </c>
      <c r="E119">
        <v>0</v>
      </c>
      <c r="F119" t="s">
        <v>238</v>
      </c>
      <c r="G119" t="s">
        <v>42</v>
      </c>
    </row>
    <row r="120" spans="1:8" x14ac:dyDescent="0.25">
      <c r="A120">
        <v>70450</v>
      </c>
      <c r="B120" t="s">
        <v>243</v>
      </c>
      <c r="C120" t="s">
        <v>154</v>
      </c>
      <c r="D120">
        <v>2</v>
      </c>
      <c r="E120">
        <v>0</v>
      </c>
      <c r="F120" t="s">
        <v>238</v>
      </c>
      <c r="G120" t="s">
        <v>43</v>
      </c>
    </row>
    <row r="121" spans="1:8" x14ac:dyDescent="0.25">
      <c r="A121">
        <v>70450</v>
      </c>
      <c r="B121" t="s">
        <v>243</v>
      </c>
      <c r="C121" t="s">
        <v>154</v>
      </c>
      <c r="D121">
        <v>2</v>
      </c>
      <c r="E121">
        <v>0</v>
      </c>
      <c r="F121" t="s">
        <v>238</v>
      </c>
      <c r="G121" t="s">
        <v>44</v>
      </c>
    </row>
    <row r="122" spans="1:8" x14ac:dyDescent="0.25">
      <c r="A122">
        <v>70450</v>
      </c>
      <c r="B122" t="s">
        <v>243</v>
      </c>
      <c r="C122" t="s">
        <v>154</v>
      </c>
      <c r="D122">
        <v>2</v>
      </c>
      <c r="E122">
        <v>0</v>
      </c>
      <c r="F122" t="s">
        <v>238</v>
      </c>
      <c r="G122" t="s">
        <v>45</v>
      </c>
    </row>
    <row r="123" spans="1:8" x14ac:dyDescent="0.25">
      <c r="A123">
        <v>70450</v>
      </c>
      <c r="B123" t="s">
        <v>243</v>
      </c>
      <c r="C123" t="s">
        <v>154</v>
      </c>
      <c r="D123">
        <v>2</v>
      </c>
      <c r="E123">
        <v>0</v>
      </c>
      <c r="F123" t="s">
        <v>238</v>
      </c>
      <c r="G123" t="s">
        <v>46</v>
      </c>
    </row>
    <row r="124" spans="1:8" x14ac:dyDescent="0.25">
      <c r="A124">
        <v>70450</v>
      </c>
      <c r="B124" t="s">
        <v>243</v>
      </c>
      <c r="C124" t="s">
        <v>154</v>
      </c>
      <c r="D124">
        <v>2</v>
      </c>
      <c r="E124">
        <v>0</v>
      </c>
      <c r="F124" t="s">
        <v>238</v>
      </c>
      <c r="G124" t="s">
        <v>47</v>
      </c>
    </row>
    <row r="125" spans="1:8" x14ac:dyDescent="0.25">
      <c r="A125">
        <v>70450</v>
      </c>
      <c r="B125" t="s">
        <v>243</v>
      </c>
      <c r="C125" t="s">
        <v>154</v>
      </c>
      <c r="D125">
        <v>2</v>
      </c>
      <c r="E125">
        <v>0</v>
      </c>
      <c r="F125" t="s">
        <v>239</v>
      </c>
      <c r="G125" t="s">
        <v>240</v>
      </c>
    </row>
    <row r="126" spans="1:8" x14ac:dyDescent="0.25">
      <c r="A126">
        <v>70450</v>
      </c>
      <c r="B126" t="s">
        <v>243</v>
      </c>
      <c r="C126" t="s">
        <v>154</v>
      </c>
      <c r="D126">
        <v>2</v>
      </c>
      <c r="E126">
        <v>0</v>
      </c>
      <c r="F126" t="s">
        <v>239</v>
      </c>
      <c r="G126" t="s">
        <v>241</v>
      </c>
    </row>
    <row r="127" spans="1:8" x14ac:dyDescent="0.25">
      <c r="A127">
        <v>70450</v>
      </c>
      <c r="B127" t="s">
        <v>243</v>
      </c>
      <c r="C127" t="s">
        <v>154</v>
      </c>
      <c r="D127">
        <v>2</v>
      </c>
      <c r="E127">
        <v>0</v>
      </c>
      <c r="F127" t="s">
        <v>239</v>
      </c>
      <c r="G127" t="s">
        <v>242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Main</vt:lpstr>
      <vt:lpstr>BalSht</vt:lpstr>
      <vt:lpstr>IncStmt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2018-02-12T05:19:10Z</dcterms:modified>
</cp:coreProperties>
</file>