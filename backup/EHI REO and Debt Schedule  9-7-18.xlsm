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0490" windowHeight="7770" tabRatio="740"/>
  </bookViews>
  <sheets>
    <sheet name="EHI" sheetId="1" r:id="rId1"/>
    <sheet name="Participants" sheetId="2" r:id="rId2"/>
    <sheet name="Participant" sheetId="7" r:id="rId3"/>
    <sheet name="Building" sheetId="10" r:id="rId4"/>
    <sheet name="BuildingNonResidential" sheetId="13" r:id="rId5"/>
    <sheet name="Financial" sheetId="12" r:id="rId6"/>
    <sheet name="Occupancy" sheetId="3" r:id="rId7"/>
    <sheet name="AnnualDebtService" sheetId="6" r:id="rId8"/>
    <sheet name="Loan" sheetId="8" r:id="rId9"/>
    <sheet name="LoanMortgage" sheetId="11" r:id="rId10"/>
    <sheet name="Filters" sheetId="9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EHI!$B$2:$AL$26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cq_Date">EHI!$P$3</definedName>
    <definedName name="Reo_Acq_Date_End">EHI!$P$5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EHI!$AL$2</definedName>
    <definedName name="Reo_Claims_End">EHI!$AL$5</definedName>
    <definedName name="Reo_Commer_Sqft">EHI!$O$3</definedName>
    <definedName name="Reo_Commer_Sqft_End">EHI!$O$5</definedName>
    <definedName name="Reo_CS_Mortgage">EHI!$AI$3</definedName>
    <definedName name="Reo_CS_Mortgage_End">EHI!$AI$5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EHI!$AY$3</definedName>
    <definedName name="Reo_Interest_End">EHI!$AY$5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EHI!#REF!</definedName>
    <definedName name="Reo_Loan_Type_End">EHI!#REF!</definedName>
    <definedName name="Reo_Location">EHI!$D$3</definedName>
    <definedName name="Reo_Location_End">EHI!$D$5</definedName>
    <definedName name="Reo_Maturity_Date">EHI!$AH$3</definedName>
    <definedName name="Reo_Maturity_Date_End">EHI!$AH$5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EHI!$AX$3</definedName>
    <definedName name="Reo_Operating_Expenses_End">EHI!$AX$5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EHI!$AK$3</definedName>
    <definedName name="Reo_Recourse_End">EHI!$AK$5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EHI!$AV$3</definedName>
    <definedName name="Reo_Total_DS">EHI!$BA$3</definedName>
    <definedName name="Reo_Total_DS_End">EHI!$BA$5</definedName>
    <definedName name="Reo_Total_End">EHI!$AV$5</definedName>
    <definedName name="Reo_Total_Loan">EHI!$AJ$3</definedName>
    <definedName name="Reo_Total_Loan_End">EHI!$AJ$5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F4" i="1" l="1"/>
  <c r="AK4" i="1"/>
  <c r="AI4" i="1"/>
  <c r="AH4" i="1"/>
  <c r="AE4" i="1"/>
  <c r="AG4" i="1"/>
  <c r="AD4" i="1"/>
  <c r="AB4" i="1"/>
  <c r="W4" i="1"/>
  <c r="V4" i="1"/>
  <c r="U4" i="1"/>
  <c r="T4" i="1"/>
  <c r="S4" i="1"/>
  <c r="P4" i="1"/>
  <c r="O4" i="1"/>
  <c r="N4" i="1"/>
  <c r="M4" i="1"/>
  <c r="L4" i="1"/>
  <c r="K4" i="1"/>
  <c r="J4" i="1"/>
  <c r="I4" i="1"/>
  <c r="H4" i="1"/>
  <c r="G4" i="1"/>
  <c r="F4" i="1"/>
  <c r="E4" i="1"/>
  <c r="D4" i="1"/>
  <c r="X4" i="1" l="1"/>
  <c r="N5" i="1" l="1"/>
  <c r="N7" i="1" l="1"/>
  <c r="I7" i="1"/>
  <c r="H7" i="1"/>
  <c r="AI7" i="1"/>
  <c r="AF7" i="1"/>
  <c r="AE7" i="1"/>
  <c r="AD7" i="1"/>
  <c r="U7" i="1"/>
  <c r="T7" i="1"/>
  <c r="S7" i="1"/>
  <c r="R7" i="1"/>
  <c r="Q7" i="1"/>
  <c r="J7" i="1"/>
  <c r="Y4" i="1" l="1"/>
  <c r="AC4" i="1" s="1"/>
  <c r="AJ4" i="1"/>
  <c r="AV4" i="1" l="1"/>
  <c r="AX4" i="1" s="1"/>
  <c r="AY4" i="1"/>
  <c r="BA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J5" i="1" l="1"/>
  <c r="AI5" i="1"/>
  <c r="N20" i="1"/>
  <c r="AB5" i="1" l="1"/>
  <c r="W5" i="1"/>
  <c r="X5" i="1" s="1"/>
  <c r="Y5" i="1" l="1"/>
  <c r="AC5" i="1" s="1"/>
</calcChain>
</file>

<file path=xl/sharedStrings.xml><?xml version="1.0" encoding="utf-8"?>
<sst xmlns="http://schemas.openxmlformats.org/spreadsheetml/2006/main" count="261" uniqueCount="238">
  <si>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</si>
  <si>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</si>
  <si>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</si>
  <si>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</si>
  <si>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</si>
  <si>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</si>
  <si>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</si>
  <si>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</si>
  <si>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</si>
  <si>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</si>
  <si>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</si>
  <si>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</si>
  <si>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</si>
  <si>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</si>
  <si>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</si>
  <si>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</si>
  <si>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</si>
  <si>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</si>
  <si>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</si>
  <si>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</si>
  <si>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</si>
  <si>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</si>
  <si>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</si>
  <si>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</si>
  <si>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</si>
  <si>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</si>
  <si>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</si>
  <si>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</si>
  <si>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</si>
  <si>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</si>
  <si>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</si>
  <si>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</si>
  <si>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</si>
  <si>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</si>
  <si>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</si>
  <si>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</si>
  <si>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</si>
  <si>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</si>
  <si>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</si>
  <si>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</si>
  <si>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</si>
  <si>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</si>
  <si>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</si>
  <si>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</si>
  <si>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</si>
  <si>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</si>
  <si>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</si>
  <si>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</si>
  <si>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</si>
  <si>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</si>
  <si>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Exit Cap Rate</t>
  </si>
  <si>
    <t>Revenues</t>
  </si>
  <si>
    <t>NOI</t>
  </si>
  <si>
    <t>Todd J Del Tufo</t>
  </si>
  <si>
    <t>VP Acquisitions &amp; Asset Management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</si>
  <si>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</si>
  <si>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</si>
  <si>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</si>
  <si>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</si>
  <si>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</si>
  <si>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</si>
  <si>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</si>
  <si>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</si>
  <si>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</si>
  <si>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</si>
  <si>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</si>
  <si>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</si>
  <si>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</si>
  <si>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</si>
  <si>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</si>
  <si>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</si>
  <si>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</si>
  <si>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</si>
  <si>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</si>
  <si>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</si>
  <si>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</si>
  <si>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</si>
  <si>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</si>
  <si>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</si>
  <si>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</si>
  <si>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</si>
  <si>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</si>
  <si>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</si>
  <si>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</si>
  <si>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</si>
  <si>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</si>
  <si>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</si>
  <si>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</si>
  <si>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</si>
  <si>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</si>
  <si>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</si>
  <si>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&amp;=Participant.ENT_EH_PARTICIPANT_ID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</si>
  <si>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</si>
  <si>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</si>
  <si>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</si>
  <si>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</si>
  <si>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</si>
  <si>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</si>
  <si>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</si>
  <si>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</si>
  <si>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</si>
  <si>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</si>
  <si>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</si>
  <si>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</si>
  <si>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</si>
  <si>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</si>
  <si>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&amp;=Occupancy.EH_PROPERTY__REH_PROJECT_PROJECT_ID__R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</si>
  <si>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</si>
  <si>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</si>
  <si>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</si>
  <si>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</si>
  <si>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</si>
  <si>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</si>
  <si>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</si>
  <si>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</si>
  <si>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</si>
  <si>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</si>
  <si>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</si>
  <si>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</si>
  <si>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</si>
  <si>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</si>
  <si>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</si>
  <si>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</si>
  <si>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</si>
  <si>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</si>
  <si>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</si>
  <si>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</si>
  <si>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</si>
  <si>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</si>
  <si>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</si>
  <si>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</si>
  <si>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</si>
  <si>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</si>
  <si>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</si>
  <si>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</si>
  <si>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</si>
  <si>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</si>
  <si>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</si>
  <si>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</si>
  <si>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</si>
  <si>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</si>
  <si>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</si>
  <si>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</si>
  <si>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</si>
  <si>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</si>
  <si>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</si>
  <si>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</si>
  <si>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</si>
  <si>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</si>
  <si>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</si>
  <si>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</si>
  <si>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</si>
  <si>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</si>
  <si>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</si>
  <si>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</si>
  <si>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</si>
  <si>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</si>
  <si>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</si>
  <si>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</si>
  <si>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</si>
  <si>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</si>
  <si>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</si>
  <si>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</si>
  <si>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</si>
  <si>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</si>
  <si>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</si>
  <si>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</si>
  <si>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</si>
  <si>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</si>
  <si>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</si>
  <si>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</si>
  <si>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</si>
  <si>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</si>
  <si>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</si>
  <si>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</si>
  <si>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</si>
  <si>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</si>
  <si>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</si>
  <si>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</si>
  <si>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</si>
  <si>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</si>
  <si>
    <t>Eh Project Original Acq Date</t>
  </si>
  <si>
    <t>&amp;=Participants.EH_PROJECT_ORIGINAL_ACQ_DATE</t>
  </si>
  <si>
    <t>Eh Loan Rlender Name R</t>
  </si>
  <si>
    <t>Eh Loan Maturity Date</t>
  </si>
  <si>
    <t>Eh Loan Lien Position</t>
  </si>
  <si>
    <t>&amp;=LoanMortgage.EH_DEVELOPMENT__R</t>
  </si>
  <si>
    <t>&amp;=LoanMortgage.EH_LOAN__RLENDER_NAME__R</t>
  </si>
  <si>
    <t>&amp;=LoanMortgage.ENT_EH_LOAN_BALANCE_SHEET_ITEM_ACTIVITY_ID</t>
  </si>
  <si>
    <t>&amp;=LoanMortgage.EH_LOAN_MATURITY_DATE</t>
  </si>
  <si>
    <t>&amp;=LoanMortgage.EH_LOAN_LIEN_POSITION</t>
  </si>
  <si>
    <t>&amp;=LoanMortgage.EH_LOAN_EFFECTIVE_INTEREST_RATE</t>
  </si>
  <si>
    <t>&amp;=LoanMortgage.EH_LOAN_LOAN_TYPE</t>
  </si>
  <si>
    <t>&amp;=LoanMortgage.EH_LOAN_RECOURSE</t>
  </si>
  <si>
    <t>&amp;=LoanMortgage.ENT_EH_LOAN_BALANCE_SHEET_ITEM_BALANCE</t>
  </si>
  <si>
    <t>Ent Eh Unit Occupancy Percent Units Occupied</t>
  </si>
  <si>
    <t>&amp;=Occupancy.ENT_EH_UNIT_OCCUPANCY_PERCENT_UNITS_OCCUPIED</t>
  </si>
  <si>
    <t>&amp;=Participant.ENT_EH_PARTICIPANT__CEH_PROJECT_STATE</t>
  </si>
  <si>
    <t>&amp;=Participant.ENT_EH_PARTICIPANT__CEH_PROJECT_CITY</t>
  </si>
  <si>
    <t>&amp;=Participant.ENT_EH_PARTICIPANT__CEH_PROJECT_IS_THIS_YEAR_15_HOME_OWNERSHIP_PROGRAM</t>
  </si>
  <si>
    <t>&amp;=Participant.ENT_EH_PARTICIPANT__CEH_PROJECT_NAME</t>
  </si>
  <si>
    <t>&amp;=Participant.ENT_EH_PARTICIPANT__CEH_PROJECT_PROJECT_STATUS</t>
  </si>
  <si>
    <t>&amp;=Participant.ENT_EH_PARTICIPANT__CEH_PROJECT_COUNTY</t>
  </si>
  <si>
    <t>&amp;=Participant.ENT_EH_PARTICIPANT__CEH_PROJECT_STREET_ADDRESS_LINE_1</t>
  </si>
  <si>
    <t>&amp;=Participant.ENT_EH_PARTICIPANT__CEH_PROJECT_STREET_ADDRESS_LINE_2</t>
  </si>
  <si>
    <t>&amp;=Participant.ENT_EH_PARTICIPANT__CEH_PROJECT_YEAR_BUILT</t>
  </si>
  <si>
    <t>&amp;=Participant.ENT_EH_PARTICIPANT__CEH_PROJECT_YEAR_RENOVATED</t>
  </si>
  <si>
    <t>&amp;=Participant.ENT_EH_PARTICIPANT__CEH_PROJECT_ZIP_CODE</t>
  </si>
  <si>
    <t>Ent Eh Building Total Non Residential Sq Ft</t>
  </si>
  <si>
    <t>&amp;=Building.ENT_EH_BUILDING_TOTAL_NON_RESIDENTIAL_SQ_FT</t>
  </si>
  <si>
    <t>Ent Eh Financial Statement Type</t>
  </si>
  <si>
    <t>Ent Eh Financial Statement Total Revenue</t>
  </si>
  <si>
    <t>Ent Eh Financial Statement Total Operating Expense</t>
  </si>
  <si>
    <t>Ent Eh Financial Statement Statement Year</t>
  </si>
  <si>
    <t>Ent Eh Financial Statement Period</t>
  </si>
  <si>
    <t>&amp;=Financial.ENT_EH_FINANCIAL_STATEMENT_TYPE</t>
  </si>
  <si>
    <t>&amp;=Financial.ENT_EH_FINANCIAL_STATEMENT_TOTAL_REVENUE</t>
  </si>
  <si>
    <t>&amp;=Financial.ENT_EH_FINANCIAL_STATEMENT_TOTAL_OPERATING_EXPENSE</t>
  </si>
  <si>
    <t>&amp;=Financial.ENT_EH_FINANCIAL_STATEMENT_STATEMENT_YEAR</t>
  </si>
  <si>
    <t>&amp;=Financial.ENT_EH_FINANCIAL_STATEMENT_PERIOD</t>
  </si>
  <si>
    <t>&amp;=Financial.EH_PROJECT_NAME</t>
  </si>
  <si>
    <t>2018 Average Weekly Occupancy</t>
  </si>
  <si>
    <t>Ent Eh Building Primary Address</t>
  </si>
  <si>
    <t>&amp;=Building.ENT_EH_BUILDING_PRIMARY_ADDRESS</t>
  </si>
  <si>
    <t>Ent Eh Participant Ceh Project Year 15</t>
  </si>
  <si>
    <t>&amp;=Participant.ENT_EH_PARTICIPANT__CEH_PROJECT_YEAR_15</t>
  </si>
  <si>
    <t>Ent Eh Building Ceh Property Name</t>
  </si>
  <si>
    <t>Ent Eh Building Ceh Property R</t>
  </si>
  <si>
    <t>Eh Property R</t>
  </si>
  <si>
    <t>&amp;=BuildingNonReside.ENT_EH_BUILDING_TOTAL_NON_RESIDENTIAL_SQ_FT</t>
  </si>
  <si>
    <t>&amp;=BuildingNonReside.ENT_EH_BUILDING_PRIMARY_ADDRESS</t>
  </si>
  <si>
    <t>&amp;=BuildingNonReside.ENT_EH_BUILDING_NAME</t>
  </si>
  <si>
    <t>&amp;=BuildingNonReside.ENT_EH_BUILDING__CEH_PROPERTY_NAME</t>
  </si>
  <si>
    <t>&amp;=BuildingNonReside.ENT_EH_BUILDING__CEH_PROPERTY__R</t>
  </si>
  <si>
    <t>&amp;=BuildingNonReside.ENT_EH_BUILDING</t>
  </si>
  <si>
    <t>&amp;=BuildingNonReside.EH_PROPERTY_NAME</t>
  </si>
  <si>
    <t>&amp;=BuildingNonReside.EH_PROPERTY__R</t>
  </si>
  <si>
    <t>1st Mortgage Balance as of (9/10/2018)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</si>
</sst>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"/>
    <numFmt numFmtId="166" formatCode="0.00_);[Red]\(0.00\)"/>
    <numFmt numFmtId="167" formatCode="&quot;$&quot;#,##0"/>
    <numFmt numFmtId="168" formatCode="m/d/yy;@"/>
    <numFmt numFmtId="169" formatCode="[$-409]mmm\-yy;@"/>
    <numFmt numFmtId="170" formatCode="_(* #,##0_);_(* \(#,##0\);_(* &quot;-&quot;??_);_(@_)"/>
    <numFmt numFmtId="171" formatCode="[$-409]mmmm\ d\,\ yyyy;@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2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4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5" fontId="2" fillId="0" borderId="0" xfId="4" applyNumberFormat="1" applyFont="1" applyBorder="1" applyAlignment="1"/>
    <xf numFmtId="166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0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4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5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4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5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4" fontId="8" fillId="0" borderId="12" xfId="4" applyNumberFormat="1" applyFont="1" applyFill="1" applyBorder="1" applyAlignment="1"/>
    <xf numFmtId="167" fontId="6" fillId="4" borderId="6" xfId="2" quotePrefix="1" applyNumberFormat="1" applyFont="1" applyFill="1" applyBorder="1" applyAlignment="1" applyProtection="1">
      <alignment horizontal="right"/>
    </xf>
    <xf numFmtId="164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6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4" fontId="22" fillId="6" borderId="0" xfId="3" applyNumberFormat="1" applyFont="1" applyFill="1" applyBorder="1" applyAlignment="1"/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25" fillId="0" borderId="0" xfId="0" applyFont="1" applyAlignment="1">
      <alignment vertical="center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167" fontId="6" fillId="4" borderId="11" xfId="2" quotePrefix="1" applyNumberFormat="1" applyFont="1" applyFill="1" applyBorder="1" applyAlignment="1" applyProtection="1">
      <alignment horizontal="right"/>
    </xf>
    <xf numFmtId="0" fontId="6" fillId="4" borderId="6" xfId="3" applyNumberFormat="1" applyFont="1" applyFill="1" applyBorder="1" applyAlignment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171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2" fontId="27" fillId="7" borderId="13" xfId="0" applyNumberFormat="1" applyFont="1" applyFill="1" applyBorder="1" applyAlignment="1">
      <alignment vertic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  <xf numFmtId="0" fontId="8" fillId="2" borderId="0" xfId="4" applyNumberFormat="1" applyFont="1" applyFill="1" applyBorder="1" applyAlignment="1"/>
    <xf numFmtId="0" fontId="6" fillId="3" borderId="5" xfId="4" applyNumberFormat="1" applyFont="1" applyFill="1" applyBorder="1" applyAlignment="1">
      <alignment horizontal="center"/>
    </xf>
    <xf numFmtId="0" fontId="6" fillId="3" borderId="8" xfId="4" applyNumberFormat="1" applyFont="1" applyFill="1" applyBorder="1" applyAlignment="1">
      <alignment horizontal="center" wrapText="1"/>
    </xf>
    <xf numFmtId="0" fontId="8" fillId="0" borderId="12" xfId="4" applyNumberFormat="1" applyFont="1" applyFill="1" applyBorder="1" applyAlignment="1"/>
    <xf numFmtId="0" fontId="2" fillId="0" borderId="0" xfId="4" applyNumberFormat="1" applyFont="1" applyBorder="1" applyAlignment="1"/>
    <xf numFmtId="2" fontId="12" fillId="5" borderId="2" xfId="4" applyNumberFormat="1" applyFont="1" applyFill="1" applyBorder="1" applyAlignment="1" applyProtection="1">
      <alignment vertical="center" wrapText="1"/>
      <protection locked="0"/>
    </xf>
    <xf numFmtId="0" fontId="18" fillId="0" borderId="1" xfId="0" applyNumberFormat="1" applyFont="1" applyBorder="1" applyAlignment="1">
      <alignment vertical="center" wrapText="1"/>
    </xf>
    <xf numFmtId="0" fontId="6" fillId="0" borderId="2" xfId="4" applyFont="1" applyBorder="1" applyAlignment="1" applyProtection="1">
      <alignment vertical="center" wrapText="1"/>
    </xf>
    <xf numFmtId="167" fontId="12" fillId="5" borderId="2" xfId="2" quotePrefix="1" applyNumberFormat="1" applyFont="1" applyFill="1" applyBorder="1" applyAlignment="1" applyProtection="1">
      <alignment horizontal="right" vertical="center" wrapText="1"/>
    </xf>
    <xf numFmtId="168" fontId="12" fillId="5" borderId="2" xfId="2" applyNumberFormat="1" applyFont="1" applyFill="1" applyBorder="1" applyAlignment="1" applyProtection="1">
      <alignment horizontal="right" vertical="center" wrapText="1"/>
    </xf>
    <xf numFmtId="6" fontId="12" fillId="5" borderId="6" xfId="0" applyNumberFormat="1" applyFont="1" applyFill="1" applyBorder="1" applyAlignment="1">
      <alignment horizontal="center" vertical="center" wrapText="1"/>
    </xf>
    <xf numFmtId="167" fontId="12" fillId="0" borderId="2" xfId="2" quotePrefix="1" applyNumberFormat="1" applyFont="1" applyFill="1" applyBorder="1" applyAlignment="1" applyProtection="1">
      <alignment horizontal="right" vertical="center" wrapText="1"/>
    </xf>
    <xf numFmtId="166" fontId="12" fillId="0" borderId="2" xfId="2" applyNumberFormat="1" applyFont="1" applyFill="1" applyBorder="1" applyAlignment="1" applyProtection="1">
      <alignment horizontal="right" vertical="center" wrapText="1"/>
    </xf>
    <xf numFmtId="6" fontId="12" fillId="0" borderId="2" xfId="0" applyNumberFormat="1" applyFont="1" applyFill="1" applyBorder="1" applyAlignment="1">
      <alignment vertical="center" wrapText="1"/>
    </xf>
    <xf numFmtId="0" fontId="12" fillId="5" borderId="2" xfId="2" quotePrefix="1" applyNumberFormat="1" applyFont="1" applyFill="1" applyBorder="1" applyAlignment="1" applyProtection="1">
      <alignment horizontal="right" vertical="center" wrapText="1"/>
    </xf>
    <xf numFmtId="169" fontId="12" fillId="5" borderId="2" xfId="2" applyNumberFormat="1" applyFont="1" applyFill="1" applyBorder="1" applyAlignment="1" applyProtection="1">
      <alignment horizontal="center" vertical="center" wrapText="1"/>
    </xf>
    <xf numFmtId="0" fontId="8" fillId="0" borderId="2" xfId="2" applyNumberFormat="1" applyFont="1" applyFill="1" applyBorder="1" applyAlignment="1" applyProtection="1">
      <alignment horizontal="right" vertical="center" wrapText="1"/>
    </xf>
    <xf numFmtId="0" fontId="7" fillId="0" borderId="2" xfId="5" applyFont="1" applyBorder="1" applyAlignment="1">
      <alignment horizontal="center" vertical="center" wrapText="1"/>
    </xf>
    <xf numFmtId="0" fontId="4" fillId="0" borderId="0" xfId="5" applyFont="1" applyBorder="1" applyAlignment="1">
      <alignment vertical="center" wrapText="1"/>
    </xf>
    <xf numFmtId="3" fontId="7" fillId="0" borderId="0" xfId="5" applyNumberFormat="1" applyFont="1" applyBorder="1" applyAlignment="1">
      <alignment vertical="center" wrapText="1"/>
    </xf>
    <xf numFmtId="3" fontId="7" fillId="5" borderId="0" xfId="5" applyNumberFormat="1" applyFont="1" applyFill="1" applyBorder="1" applyAlignment="1">
      <alignment vertical="center" wrapText="1"/>
    </xf>
    <xf numFmtId="0" fontId="2" fillId="0" borderId="2" xfId="4" applyFont="1" applyBorder="1" applyAlignment="1">
      <alignment vertical="center" wrapText="1"/>
    </xf>
    <xf numFmtId="10" fontId="6" fillId="4" borderId="6" xfId="3" applyNumberFormat="1" applyFont="1" applyFill="1" applyBorder="1" applyAlignment="1">
      <alignment horizontal="right"/>
    </xf>
    <xf numFmtId="0" fontId="24" fillId="5" borderId="13" xfId="0" applyFont="1" applyFill="1" applyBorder="1" applyAlignment="1">
      <alignment vertical="center" wrapText="1"/>
    </xf>
    <xf numFmtId="2" fontId="6" fillId="3" borderId="7" xfId="4" applyNumberFormat="1" applyFont="1" applyFill="1" applyBorder="1" applyAlignment="1">
      <alignment horizontal="center" wrapText="1"/>
    </xf>
    <xf numFmtId="2" fontId="12" fillId="5" borderId="2" xfId="3" applyNumberFormat="1" applyFont="1" applyFill="1" applyBorder="1" applyAlignment="1" applyProtection="1">
      <alignment vertical="center" wrapText="1"/>
      <protection locked="0"/>
    </xf>
    <xf numFmtId="2" fontId="12" fillId="0" borderId="2" xfId="3" quotePrefix="1" applyNumberFormat="1" applyFont="1" applyFill="1" applyBorder="1" applyAlignment="1" applyProtection="1">
      <alignment horizontal="center" vertical="center" wrapText="1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5" fontId="6" fillId="3" borderId="2" xfId="4" applyNumberFormat="1" applyFont="1" applyFill="1" applyBorder="1" applyAlignment="1">
      <alignment horizontal="center" wrapText="1"/>
    </xf>
    <xf numFmtId="165" fontId="6" fillId="3" borderId="9" xfId="4" applyNumberFormat="1" applyFont="1" applyFill="1" applyBorder="1" applyAlignment="1">
      <alignment horizontal="center" wrapText="1"/>
    </xf>
    <xf numFmtId="0" fontId="12" fillId="0" borderId="6" xfId="0" applyNumberFormat="1" applyFont="1" applyFill="1" applyBorder="1" applyAlignment="1">
      <alignment vertic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21" Type="http://schemas.openxmlformats.org/officeDocument/2006/relationships/externalLink" Target="externalLinks/externalLink10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iket.Mulmule/Downloads/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F34"/>
  <sheetViews>
    <sheetView showGridLines="0" tabSelected="1" topLeftCell="A2" zoomScaleNormal="100" zoomScaleSheetLayoutView="50" workbookViewId="0">
      <pane xSplit="2" ySplit="2" topLeftCell="X4" activePane="bottomRight" state="frozen"/>
      <selection activeCell="A2" sqref="A2"/>
      <selection pane="topRight" activeCell="C2" sqref="C2"/>
      <selection pane="bottomLeft" activeCell="A4" sqref="A4"/>
      <selection pane="bottomRight" activeCell="AF4" sqref="AF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102" customWidth="1"/>
    <col min="17" max="17" width="16.28515625" style="9" customWidth="1"/>
    <col min="18" max="18" width="9.5703125" style="9" customWidth="1"/>
    <col min="19" max="20" width="10" style="11" customWidth="1"/>
    <col min="21" max="21" width="14.5703125" style="85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3" width="12.7109375" style="12" customWidth="1"/>
    <col min="34" max="34" width="10.140625" style="18" customWidth="1"/>
    <col min="35" max="35" width="11.42578125" style="19" customWidth="1"/>
    <col min="36" max="36" width="13.7109375" style="12" customWidth="1"/>
    <col min="37" max="37" width="9.42578125" style="18" customWidth="1"/>
    <col min="38" max="38" width="14.42578125" style="2" customWidth="1"/>
    <col min="39" max="39" width="50.140625" style="2" customWidth="1"/>
    <col min="40" max="45" width="9.28515625" style="2" customWidth="1"/>
    <col min="46" max="46" width="8.7109375" style="2" customWidth="1"/>
    <col min="47" max="47" width="12" style="2" customWidth="1"/>
    <col min="48" max="49" width="10.85546875" style="2" customWidth="1"/>
    <col min="50" max="50" width="11.5703125" style="2" customWidth="1"/>
    <col min="51" max="51" width="9.28515625" style="2" customWidth="1"/>
    <col min="52" max="52" width="10.85546875" style="2" customWidth="1"/>
    <col min="53" max="53" width="9.28515625" style="2" customWidth="1"/>
    <col min="54" max="56" width="8.85546875" style="2" customWidth="1"/>
    <col min="57" max="57" width="14.5703125" style="2" customWidth="1"/>
    <col min="58" max="110" width="8.85546875" style="2" customWidth="1"/>
    <col min="111" max="16384" width="9.140625" style="8"/>
  </cols>
  <sheetData>
    <row r="1" spans="1:110" s="1" customFormat="1">
      <c r="A1" s="66"/>
      <c r="B1" s="66"/>
      <c r="C1" s="67"/>
      <c r="D1" s="67"/>
      <c r="E1" s="67"/>
      <c r="F1" s="67"/>
      <c r="G1" s="67"/>
      <c r="H1" s="22"/>
      <c r="I1" s="23"/>
      <c r="J1" s="23"/>
      <c r="K1" s="22"/>
      <c r="L1" s="22"/>
      <c r="M1" s="22"/>
      <c r="N1" s="22"/>
      <c r="O1" s="22"/>
      <c r="P1" s="98" t="s">
        <v>0</v>
      </c>
      <c r="Q1" s="24"/>
      <c r="R1" s="24"/>
      <c r="S1" s="25"/>
      <c r="T1" s="25"/>
      <c r="U1" s="82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9"/>
      <c r="AI1" s="30"/>
      <c r="AJ1" s="26"/>
      <c r="AK1" s="29"/>
      <c r="AL1" s="31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</row>
    <row r="2" spans="1:110" s="4" customFormat="1" ht="14.25" customHeight="1">
      <c r="A2" s="68"/>
      <c r="B2" s="69" t="s">
        <v>1</v>
      </c>
      <c r="C2" s="70"/>
      <c r="D2" s="70"/>
      <c r="E2" s="70"/>
      <c r="F2" s="70"/>
      <c r="G2" s="70"/>
      <c r="H2" s="32"/>
      <c r="I2" s="32"/>
      <c r="J2" s="32"/>
      <c r="K2" s="32"/>
      <c r="L2" s="32"/>
      <c r="M2" s="32"/>
      <c r="N2" s="32"/>
      <c r="O2" s="32"/>
      <c r="P2" s="99"/>
      <c r="Q2" s="133" t="s">
        <v>2</v>
      </c>
      <c r="R2" s="134"/>
      <c r="S2" s="135" t="s">
        <v>3</v>
      </c>
      <c r="T2" s="136"/>
      <c r="U2" s="137"/>
      <c r="V2" s="125" t="s">
        <v>4</v>
      </c>
      <c r="W2" s="126"/>
      <c r="X2" s="126"/>
      <c r="Y2" s="126"/>
      <c r="Z2" s="126"/>
      <c r="AA2" s="138"/>
      <c r="AB2" s="139" t="s">
        <v>5</v>
      </c>
      <c r="AC2" s="129" t="s">
        <v>6</v>
      </c>
      <c r="AD2" s="125" t="s">
        <v>7</v>
      </c>
      <c r="AE2" s="126"/>
      <c r="AF2" s="125" t="s">
        <v>8</v>
      </c>
      <c r="AG2" s="126"/>
      <c r="AH2" s="126"/>
      <c r="AI2" s="126"/>
      <c r="AJ2" s="126"/>
      <c r="AK2" s="126"/>
      <c r="AL2" s="127" t="s">
        <v>9</v>
      </c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</row>
    <row r="3" spans="1:110" s="6" customFormat="1" ht="57.75" thickBot="1">
      <c r="A3" s="71"/>
      <c r="B3" s="72" t="s">
        <v>10</v>
      </c>
      <c r="C3" s="33" t="s">
        <v>78</v>
      </c>
      <c r="D3" s="72" t="s">
        <v>76</v>
      </c>
      <c r="E3" s="72" t="s">
        <v>75</v>
      </c>
      <c r="F3" s="72" t="s">
        <v>74</v>
      </c>
      <c r="G3" s="72" t="s">
        <v>77</v>
      </c>
      <c r="H3" s="33" t="s">
        <v>73</v>
      </c>
      <c r="I3" s="34" t="s">
        <v>11</v>
      </c>
      <c r="J3" s="34" t="s">
        <v>70</v>
      </c>
      <c r="K3" s="34" t="s">
        <v>41</v>
      </c>
      <c r="L3" s="34" t="s">
        <v>42</v>
      </c>
      <c r="M3" s="34" t="s">
        <v>40</v>
      </c>
      <c r="N3" s="34" t="s">
        <v>71</v>
      </c>
      <c r="O3" s="34" t="s">
        <v>69</v>
      </c>
      <c r="P3" s="100" t="s">
        <v>72</v>
      </c>
      <c r="Q3" s="35" t="s">
        <v>12</v>
      </c>
      <c r="R3" s="35" t="s">
        <v>13</v>
      </c>
      <c r="S3" s="122" t="s">
        <v>221</v>
      </c>
      <c r="T3" s="36" t="s">
        <v>55</v>
      </c>
      <c r="U3" s="83" t="s">
        <v>56</v>
      </c>
      <c r="V3" s="37" t="s">
        <v>51</v>
      </c>
      <c r="W3" s="37" t="s">
        <v>30</v>
      </c>
      <c r="X3" s="38" t="s">
        <v>14</v>
      </c>
      <c r="Y3" s="39" t="s">
        <v>52</v>
      </c>
      <c r="Z3" s="39" t="s">
        <v>15</v>
      </c>
      <c r="AA3" s="39" t="s">
        <v>16</v>
      </c>
      <c r="AB3" s="140"/>
      <c r="AC3" s="130"/>
      <c r="AD3" s="94" t="s">
        <v>17</v>
      </c>
      <c r="AE3" s="37" t="s">
        <v>18</v>
      </c>
      <c r="AF3" s="37" t="s">
        <v>237</v>
      </c>
      <c r="AG3" s="94" t="s">
        <v>139</v>
      </c>
      <c r="AH3" s="40" t="s">
        <v>19</v>
      </c>
      <c r="AI3" s="37" t="s">
        <v>112</v>
      </c>
      <c r="AJ3" s="37" t="s">
        <v>20</v>
      </c>
      <c r="AK3" s="40" t="s">
        <v>21</v>
      </c>
      <c r="AL3" s="128"/>
      <c r="AM3" s="5"/>
      <c r="AN3" s="5" t="s">
        <v>23</v>
      </c>
      <c r="AO3" s="5" t="s">
        <v>24</v>
      </c>
      <c r="AP3" s="5" t="s">
        <v>25</v>
      </c>
      <c r="AQ3" s="5" t="s">
        <v>26</v>
      </c>
      <c r="AR3" s="5" t="s">
        <v>57</v>
      </c>
      <c r="AS3" s="5" t="s">
        <v>27</v>
      </c>
      <c r="AT3" s="61" t="s">
        <v>28</v>
      </c>
      <c r="AU3" s="5" t="s">
        <v>29</v>
      </c>
      <c r="AV3" s="5" t="s">
        <v>22</v>
      </c>
      <c r="AW3" s="5" t="s">
        <v>58</v>
      </c>
      <c r="AX3" s="5" t="s">
        <v>30</v>
      </c>
      <c r="AY3" s="5" t="s">
        <v>31</v>
      </c>
      <c r="AZ3" s="5" t="s">
        <v>32</v>
      </c>
      <c r="BA3" s="5" t="s">
        <v>33</v>
      </c>
      <c r="BB3" s="5" t="s">
        <v>59</v>
      </c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10" s="119" customFormat="1" ht="39" customHeight="1" thickTop="1">
      <c r="A4" s="105">
        <v>1</v>
      </c>
      <c r="B4" s="63" t="s">
        <v>200</v>
      </c>
      <c r="C4" s="63" t="s">
        <v>201</v>
      </c>
      <c r="D4" s="64" t="e">
        <f>CONCATENATE(INDEX(Building!$D$2:$D$2,MATCH(B4:B10,Building!$K$2:$K$2,0),),", ",INDEX(Building!$E$2:$E$2,MATCH(B4:B10,Building!$K$2:$K$2,0),))</f>
        <v>#N/A</v>
      </c>
      <c r="E4" s="63" t="str">
        <f>IF(ISNONTEXT(INDEX(Building!$H$2:$H$2,MATCH(B4:B10,Building!$K$2:$K$2,0),)),"N/A",INDEX(Building!$H$2:$H$2,MATCH(B4:B10,Building!$K$2:$K$2,0),))</f>
        <v>N/A</v>
      </c>
      <c r="F4" s="63" t="str">
        <f>IF(ISNONTEXT(INDEX(Building!$F$2:$F$2,MATCH(B4:B10,Building!$K$2:$K$2,0),)),"N/A",INDEX(Building!$F$2:$F$2,MATCH(B4:B10,Building!$K$2:$K$2,0),))</f>
        <v>N/A</v>
      </c>
      <c r="G4" s="63" t="str">
        <f>IF(ISNONTEXT(INDEX(Building!$A$2:$A$2,MATCH(B4:B10,Building!$K$2:$K$2,0),)),"N/A",INDEX(Building!$A$2:$A$2,MATCH(B4:B10,Building!$K$2:$K$2,0),))</f>
        <v>N/A</v>
      </c>
      <c r="H4" s="63" t="str">
        <f>IF(ISNONTEXT(INDEX(Participants!$C$2:$C$2,MATCH(B4,Participants!$B$2:$B$2,0),)),"N/A",INDEX(Participants!$C$2:$C$2,MATCH(B4,Participants!$B$2:$B$2,0),))</f>
        <v>N/A</v>
      </c>
      <c r="I4" s="63" t="e">
        <f>CONCATENATE(IF(ISNONTEXT(INDEX(Participants!$G$2:$G$2,MATCH(B4,Participants!$B$2:$B$2,0),)),"N/A",INDEX(Participants!$G$2:$G$2,MATCH(B4,Participants!$B$2:$B$2,0),)),IF(INDEX(Participants!$H$2:$H$2,MATCH(B4,Participants!$B$2:$B$2,0)),"/ Disabled",""))</f>
        <v>#N/A</v>
      </c>
      <c r="J4" s="63" t="str">
        <f>IF(ISNONTEXT(INDEX(Participants!$I$2:$I$2,MATCH(B4,Participants!$B$2:$B$2,0),)),"N/A",INDEX(Participants!$I$2:$I$2,MATCH(B4,Participants!$B$2:$B$2,0),))</f>
        <v>N/A</v>
      </c>
      <c r="K4" s="91" t="e">
        <f>IF(ISBLANK(INDEX(Building!$C$2:$C$2,MATCH(B4:B10,Building!$K$2:$K$2,0),)),"NA",INDEX(Building!$C$2:$C$2,MATCH(B4:B10,Building!$K$2:$K$2,0),))</f>
        <v>#N/A</v>
      </c>
      <c r="L4" s="91" t="e">
        <f>IF(ISBLANK(INDEX(Building!$B$2:$B$2,MATCH(B4:B10,Building!$K$2:$K$2,0),)),"NA",INDEX(Building!$B$2:$B$2,MATCH(B4:B10,Building!$K$2:$K$2,0),))</f>
        <v>#N/A</v>
      </c>
      <c r="M4" s="92" t="str">
        <f>IF(ISNONTEXT(INDEX(Participant!$M$2:$M$2,MATCH(B4,Participant!$E$2:$E$2,0),)),"N/A",INDEX(Participant!$M$2:$M$2,MATCH(B4,Participant!$E$2:$E$2,0),))</f>
        <v>&amp;=Participant.ENT_EH_PARTICIPANT__CEH_PROJECT_YEAR_15</v>
      </c>
      <c r="N4" s="63" t="str">
        <f>IF(ISNONTEXT(INDEX(Participants!$F$2:$F$2,MATCH(B4,Participants!$B$2:$B$2,0),)),"N/A",INDEX(Participants!$F$2:$F$2,MATCH(B4,Participants!$B$2:$B$2,0),))</f>
        <v>N/A</v>
      </c>
      <c r="O4" s="77">
        <f>SUMIFS(BuildingNonResidential!$A$2:$A$2,BuildingNonResidential!$D$2:$D$2,B4)</f>
        <v>0</v>
      </c>
      <c r="P4" s="104" t="e">
        <f>INDEX(Participants!$J$2:$J$179,MATCH(B4,Participants!$B$2:$B$179,0),)</f>
        <v>#N/A</v>
      </c>
      <c r="Q4" s="63" t="s">
        <v>98</v>
      </c>
      <c r="R4" s="63" t="s">
        <v>97</v>
      </c>
      <c r="S4" s="123">
        <f>IF(ISERROR(MATCH(C4,Filters!$A$2:$A$3,0)),SUMIFS(Occupancy!$C$2:$C$2,Occupancy!$B$2:$B$2,B4,Occupancy!$D$2:$D$2,MAX(Occupancy!$D$2:$D$2)),"N/A")</f>
        <v>0</v>
      </c>
      <c r="T4" s="103">
        <f>IF(ISERROR(MATCH(C4,Filters!$A$2:$A$3,0)),SUMIFS(Occupancy!$E$2:$E$2,Occupancy!$B$2:$B$2,B4,Occupancy!$D$2:$D$2,MAX(Occupancy!$D$2:$D$2)),"N/A")</f>
        <v>0</v>
      </c>
      <c r="U4" s="93">
        <f>IF(ISERROR(MATCH(C4,Filters!$A$2:$A$3,0)),SUMIFS(Occupancy!$D$2:$D$2,Occupancy!$B$2:$B$2,B4,Occupancy!$D$2:$D$2,MAX(Occupancy!$D$2:$D$2)),"N/A")</f>
        <v>0</v>
      </c>
      <c r="V4" s="106" t="str">
        <f>IF(ISERROR(IF(MATCH(B4,Financial!$F$2:$F$2,0),SUMIFS(Financial!$B$2:$B$2,Financial!$F$2:$F$2,B4,Financial!$D$2:$D$2,2017))),"N/A",IF(MATCH(B4,Financial!$F$2:$F$2,0),SUMIFS(Financial!$B$2:$B$2,Financial!$F$2:$F$2,B4,Financial!$D$2:$D$2,2017)))</f>
        <v>N/A</v>
      </c>
      <c r="W4" s="106" t="str">
        <f>IF(ISERROR(IF(MATCH(B4,Financial!$F$2:$F$2,0),SUMIFS(Financial!$C$2:$C$2,Financial!$F$2:$F$2,B4,Financial!$D$2:$D$2,2017))),"N/A",IF(MATCH(B4,Financial!$F$2:$F$2,0),SUMIFS(Financial!$C$2:$C$2,Financial!$F$2:$F$2,B4,Financial!$D$2:$D$2,2017)))</f>
        <v>N/A</v>
      </c>
      <c r="X4" s="124" t="str">
        <f>IF(ISERROR(+W4/V4),"-",+W4/V4)</f>
        <v>-</v>
      </c>
      <c r="Y4" s="106" t="e">
        <f>+V4-W4</f>
        <v>#VALUE!</v>
      </c>
      <c r="Z4" s="107"/>
      <c r="AA4" s="108"/>
      <c r="AB4" s="109">
        <f>SUMIFS(AnnualDebtService!$A$2:$A$6000,AnnualDebtService!$C$2:$C$6000,B4,AnnualDebtService!$B$2:$B$6000,"2018")</f>
        <v>0</v>
      </c>
      <c r="AC4" s="110" t="e">
        <f>IF(Y4&gt;0,Y4/AB4,0)</f>
        <v>#VALUE!</v>
      </c>
      <c r="AD4" s="141" t="str">
        <f>IF(ISERROR(INDEX(Loan!$B$2:$B$2,MATCH(B4,Loan!$A$2:$A$2,0),)),"N/A",INDEX(Loan!$B$2:$B$2,MATCH(B4,Loan!$A$2:$A$2,0),))</f>
        <v>N/A</v>
      </c>
      <c r="AE4" s="111" t="str">
        <f>IF(ISERROR(INDEX(Loan!$H$2:$H$3,MATCH(B4,Loan!$A$2:$A$3,0),)),"N/A",INDEX(Loan!$H$2:$H$3,MATCH(B4,Loan!$A$2:$A$3,0),))</f>
        <v>N/A</v>
      </c>
      <c r="AF4" s="106">
        <f>SUMIFS(Loan!$C$2:$C$2,Loan!$A$2:$A$2,B4,Loan!$D$2:$D$2," &amp; qtr &amp; ",Loan!$F$2:$F$2,"1st Mortgage")</f>
        <v>0</v>
      </c>
      <c r="AG4" s="112" t="str">
        <f>IF(ISERROR(INDEX(Loan!$G$2:$G$3,MATCH(B4,Loan!$A$2:$A$3,0),)),"N/A",INDEX(Loan!$G$2:$G$3,MATCH(B4,Loan!$A$2:$A$3,0),))</f>
        <v>N/A</v>
      </c>
      <c r="AH4" s="113" t="str">
        <f>IF(ISERROR(INDEX(Loan!$E$2:$E$3,MATCH(A4,Loan!$A$2:$A$3,0),)),"N/A",INDEX(Loan!$E$2:$E$3,MATCH(A4,Loan!$A$2:$A$3,0),))</f>
        <v>N/A</v>
      </c>
      <c r="AI4" s="106">
        <f>SUMIFS(LoanMortgage!$C$2:$C$2,LoanMortgage!$A$2:$A$2,A4,LoanMortgage!$D$2:$D$2,Q3_2018,LoanMortgage!$F$2:$F$2,Filters!D3)+SUMIFS(LoanMortgage!$C$2:$C$2,LoanMortgage!$A$2:$A$2,A4,LoanMortgage!$D$2:$D$2,Q3_2018,LoanMortgage!$F$2:$F$2,Filters!D4)+SUMIFS(LoanMortgage!$C$2:$C$2,LoanMortgage!$A$2:$A$2,A4,LoanMortgage!$D$2:$D$2,Q3_2018,LoanMortgage!$F$2:$F$2,Filters!D5)+SUMIFS(LoanMortgage!$C$2:$C$2,LoanMortgage!$A$2:$A$2,A4,LoanMortgage!$D$2:$D$2,Q3_2018,LoanMortgage!$F$2:$F$2,Filters!D6)+SUMIFS(LoanMortgage!$C$2:$C$2,LoanMortgage!$A$2:$A$2,A4,LoanMortgage!$D$2:$D$2,Q3_2018,LoanMortgage!$F$2:$F$2,Filters!D7)+SUMIFS(LoanMortgage!$C$2:$C$2,LoanMortgage!$A$2:$A$2,A4,LoanMortgage!$D$2:$D$2,Q3_2018,LoanMortgage!$F$2:$F$2,Filters!D8)+SUMIFS(LoanMortgage!$C$2:$C$2,LoanMortgage!$A$2:$A$2,A4,LoanMortgage!$D$2:$D$2,Q3_2018,LoanMortgage!$F$2:$F$2,Filters!D9)+SUMIFS(LoanMortgage!$C$2:$C$2,LoanMortgage!$A$2:$A$2,A4,LoanMortgage!$D$2:$D$2,Q3_2018,LoanMortgage!$F$2:$F$2,Filters!D10)+SUMIFS(LoanMortgage!$C$2:$C$2,LoanMortgage!$A$2:$A$2,A4,LoanMortgage!$D$2:$D$2,Q3_2018,LoanMortgage!$F$2:$F$2,Filters!D11)</f>
        <v>0</v>
      </c>
      <c r="AJ4" s="109">
        <f>+AF4+AI4</f>
        <v>0</v>
      </c>
      <c r="AK4" s="114" t="str">
        <f>CONCATENATE(SUMIFS(Loan!$I$2:$I$2,Loan!$A$2:$A$2,A4,Loan!$D$2:$D$2,"Q1_2018",Loan!$F$2:$F$2,"1st Mortgage"),"%")</f>
        <v>0%</v>
      </c>
      <c r="AL4" s="115" t="s">
        <v>158</v>
      </c>
      <c r="AM4" s="116"/>
      <c r="AN4" s="117"/>
      <c r="AO4" s="117"/>
      <c r="AP4" s="117"/>
      <c r="AQ4" s="117"/>
      <c r="AR4" s="118"/>
      <c r="AS4" s="117"/>
      <c r="AT4" s="118"/>
      <c r="AU4" s="117"/>
      <c r="AV4" s="117">
        <f>SUM($AN4:$AU4)</f>
        <v>0</v>
      </c>
      <c r="AW4" s="117"/>
      <c r="AX4" s="117">
        <f>AV4-AU4-AS4-AR4</f>
        <v>0</v>
      </c>
      <c r="AY4" s="117">
        <f>AR4</f>
        <v>0</v>
      </c>
      <c r="AZ4" s="118"/>
      <c r="BA4" s="117">
        <f>AZ4+AY4</f>
        <v>0</v>
      </c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6"/>
      <c r="CR4" s="116"/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</row>
    <row r="5" spans="1:110" s="7" customFormat="1">
      <c r="A5" s="73"/>
      <c r="B5" s="74" t="s">
        <v>22</v>
      </c>
      <c r="C5" s="62" t="s">
        <v>62</v>
      </c>
      <c r="D5" s="75"/>
      <c r="E5" s="75"/>
      <c r="F5" s="75"/>
      <c r="G5" s="75"/>
      <c r="H5" s="41"/>
      <c r="I5" s="42"/>
      <c r="J5" s="42"/>
      <c r="K5" s="43"/>
      <c r="L5" s="43"/>
      <c r="M5" s="43"/>
      <c r="N5" s="44">
        <f>+SUM(N4:N4)</f>
        <v>0</v>
      </c>
      <c r="O5" s="76"/>
      <c r="P5" s="101"/>
      <c r="Q5" s="45"/>
      <c r="R5" s="62" t="s">
        <v>62</v>
      </c>
      <c r="S5" s="90">
        <f>AVERAGE(S4:S4)</f>
        <v>0</v>
      </c>
      <c r="T5" s="120">
        <f>AVERAGE(T4:T4)</f>
        <v>0</v>
      </c>
      <c r="U5" s="84"/>
      <c r="V5" s="46">
        <f>SUM(V4:V4)</f>
        <v>0</v>
      </c>
      <c r="W5" s="46">
        <f>SUM(W4:W4)</f>
        <v>0</v>
      </c>
      <c r="X5" s="47" t="e">
        <f>+W5/V5</f>
        <v>#DIV/0!</v>
      </c>
      <c r="Y5" s="46" t="e">
        <f>SUM(Y4:Y4)</f>
        <v>#VALUE!</v>
      </c>
      <c r="Z5" s="48"/>
      <c r="AA5" s="48"/>
      <c r="AB5" s="46">
        <f>SUM(AB4:AB4)</f>
        <v>0</v>
      </c>
      <c r="AC5" s="49" t="e">
        <f>IF(Y5&gt;0,Y5/AB5,0)</f>
        <v>#VALUE!</v>
      </c>
      <c r="AD5" s="50"/>
      <c r="AE5" s="50"/>
      <c r="AF5" s="46">
        <f>SUM(AF4:AF4)</f>
        <v>0</v>
      </c>
      <c r="AG5" s="89"/>
      <c r="AH5" s="51"/>
      <c r="AI5" s="46">
        <f>SUM(AI4:AI4)</f>
        <v>0</v>
      </c>
      <c r="AJ5" s="46">
        <f>SUM(AJ4:AJ4)</f>
        <v>0</v>
      </c>
      <c r="AK5" s="52"/>
      <c r="AL5" s="53"/>
      <c r="AM5" s="2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10" s="7" customFormat="1" hidden="1">
      <c r="A6" s="8"/>
      <c r="B6" s="8"/>
      <c r="C6" s="8"/>
      <c r="D6" s="131"/>
      <c r="E6" s="131"/>
      <c r="F6" s="131"/>
      <c r="G6" s="131"/>
      <c r="H6" s="131"/>
      <c r="I6" s="132"/>
      <c r="J6" s="132"/>
      <c r="K6" s="132"/>
      <c r="L6" s="132"/>
      <c r="M6" s="132"/>
      <c r="N6" s="132"/>
      <c r="O6" s="132"/>
      <c r="P6" s="132"/>
      <c r="Q6" s="132"/>
      <c r="R6" s="9"/>
      <c r="S6" s="10"/>
      <c r="T6" s="10"/>
      <c r="U6" s="85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5"/>
      <c r="AI6" s="16"/>
      <c r="AJ6" s="17"/>
      <c r="AK6" s="15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</row>
    <row r="7" spans="1:110" hidden="1">
      <c r="B7" s="54" t="s">
        <v>34</v>
      </c>
      <c r="C7" s="54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85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H7" s="18" t="s">
        <v>138</v>
      </c>
      <c r="AI7" s="19">
        <f>SUMIFS(Loan!$C$2:$C$2,Loan!$A$2:$A$2,"PK Quarterly report",Loan!$D$2:$D$2,"Q1_2018",Loan!$G$2:$G$2,"1st Mortgage")</f>
        <v>0</v>
      </c>
    </row>
    <row r="8" spans="1:110" hidden="1">
      <c r="B8" s="55" t="s">
        <v>35</v>
      </c>
      <c r="C8" s="5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0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0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0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0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6">
        <f>N5</f>
        <v>0</v>
      </c>
      <c r="O12" s="56"/>
    </row>
    <row r="13" spans="1:110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57" t="e">
        <f>-#REF!</f>
        <v>#REF!</v>
      </c>
      <c r="O13" s="57"/>
    </row>
    <row r="14" spans="1:110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57" t="e">
        <f>-#REF!</f>
        <v>#REF!</v>
      </c>
      <c r="O14" s="57"/>
    </row>
    <row r="15" spans="1:110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57" t="e">
        <f>-#REF!</f>
        <v>#REF!</v>
      </c>
      <c r="O15" s="57"/>
    </row>
    <row r="16" spans="1:110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60</v>
      </c>
    </row>
    <row r="23" spans="2:19" ht="18.75">
      <c r="B23" s="8" t="s">
        <v>46</v>
      </c>
      <c r="D23" s="60" t="s">
        <v>53</v>
      </c>
      <c r="E23" s="60"/>
      <c r="F23" s="60"/>
      <c r="G23" s="60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54</v>
      </c>
    </row>
    <row r="26" spans="2:19">
      <c r="B26" s="8" t="s">
        <v>48</v>
      </c>
      <c r="D26" s="58">
        <v>42844</v>
      </c>
      <c r="E26" s="58"/>
      <c r="F26" s="58"/>
      <c r="G26" s="58"/>
    </row>
    <row r="29" spans="2:19">
      <c r="H29" s="8" t="s">
        <v>50</v>
      </c>
      <c r="I29" s="59">
        <v>0.06</v>
      </c>
      <c r="J29" s="59"/>
    </row>
    <row r="32" spans="2:19">
      <c r="B32" s="62" t="s">
        <v>62</v>
      </c>
      <c r="C32" s="62"/>
      <c r="D32"/>
      <c r="E32"/>
      <c r="F32"/>
      <c r="G32"/>
      <c r="H32"/>
      <c r="I32"/>
      <c r="J32"/>
      <c r="K32"/>
      <c r="L32"/>
    </row>
    <row r="34" spans="2:7">
      <c r="B34" s="62" t="s">
        <v>62</v>
      </c>
      <c r="C34" s="62"/>
      <c r="D34"/>
      <c r="E34"/>
      <c r="F34"/>
      <c r="G34"/>
    </row>
  </sheetData>
  <mergeCells count="9">
    <mergeCell ref="AD2:AE2"/>
    <mergeCell ref="AF2:AK2"/>
    <mergeCell ref="AL2:AL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zoomScale="80" zoomScaleNormal="80" workbookViewId="0">
      <selection activeCell="J4" sqref="J4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  <col min="10" max="10" width="11.7109375" bestFit="1" customWidth="1"/>
  </cols>
  <sheetData>
    <row r="1" spans="1:10" s="65" customFormat="1" ht="48">
      <c r="A1" s="78" t="s">
        <v>64</v>
      </c>
      <c r="B1" s="78" t="s">
        <v>65</v>
      </c>
      <c r="C1" s="78" t="s">
        <v>68</v>
      </c>
      <c r="D1" s="78" t="s">
        <v>63</v>
      </c>
      <c r="E1" s="78" t="s">
        <v>61</v>
      </c>
      <c r="F1" s="78" t="s">
        <v>67</v>
      </c>
      <c r="G1" s="78" t="s">
        <v>66</v>
      </c>
      <c r="H1" s="78" t="s">
        <v>103</v>
      </c>
      <c r="I1" s="78" t="s">
        <v>108</v>
      </c>
      <c r="J1" s="78" t="s">
        <v>181</v>
      </c>
    </row>
    <row r="2" spans="1:10" s="65" customFormat="1" ht="60">
      <c r="A2" s="63" t="s">
        <v>93</v>
      </c>
      <c r="B2" s="63" t="s">
        <v>92</v>
      </c>
      <c r="C2" s="63" t="s">
        <v>96</v>
      </c>
      <c r="D2" s="63" t="s">
        <v>97</v>
      </c>
      <c r="E2" s="63" t="s">
        <v>98</v>
      </c>
      <c r="F2" s="63" t="s">
        <v>95</v>
      </c>
      <c r="G2" s="63" t="s">
        <v>94</v>
      </c>
      <c r="H2" s="63" t="s">
        <v>104</v>
      </c>
      <c r="I2" s="63" t="s">
        <v>109</v>
      </c>
      <c r="J2" s="63" t="s">
        <v>182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"/>
  <sheetViews>
    <sheetView workbookViewId="0">
      <selection activeCell="M2" sqref="M2"/>
    </sheetView>
  </sheetViews>
  <sheetFormatPr defaultRowHeight="15"/>
  <cols>
    <col min="1" max="1" width="38" bestFit="1" customWidth="1"/>
  </cols>
  <sheetData>
    <row r="1" spans="1:13" s="65" customFormat="1" ht="96">
      <c r="A1" s="78" t="s">
        <v>79</v>
      </c>
      <c r="B1" s="78" t="s">
        <v>80</v>
      </c>
      <c r="C1" s="78" t="s">
        <v>81</v>
      </c>
      <c r="D1" s="78" t="s">
        <v>82</v>
      </c>
      <c r="E1" s="78" t="s">
        <v>83</v>
      </c>
      <c r="F1" s="78" t="s">
        <v>84</v>
      </c>
      <c r="G1" s="78" t="s">
        <v>85</v>
      </c>
      <c r="H1" s="78" t="s">
        <v>86</v>
      </c>
      <c r="I1" s="78" t="s">
        <v>87</v>
      </c>
      <c r="J1" s="78" t="s">
        <v>88</v>
      </c>
      <c r="K1" s="78" t="s">
        <v>89</v>
      </c>
      <c r="L1" s="78" t="s">
        <v>90</v>
      </c>
      <c r="M1" s="78" t="s">
        <v>224</v>
      </c>
    </row>
    <row r="2" spans="1:13" s="65" customFormat="1" ht="144">
      <c r="A2" s="121" t="s">
        <v>197</v>
      </c>
      <c r="B2" s="63" t="s">
        <v>198</v>
      </c>
      <c r="C2" s="63" t="s">
        <v>91</v>
      </c>
      <c r="D2" s="63" t="s">
        <v>199</v>
      </c>
      <c r="E2" s="121" t="s">
        <v>200</v>
      </c>
      <c r="F2" s="63" t="s">
        <v>201</v>
      </c>
      <c r="G2" s="63" t="s">
        <v>202</v>
      </c>
      <c r="H2" s="63" t="s">
        <v>203</v>
      </c>
      <c r="I2" s="63" t="s">
        <v>204</v>
      </c>
      <c r="J2" s="63" t="s">
        <v>205</v>
      </c>
      <c r="K2" s="63" t="s">
        <v>206</v>
      </c>
      <c r="L2" s="63" t="s">
        <v>207</v>
      </c>
      <c r="M2" s="63" t="s">
        <v>225</v>
      </c>
    </row>
    <row r="4" spans="1:13">
      <c r="A4" s="6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"/>
  <sheetViews>
    <sheetView workbookViewId="0">
      <selection activeCell="L2" sqref="L2"/>
    </sheetView>
  </sheetViews>
  <sheetFormatPr defaultRowHeight="15"/>
  <sheetData>
    <row r="1" spans="1:13" ht="60">
      <c r="A1" s="78" t="s">
        <v>175</v>
      </c>
      <c r="B1" s="78" t="s">
        <v>159</v>
      </c>
      <c r="C1" s="78" t="s">
        <v>160</v>
      </c>
      <c r="D1" s="78" t="s">
        <v>161</v>
      </c>
      <c r="E1" s="78" t="s">
        <v>162</v>
      </c>
      <c r="F1" s="78" t="s">
        <v>163</v>
      </c>
      <c r="G1" s="78" t="s">
        <v>164</v>
      </c>
      <c r="H1" s="78" t="s">
        <v>165</v>
      </c>
      <c r="I1" s="78" t="s">
        <v>166</v>
      </c>
      <c r="J1" s="78" t="s">
        <v>177</v>
      </c>
      <c r="K1" s="78" t="s">
        <v>179</v>
      </c>
      <c r="L1" s="78" t="s">
        <v>208</v>
      </c>
      <c r="M1" s="78" t="s">
        <v>222</v>
      </c>
    </row>
    <row r="2" spans="1:13" ht="96">
      <c r="A2" s="63" t="s">
        <v>176</v>
      </c>
      <c r="B2" s="63" t="s">
        <v>167</v>
      </c>
      <c r="C2" s="63" t="s">
        <v>168</v>
      </c>
      <c r="D2" s="63" t="s">
        <v>169</v>
      </c>
      <c r="E2" s="63" t="s">
        <v>170</v>
      </c>
      <c r="F2" s="63" t="s">
        <v>171</v>
      </c>
      <c r="G2" s="63" t="s">
        <v>172</v>
      </c>
      <c r="H2" s="63" t="s">
        <v>173</v>
      </c>
      <c r="I2" s="63" t="s">
        <v>174</v>
      </c>
      <c r="J2" s="63" t="s">
        <v>178</v>
      </c>
      <c r="K2" s="63" t="s">
        <v>180</v>
      </c>
      <c r="L2" s="63" t="s">
        <v>209</v>
      </c>
      <c r="M2" s="63" t="s">
        <v>223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"/>
  <sheetViews>
    <sheetView workbookViewId="0">
      <selection activeCell="A2" sqref="A2"/>
    </sheetView>
  </sheetViews>
  <sheetFormatPr defaultRowHeight="15"/>
  <sheetData>
    <row r="1" spans="1:8" ht="60">
      <c r="A1" s="78" t="s">
        <v>208</v>
      </c>
      <c r="B1" s="78" t="s">
        <v>222</v>
      </c>
      <c r="C1" s="78" t="s">
        <v>164</v>
      </c>
      <c r="D1" s="78" t="s">
        <v>226</v>
      </c>
      <c r="E1" s="78" t="s">
        <v>227</v>
      </c>
      <c r="F1" s="78" t="s">
        <v>166</v>
      </c>
      <c r="G1" s="78" t="s">
        <v>179</v>
      </c>
      <c r="H1" s="78" t="s">
        <v>228</v>
      </c>
    </row>
    <row r="2" spans="1:8" ht="108">
      <c r="A2" s="63" t="s">
        <v>229</v>
      </c>
      <c r="B2" s="63" t="s">
        <v>230</v>
      </c>
      <c r="C2" s="63" t="s">
        <v>231</v>
      </c>
      <c r="D2" s="63" t="s">
        <v>232</v>
      </c>
      <c r="E2" s="63" t="s">
        <v>233</v>
      </c>
      <c r="F2" s="63" t="s">
        <v>234</v>
      </c>
      <c r="G2" s="63" t="s">
        <v>235</v>
      </c>
      <c r="H2" s="63" t="s">
        <v>236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"/>
  <sheetViews>
    <sheetView workbookViewId="0">
      <selection activeCell="F2" sqref="F2"/>
    </sheetView>
  </sheetViews>
  <sheetFormatPr defaultRowHeight="15"/>
  <sheetData>
    <row r="1" spans="1:6" ht="72">
      <c r="A1" s="78" t="s">
        <v>210</v>
      </c>
      <c r="B1" s="78" t="s">
        <v>211</v>
      </c>
      <c r="C1" s="78" t="s">
        <v>212</v>
      </c>
      <c r="D1" s="78" t="s">
        <v>213</v>
      </c>
      <c r="E1" s="78" t="s">
        <v>214</v>
      </c>
      <c r="F1" s="78" t="s">
        <v>65</v>
      </c>
    </row>
    <row r="2" spans="1:6" ht="108">
      <c r="A2" s="63" t="s">
        <v>215</v>
      </c>
      <c r="B2" s="63" t="s">
        <v>216</v>
      </c>
      <c r="C2" s="63" t="s">
        <v>217</v>
      </c>
      <c r="D2" s="63" t="s">
        <v>218</v>
      </c>
      <c r="E2" s="63" t="s">
        <v>219</v>
      </c>
      <c r="F2" s="63" t="s">
        <v>220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" sqref="A2"/>
    </sheetView>
  </sheetViews>
  <sheetFormatPr defaultRowHeight="15"/>
  <cols>
    <col min="1" max="1" width="16.85546875" customWidth="1"/>
    <col min="3" max="3" width="21.85546875" bestFit="1" customWidth="1"/>
    <col min="4" max="4" width="9.140625" style="81"/>
  </cols>
  <sheetData>
    <row r="1" spans="1:5" s="65" customFormat="1" ht="84">
      <c r="A1" s="78" t="s">
        <v>105</v>
      </c>
      <c r="B1" s="78" t="s">
        <v>65</v>
      </c>
      <c r="C1" s="78" t="s">
        <v>99</v>
      </c>
      <c r="D1" s="79" t="s">
        <v>100</v>
      </c>
      <c r="E1" s="78" t="s">
        <v>195</v>
      </c>
    </row>
    <row r="2" spans="1:5" s="65" customFormat="1" ht="96">
      <c r="A2" s="121" t="s">
        <v>106</v>
      </c>
      <c r="B2" s="121" t="s">
        <v>107</v>
      </c>
      <c r="C2" s="63" t="s">
        <v>101</v>
      </c>
      <c r="D2" s="80" t="s">
        <v>102</v>
      </c>
      <c r="E2" s="63" t="s">
        <v>196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2" sqref="D2"/>
    </sheetView>
  </sheetViews>
  <sheetFormatPr defaultRowHeight="15"/>
  <sheetData>
    <row r="1" spans="1:6" ht="72">
      <c r="A1" s="78" t="s">
        <v>144</v>
      </c>
      <c r="B1" s="78" t="s">
        <v>145</v>
      </c>
      <c r="C1" s="78" t="s">
        <v>146</v>
      </c>
      <c r="D1" s="78" t="s">
        <v>147</v>
      </c>
      <c r="E1" s="78" t="s">
        <v>148</v>
      </c>
      <c r="F1" s="78" t="s">
        <v>149</v>
      </c>
    </row>
    <row r="2" spans="1:6" ht="108">
      <c r="A2" s="63" t="s">
        <v>150</v>
      </c>
      <c r="B2" s="63" t="s">
        <v>151</v>
      </c>
      <c r="C2" s="63" t="s">
        <v>152</v>
      </c>
      <c r="D2" s="63" t="s">
        <v>153</v>
      </c>
      <c r="E2" s="63" t="s">
        <v>154</v>
      </c>
      <c r="F2" s="63" t="s">
        <v>155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97"/>
    <col min="9" max="9" width="9.140625" style="97"/>
  </cols>
  <sheetData>
    <row r="1" spans="1:9" s="65" customFormat="1" ht="96">
      <c r="A1" s="95" t="s">
        <v>113</v>
      </c>
      <c r="B1" s="95" t="s">
        <v>114</v>
      </c>
      <c r="C1" s="95" t="s">
        <v>115</v>
      </c>
      <c r="D1" s="95" t="s">
        <v>116</v>
      </c>
      <c r="E1" s="95" t="s">
        <v>117</v>
      </c>
      <c r="F1" s="95" t="s">
        <v>123</v>
      </c>
      <c r="G1" s="96" t="s">
        <v>140</v>
      </c>
      <c r="H1" s="95" t="s">
        <v>142</v>
      </c>
      <c r="I1" s="96" t="s">
        <v>157</v>
      </c>
    </row>
    <row r="2" spans="1:9" s="65" customFormat="1" ht="108">
      <c r="A2" s="91" t="s">
        <v>118</v>
      </c>
      <c r="B2" s="91" t="s">
        <v>119</v>
      </c>
      <c r="C2" s="91" t="s">
        <v>120</v>
      </c>
      <c r="D2" s="91" t="s">
        <v>121</v>
      </c>
      <c r="E2" s="91" t="s">
        <v>122</v>
      </c>
      <c r="F2" s="91" t="s">
        <v>124</v>
      </c>
      <c r="G2" s="92" t="s">
        <v>141</v>
      </c>
      <c r="H2" s="91" t="s">
        <v>143</v>
      </c>
      <c r="I2" s="92" t="s">
        <v>156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G2" sqref="G2"/>
    </sheetView>
  </sheetViews>
  <sheetFormatPr defaultRowHeight="15"/>
  <sheetData>
    <row r="1" spans="1:9" ht="72">
      <c r="A1" s="78" t="s">
        <v>149</v>
      </c>
      <c r="B1" s="78" t="s">
        <v>183</v>
      </c>
      <c r="C1" s="78" t="s">
        <v>115</v>
      </c>
      <c r="D1" s="78" t="s">
        <v>116</v>
      </c>
      <c r="E1" s="78" t="s">
        <v>184</v>
      </c>
      <c r="F1" s="78" t="s">
        <v>185</v>
      </c>
      <c r="G1" s="78" t="s">
        <v>140</v>
      </c>
      <c r="H1" s="78" t="s">
        <v>142</v>
      </c>
      <c r="I1" s="78" t="s">
        <v>157</v>
      </c>
    </row>
    <row r="2" spans="1:9" ht="96">
      <c r="A2" s="63" t="s">
        <v>186</v>
      </c>
      <c r="B2" s="63" t="s">
        <v>187</v>
      </c>
      <c r="C2" s="63" t="s">
        <v>194</v>
      </c>
      <c r="D2" s="63" t="s">
        <v>188</v>
      </c>
      <c r="E2" s="63" t="s">
        <v>189</v>
      </c>
      <c r="F2" s="63" t="s">
        <v>190</v>
      </c>
      <c r="G2" s="63" t="s">
        <v>191</v>
      </c>
      <c r="H2" s="63" t="s">
        <v>192</v>
      </c>
      <c r="I2" s="63" t="s">
        <v>193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86" t="s">
        <v>78</v>
      </c>
      <c r="C1" s="88" t="s">
        <v>125</v>
      </c>
      <c r="E1" s="88" t="s">
        <v>127</v>
      </c>
    </row>
    <row r="2" spans="1:5">
      <c r="A2" s="87" t="s">
        <v>110</v>
      </c>
      <c r="C2" s="88" t="s">
        <v>126</v>
      </c>
      <c r="E2" s="88" t="s">
        <v>128</v>
      </c>
    </row>
    <row r="3" spans="1:5">
      <c r="A3" s="87" t="s">
        <v>111</v>
      </c>
      <c r="E3" s="88" t="s">
        <v>129</v>
      </c>
    </row>
    <row r="4" spans="1:5">
      <c r="E4" s="88" t="s">
        <v>130</v>
      </c>
    </row>
    <row r="5" spans="1:5">
      <c r="E5" s="88" t="s">
        <v>131</v>
      </c>
    </row>
    <row r="6" spans="1:5">
      <c r="E6" s="88" t="s">
        <v>132</v>
      </c>
    </row>
    <row r="7" spans="1:5">
      <c r="E7" s="88" t="s">
        <v>133</v>
      </c>
    </row>
    <row r="8" spans="1:5">
      <c r="E8" s="88" t="s">
        <v>134</v>
      </c>
    </row>
    <row r="9" spans="1:5">
      <c r="E9" s="88" t="s">
        <v>135</v>
      </c>
    </row>
    <row r="10" spans="1:5">
      <c r="E10" s="88" t="s">
        <v>136</v>
      </c>
    </row>
    <row r="11" spans="1:5">
      <c r="E11" s="88" t="s">
        <v>137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79</vt:i4>
      </vt:variant>
    </vt:vector>
  </HeadingPairs>
  <TitlesOfParts>
    <vt:vector size="90" baseType="lpstr">
      <vt:lpstr>EHI</vt:lpstr>
      <vt:lpstr>Participants</vt:lpstr>
      <vt:lpstr>Participant</vt:lpstr>
      <vt:lpstr>Building</vt:lpstr>
      <vt:lpstr>BuildingNonResidential</vt:lpstr>
      <vt:lpstr>Financial</vt:lpstr>
      <vt:lpstr>Occupancy</vt:lpstr>
      <vt:lpstr>AnnualDebtService</vt:lpstr>
      <vt:lpstr>Loan</vt:lpstr>
      <vt:lpstr>LoanMortgage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Reo_Acq_Date</vt:lpstr>
      <vt:lpstr>Reo_Acq_Date_End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Reo_Commer_Sqft</vt:lpstr>
      <vt:lpstr>Reo_Commer_Sqft_End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2018-09-10T12:33:47Z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