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Operating!$BB$9</definedName>
    <definedName name="Acf_ab_cell1">Operating!$BB$13</definedName>
    <definedName name="Acf_ab_cell2">Operating!$BB$17</definedName>
    <definedName name="Acf_ytd_cell">Operating!$BA$9</definedName>
    <definedName name="Acf_ytd_cell1">Operating!$BA$13</definedName>
    <definedName name="Acf_ytd_cell2">Operating!$BA$17</definedName>
    <definedName name="Acf_ytda_cell">Operating!$AZ$9</definedName>
    <definedName name="Acf_ytda_cell1">Operating!$AZ$13</definedName>
    <definedName name="Acf_ytda_cell2">Operating!$AZ$17</definedName>
    <definedName name="Acf_ytdau_cell">Operating!$BC$9</definedName>
    <definedName name="Acf_ytdau_cell1">Operating!$BC$13</definedName>
    <definedName name="Acf_ytdau_cell2">Operating!$BC$17</definedName>
    <definedName name="Acf_ytdbu_cell">Operating!$BD$9</definedName>
    <definedName name="Acf_ytdbu_cell1">Operating!$BD$13</definedName>
    <definedName name="Acf_ytdbu_cell2">Operating!$BD$17</definedName>
    <definedName name="Adm_ytda_cell">Expenses!$I$5</definedName>
    <definedName name="Adm_ytda_cell1">Expenses!$I$8</definedName>
    <definedName name="Adm_ytda_cell2">Expenses!$I$12</definedName>
    <definedName name="Adm_ytdab_cell">Expenses!$K$5</definedName>
    <definedName name="Adm_ytdab_cell1">Expenses!$K$8</definedName>
    <definedName name="Adm_ytdab_cell2">Expenses!$K$12</definedName>
    <definedName name="Adm_ytdau_cell">Expenses!$L$5</definedName>
    <definedName name="Adm_ytdau_cell1">Expenses!$L$8</definedName>
    <definedName name="Adm_ytdau_cell2">Expenses!$L$12</definedName>
    <definedName name="Adm_ytdb_cell">Expenses!$J$5</definedName>
    <definedName name="Adm_ytdb_cell1">Expenses!$J$8</definedName>
    <definedName name="Adm_ytdb_cell2">Expenses!$J$12</definedName>
    <definedName name="Adm_ytdbu_cell">Expenses!$M$5</definedName>
    <definedName name="Adm_ytdbu_cell1">Expenses!$M$8</definedName>
    <definedName name="Adm_ytdbu_cell2">Expenses!$M$12</definedName>
    <definedName name="Amf_ytd_cell">Operating!$AV$9</definedName>
    <definedName name="Amf_ytd_cell1">Operating!$AV$13</definedName>
    <definedName name="Amf_ytd_cell2">Operating!$AV$17</definedName>
    <definedName name="Amf_ytda_cell">Operating!$AU$9</definedName>
    <definedName name="Amf_ytda_cell1">Operating!$AU$13</definedName>
    <definedName name="Amf_ytda_cell2">Operating!$AU$17</definedName>
    <definedName name="Amf_ytdau_cell">Operating!$AX$9</definedName>
    <definedName name="Amf_ytdau_cell1">Operating!$AX$13</definedName>
    <definedName name="Amf_ytdau_cell2">Operating!$AX$17</definedName>
    <definedName name="Amf_ytdb_cell">Operating!$AW$9</definedName>
    <definedName name="Amf_ytdb_cell1">Operating!$AW$13</definedName>
    <definedName name="Amf_ytdb_cell2">Operating!$AW$17</definedName>
    <definedName name="Amf_ytdbu_cell">Operating!$AY$9</definedName>
    <definedName name="Amf_ytdbu_cell1">Operating!$AY$13</definedName>
    <definedName name="Amf_ytdbu_cell2">Operating!$AY$17</definedName>
    <definedName name="Bd_ytda_cell">Expenses!$N$5</definedName>
    <definedName name="Bd_ytda_cell1">Expenses!$N$8</definedName>
    <definedName name="Bd_ytda_cell2">Expenses!$N$12</definedName>
    <definedName name="Bd_ytdab_cell">Expenses!$P$5</definedName>
    <definedName name="Bd_ytdab_cell1">Expenses!$P$8</definedName>
    <definedName name="Bd_ytdab_cell2">Expenses!$P$12</definedName>
    <definedName name="Bd_ytdau_cell">Expenses!$Q$5</definedName>
    <definedName name="Bd_ytdau_cell1">Expenses!$Q$8</definedName>
    <definedName name="Bd_ytdau_cell2">Expenses!$Q$12</definedName>
    <definedName name="Bd_ytdb_cell">Expenses!$O$5</definedName>
    <definedName name="Bd_ytdb_cell1">Expenses!$O$8</definedName>
    <definedName name="Bd_ytdb_cell2">Expenses!$O$12</definedName>
    <definedName name="Bd_ytdbu_cell">Expenses!$R$5</definedName>
    <definedName name="Bd_ytdbu_cell1">Expenses!$R$8</definedName>
    <definedName name="Bd_ytdbu_cell2">Expenses!$R$12</definedName>
    <definedName name="Cap_ytd_cell">Operating!$AQ$9</definedName>
    <definedName name="Cap_ytd_cell1">Operating!$AQ$13</definedName>
    <definedName name="Cap_ytd_cell2">Operating!$AQ$17</definedName>
    <definedName name="Cap_ytda_cell">Operating!$AP$9</definedName>
    <definedName name="Cap_ytda_cell1">Operating!$AP$13</definedName>
    <definedName name="Cap_ytda_cell2">Operating!$AP$17</definedName>
    <definedName name="Cap_ytdau_cell">Operating!$AS$9</definedName>
    <definedName name="Cap_ytdau_cell1">Operating!$AS$13</definedName>
    <definedName name="Cap_ytdau_cell2">Operating!$AS$17</definedName>
    <definedName name="Cap_ytdb_cell">Operating!$AR$9</definedName>
    <definedName name="Cap_ytdb_cell1">Operating!$AR$13</definedName>
    <definedName name="Cap_ytdb_cell2">Operating!$AR$13</definedName>
    <definedName name="Cap_ytdb_cell3">Operating!$AR$17</definedName>
    <definedName name="Cap_ytdbu_cell">Operating!$AT$9</definedName>
    <definedName name="Cap_ytdbu_cell1">Operating!$AT$13</definedName>
    <definedName name="Cap_ytdbu_cell2">Operating!$AT$17</definedName>
    <definedName name="Cf_ytd_cell">Operating!$BA$9</definedName>
    <definedName name="Cf_ytd_cell1">Operating!$BA$13</definedName>
    <definedName name="Dev_cell">Operating!$A$11</definedName>
    <definedName name="Dev_cell_end">Operating!$BD$11</definedName>
    <definedName name="Dev_cell_start">Operating!$A$10</definedName>
    <definedName name="Dev_exp">Expenses!$A$6</definedName>
    <definedName name="Dev_exp_end">Expenses!$BF$6</definedName>
    <definedName name="Dev_exp_start">Expenses!$A$5</definedName>
    <definedName name="Exp_Units_cell">Expenses!$B$4</definedName>
    <definedName name="Exp_Units_cell1">Expenses!$B$8</definedName>
    <definedName name="Exp_Units_cell2">Expenses!$B$10</definedName>
    <definedName name="Exp_Units_cell3">Expenses!$B$12</definedName>
    <definedName name="Exp_Units_cell4">Expenses!$B$14</definedName>
    <definedName name="Fm_ytd_cell">Operating!$AG$9</definedName>
    <definedName name="Fm_ytd_cell1">Operating!$AG$13</definedName>
    <definedName name="Fm_ytd_cell2">Operating!$AG$17</definedName>
    <definedName name="Fm_ytda_cell">Operating!$AF$9</definedName>
    <definedName name="Fm_ytda_cell1">Operating!$AF$13</definedName>
    <definedName name="Fm_ytda_cell2">Operating!$AF$17</definedName>
    <definedName name="Fm_ytdau_cell">Operating!$AI$9</definedName>
    <definedName name="Fm_ytdau_cell1">Operating!$AI$13</definedName>
    <definedName name="Fm_ytdau_cell2">Operating!$AI$17</definedName>
    <definedName name="Fm_ytdb_cell">Operating!$AH$9</definedName>
    <definedName name="Fm_ytdb_cell1">Operating!$AH$13</definedName>
    <definedName name="Fm_ytdb_cell2">Operating!$AH$13</definedName>
    <definedName name="Fm_ytdb_cell3">Operating!$AH$17</definedName>
    <definedName name="Fm_ytdbu_cell">Operating!$AJ$9</definedName>
    <definedName name="Fm_ytdbu_cell1">Operating!$AJ$13</definedName>
    <definedName name="Fm_ytdbu_cell2">Operating!$AJ$17</definedName>
    <definedName name="Ins_ytda_cell">Expenses!$AW$5</definedName>
    <definedName name="Ins_ytda_cell1">Expenses!$AW$8</definedName>
    <definedName name="Ins_ytda_cell2">Expenses!$AW$12</definedName>
    <definedName name="Ins_ytdab_cell">Expenses!$AY$5</definedName>
    <definedName name="Ins_ytdab_cell1">Expenses!$AY$8</definedName>
    <definedName name="Ins_ytdab_cell2">Expenses!$AY$12</definedName>
    <definedName name="Ins_ytdau_cell">Expenses!$AZ$5</definedName>
    <definedName name="Ins_ytdau_cell1">Expenses!$AZ$8</definedName>
    <definedName name="Ins_ytdau_cell2">Expenses!$AZ$12</definedName>
    <definedName name="Ins_ytdb_cell">Expenses!$AX$5</definedName>
    <definedName name="Ins_ytdb_cell1">Expenses!$AX$8</definedName>
    <definedName name="Ins_ytdb_cell2">Expenses!$AX$12</definedName>
    <definedName name="Ins_ytdbu_cell">Expenses!$BA$5</definedName>
    <definedName name="Ins_ytdbu_cell1">Expenses!$BA$8</definedName>
    <definedName name="Ins_ytdbu_cell2">Expenses!$BA$12</definedName>
    <definedName name="Mf_ytda_cell">Expenses!$S$5</definedName>
    <definedName name="Mf_ytda_cell1">Expenses!$S$8</definedName>
    <definedName name="Mf_ytda_cell2">Expenses!$S$12</definedName>
    <definedName name="Mf_ytdab_cell">Expenses!$U$5</definedName>
    <definedName name="Mf_ytdab_cell1">Expenses!$U$8</definedName>
    <definedName name="Mf_ytdab_cell2">Expenses!$U$12</definedName>
    <definedName name="Mf_ytdau_cell">Expenses!$V$5</definedName>
    <definedName name="Mf_ytdau_cell1">Expenses!$V$8</definedName>
    <definedName name="Mf_ytdau_cell2">Expenses!$V$12</definedName>
    <definedName name="Mf_ytdb_cell">Expenses!$T$5</definedName>
    <definedName name="Mf_ytdb_cell1">Expenses!$T$8</definedName>
    <definedName name="Mf_ytdb_cell2">Expenses!$T$12</definedName>
    <definedName name="Mf_ytdbu_cell">Expenses!$W$5</definedName>
    <definedName name="Mf_ytdbu_cell1">Expenses!$W$8</definedName>
    <definedName name="Mf_ytdbu_cell2">Expenses!$W$12</definedName>
    <definedName name="Mgmt_comp_cell">Expenses!$C$4</definedName>
    <definedName name="Mgmt_comp_cell1">Expenses!$C$8</definedName>
    <definedName name="Mgmt_comp_cell2">Expenses!$C$12</definedName>
    <definedName name="Noi_ab_cell">Operating!$AC$9</definedName>
    <definedName name="Noi_ab_cell1">Operating!$AC$13</definedName>
    <definedName name="Noi_ab_cell2">Operating!$AC$17</definedName>
    <definedName name="Noi_ytd_cell">Operating!$AB$9</definedName>
    <definedName name="Noi_ytd_cell1">Operating!$AB$13</definedName>
    <definedName name="Noi_ytd_cell2">Operating!$AB$17</definedName>
    <definedName name="Noi_ytda_cell">Operating!$AA$9</definedName>
    <definedName name="Noi_ytda_cell1">Operating!$AA$13</definedName>
    <definedName name="Noi_ytda_cell2">Operating!$AA$17</definedName>
    <definedName name="Noi_ytdau_cell">Operating!$AD$9</definedName>
    <definedName name="Noi_ytdau_cell1">Operating!$AD$13</definedName>
    <definedName name="Noi_ytdau_cell2">Operating!$AD$17</definedName>
    <definedName name="Noi_ytdb_cell">Operating!$AB$9</definedName>
    <definedName name="Noi_ytdbu_cell">Operating!$AE$9</definedName>
    <definedName name="Noi_ytdbu_cell1">Operating!$AE$13</definedName>
    <definedName name="Noi_ytdbu_cell2">Operating!$AE$17</definedName>
    <definedName name="Oc_ab_cell">Operating!$W$9</definedName>
    <definedName name="Oc_ab_cell1">Operating!$W$13</definedName>
    <definedName name="Oc_ab_cell2">Operating!$W$17</definedName>
    <definedName name="Oc_ytd_cell">Operating!$V$9</definedName>
    <definedName name="Oc_ytd_cell1">Operating!$V$13</definedName>
    <definedName name="Oc_ytd_cell2">Operating!$V$17</definedName>
    <definedName name="Oc_ytda_cell">Operating!$U$9</definedName>
    <definedName name="Oc_ytda_cell1">Operating!$U$13</definedName>
    <definedName name="Oc_ytda_cell2">Operating!$U$17</definedName>
    <definedName name="Oc_ytdaer_cell">Operating!$Z$9</definedName>
    <definedName name="Oc_ytdaer_cell1">Operating!$Z$13</definedName>
    <definedName name="Oc_ytdaer_cell2">Operating!$Z$17</definedName>
    <definedName name="Oc_ytdau_cell">Operating!$X$9</definedName>
    <definedName name="Oc_ytdau_cell1">Operating!$X$13</definedName>
    <definedName name="Oc_ytdau_cell2">Operating!$X$17</definedName>
    <definedName name="Oc_ytdbu_cell">Operating!$Y$9</definedName>
    <definedName name="Oc_ytdbu_cell1">Operating!$Y$13</definedName>
    <definedName name="Oc_ytdbu_cell2">Operating!$Y$17</definedName>
    <definedName name="Occu_proj_cell">Occupancy!$B$4</definedName>
    <definedName name="Occu_proj_end">Occupancy!$C$4</definedName>
    <definedName name="Occupancy_cell">Operating!$K$9</definedName>
    <definedName name="Occupancy_cell1">Operating!$K$13</definedName>
    <definedName name="Occupancy_cell2">Operating!$K$17</definedName>
    <definedName name="Ocytd_cell">Operating!$V$9</definedName>
    <definedName name="Ocytd_cell1">Operating!$V$13</definedName>
    <definedName name="Oper_cash_cell">Operating!$E$9</definedName>
    <definedName name="Oper_cash_cell1">Operating!$E$13</definedName>
    <definedName name="Oper_cash_cell2">Operating!$E$17</definedName>
    <definedName name="Oper_other_cell">Operating!$H$9</definedName>
    <definedName name="Oper_other_cell1">Operating!$H$13</definedName>
    <definedName name="Oper_other_cell2">Operating!$H$17</definedName>
    <definedName name="Operating_cell">Operating!$G$9</definedName>
    <definedName name="Operating_cell1">Operating!$G$13</definedName>
    <definedName name="Operating_cell2">Operating!$G$17</definedName>
    <definedName name="Other_cell">Operating!$A$19</definedName>
    <definedName name="Other_cell_end">Operating!$BD$19</definedName>
    <definedName name="Other_cell_start">Operating!$A$18</definedName>
    <definedName name="Other_exp">Expenses!$A$14</definedName>
    <definedName name="Other_exp_end">Expenses!$BF$14</definedName>
    <definedName name="Other_exp_start">Expenses!$A$13</definedName>
    <definedName name="Pay_ytd_cell">Expenses!$E$5</definedName>
    <definedName name="Pay_ytd_cell1">Expenses!$E$8</definedName>
    <definedName name="Pay_ytd_cell2">Expenses!$E$12</definedName>
    <definedName name="Pay_ytda_cell">Expenses!$D$5</definedName>
    <definedName name="Pay_ytda_cell1">Expenses!$D$8</definedName>
    <definedName name="Pay_ytda_cell2">Expenses!$D$12</definedName>
    <definedName name="Pay_ytdab_cell">Expenses!$F$5</definedName>
    <definedName name="Pay_ytdab_cell1">Expenses!$F$8</definedName>
    <definedName name="Pay_ytdab_cell2">Expenses!$F$12</definedName>
    <definedName name="Pay_ytdau_cell">Expenses!$G$5</definedName>
    <definedName name="Pay_ytdau_cell1">Expenses!$G$8</definedName>
    <definedName name="Pay_ytdau_cell2">Expenses!$G$12</definedName>
    <definedName name="Pay_ytdb_cell">Expenses!$E$5</definedName>
    <definedName name="Pay_ytdbu_cell">Expenses!$H$5</definedName>
    <definedName name="Pay_ytdbu_cell1">Expenses!$H$8</definedName>
    <definedName name="Pay_ytdbu_cell2">Expenses!$H$12</definedName>
    <definedName name="_xlnm.Print_Area" localSheetId="1">Expenses!$A$1:$BF$13</definedName>
    <definedName name="_xlnm.Print_Area" localSheetId="2">Occupancy!$A$1:$D$60</definedName>
    <definedName name="_xlnm.Print_Area" localSheetId="0">Operating!$A$1:$AK$18</definedName>
    <definedName name="Rehab_cell">Operating!$A$15</definedName>
    <definedName name="Rehab_cell_end">Operating!$BD$15</definedName>
    <definedName name="Rehab_cell_start">Operating!$A$14</definedName>
    <definedName name="Rehab_exp">Expenses!$A$10</definedName>
    <definedName name="Rehab_exp_end">Expenses!$BF$10</definedName>
    <definedName name="Rehab_exp_start">Expenses!$A$9</definedName>
    <definedName name="Replac_cell">Operating!$F$9</definedName>
    <definedName name="Replac_cell1">Operating!$F$13</definedName>
    <definedName name="Replac_cell2">Operating!$F$17</definedName>
    <definedName name="Res_ab_cell">Operating!$AM$9</definedName>
    <definedName name="Res_ab_cell1">Operating!$AM$13</definedName>
    <definedName name="Res_ab_cell2">Operating!$AM$17</definedName>
    <definedName name="Res_ytd_cell">Operating!$AL$9</definedName>
    <definedName name="Res_ytd_cell1">Operating!$AL$13</definedName>
    <definedName name="Res_ytd_cell2">Operating!$AL$17</definedName>
    <definedName name="Res_ytda_cell">Operating!$AK$9</definedName>
    <definedName name="Res_ytda_cell1">Operating!$AK$13</definedName>
    <definedName name="Res_ytda_cell2">Operating!$AK$17</definedName>
    <definedName name="Res_ytdau_cell">Operating!$AN$9</definedName>
    <definedName name="Res_ytdau_cell1">Operating!$AN$13</definedName>
    <definedName name="Res_ytdau_cell2">Operating!$AN$17</definedName>
    <definedName name="Res_ytdbu_cell">Operating!$AO$9</definedName>
    <definedName name="Res_ytdbu_cell1">Operating!$AO$13</definedName>
    <definedName name="Res_ytdbu_cell2">Operating!$AO$17</definedName>
    <definedName name="Rm_ytda_cell">Expenses!$X$5</definedName>
    <definedName name="Rm_ytda_cell1">Expenses!$X$8</definedName>
    <definedName name="Rm_ytda_cell2">Expenses!$X$12</definedName>
    <definedName name="Rm_ytdab_cell">Expenses!$Z$5</definedName>
    <definedName name="Rm_ytdab_cell1">Expenses!$Z$8</definedName>
    <definedName name="Rm_ytdab_cell2">Expenses!$Z$12</definedName>
    <definedName name="Rm_ytdau_cell">Expenses!$AA$5</definedName>
    <definedName name="Rm_ytdau_cell1">Expenses!$AA$8</definedName>
    <definedName name="Rm_ytdau_cell2">Expenses!$AA$12</definedName>
    <definedName name="Rm_ytdb_cell">Expenses!$Y$5</definedName>
    <definedName name="Rm_ytdb_cell1">Expenses!$Y$8</definedName>
    <definedName name="Rm_ytdb_cell2">Expenses!$Y$12</definedName>
    <definedName name="Rm_ytdbu_cell">Expenses!$AB$5</definedName>
    <definedName name="Rm_ytdbu_cell1">Expenses!$AB$8</definedName>
    <definedName name="Rm_ytdbu_cell2">Expenses!$AB$12</definedName>
    <definedName name="Rytd_cell">Operating!$Q$9</definedName>
    <definedName name="Rytd_cell1">Operating!$Q$13</definedName>
    <definedName name="Rytd_cell2">Operating!$Q$17</definedName>
    <definedName name="Rytd_cells">Operating!$Q$13</definedName>
    <definedName name="Rytda_cell">Operating!$P$9</definedName>
    <definedName name="Rytda_cell1">Operating!$P$13</definedName>
    <definedName name="Rytda_cell2">Operating!$P$17</definedName>
    <definedName name="Rytdau_cell">Operating!$S$9</definedName>
    <definedName name="Rytdau_cell1">Operating!$S$13</definedName>
    <definedName name="Rytdau_cell2">Operating!$S$17</definedName>
    <definedName name="Rytdb_cell">Operating!$R$9</definedName>
    <definedName name="Rytdb_cell1">Operating!$R$13</definedName>
    <definedName name="Rytdb_cell2">Operating!$R$17</definedName>
    <definedName name="Rytdbu_cell">Operating!$T$9</definedName>
    <definedName name="Rytdbu_cell1">Operating!$T$13</definedName>
    <definedName name="Rytdbu_cell2">Operating!$T$17</definedName>
    <definedName name="Sec_ytda_cell">Expenses!$AC$5</definedName>
    <definedName name="Sec_ytda_cell1">Expenses!$AC$8</definedName>
    <definedName name="Sec_ytda_cell2">Expenses!$AC$12</definedName>
    <definedName name="Sec_ytdab_cell">Expenses!$AE$5</definedName>
    <definedName name="Sec_ytdab_cell1">Expenses!$AE$8</definedName>
    <definedName name="Sec_ytdab_cell2">Expenses!$AE$12</definedName>
    <definedName name="Sec_ytdau_cell">Expenses!$AF$5</definedName>
    <definedName name="Sec_ytdau_cell1">Expenses!$AF$8</definedName>
    <definedName name="Sec_ytdau_cell2">Expenses!$AF$12</definedName>
    <definedName name="Sec_ytdb_cell">Expenses!$AD$5</definedName>
    <definedName name="Sec_ytdb_cell1">Expenses!$AD$8</definedName>
    <definedName name="Sec_ytdb_cell2">Expenses!$AD$12</definedName>
    <definedName name="Sec_ytdbu_cell">Expenses!$AG$5</definedName>
    <definedName name="Sec_ytdbu_cell1">Expenses!$AG$8</definedName>
    <definedName name="Sec_ytdbu_cell2">Expenses!$AG$12</definedName>
    <definedName name="Status_cell">Operating!$C$9</definedName>
    <definedName name="Status_cell1">Operating!$C$13</definedName>
    <definedName name="Status_cell2">Operating!$C$17</definedName>
    <definedName name="Tax_ytda_cell">Expenses!$AR$5</definedName>
    <definedName name="Tax_ytda_cell1">Expenses!$AR$8</definedName>
    <definedName name="Tax_ytda_cell2">Expenses!$AR$12</definedName>
    <definedName name="Tax_ytdab_cell">Expenses!$AT$5</definedName>
    <definedName name="Tax_ytdab_cell1">Expenses!$AT$8</definedName>
    <definedName name="Tax_ytdab_cell2">Expenses!$AT$12</definedName>
    <definedName name="Tax_ytdau_cell">Expenses!$AU$5</definedName>
    <definedName name="Tax_ytdau_cell1">Expenses!$AU$8</definedName>
    <definedName name="Tax_ytdau_cell2">Expenses!$AU$12</definedName>
    <definedName name="Tax_ytdb_cell">Expenses!$AS$5</definedName>
    <definedName name="Tax_ytdb_cell1">Expenses!$AS$8</definedName>
    <definedName name="Tax_ytdb_cell2">Expenses!$AS$12</definedName>
    <definedName name="Tax_ytdbu_cell">Expenses!$AV$5</definedName>
    <definedName name="Tax_ytdbu_cell1">Expenses!$AV$8</definedName>
    <definedName name="Tax_ytdbu_cell2">Expenses!$AV$12</definedName>
    <definedName name="Toe_ytda_cell">Expenses!$BB$5</definedName>
    <definedName name="Toe_ytda_cell1">Expenses!$BB$8</definedName>
    <definedName name="Toe_ytda_cell2">Expenses!$BB$12</definedName>
    <definedName name="Toe_ytdab_cell">Expenses!$BD$5</definedName>
    <definedName name="Toe_ytdab_cell1">Expenses!$BD$8</definedName>
    <definedName name="Toe_ytdab_cell2">Expenses!$BD$12</definedName>
    <definedName name="Toe_ytdau_cell">Expenses!$BE$5</definedName>
    <definedName name="Toe_ytdau_cell1">Expenses!$BE$8</definedName>
    <definedName name="Toe_ytdau_cell2">Expenses!$BE$12</definedName>
    <definedName name="Toe_ytdb_cell">Expenses!$BC$5</definedName>
    <definedName name="Toe_ytdb_cell1">Expenses!$BC$8</definedName>
    <definedName name="Toe_ytdb_cell2">Expenses!$BC$12</definedName>
    <definedName name="Toe_ytdbu_cell">Expenses!$BF$5</definedName>
    <definedName name="Toe_ytdbu_cell1">Expenses!$BF$8</definedName>
    <definedName name="Toe_ytdbu_cell2">Expenses!$BF$12</definedName>
    <definedName name="Total_cell">Operating!$I$9</definedName>
    <definedName name="Total_cell1">Operating!$I$13</definedName>
    <definedName name="Total_cell2">Operating!$I$17</definedName>
    <definedName name="Units_cell">Operating!$B$9</definedName>
    <definedName name="Units_cell1">Operating!$B$13</definedName>
    <definedName name="Units_cell2">Operating!$B$17</definedName>
    <definedName name="Units_cell3">Operating!$B$21</definedName>
    <definedName name="Util_ytda_cell">Expenses!$AH$5</definedName>
    <definedName name="Util_ytda_cell1">Expenses!$AH$8</definedName>
    <definedName name="Util_ytda_cell2">Expenses!$AH$12</definedName>
    <definedName name="Util_ytdab_cell">Expenses!$AJ$5</definedName>
    <definedName name="Util_ytdab_cell1">Expenses!$AJ$8</definedName>
    <definedName name="Util_ytdab_cell2">Expenses!$AJ$12</definedName>
    <definedName name="Util_ytdau_cell">Expenses!$AK$5</definedName>
    <definedName name="Util_ytdau_cell1">Expenses!$AK$8</definedName>
    <definedName name="Util_ytdau_cell2">Expenses!$AK$12</definedName>
    <definedName name="Util_ytdb_cell">Expenses!$AI$5</definedName>
    <definedName name="Util_ytdb_cell1">Expenses!$AI$8</definedName>
    <definedName name="Util_ytdb_cell2">Expenses!$AI$12</definedName>
    <definedName name="Util_ytdbu_cell">Expenses!$AL$5</definedName>
    <definedName name="Util_ytdbu_cell1">Expenses!$AL$8</definedName>
    <definedName name="Util_ytdbu_cell2">Expenses!$AL$12</definedName>
    <definedName name="Ws_ytda_cell">Expenses!$AM$5</definedName>
    <definedName name="Ws_ytda_cell1">Expenses!$AM$8</definedName>
    <definedName name="Ws_ytda_cell2">Expenses!$AM$12</definedName>
    <definedName name="Ws_ytdab_cell">Expenses!$AO$5</definedName>
    <definedName name="Ws_ytdab_cell1">Expenses!$AO$8</definedName>
    <definedName name="Ws_ytdab_cell2">Expenses!$AO$12</definedName>
    <definedName name="Ws_ytdau_cell">Expenses!$AP$5</definedName>
    <definedName name="Ws_ytdau_cell1">Expenses!$AP$8</definedName>
    <definedName name="Ws_ytdau_cell2">Expenses!$AP$12</definedName>
    <definedName name="Ws_ytdb_cell">Expenses!$AN$5</definedName>
    <definedName name="Ws_ytdb_cell1">Expenses!$AN$8</definedName>
    <definedName name="Ws_ytdb_cell2">Expenses!$AN$12</definedName>
    <definedName name="Ws_ytdbu_cell">Expenses!$AQ$5</definedName>
    <definedName name="Ws_ytdbu_cell1">Expenses!$AQ$8</definedName>
    <definedName name="Ws_ytdbu_cell2">Expenses!$AQ$12</definedName>
    <definedName name="YTD_Budget">Expenses!$E$5</definedName>
    <definedName name="YtdOccupancy_cell">Operating!$J$9</definedName>
    <definedName name="YtdOccupancy_cell1">Operating!$J$13</definedName>
    <definedName name="YtdOccupancy_cell2">Operating!$J$17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0" i="1" l="1"/>
  <c r="O16" i="1"/>
  <c r="O12" i="1"/>
  <c r="N20" i="1"/>
  <c r="N16" i="1"/>
  <c r="N12" i="1"/>
  <c r="M20" i="1"/>
  <c r="M22" i="1" s="1"/>
  <c r="M16" i="1"/>
  <c r="M12" i="1"/>
  <c r="L20" i="1"/>
  <c r="L16" i="1"/>
  <c r="L12" i="1"/>
  <c r="D20" i="1"/>
  <c r="D16" i="1"/>
  <c r="D12" i="1"/>
  <c r="C22" i="1"/>
  <c r="AT6" i="2"/>
  <c r="AT8" i="2"/>
  <c r="AT9" i="2"/>
  <c r="AT10" i="2"/>
  <c r="AT12" i="2"/>
  <c r="AT13" i="2"/>
  <c r="F12" i="1"/>
  <c r="L22" i="1" l="1"/>
  <c r="F20" i="1"/>
  <c r="E16" i="1"/>
  <c r="D22" i="1"/>
  <c r="O22" i="1"/>
  <c r="N22" i="1"/>
  <c r="AE7" i="2"/>
  <c r="AD7" i="2" s="1"/>
  <c r="AO7" i="2"/>
  <c r="AN7" i="2" s="1"/>
  <c r="AP12" i="1"/>
  <c r="I11" i="2"/>
  <c r="S11" i="2"/>
  <c r="AH11" i="2"/>
  <c r="AR11" i="2"/>
  <c r="AH7" i="2"/>
  <c r="AH15" i="2"/>
  <c r="AR7" i="2"/>
  <c r="AR15" i="2"/>
  <c r="AW11" i="2"/>
  <c r="Z15" i="2"/>
  <c r="Y15" i="2" s="1"/>
  <c r="AJ15" i="2"/>
  <c r="AI15" i="2" s="1"/>
  <c r="AE11" i="2"/>
  <c r="AD11" i="2" s="1"/>
  <c r="AO11" i="2"/>
  <c r="AN11" i="2" s="1"/>
  <c r="AT15" i="2"/>
  <c r="AS15" i="2" s="1"/>
  <c r="AY7" i="2"/>
  <c r="AX7" i="2" s="1"/>
  <c r="AY15" i="2"/>
  <c r="AX15" i="2" s="1"/>
  <c r="I20" i="1"/>
  <c r="I16" i="1"/>
  <c r="K22" i="1"/>
  <c r="J22" i="1"/>
  <c r="R20" i="1"/>
  <c r="AU12" i="1"/>
  <c r="AU20" i="1"/>
  <c r="E12" i="1"/>
  <c r="H16" i="1"/>
  <c r="I12" i="1"/>
  <c r="P16" i="1"/>
  <c r="B16" i="1"/>
  <c r="H20" i="1"/>
  <c r="P12" i="1"/>
  <c r="P20" i="1"/>
  <c r="J20" i="1"/>
  <c r="E20" i="1"/>
  <c r="R12" i="1"/>
  <c r="G16" i="1"/>
  <c r="H12" i="1"/>
  <c r="K16" i="1"/>
  <c r="B12" i="1"/>
  <c r="B20" i="1"/>
  <c r="B22" i="1" s="1"/>
  <c r="F16" i="1"/>
  <c r="F22" i="1" s="1"/>
  <c r="G12" i="1"/>
  <c r="G20" i="1"/>
  <c r="J16" i="1"/>
  <c r="K12" i="1"/>
  <c r="K20" i="1"/>
  <c r="R16" i="1"/>
  <c r="AH16" i="1"/>
  <c r="AG12" i="1"/>
  <c r="AQ16" i="1"/>
  <c r="AQ20" i="1"/>
  <c r="AK16" i="1"/>
  <c r="AN16" i="1" s="1"/>
  <c r="AM12" i="1"/>
  <c r="AL12" i="1" s="1"/>
  <c r="AM20" i="1"/>
  <c r="AP20" i="1"/>
  <c r="D7" i="2"/>
  <c r="D15" i="2"/>
  <c r="AF12" i="1"/>
  <c r="AF20" i="1"/>
  <c r="AG20" i="1"/>
  <c r="AM16" i="1"/>
  <c r="AL16" i="1" s="1"/>
  <c r="AP16" i="1"/>
  <c r="AR12" i="1"/>
  <c r="AR20" i="1"/>
  <c r="AU16" i="1"/>
  <c r="AW12" i="1"/>
  <c r="AW20" i="1"/>
  <c r="K11" i="2"/>
  <c r="J11" i="2" s="1"/>
  <c r="K7" i="2"/>
  <c r="J7" i="2" s="1"/>
  <c r="K15" i="2"/>
  <c r="J15" i="2" s="1"/>
  <c r="AR16" i="1"/>
  <c r="AW16" i="1"/>
  <c r="D11" i="2"/>
  <c r="F7" i="2"/>
  <c r="E7" i="2" s="1"/>
  <c r="F15" i="2"/>
  <c r="E15" i="2" s="1"/>
  <c r="N7" i="2"/>
  <c r="N15" i="2"/>
  <c r="U7" i="2"/>
  <c r="T7" i="2" s="1"/>
  <c r="U15" i="2"/>
  <c r="T15" i="2" s="1"/>
  <c r="AF16" i="1"/>
  <c r="AH12" i="1"/>
  <c r="AH20" i="1"/>
  <c r="AK12" i="1"/>
  <c r="AN12" i="1" s="1"/>
  <c r="AK20" i="1"/>
  <c r="U11" i="2"/>
  <c r="T11" i="2" s="1"/>
  <c r="X7" i="2"/>
  <c r="X15" i="2"/>
  <c r="N11" i="2"/>
  <c r="P15" i="2"/>
  <c r="O15" i="2" s="1"/>
  <c r="X11" i="2"/>
  <c r="AT11" i="2"/>
  <c r="AS11" i="2" s="1"/>
  <c r="AC11" i="2"/>
  <c r="AE15" i="2"/>
  <c r="AD15" i="2" s="1"/>
  <c r="AM11" i="2"/>
  <c r="AO15" i="2"/>
  <c r="AN15" i="2" s="1"/>
  <c r="AW7" i="2"/>
  <c r="AW15" i="2"/>
  <c r="F11" i="2"/>
  <c r="E11" i="2" s="1"/>
  <c r="I7" i="2"/>
  <c r="I15" i="2"/>
  <c r="P11" i="2"/>
  <c r="O11" i="2" s="1"/>
  <c r="S7" i="2"/>
  <c r="S15" i="2"/>
  <c r="Z11" i="2"/>
  <c r="Y11" i="2" s="1"/>
  <c r="AC7" i="2"/>
  <c r="AC15" i="2"/>
  <c r="AJ11" i="2"/>
  <c r="AI11" i="2" s="1"/>
  <c r="AM7" i="2"/>
  <c r="AM15" i="2"/>
  <c r="P7" i="2"/>
  <c r="O7" i="2" s="1"/>
  <c r="Z7" i="2"/>
  <c r="Y7" i="2" s="1"/>
  <c r="AJ7" i="2"/>
  <c r="AI7" i="2" s="1"/>
  <c r="AT7" i="2"/>
  <c r="AS7" i="2" s="1"/>
  <c r="AY11" i="2"/>
  <c r="AX11" i="2" s="1"/>
  <c r="BF136" i="2"/>
  <c r="BE136" i="2"/>
  <c r="AZ136" i="2"/>
  <c r="AU136" i="2"/>
  <c r="AP136" i="2"/>
  <c r="AK136" i="2"/>
  <c r="AF136" i="2"/>
  <c r="AA136" i="2"/>
  <c r="V136" i="2"/>
  <c r="Q136" i="2"/>
  <c r="L136" i="2"/>
  <c r="G136" i="2"/>
  <c r="AX136" i="2"/>
  <c r="BA136" i="2" s="1"/>
  <c r="AS136" i="2"/>
  <c r="AV136" i="2" s="1"/>
  <c r="AN136" i="2"/>
  <c r="AQ136" i="2" s="1"/>
  <c r="AI136" i="2"/>
  <c r="AL136" i="2" s="1"/>
  <c r="AD136" i="2"/>
  <c r="AG136" i="2" s="1"/>
  <c r="Y136" i="2"/>
  <c r="AB136" i="2" s="1"/>
  <c r="T136" i="2"/>
  <c r="W136" i="2" s="1"/>
  <c r="O136" i="2"/>
  <c r="R136" i="2" s="1"/>
  <c r="J136" i="2"/>
  <c r="M136" i="2" s="1"/>
  <c r="E136" i="2"/>
  <c r="H136" i="2" s="1"/>
  <c r="AX16" i="1" l="1"/>
  <c r="AT16" i="1"/>
  <c r="AO16" i="1"/>
  <c r="AS12" i="1"/>
  <c r="E22" i="1"/>
  <c r="AI16" i="1"/>
  <c r="AS16" i="1"/>
  <c r="AI12" i="1"/>
  <c r="AO12" i="1"/>
  <c r="AJ12" i="1"/>
  <c r="AV16" i="1"/>
  <c r="AY16" i="1" s="1"/>
  <c r="AW22" i="1"/>
  <c r="AR22" i="1"/>
  <c r="BB7" i="2"/>
  <c r="AL20" i="1"/>
  <c r="AO20" i="1" s="1"/>
  <c r="AM22" i="1"/>
  <c r="AL22" i="1" s="1"/>
  <c r="AO22" i="1" s="1"/>
  <c r="Q16" i="1"/>
  <c r="B11" i="2"/>
  <c r="R11" i="2" s="1"/>
  <c r="R22" i="1"/>
  <c r="Q20" i="1"/>
  <c r="W11" i="2"/>
  <c r="AH22" i="1"/>
  <c r="BB11" i="2"/>
  <c r="AQ12" i="1"/>
  <c r="AT12" i="1" s="1"/>
  <c r="BD7" i="2"/>
  <c r="AV20" i="1"/>
  <c r="AJ20" i="1"/>
  <c r="AF22" i="1"/>
  <c r="AI22" i="1" s="1"/>
  <c r="AI20" i="1"/>
  <c r="AT20" i="1"/>
  <c r="B7" i="2"/>
  <c r="AB7" i="2" s="1"/>
  <c r="Q12" i="1"/>
  <c r="S20" i="1"/>
  <c r="P22" i="1"/>
  <c r="S12" i="1"/>
  <c r="S16" i="1"/>
  <c r="AU22" i="1"/>
  <c r="AX22" i="1" s="1"/>
  <c r="AX20" i="1"/>
  <c r="AX12" i="1"/>
  <c r="BA11" i="2"/>
  <c r="AA11" i="2"/>
  <c r="H7" i="2"/>
  <c r="G11" i="2"/>
  <c r="BD11" i="2"/>
  <c r="H22" i="1"/>
  <c r="I22" i="1"/>
  <c r="AK22" i="1"/>
  <c r="AN22" i="1" s="1"/>
  <c r="AN20" i="1"/>
  <c r="BD15" i="2"/>
  <c r="AV12" i="1"/>
  <c r="AY12" i="1" s="1"/>
  <c r="BB15" i="2"/>
  <c r="AP22" i="1"/>
  <c r="AS22" i="1" s="1"/>
  <c r="AS20" i="1"/>
  <c r="AG16" i="1"/>
  <c r="AJ16" i="1" s="1"/>
  <c r="G22" i="1"/>
  <c r="B15" i="2"/>
  <c r="G15" i="2" s="1"/>
  <c r="B57" i="4"/>
  <c r="J12" i="1" s="1"/>
  <c r="M7" i="2" l="1"/>
  <c r="AF7" i="2"/>
  <c r="R7" i="2"/>
  <c r="AQ22" i="1"/>
  <c r="AT22" i="1" s="1"/>
  <c r="AV7" i="2"/>
  <c r="AP11" i="2"/>
  <c r="AL11" i="2"/>
  <c r="AV11" i="2"/>
  <c r="H11" i="2"/>
  <c r="BE11" i="2"/>
  <c r="X16" i="1" s="1"/>
  <c r="AD16" i="1" s="1"/>
  <c r="M11" i="2"/>
  <c r="V7" i="2"/>
  <c r="W20" i="1"/>
  <c r="BB20" i="1"/>
  <c r="AG15" i="2"/>
  <c r="AP15" i="2"/>
  <c r="S22" i="1"/>
  <c r="T12" i="1"/>
  <c r="AG22" i="1"/>
  <c r="AJ22" i="1" s="1"/>
  <c r="W12" i="1"/>
  <c r="AC12" i="1" s="1"/>
  <c r="BB12" i="1"/>
  <c r="U16" i="1"/>
  <c r="Q22" i="1"/>
  <c r="L11" i="2"/>
  <c r="AQ11" i="2"/>
  <c r="AU11" i="2"/>
  <c r="AZ11" i="2"/>
  <c r="V11" i="2"/>
  <c r="AG11" i="2"/>
  <c r="AK11" i="2"/>
  <c r="AA15" i="2"/>
  <c r="L15" i="2"/>
  <c r="U20" i="1"/>
  <c r="M15" i="2"/>
  <c r="AZ15" i="2"/>
  <c r="AF15" i="2"/>
  <c r="Q7" i="2"/>
  <c r="AQ15" i="2"/>
  <c r="T16" i="1"/>
  <c r="U12" i="1"/>
  <c r="BC11" i="2"/>
  <c r="BF11" i="2" s="1"/>
  <c r="Y16" i="1" s="1"/>
  <c r="H15" i="2"/>
  <c r="Q11" i="2"/>
  <c r="AB11" i="2"/>
  <c r="R15" i="2"/>
  <c r="BC7" i="2"/>
  <c r="BF7" i="2" s="1"/>
  <c r="Y12" i="1" s="1"/>
  <c r="W16" i="1"/>
  <c r="AC16" i="1" s="1"/>
  <c r="BB16" i="1"/>
  <c r="W15" i="2"/>
  <c r="AG7" i="2"/>
  <c r="AQ7" i="2"/>
  <c r="AK7" i="2"/>
  <c r="BA7" i="2"/>
  <c r="AU7" i="2"/>
  <c r="G7" i="2"/>
  <c r="AV22" i="1"/>
  <c r="AY22" i="1" s="1"/>
  <c r="AY20" i="1"/>
  <c r="Q15" i="2"/>
  <c r="L7" i="2"/>
  <c r="T20" i="1"/>
  <c r="W7" i="2"/>
  <c r="AF11" i="2"/>
  <c r="AP7" i="2"/>
  <c r="AL15" i="2"/>
  <c r="AU15" i="2"/>
  <c r="AB15" i="2"/>
  <c r="AV15" i="2"/>
  <c r="BA15" i="2"/>
  <c r="AK15" i="2"/>
  <c r="BE15" i="2"/>
  <c r="X20" i="1" s="1"/>
  <c r="AD20" i="1" s="1"/>
  <c r="BC15" i="2"/>
  <c r="BF15" i="2" s="1"/>
  <c r="Y20" i="1" s="1"/>
  <c r="V15" i="2"/>
  <c r="BE7" i="2"/>
  <c r="X12" i="1" s="1"/>
  <c r="AD12" i="1" s="1"/>
  <c r="AA7" i="2"/>
  <c r="AZ7" i="2"/>
  <c r="AL7" i="2"/>
  <c r="AH3" i="2"/>
  <c r="Z12" i="1" l="1"/>
  <c r="AA12" i="1"/>
  <c r="AZ20" i="1"/>
  <c r="V16" i="1"/>
  <c r="AB16" i="1" s="1"/>
  <c r="AE16" i="1"/>
  <c r="T22" i="1"/>
  <c r="Z16" i="1"/>
  <c r="AA16" i="1"/>
  <c r="BB22" i="1"/>
  <c r="AE20" i="1"/>
  <c r="V12" i="1"/>
  <c r="AB12" i="1" s="1"/>
  <c r="AZ12" i="1"/>
  <c r="BC12" i="1" s="1"/>
  <c r="Z20" i="1"/>
  <c r="U22" i="1"/>
  <c r="AA20" i="1"/>
  <c r="W22" i="1"/>
  <c r="AC22" i="1" s="1"/>
  <c r="AC20" i="1"/>
  <c r="V20" i="1"/>
  <c r="AZ16" i="1"/>
  <c r="BC16" i="1" s="1"/>
  <c r="AE12" i="1"/>
  <c r="Z22" i="1" l="1"/>
  <c r="Y22" i="1" s="1"/>
  <c r="X22" i="1" s="1"/>
  <c r="AA22" i="1"/>
  <c r="AZ22" i="1"/>
  <c r="BC22" i="1" s="1"/>
  <c r="BC20" i="1"/>
  <c r="BA20" i="1"/>
  <c r="BA12" i="1"/>
  <c r="BD12" i="1" s="1"/>
  <c r="V22" i="1"/>
  <c r="AB22" i="1" s="1"/>
  <c r="AB20" i="1"/>
  <c r="BA16" i="1"/>
  <c r="BD16" i="1" s="1"/>
  <c r="AE22" i="1" l="1"/>
  <c r="AD22" i="1" s="1"/>
  <c r="BD20" i="1"/>
  <c r="BA22" i="1"/>
  <c r="BD22" i="1" s="1"/>
</calcChain>
</file>

<file path=xl/comments1.xml><?xml version="1.0" encoding="utf-8"?>
<comments xmlns="http://schemas.openxmlformats.org/spreadsheetml/2006/main">
  <authors>
    <author>Aniket Mulmule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R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9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13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<sst xmlns="http://schemas.openxmlformats.org/spreadsheetml/2006/main" count="211" uniqueCount="84">
  <si>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</si>
  <si>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</si>
  <si>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</si>
  <si>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</si>
  <si>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</si>
  <si>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</si>
  <si>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</si>
  <si>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</si>
  <si>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</si>
  <si>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</si>
  <si>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</si>
  <si>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</si>
  <si>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</si>
  <si>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</si>
  <si>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</si>
  <si>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</si>
  <si>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</si>
  <si>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</si>
  <si>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</si>
  <si>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</si>
  <si>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</si>
  <si>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</si>
  <si>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</si>
  <si>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</si>
  <si>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</si>
  <si>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</si>
  <si>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</si>
  <si>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</si>
  <si>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</si>
  <si>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</si>
  <si>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</si>
  <si>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</si>
  <si>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</si>
  <si>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</si>
  <si>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</si>
  <si>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</si>
  <si>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</si>
  <si>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</si>
  <si>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</si>
  <si>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</si>
  <si>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</si>
  <si>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</si>
  <si>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</si>
  <si>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</si>
  <si>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</si>
  <si>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</si>
  <si>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</si>
  <si>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</si>
  <si>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</si>
  <si>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</si>
  <si>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</si>
  <si>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</si>
  <si>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</si>
  <si>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</si>
  <si>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</si>
  <si>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</si>
  <si>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</si>
  <si>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</si>
  <si>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</si>
  <si>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</si>
  <si>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</si>
  <si>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</si>
  <si>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</si>
  <si>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</si>
  <si>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</si>
  <si>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</si>
  <si>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</si>
  <si>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</si>
  <si>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</si>
  <si>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</si>
  <si>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</si>
  <si>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</si>
  <si>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</si>
  <si>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</si>
  <si>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</si>
  <si>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Portfolio</t>
  </si>
  <si>
    <t>Portfolio - excluding rehabs, lease ups</t>
  </si>
  <si>
    <t xml:space="preserve">Project Id </t>
  </si>
  <si>
    <t>Mgmt Company</t>
  </si>
  <si>
    <t>Other Totals/Avg</t>
  </si>
  <si>
    <t>EHI 2018 Operating Expenses</t>
  </si>
  <si>
    <t xml:space="preserve"> Actual Occupancy @ </t>
  </si>
  <si>
    <t>March 2018 YTD Operating and Budgeted Results</t>
  </si>
  <si>
    <t>3/31/2018 Cash and Reserve Balances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</si>
</sst>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sz val="10"/>
      <color rgb="FF0000D4"/>
      <name val="Arial"/>
      <family val="2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b/>
      <i/>
      <sz val="10"/>
      <color rgb="FF0133BF"/>
      <name val="Arial"/>
      <family val="2"/>
    </font>
    <font>
      <b/>
      <i/>
      <sz val="10"/>
      <color rgb="FF0070C0"/>
      <name val="Arial"/>
      <family val="2"/>
    </font>
    <font>
      <b/>
      <i/>
      <sz val="10"/>
      <color theme="1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</cellStyleXfs>
  <cellXfs count="259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6" fillId="0" borderId="26" xfId="0" applyFont="1" applyBorder="1"/>
    <xf numFmtId="0" fontId="9" fillId="0" borderId="0" xfId="0" applyFont="1"/>
    <xf numFmtId="0" fontId="0" fillId="0" borderId="30" xfId="0" applyBorder="1"/>
    <xf numFmtId="0" fontId="10" fillId="0" borderId="0" xfId="3"/>
    <xf numFmtId="0" fontId="10" fillId="0" borderId="0" xfId="3" applyAlignment="1">
      <alignment horizontal="center"/>
    </xf>
    <xf numFmtId="14" fontId="0" fillId="0" borderId="26" xfId="0" applyNumberFormat="1" applyBorder="1"/>
    <xf numFmtId="14" fontId="10" fillId="0" borderId="0" xfId="3" applyNumberFormat="1"/>
    <xf numFmtId="166" fontId="0" fillId="0" borderId="0" xfId="4" applyNumberFormat="1" applyFont="1" applyAlignment="1">
      <alignment horizontal="center"/>
    </xf>
    <xf numFmtId="0" fontId="8" fillId="0" borderId="23" xfId="0" applyFont="1" applyBorder="1" applyAlignment="1"/>
    <xf numFmtId="167" fontId="14" fillId="0" borderId="0" xfId="0" applyNumberFormat="1" applyFont="1" applyAlignment="1">
      <alignment horizontal="center" vertical="center"/>
    </xf>
    <xf numFmtId="14" fontId="0" fillId="0" borderId="0" xfId="0" applyNumberFormat="1"/>
    <xf numFmtId="0" fontId="15" fillId="2" borderId="0" xfId="5"/>
    <xf numFmtId="165" fontId="6" fillId="0" borderId="26" xfId="0" applyNumberFormat="1" applyFont="1" applyBorder="1" applyAlignment="1"/>
    <xf numFmtId="14" fontId="12" fillId="0" borderId="26" xfId="0" applyNumberFormat="1" applyFont="1" applyBorder="1"/>
    <xf numFmtId="166" fontId="12" fillId="0" borderId="0" xfId="4" applyNumberFormat="1" applyFont="1" applyAlignment="1">
      <alignment horizontal="center"/>
    </xf>
    <xf numFmtId="166" fontId="12" fillId="0" borderId="26" xfId="4" applyNumberFormat="1" applyFont="1" applyBorder="1" applyAlignment="1">
      <alignment horizontal="center"/>
    </xf>
    <xf numFmtId="166" fontId="12" fillId="0" borderId="26" xfId="0" applyNumberFormat="1" applyFont="1" applyBorder="1" applyAlignment="1">
      <alignment horizontal="center"/>
    </xf>
    <xf numFmtId="0" fontId="17" fillId="3" borderId="26" xfId="6" applyFont="1" applyBorder="1" applyAlignment="1">
      <alignment horizontal="center" wrapText="1"/>
    </xf>
    <xf numFmtId="0" fontId="11" fillId="0" borderId="26" xfId="3" applyFont="1" applyBorder="1" applyAlignment="1">
      <alignment horizontal="center"/>
    </xf>
    <xf numFmtId="0" fontId="0" fillId="0" borderId="31" xfId="0" applyBorder="1"/>
    <xf numFmtId="0" fontId="0" fillId="0" borderId="26" xfId="0" applyBorder="1"/>
    <xf numFmtId="165" fontId="7" fillId="0" borderId="26" xfId="0" applyNumberFormat="1" applyFont="1" applyBorder="1" applyAlignment="1">
      <alignment horizontal="right" wrapText="1"/>
    </xf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6" borderId="18" xfId="0" applyFont="1" applyFill="1" applyBorder="1" applyAlignment="1">
      <alignment horizontal="right" wrapText="1"/>
    </xf>
    <xf numFmtId="0" fontId="4" fillId="6" borderId="16" xfId="0" applyFont="1" applyFill="1" applyBorder="1" applyAlignment="1">
      <alignment horizontal="right" wrapText="1"/>
    </xf>
    <xf numFmtId="0" fontId="4" fillId="4" borderId="22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6" borderId="21" xfId="0" applyFont="1" applyFill="1" applyBorder="1" applyAlignment="1">
      <alignment horizontal="right" wrapText="1"/>
    </xf>
    <xf numFmtId="0" fontId="4" fillId="0" borderId="25" xfId="0" applyFont="1" applyFill="1" applyBorder="1" applyAlignment="1">
      <alignment horizontal="left" indent="1"/>
    </xf>
    <xf numFmtId="0" fontId="18" fillId="0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left" indent="1"/>
    </xf>
    <xf numFmtId="0" fontId="4" fillId="6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right"/>
    </xf>
    <xf numFmtId="0" fontId="4" fillId="6" borderId="23" xfId="0" applyFont="1" applyFill="1" applyBorder="1" applyAlignment="1">
      <alignment horizontal="right"/>
    </xf>
    <xf numFmtId="0" fontId="4" fillId="4" borderId="27" xfId="0" applyFont="1" applyFill="1" applyBorder="1" applyAlignment="1">
      <alignment horizontal="right"/>
    </xf>
    <xf numFmtId="0" fontId="4" fillId="4" borderId="26" xfId="0" applyFont="1" applyFill="1" applyBorder="1" applyAlignment="1">
      <alignment horizontal="right"/>
    </xf>
    <xf numFmtId="0" fontId="4" fillId="5" borderId="26" xfId="0" applyFont="1" applyFill="1" applyBorder="1" applyAlignment="1">
      <alignment horizontal="right"/>
    </xf>
    <xf numFmtId="0" fontId="4" fillId="6" borderId="28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6" fillId="0" borderId="26" xfId="0" applyFont="1" applyFill="1" applyBorder="1" applyAlignment="1"/>
    <xf numFmtId="165" fontId="22" fillId="4" borderId="27" xfId="1" applyNumberFormat="1" applyFont="1" applyFill="1" applyBorder="1" applyAlignment="1"/>
    <xf numFmtId="165" fontId="6" fillId="4" borderId="26" xfId="1" applyNumberFormat="1" applyFont="1" applyFill="1" applyBorder="1" applyAlignment="1"/>
    <xf numFmtId="165" fontId="22" fillId="4" borderId="26" xfId="1" applyNumberFormat="1" applyFont="1" applyFill="1" applyBorder="1" applyAlignment="1"/>
    <xf numFmtId="165" fontId="22" fillId="5" borderId="26" xfId="1" applyNumberFormat="1" applyFont="1" applyFill="1" applyBorder="1" applyAlignment="1"/>
    <xf numFmtId="165" fontId="6" fillId="5" borderId="26" xfId="1" applyNumberFormat="1" applyFont="1" applyFill="1" applyBorder="1" applyAlignment="1"/>
    <xf numFmtId="165" fontId="6" fillId="4" borderId="23" xfId="1" applyNumberFormat="1" applyFont="1" applyFill="1" applyBorder="1" applyAlignment="1"/>
    <xf numFmtId="41" fontId="23" fillId="5" borderId="26" xfId="1" applyNumberFormat="1" applyFont="1" applyFill="1" applyBorder="1" applyAlignment="1"/>
    <xf numFmtId="165" fontId="6" fillId="5" borderId="28" xfId="1" applyNumberFormat="1" applyFont="1" applyFill="1" applyBorder="1" applyAlignment="1"/>
    <xf numFmtId="165" fontId="22" fillId="4" borderId="24" xfId="1" applyNumberFormat="1" applyFont="1" applyFill="1" applyBorder="1" applyAlignment="1"/>
    <xf numFmtId="165" fontId="24" fillId="5" borderId="26" xfId="1" applyNumberFormat="1" applyFont="1" applyFill="1" applyBorder="1" applyAlignment="1"/>
    <xf numFmtId="165" fontId="6" fillId="6" borderId="26" xfId="1" applyNumberFormat="1" applyFont="1" applyFill="1" applyBorder="1" applyAlignment="1"/>
    <xf numFmtId="165" fontId="6" fillId="6" borderId="28" xfId="1" applyNumberFormat="1" applyFont="1" applyFill="1" applyBorder="1" applyAlignment="1"/>
    <xf numFmtId="0" fontId="22" fillId="0" borderId="23" xfId="0" applyFont="1" applyFill="1" applyBorder="1" applyAlignment="1"/>
    <xf numFmtId="166" fontId="10" fillId="7" borderId="26" xfId="2" applyNumberFormat="1" applyFont="1" applyFill="1" applyBorder="1" applyAlignment="1">
      <alignment horizontal="center"/>
    </xf>
    <xf numFmtId="166" fontId="10" fillId="8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9" fillId="4" borderId="27" xfId="1" applyNumberFormat="1" applyFont="1" applyFill="1" applyBorder="1" applyAlignment="1">
      <alignment horizontal="right"/>
    </xf>
    <xf numFmtId="165" fontId="7" fillId="4" borderId="26" xfId="1" applyNumberFormat="1" applyFont="1" applyFill="1" applyBorder="1" applyAlignment="1">
      <alignment horizontal="right"/>
    </xf>
    <xf numFmtId="165" fontId="19" fillId="4" borderId="26" xfId="1" applyNumberFormat="1" applyFont="1" applyFill="1" applyBorder="1" applyAlignment="1">
      <alignment horizontal="right"/>
    </xf>
    <xf numFmtId="165" fontId="19" fillId="5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4" borderId="23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165" fontId="7" fillId="6" borderId="26" xfId="1" applyNumberFormat="1" applyFont="1" applyFill="1" applyBorder="1" applyAlignment="1">
      <alignment horizontal="right"/>
    </xf>
    <xf numFmtId="165" fontId="7" fillId="6" borderId="28" xfId="1" applyNumberFormat="1" applyFont="1" applyFill="1" applyBorder="1" applyAlignment="1">
      <alignment horizontal="right"/>
    </xf>
    <xf numFmtId="165" fontId="6" fillId="0" borderId="26" xfId="0" applyNumberFormat="1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right"/>
    </xf>
    <xf numFmtId="165" fontId="6" fillId="5" borderId="26" xfId="1" applyNumberFormat="1" applyFont="1" applyFill="1" applyBorder="1" applyAlignment="1">
      <alignment horizontal="right"/>
    </xf>
    <xf numFmtId="165" fontId="6" fillId="4" borderId="23" xfId="1" applyNumberFormat="1" applyFont="1" applyFill="1" applyBorder="1" applyAlignment="1">
      <alignment horizontal="right"/>
    </xf>
    <xf numFmtId="165" fontId="6" fillId="5" borderId="28" xfId="1" applyNumberFormat="1" applyFont="1" applyFill="1" applyBorder="1" applyAlignment="1">
      <alignment horizontal="right"/>
    </xf>
    <xf numFmtId="165" fontId="6" fillId="6" borderId="26" xfId="1" applyNumberFormat="1" applyFont="1" applyFill="1" applyBorder="1" applyAlignment="1">
      <alignment horizontal="right"/>
    </xf>
    <xf numFmtId="165" fontId="6" fillId="6" borderId="28" xfId="1" applyNumberFormat="1" applyFont="1" applyFill="1" applyBorder="1" applyAlignment="1">
      <alignment horizontal="right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26" xfId="0" applyNumberFormat="1" applyFont="1" applyFill="1" applyBorder="1" applyAlignment="1">
      <alignment horizontal="right" wrapText="1"/>
    </xf>
    <xf numFmtId="165" fontId="7" fillId="4" borderId="16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6" borderId="17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1" xfId="0" applyNumberFormat="1" applyFont="1" applyFill="1" applyBorder="1" applyAlignment="1">
      <alignment horizontal="right" wrapText="1"/>
    </xf>
    <xf numFmtId="165" fontId="19" fillId="0" borderId="26" xfId="0" applyNumberFormat="1" applyFont="1" applyFill="1" applyBorder="1" applyAlignment="1">
      <alignment horizontal="right"/>
    </xf>
    <xf numFmtId="165" fontId="7" fillId="0" borderId="26" xfId="0" applyNumberFormat="1" applyFont="1" applyFill="1" applyBorder="1" applyAlignment="1">
      <alignment horizontal="right"/>
    </xf>
    <xf numFmtId="165" fontId="7" fillId="6" borderId="26" xfId="0" applyNumberFormat="1" applyFont="1" applyFill="1" applyBorder="1" applyAlignment="1">
      <alignment horizontal="right"/>
    </xf>
    <xf numFmtId="165" fontId="7" fillId="6" borderId="23" xfId="0" applyNumberFormat="1" applyFont="1" applyFill="1" applyBorder="1" applyAlignment="1">
      <alignment horizontal="right"/>
    </xf>
    <xf numFmtId="165" fontId="7" fillId="4" borderId="26" xfId="0" applyNumberFormat="1" applyFont="1" applyFill="1" applyBorder="1" applyAlignment="1">
      <alignment horizontal="right"/>
    </xf>
    <xf numFmtId="165" fontId="7" fillId="5" borderId="26" xfId="0" applyNumberFormat="1" applyFont="1" applyFill="1" applyBorder="1" applyAlignment="1">
      <alignment horizontal="right"/>
    </xf>
    <xf numFmtId="165" fontId="7" fillId="6" borderId="28" xfId="0" applyNumberFormat="1" applyFont="1" applyFill="1" applyBorder="1" applyAlignment="1">
      <alignment horizontal="right"/>
    </xf>
    <xf numFmtId="165" fontId="6" fillId="0" borderId="25" xfId="0" applyNumberFormat="1" applyFont="1" applyFill="1" applyBorder="1" applyAlignment="1">
      <alignment horizontal="right"/>
    </xf>
    <xf numFmtId="165" fontId="22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6" borderId="26" xfId="0" applyNumberFormat="1" applyFont="1" applyFill="1" applyBorder="1" applyAlignment="1">
      <alignment horizontal="right"/>
    </xf>
    <xf numFmtId="165" fontId="6" fillId="6" borderId="23" xfId="0" applyNumberFormat="1" applyFont="1" applyFill="1" applyBorder="1" applyAlignment="1">
      <alignment horizontal="right"/>
    </xf>
    <xf numFmtId="165" fontId="6" fillId="4" borderId="27" xfId="0" applyNumberFormat="1" applyFont="1" applyFill="1" applyBorder="1" applyAlignment="1">
      <alignment horizontal="right"/>
    </xf>
    <xf numFmtId="165" fontId="6" fillId="4" borderId="26" xfId="0" applyNumberFormat="1" applyFont="1" applyFill="1" applyBorder="1" applyAlignment="1">
      <alignment horizontal="right"/>
    </xf>
    <xf numFmtId="165" fontId="6" fillId="5" borderId="26" xfId="0" applyNumberFormat="1" applyFont="1" applyFill="1" applyBorder="1" applyAlignment="1">
      <alignment horizontal="right"/>
    </xf>
    <xf numFmtId="165" fontId="6" fillId="6" borderId="28" xfId="0" applyNumberFormat="1" applyFont="1" applyFill="1" applyBorder="1" applyAlignment="1">
      <alignment horizontal="right"/>
    </xf>
    <xf numFmtId="9" fontId="7" fillId="5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4" borderId="32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6" borderId="33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9" fontId="6" fillId="5" borderId="26" xfId="2" applyFont="1" applyFill="1" applyBorder="1" applyAlignment="1">
      <alignment horizontal="right"/>
    </xf>
    <xf numFmtId="9" fontId="6" fillId="5" borderId="33" xfId="2" applyFont="1" applyFill="1" applyBorder="1" applyAlignment="1">
      <alignment horizontal="right"/>
    </xf>
    <xf numFmtId="0" fontId="4" fillId="0" borderId="23" xfId="0" applyFont="1" applyFill="1" applyBorder="1" applyAlignment="1">
      <alignment horizontal="left" indent="2"/>
    </xf>
    <xf numFmtId="0" fontId="4" fillId="0" borderId="23" xfId="0" applyFont="1" applyBorder="1" applyAlignment="1">
      <alignment horizontal="left" indent="2"/>
    </xf>
    <xf numFmtId="0" fontId="6" fillId="0" borderId="26" xfId="0" applyFont="1" applyFill="1" applyBorder="1" applyAlignment="1">
      <alignment horizontal="left" indent="3"/>
    </xf>
    <xf numFmtId="0" fontId="6" fillId="0" borderId="14" xfId="0" applyFont="1" applyFill="1" applyBorder="1" applyAlignment="1">
      <alignment horizontal="left" indent="3"/>
    </xf>
    <xf numFmtId="0" fontId="7" fillId="0" borderId="25" xfId="0" applyFont="1" applyBorder="1" applyAlignment="1">
      <alignment horizontal="left" indent="4"/>
    </xf>
    <xf numFmtId="0" fontId="6" fillId="0" borderId="26" xfId="0" applyFont="1" applyBorder="1" applyAlignment="1">
      <alignment horizontal="left" indent="1"/>
    </xf>
    <xf numFmtId="0" fontId="6" fillId="0" borderId="26" xfId="0" applyFont="1" applyBorder="1" applyAlignment="1">
      <alignment horizontal="left" indent="3"/>
    </xf>
    <xf numFmtId="166" fontId="7" fillId="6" borderId="26" xfId="2" applyNumberFormat="1" applyFont="1" applyFill="1" applyBorder="1" applyAlignment="1">
      <alignment horizontal="right"/>
    </xf>
    <xf numFmtId="166" fontId="6" fillId="6" borderId="26" xfId="2" applyNumberFormat="1" applyFont="1" applyFill="1" applyBorder="1" applyAlignment="1">
      <alignment horizontal="right"/>
    </xf>
    <xf numFmtId="14" fontId="27" fillId="9" borderId="31" xfId="0" applyNumberFormat="1" applyFont="1" applyFill="1" applyBorder="1" applyAlignment="1">
      <alignment horizontal="center" vertical="center"/>
    </xf>
    <xf numFmtId="165" fontId="19" fillId="0" borderId="26" xfId="0" applyNumberFormat="1" applyFont="1" applyFill="1" applyBorder="1" applyAlignment="1">
      <alignment horizontal="center"/>
    </xf>
    <xf numFmtId="0" fontId="19" fillId="0" borderId="23" xfId="0" applyFont="1" applyFill="1" applyBorder="1" applyAlignment="1">
      <alignment horizontal="center"/>
    </xf>
    <xf numFmtId="0" fontId="12" fillId="0" borderId="26" xfId="0" applyFont="1" applyBorder="1"/>
    <xf numFmtId="0" fontId="7" fillId="0" borderId="23" xfId="0" applyFont="1" applyBorder="1" applyAlignment="1"/>
    <xf numFmtId="0" fontId="7" fillId="0" borderId="18" xfId="0" applyFont="1" applyFill="1" applyBorder="1" applyAlignment="1">
      <alignment horizontal="left"/>
    </xf>
    <xf numFmtId="165" fontId="7" fillId="0" borderId="26" xfId="0" applyNumberFormat="1" applyFont="1" applyBorder="1" applyAlignment="1">
      <alignment horizontal="right"/>
    </xf>
    <xf numFmtId="165" fontId="6" fillId="4" borderId="35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9" fontId="6" fillId="5" borderId="8" xfId="2" applyFont="1" applyFill="1" applyBorder="1" applyAlignment="1">
      <alignment horizontal="right"/>
    </xf>
    <xf numFmtId="165" fontId="6" fillId="6" borderId="8" xfId="0" applyNumberFormat="1" applyFont="1" applyFill="1" applyBorder="1" applyAlignment="1">
      <alignment horizontal="right"/>
    </xf>
    <xf numFmtId="165" fontId="6" fillId="6" borderId="11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left" indent="3"/>
    </xf>
    <xf numFmtId="165" fontId="6" fillId="0" borderId="8" xfId="0" applyNumberFormat="1" applyFont="1" applyBorder="1" applyAlignment="1">
      <alignment horizontal="right"/>
    </xf>
    <xf numFmtId="165" fontId="6" fillId="0" borderId="9" xfId="0" applyNumberFormat="1" applyFont="1" applyFill="1" applyBorder="1" applyAlignment="1">
      <alignment horizontal="right"/>
    </xf>
    <xf numFmtId="165" fontId="22" fillId="0" borderId="8" xfId="0" applyNumberFormat="1" applyFont="1" applyFill="1" applyBorder="1" applyAlignment="1">
      <alignment horizontal="right"/>
    </xf>
    <xf numFmtId="165" fontId="6" fillId="0" borderId="8" xfId="0" applyNumberFormat="1" applyFont="1" applyFill="1" applyBorder="1" applyAlignment="1">
      <alignment horizontal="right"/>
    </xf>
    <xf numFmtId="166" fontId="6" fillId="6" borderId="8" xfId="2" applyNumberFormat="1" applyFont="1" applyFill="1" applyBorder="1" applyAlignment="1">
      <alignment horizontal="right"/>
    </xf>
    <xf numFmtId="165" fontId="6" fillId="6" borderId="6" xfId="0" applyNumberFormat="1" applyFont="1" applyFill="1" applyBorder="1" applyAlignment="1">
      <alignment horizontal="right"/>
    </xf>
    <xf numFmtId="0" fontId="6" fillId="0" borderId="8" xfId="0" applyFont="1" applyFill="1" applyBorder="1" applyAlignment="1">
      <alignment horizontal="left" indent="3"/>
    </xf>
    <xf numFmtId="0" fontId="7" fillId="0" borderId="26" xfId="0" applyFont="1" applyBorder="1" applyAlignment="1"/>
    <xf numFmtId="165" fontId="7" fillId="5" borderId="8" xfId="0" applyNumberFormat="1" applyFont="1" applyFill="1" applyBorder="1" applyAlignment="1">
      <alignment horizontal="right"/>
    </xf>
    <xf numFmtId="0" fontId="6" fillId="0" borderId="8" xfId="0" applyFont="1" applyBorder="1" applyAlignment="1">
      <alignment horizontal="left" indent="3"/>
    </xf>
    <xf numFmtId="0" fontId="25" fillId="0" borderId="13" xfId="0" applyFont="1" applyBorder="1" applyAlignment="1">
      <alignment horizontal="right"/>
    </xf>
    <xf numFmtId="165" fontId="6" fillId="4" borderId="8" xfId="1" applyNumberFormat="1" applyFont="1" applyFill="1" applyBorder="1" applyAlignment="1">
      <alignment horizontal="right"/>
    </xf>
    <xf numFmtId="165" fontId="6" fillId="5" borderId="8" xfId="1" applyNumberFormat="1" applyFont="1" applyFill="1" applyBorder="1" applyAlignment="1">
      <alignment horizontal="right"/>
    </xf>
    <xf numFmtId="165" fontId="6" fillId="4" borderId="6" xfId="1" applyNumberFormat="1" applyFont="1" applyFill="1" applyBorder="1" applyAlignment="1">
      <alignment horizontal="right"/>
    </xf>
    <xf numFmtId="165" fontId="6" fillId="5" borderId="11" xfId="1" applyNumberFormat="1" applyFont="1" applyFill="1" applyBorder="1" applyAlignment="1">
      <alignment horizontal="right"/>
    </xf>
    <xf numFmtId="165" fontId="6" fillId="6" borderId="8" xfId="1" applyNumberFormat="1" applyFont="1" applyFill="1" applyBorder="1" applyAlignment="1">
      <alignment horizontal="right"/>
    </xf>
    <xf numFmtId="165" fontId="6" fillId="6" borderId="11" xfId="1" applyNumberFormat="1" applyFont="1" applyFill="1" applyBorder="1" applyAlignment="1">
      <alignment horizontal="right"/>
    </xf>
    <xf numFmtId="165" fontId="7" fillId="0" borderId="26" xfId="0" applyNumberFormat="1" applyFont="1" applyBorder="1" applyAlignment="1"/>
    <xf numFmtId="0" fontId="25" fillId="0" borderId="24" xfId="0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center"/>
    </xf>
    <xf numFmtId="165" fontId="6" fillId="4" borderId="26" xfId="1" applyNumberFormat="1" applyFont="1" applyFill="1" applyBorder="1"/>
    <xf numFmtId="165" fontId="6" fillId="5" borderId="26" xfId="1" applyNumberFormat="1" applyFont="1" applyFill="1" applyBorder="1" applyAlignment="1">
      <alignment horizontal="center"/>
    </xf>
    <xf numFmtId="165" fontId="6" fillId="5" borderId="26" xfId="1" applyNumberFormat="1" applyFont="1" applyFill="1" applyBorder="1"/>
    <xf numFmtId="165" fontId="6" fillId="4" borderId="23" xfId="1" applyNumberFormat="1" applyFont="1" applyFill="1" applyBorder="1"/>
    <xf numFmtId="165" fontId="6" fillId="5" borderId="28" xfId="1" applyNumberFormat="1" applyFont="1" applyFill="1" applyBorder="1"/>
    <xf numFmtId="165" fontId="6" fillId="6" borderId="26" xfId="1" applyNumberFormat="1" applyFont="1" applyFill="1" applyBorder="1" applyAlignment="1">
      <alignment horizontal="center"/>
    </xf>
    <xf numFmtId="165" fontId="6" fillId="6" borderId="26" xfId="1" applyNumberFormat="1" applyFont="1" applyFill="1" applyBorder="1"/>
    <xf numFmtId="165" fontId="6" fillId="6" borderId="28" xfId="1" applyNumberFormat="1" applyFont="1" applyFill="1" applyBorder="1"/>
    <xf numFmtId="165" fontId="6" fillId="4" borderId="26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6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1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5896"/>
  <sheetViews>
    <sheetView tabSelected="1" zoomScale="85" zoomScaleNormal="85" zoomScaleSheetLayoutView="40" workbookViewId="0">
      <selection activeCell="C3" sqref="C3"/>
    </sheetView>
  </sheetViews>
  <sheetFormatPr defaultRowHeight="15" x14ac:dyDescent="0.25"/>
  <cols>
    <col min="1" max="1" width="45.42578125" customWidth="1"/>
    <col min="2" max="2" width="8.7109375" customWidth="1"/>
    <col min="3" max="3" width="37.5703125" bestFit="1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10.7109375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.75" thickBot="1" x14ac:dyDescent="0.3">
      <c r="A2" s="1" t="s">
        <v>1</v>
      </c>
      <c r="F2" t="s">
        <v>2</v>
      </c>
    </row>
    <row r="3" spans="1:56" ht="18.75" thickBot="1" x14ac:dyDescent="0.3">
      <c r="A3" s="2" t="s">
        <v>3</v>
      </c>
      <c r="B3" s="15"/>
      <c r="C3" s="147">
        <v>43270</v>
      </c>
    </row>
    <row r="4" spans="1:56" ht="15.75" thickBot="1" x14ac:dyDescent="0.3">
      <c r="A4" s="14"/>
    </row>
    <row r="5" spans="1:56" ht="21.7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08" t="s">
        <v>82</v>
      </c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10"/>
      <c r="AF5" s="211"/>
      <c r="AG5" s="209"/>
      <c r="AH5" s="209"/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12"/>
    </row>
    <row r="6" spans="1:56" s="3" customFormat="1" ht="12.75" customHeight="1" x14ac:dyDescent="0.2">
      <c r="A6" s="28"/>
      <c r="B6" s="29"/>
      <c r="C6" s="30"/>
      <c r="D6" s="30"/>
      <c r="E6" s="213" t="s">
        <v>83</v>
      </c>
      <c r="F6" s="214"/>
      <c r="G6" s="214"/>
      <c r="H6" s="214"/>
      <c r="I6" s="215"/>
      <c r="J6" s="31"/>
      <c r="K6" s="222"/>
      <c r="L6" s="222"/>
      <c r="M6" s="222"/>
      <c r="N6" s="222"/>
      <c r="O6" s="223"/>
      <c r="P6" s="228" t="s">
        <v>5</v>
      </c>
      <c r="Q6" s="191"/>
      <c r="R6" s="191"/>
      <c r="S6" s="191"/>
      <c r="T6" s="192"/>
      <c r="U6" s="231" t="s">
        <v>6</v>
      </c>
      <c r="V6" s="232"/>
      <c r="W6" s="232"/>
      <c r="X6" s="232"/>
      <c r="Y6" s="232"/>
      <c r="Z6" s="233"/>
      <c r="AA6" s="190" t="s">
        <v>7</v>
      </c>
      <c r="AB6" s="191"/>
      <c r="AC6" s="191"/>
      <c r="AD6" s="191"/>
      <c r="AE6" s="192"/>
      <c r="AF6" s="231" t="s">
        <v>8</v>
      </c>
      <c r="AG6" s="232"/>
      <c r="AH6" s="232"/>
      <c r="AI6" s="232"/>
      <c r="AJ6" s="233"/>
      <c r="AK6" s="190" t="s">
        <v>9</v>
      </c>
      <c r="AL6" s="191"/>
      <c r="AM6" s="191"/>
      <c r="AN6" s="191"/>
      <c r="AO6" s="192"/>
      <c r="AP6" s="231" t="s">
        <v>10</v>
      </c>
      <c r="AQ6" s="232"/>
      <c r="AR6" s="232"/>
      <c r="AS6" s="232"/>
      <c r="AT6" s="233"/>
      <c r="AU6" s="190" t="s">
        <v>11</v>
      </c>
      <c r="AV6" s="191"/>
      <c r="AW6" s="191"/>
      <c r="AX6" s="191"/>
      <c r="AY6" s="192"/>
      <c r="AZ6" s="199" t="s">
        <v>12</v>
      </c>
      <c r="BA6" s="200"/>
      <c r="BB6" s="200"/>
      <c r="BC6" s="200"/>
      <c r="BD6" s="201"/>
    </row>
    <row r="7" spans="1:56" s="3" customFormat="1" ht="12.75" customHeight="1" x14ac:dyDescent="0.2">
      <c r="A7" s="32"/>
      <c r="B7" s="33"/>
      <c r="C7" s="34"/>
      <c r="D7" s="34"/>
      <c r="E7" s="216"/>
      <c r="F7" s="217"/>
      <c r="G7" s="217"/>
      <c r="H7" s="217"/>
      <c r="I7" s="218"/>
      <c r="J7" s="35"/>
      <c r="K7" s="224"/>
      <c r="L7" s="224"/>
      <c r="M7" s="224"/>
      <c r="N7" s="224"/>
      <c r="O7" s="225"/>
      <c r="P7" s="229"/>
      <c r="Q7" s="194"/>
      <c r="R7" s="194"/>
      <c r="S7" s="194"/>
      <c r="T7" s="195"/>
      <c r="U7" s="234"/>
      <c r="V7" s="235"/>
      <c r="W7" s="235"/>
      <c r="X7" s="235"/>
      <c r="Y7" s="235"/>
      <c r="Z7" s="236"/>
      <c r="AA7" s="193"/>
      <c r="AB7" s="194"/>
      <c r="AC7" s="194"/>
      <c r="AD7" s="194"/>
      <c r="AE7" s="195"/>
      <c r="AF7" s="234"/>
      <c r="AG7" s="235"/>
      <c r="AH7" s="235"/>
      <c r="AI7" s="235"/>
      <c r="AJ7" s="236"/>
      <c r="AK7" s="193"/>
      <c r="AL7" s="194"/>
      <c r="AM7" s="194"/>
      <c r="AN7" s="194"/>
      <c r="AO7" s="195"/>
      <c r="AP7" s="234"/>
      <c r="AQ7" s="235"/>
      <c r="AR7" s="235"/>
      <c r="AS7" s="235"/>
      <c r="AT7" s="236"/>
      <c r="AU7" s="193"/>
      <c r="AV7" s="194"/>
      <c r="AW7" s="194"/>
      <c r="AX7" s="194"/>
      <c r="AY7" s="195"/>
      <c r="AZ7" s="202"/>
      <c r="BA7" s="203"/>
      <c r="BB7" s="203"/>
      <c r="BC7" s="203"/>
      <c r="BD7" s="204"/>
    </row>
    <row r="8" spans="1:56" s="4" customFormat="1" ht="12.75" customHeight="1" x14ac:dyDescent="0.2">
      <c r="A8" s="36"/>
      <c r="B8" s="37"/>
      <c r="C8" s="38"/>
      <c r="D8" s="38"/>
      <c r="E8" s="219"/>
      <c r="F8" s="220"/>
      <c r="G8" s="220"/>
      <c r="H8" s="220"/>
      <c r="I8" s="221"/>
      <c r="J8" s="39"/>
      <c r="K8" s="226"/>
      <c r="L8" s="226"/>
      <c r="M8" s="226"/>
      <c r="N8" s="226"/>
      <c r="O8" s="227"/>
      <c r="P8" s="230"/>
      <c r="Q8" s="197"/>
      <c r="R8" s="197"/>
      <c r="S8" s="197"/>
      <c r="T8" s="198"/>
      <c r="U8" s="237"/>
      <c r="V8" s="238"/>
      <c r="W8" s="238"/>
      <c r="X8" s="238"/>
      <c r="Y8" s="238"/>
      <c r="Z8" s="239"/>
      <c r="AA8" s="196"/>
      <c r="AB8" s="197"/>
      <c r="AC8" s="197"/>
      <c r="AD8" s="197"/>
      <c r="AE8" s="198"/>
      <c r="AF8" s="237"/>
      <c r="AG8" s="238"/>
      <c r="AH8" s="238"/>
      <c r="AI8" s="238"/>
      <c r="AJ8" s="239"/>
      <c r="AK8" s="196"/>
      <c r="AL8" s="197"/>
      <c r="AM8" s="197"/>
      <c r="AN8" s="197"/>
      <c r="AO8" s="198"/>
      <c r="AP8" s="237"/>
      <c r="AQ8" s="238"/>
      <c r="AR8" s="238"/>
      <c r="AS8" s="238"/>
      <c r="AT8" s="239"/>
      <c r="AU8" s="196"/>
      <c r="AV8" s="197"/>
      <c r="AW8" s="197"/>
      <c r="AX8" s="197"/>
      <c r="AY8" s="198"/>
      <c r="AZ8" s="205"/>
      <c r="BA8" s="206"/>
      <c r="BB8" s="206"/>
      <c r="BC8" s="206"/>
      <c r="BD8" s="207"/>
    </row>
    <row r="9" spans="1:56" s="4" customFormat="1" ht="52.5" customHeight="1" x14ac:dyDescent="0.2">
      <c r="A9" s="80" t="s">
        <v>13</v>
      </c>
      <c r="B9" s="40" t="s">
        <v>14</v>
      </c>
      <c r="C9" s="130" t="s">
        <v>15</v>
      </c>
      <c r="D9" s="40" t="s">
        <v>16</v>
      </c>
      <c r="E9" s="40" t="s">
        <v>17</v>
      </c>
      <c r="F9" s="40" t="s">
        <v>18</v>
      </c>
      <c r="G9" s="40" t="s">
        <v>19</v>
      </c>
      <c r="H9" s="40" t="s">
        <v>20</v>
      </c>
      <c r="I9" s="40" t="s">
        <v>21</v>
      </c>
      <c r="J9" s="41" t="s">
        <v>22</v>
      </c>
      <c r="K9" s="41" t="s">
        <v>81</v>
      </c>
      <c r="L9" s="40" t="s">
        <v>23</v>
      </c>
      <c r="M9" s="40" t="s">
        <v>24</v>
      </c>
      <c r="N9" s="40" t="s">
        <v>25</v>
      </c>
      <c r="O9" s="42" t="s">
        <v>26</v>
      </c>
      <c r="P9" s="43" t="s">
        <v>27</v>
      </c>
      <c r="Q9" s="44" t="s">
        <v>28</v>
      </c>
      <c r="R9" s="44" t="s">
        <v>29</v>
      </c>
      <c r="S9" s="44" t="s">
        <v>30</v>
      </c>
      <c r="T9" s="44" t="s">
        <v>31</v>
      </c>
      <c r="U9" s="45" t="s">
        <v>27</v>
      </c>
      <c r="V9" s="45" t="s">
        <v>28</v>
      </c>
      <c r="W9" s="45" t="s">
        <v>29</v>
      </c>
      <c r="X9" s="45" t="s">
        <v>30</v>
      </c>
      <c r="Y9" s="45" t="s">
        <v>31</v>
      </c>
      <c r="Z9" s="45" t="s">
        <v>32</v>
      </c>
      <c r="AA9" s="44" t="s">
        <v>27</v>
      </c>
      <c r="AB9" s="44" t="s">
        <v>28</v>
      </c>
      <c r="AC9" s="44" t="s">
        <v>29</v>
      </c>
      <c r="AD9" s="44" t="s">
        <v>30</v>
      </c>
      <c r="AE9" s="44" t="s">
        <v>31</v>
      </c>
      <c r="AF9" s="45" t="s">
        <v>27</v>
      </c>
      <c r="AG9" s="45" t="s">
        <v>28</v>
      </c>
      <c r="AH9" s="45" t="s">
        <v>29</v>
      </c>
      <c r="AI9" s="45" t="s">
        <v>30</v>
      </c>
      <c r="AJ9" s="45" t="s">
        <v>31</v>
      </c>
      <c r="AK9" s="44" t="s">
        <v>27</v>
      </c>
      <c r="AL9" s="44" t="s">
        <v>28</v>
      </c>
      <c r="AM9" s="44" t="s">
        <v>29</v>
      </c>
      <c r="AN9" s="44" t="s">
        <v>30</v>
      </c>
      <c r="AO9" s="44" t="s">
        <v>31</v>
      </c>
      <c r="AP9" s="45" t="s">
        <v>27</v>
      </c>
      <c r="AQ9" s="45" t="s">
        <v>28</v>
      </c>
      <c r="AR9" s="45" t="s">
        <v>29</v>
      </c>
      <c r="AS9" s="45" t="s">
        <v>30</v>
      </c>
      <c r="AT9" s="45" t="s">
        <v>31</v>
      </c>
      <c r="AU9" s="44" t="s">
        <v>27</v>
      </c>
      <c r="AV9" s="44" t="s">
        <v>28</v>
      </c>
      <c r="AW9" s="44" t="s">
        <v>29</v>
      </c>
      <c r="AX9" s="44" t="s">
        <v>30</v>
      </c>
      <c r="AY9" s="44" t="s">
        <v>31</v>
      </c>
      <c r="AZ9" s="41" t="s">
        <v>27</v>
      </c>
      <c r="BA9" s="41" t="s">
        <v>28</v>
      </c>
      <c r="BB9" s="41" t="s">
        <v>33</v>
      </c>
      <c r="BC9" s="41" t="s">
        <v>30</v>
      </c>
      <c r="BD9" s="46" t="s">
        <v>31</v>
      </c>
    </row>
    <row r="10" spans="1:56" s="4" customFormat="1" ht="12.75" x14ac:dyDescent="0.2">
      <c r="A10" s="138" t="s">
        <v>34</v>
      </c>
      <c r="B10" s="113"/>
      <c r="C10" s="148"/>
      <c r="D10" s="113"/>
      <c r="E10" s="113"/>
      <c r="F10" s="113"/>
      <c r="G10" s="113"/>
      <c r="H10" s="113"/>
      <c r="I10" s="114"/>
      <c r="J10" s="145"/>
      <c r="K10" s="145"/>
      <c r="L10" s="114"/>
      <c r="M10" s="114"/>
      <c r="N10" s="114"/>
      <c r="O10" s="116"/>
      <c r="P10" s="82"/>
      <c r="Q10" s="117"/>
      <c r="R10" s="84"/>
      <c r="S10" s="117"/>
      <c r="T10" s="117"/>
      <c r="U10" s="118"/>
      <c r="V10" s="118"/>
      <c r="W10" s="118"/>
      <c r="X10" s="118"/>
      <c r="Y10" s="118"/>
      <c r="Z10" s="129"/>
      <c r="AA10" s="117"/>
      <c r="AB10" s="117"/>
      <c r="AC10" s="117"/>
      <c r="AD10" s="117"/>
      <c r="AE10" s="117"/>
      <c r="AF10" s="85"/>
      <c r="AG10" s="118"/>
      <c r="AH10" s="85"/>
      <c r="AI10" s="118"/>
      <c r="AJ10" s="118"/>
      <c r="AK10" s="84"/>
      <c r="AL10" s="117"/>
      <c r="AM10" s="84"/>
      <c r="AN10" s="117"/>
      <c r="AO10" s="117"/>
      <c r="AP10" s="85"/>
      <c r="AQ10" s="118"/>
      <c r="AR10" s="85"/>
      <c r="AS10" s="118"/>
      <c r="AT10" s="118"/>
      <c r="AU10" s="84"/>
      <c r="AV10" s="117"/>
      <c r="AW10" s="84"/>
      <c r="AX10" s="117"/>
      <c r="AY10" s="117"/>
      <c r="AZ10" s="115"/>
      <c r="BA10" s="115"/>
      <c r="BB10" s="115"/>
      <c r="BC10" s="115"/>
      <c r="BD10" s="119"/>
    </row>
    <row r="11" spans="1:56" s="4" customFormat="1" ht="12.75" x14ac:dyDescent="0.2">
      <c r="A11" s="142"/>
      <c r="B11" s="91"/>
      <c r="C11" s="120"/>
      <c r="D11" s="121"/>
      <c r="E11" s="121"/>
      <c r="F11" s="122"/>
      <c r="G11" s="122"/>
      <c r="H11" s="122"/>
      <c r="I11" s="122"/>
      <c r="J11" s="123"/>
      <c r="K11" s="123"/>
      <c r="L11" s="122"/>
      <c r="M11" s="122"/>
      <c r="N11" s="122"/>
      <c r="O11" s="124"/>
      <c r="P11" s="125"/>
      <c r="Q11" s="126"/>
      <c r="R11" s="126"/>
      <c r="S11" s="126"/>
      <c r="T11" s="126"/>
      <c r="U11" s="127"/>
      <c r="V11" s="127"/>
      <c r="W11" s="127"/>
      <c r="X11" s="127"/>
      <c r="Y11" s="127"/>
      <c r="Z11" s="127"/>
      <c r="AA11" s="126"/>
      <c r="AB11" s="126"/>
      <c r="AC11" s="126"/>
      <c r="AD11" s="126"/>
      <c r="AE11" s="126"/>
      <c r="AF11" s="127"/>
      <c r="AG11" s="127"/>
      <c r="AH11" s="127"/>
      <c r="AI11" s="127"/>
      <c r="AJ11" s="127"/>
      <c r="AK11" s="126"/>
      <c r="AL11" s="126"/>
      <c r="AM11" s="126"/>
      <c r="AN11" s="126"/>
      <c r="AO11" s="126"/>
      <c r="AP11" s="127"/>
      <c r="AQ11" s="127"/>
      <c r="AR11" s="127"/>
      <c r="AS11" s="127"/>
      <c r="AT11" s="127"/>
      <c r="AU11" s="126"/>
      <c r="AV11" s="126"/>
      <c r="AW11" s="126"/>
      <c r="AX11" s="126"/>
      <c r="AY11" s="126"/>
      <c r="AZ11" s="123"/>
      <c r="BA11" s="123"/>
      <c r="BB11" s="123"/>
      <c r="BC11" s="123"/>
      <c r="BD11" s="128"/>
    </row>
    <row r="12" spans="1:56" s="4" customFormat="1" ht="12.75" x14ac:dyDescent="0.2">
      <c r="A12" s="160" t="s">
        <v>35</v>
      </c>
      <c r="B12" s="161" t="str">
        <f>IF(ISERROR(SUM(#REF!)),"-",SUM(#REF!))</f>
        <v>-</v>
      </c>
      <c r="C12" s="162"/>
      <c r="D12" s="163" t="str">
        <f>IF(ISERROR(SUM(#REF!)),"-",SUM(#REF!))</f>
        <v>-</v>
      </c>
      <c r="E12" s="164" t="str">
        <f>IF(ISERROR(SUM(#REF!)),"-",SUM(#REF!))</f>
        <v>-</v>
      </c>
      <c r="F12" s="164" t="str">
        <f>IF(ISERROR(SUM(#REF!)),"-",SUM(#REF!))</f>
        <v>-</v>
      </c>
      <c r="G12" s="164" t="str">
        <f>IF(ISERROR(SUM(#REF!)),"-",SUM(#REF!))</f>
        <v>-</v>
      </c>
      <c r="H12" s="164" t="str">
        <f>IF(ISERROR(SUM(#REF!)),"-",SUM(#REF!))</f>
        <v>-</v>
      </c>
      <c r="I12" s="164" t="str">
        <f>IF(ISERROR(SUM(#REF!)),"-",SUM(#REF!))</f>
        <v>-</v>
      </c>
      <c r="J12" s="165" t="str">
        <f>IF(ISERROR(AVERAGE(#REF!)),"-",AVERAGE(#REF!))</f>
        <v>-</v>
      </c>
      <c r="K12" s="165" t="str">
        <f>IF(ISERROR(AVERAGE(#REF!)),"-",AVERAGE(#REF!))</f>
        <v>-</v>
      </c>
      <c r="L12" s="164" t="str">
        <f>IF(ISERROR(SUM(#REF!)),"-",SUM(#REF!))</f>
        <v>-</v>
      </c>
      <c r="M12" s="164" t="str">
        <f>IF(ISERROR(SUM(#REF!)),"-",SUM(#REF!))</f>
        <v>-</v>
      </c>
      <c r="N12" s="164" t="str">
        <f>IF(ISERROR(SUM(#REF!)),"-",SUM(#REF!))</f>
        <v>-</v>
      </c>
      <c r="O12" s="166" t="str">
        <f>IF(ISERROR(SUM(#REF!)),"-",SUM(#REF!))</f>
        <v>-</v>
      </c>
      <c r="P12" s="154" t="str">
        <f>IF(ISERROR(SUM(#REF!)),"-",SUM(#REF!))</f>
        <v>-</v>
      </c>
      <c r="Q12" s="155" t="str">
        <f>IF(ISERROR(R12/12*Occupancy!$B$65),"-",R12/12*Occupancy!$B$65)</f>
        <v>-</v>
      </c>
      <c r="R12" s="155" t="str">
        <f>IF(ISERROR(SUM(#REF!)),"-",SUM(#REF!))</f>
        <v>-</v>
      </c>
      <c r="S12" s="155" t="str">
        <f>IF(ISERROR(IF(P12="","",P12/VLOOKUP(Occupancy!$B$65,Occupancy!$B$68:$B$79,1)*12/$B12)),"-",IF(P12="","",P12/VLOOKUP(Occupancy!$B$65,Occupancy!$B$68:$B$79,1)*12/$B12))</f>
        <v>-</v>
      </c>
      <c r="T12" s="155" t="str">
        <f>IF(ISERROR(IF(Q12="","",Q12/VLOOKUP(Occupancy!$B$65,Occupancy!$B$68:$B$79,1)*12/$B12)),"-",IF(Q12="","",Q12/VLOOKUP(Occupancy!$B$65,Occupancy!$B$68:$B$79,1)*12/$B12))</f>
        <v>-</v>
      </c>
      <c r="U12" s="156" t="str">
        <f>IF(ISERROR(SUM(#REF!)),"-",SUM(#REF!))</f>
        <v>-</v>
      </c>
      <c r="V12" s="156" t="str">
        <f>IF(ISERROR(SUM(#REF!)),"-",SUM(#REF!))</f>
        <v>-</v>
      </c>
      <c r="W12" s="156" t="str">
        <f>IF(ISERROR(SUM(#REF!)),"-",SUM(#REF!))</f>
        <v>-</v>
      </c>
      <c r="X12" s="156" t="str">
        <f>IF(ISERROR(Expenses!BE7),"-",Expenses!BE7)</f>
        <v>-</v>
      </c>
      <c r="Y12" s="156" t="str">
        <f>IF(ISERROR(Expenses!BF7),"-",Expenses!BF7)</f>
        <v>-</v>
      </c>
      <c r="Z12" s="157" t="str">
        <f>IF(ISERROR(U12/P12),"-",U12/P12)</f>
        <v>-</v>
      </c>
      <c r="AA12" s="155" t="str">
        <f>IF(ISERROR(P12-U12),"-",P12-U12)</f>
        <v>-</v>
      </c>
      <c r="AB12" s="155" t="str">
        <f>IF(ISERROR(Q12-V12),"-",Q12-V12)</f>
        <v>-</v>
      </c>
      <c r="AC12" s="155" t="str">
        <f>IF(ISERROR(R12-W12),"-",R12-W12)</f>
        <v>-</v>
      </c>
      <c r="AD12" s="155" t="str">
        <f>IF(ISERROR(S12-X12),"-",S12-X12)</f>
        <v>-</v>
      </c>
      <c r="AE12" s="155" t="str">
        <f>IF(ISERROR(T12-Y12),"-",T12-Y12)</f>
        <v>-</v>
      </c>
      <c r="AF12" s="156" t="str">
        <f>IF(ISERROR(SUM(#REF!)),"-",SUM(#REF!))</f>
        <v>-</v>
      </c>
      <c r="AG12" s="156" t="str">
        <f>IF(ISERROR(SUM(#REF!)),"-",SUM(#REF!))</f>
        <v>-</v>
      </c>
      <c r="AH12" s="156" t="str">
        <f>IF(ISERROR(SUM(#REF!)),"-",SUM(#REF!))</f>
        <v>-</v>
      </c>
      <c r="AI12" s="156" t="str">
        <f>IF(ISERROR(IF(AF12="","",AF12/VLOOKUP(Occupancy!$B$65,Occupancy!$B$68:$B$79,1)*12/$B12)),"-",IF(AF12="","",AF12/VLOOKUP(Occupancy!$B$65,Occupancy!$B$68:$B$79,1)*12/$B12))</f>
        <v>-</v>
      </c>
      <c r="AJ12" s="156" t="str">
        <f>IF(ISERROR(IF(AG12="","",AG12/VLOOKUP(Occupancy!$B$65,Occupancy!$B$68:$B$79,1)*12/$B12)),"-",IF(AG12="","",AG12/VLOOKUP(Occupancy!$B$65,Occupancy!$B$68:$B$79,1)*12/$B12))</f>
        <v>-</v>
      </c>
      <c r="AK12" s="155" t="str">
        <f>IF(ISERROR(SUM(#REF!)),"-",SUM(#REF!))</f>
        <v>-</v>
      </c>
      <c r="AL12" s="155" t="str">
        <f>IF(ISERROR(AM12/12*Occupancy!$B$65),"-",AM12/12*Occupancy!$B$65)</f>
        <v>-</v>
      </c>
      <c r="AM12" s="155" t="str">
        <f>IF(ISERROR(SUM(#REF!)),"-",SUM(#REF!))</f>
        <v>-</v>
      </c>
      <c r="AN12" s="155" t="str">
        <f>IF(ISERROR(IF(AK12="","",AK12/VLOOKUP(Occupancy!$B$65,Occupancy!$B$68:$B$79,1)*12/$B12)),"-",IF(AK12="","",AK12/VLOOKUP(Occupancy!$B$65,Occupancy!$B$68:$B$79,1)*12/$B12))</f>
        <v>-</v>
      </c>
      <c r="AO12" s="155" t="str">
        <f>IF(ISERROR(IF(AL12="","",AL12/VLOOKUP(Occupancy!$B$65,Occupancy!$B$68:$B$79,1)*12/$B12)),"-",IF(AL12="","",AL12/VLOOKUP(Occupancy!$B$65,Occupancy!$B$68:$B$79,1)*12/$B12))</f>
        <v>-</v>
      </c>
      <c r="AP12" s="156" t="str">
        <f>IF(ISERROR(SUM(#REF!)),"-",SUM(#REF!))</f>
        <v>-</v>
      </c>
      <c r="AQ12" s="156" t="str">
        <f>IF(ISERROR(SUM(#REF!)),"-",SUM(#REF!))</f>
        <v>-</v>
      </c>
      <c r="AR12" s="156" t="str">
        <f>IF(ISERROR(SUM(#REF!)),"-",SUM(#REF!))</f>
        <v>-</v>
      </c>
      <c r="AS12" s="156" t="str">
        <f>IF(ISERROR(IF(AP12="","",AP12/VLOOKUP(Occupancy!$B$65,Occupancy!$B$68:$B$79,1)*12/$B12)),"-",IF(AP12="","",AP12/VLOOKUP(Occupancy!$B$65,Occupancy!$B$68:$B$79,1)*12/$B12))</f>
        <v>-</v>
      </c>
      <c r="AT12" s="156" t="str">
        <f>IF(ISERROR(IF(AQ12="","",AQ12/VLOOKUP(Occupancy!$B$65,Occupancy!$B$68:$B$79,1)*12/$B12)),"-",IF(AQ12="","",AQ12/VLOOKUP(Occupancy!$B$65,Occupancy!$B$68:$B$79,1)*12/$B12))</f>
        <v>-</v>
      </c>
      <c r="AU12" s="155" t="str">
        <f>IF(ISERROR(SUM(#REF!)),"-",SUM(#REF!))</f>
        <v>-</v>
      </c>
      <c r="AV12" s="155" t="str">
        <f>IF(ISERROR(SUM(#REF!)),"-",SUM(#REF!))</f>
        <v>-</v>
      </c>
      <c r="AW12" s="155" t="str">
        <f>IF(ISERROR(SUM(#REF!)),"-",SUM(#REF!))</f>
        <v>-</v>
      </c>
      <c r="AX12" s="155" t="str">
        <f>IF(ISERROR(IF(AU12="","",AU12/VLOOKUP(Occupancy!$B$65,Occupancy!$B$68:$B$79,1)*12/$B12)),"-",IF(AU12="","",AU12/VLOOKUP(Occupancy!$B$65,Occupancy!$B$68:$B$79,1)*12/$B12))</f>
        <v>-</v>
      </c>
      <c r="AY12" s="155" t="str">
        <f>IF(ISERROR(IF(AV12="","",AV12/VLOOKUP(Occupancy!$B$65,Occupancy!$B$68:$B$79,1)*12/$B12)),"-",IF(AV12="","",AV12/VLOOKUP(Occupancy!$B$65,Occupancy!$B$68:$B$79,1)*12/$B12))</f>
        <v>-</v>
      </c>
      <c r="AZ12" s="158" t="str">
        <f>IF(ISERROR(SUM(#REF!)),"-",SUM(#REF!))</f>
        <v>-</v>
      </c>
      <c r="BA12" s="158" t="str">
        <f>IF(ISERROR(SUM(#REF!)),"-",SUM(#REF!))</f>
        <v>-</v>
      </c>
      <c r="BB12" s="158" t="str">
        <f>IF(ISERROR(SUM(#REF!)),"-",SUM(#REF!))</f>
        <v>-</v>
      </c>
      <c r="BC12" s="158" t="str">
        <f>IF(ISERROR(IF(AZ12="","",AZ12/VLOOKUP(Occupancy!$B$65,Occupancy!$B$68:$B$79,1)*12/$B12)),"-",IF(AZ12="","",AZ12/VLOOKUP(Occupancy!$B$65,Occupancy!$B$68:$B$79,1)*12/$B12))</f>
        <v>-</v>
      </c>
      <c r="BD12" s="159" t="str">
        <f>IF(ISERROR(IF(BA12="","",BA12/VLOOKUP(Occupancy!$B$65,Occupancy!$B$68:$B$79,1)*12/$B12)),"-",IF(BA12="","",BA12/VLOOKUP(Occupancy!$B$65,Occupancy!$B$68:$B$79,1)*12/$B12))</f>
        <v>-</v>
      </c>
    </row>
    <row r="13" spans="1:56" s="4" customFormat="1" ht="12.75" x14ac:dyDescent="0.2">
      <c r="A13" s="168"/>
      <c r="B13" s="91"/>
      <c r="C13" s="120"/>
      <c r="D13" s="121"/>
      <c r="E13" s="121"/>
      <c r="F13" s="122"/>
      <c r="G13" s="122"/>
      <c r="H13" s="122"/>
      <c r="I13" s="122"/>
      <c r="J13" s="123"/>
      <c r="K13" s="123"/>
      <c r="L13" s="122"/>
      <c r="M13" s="122"/>
      <c r="N13" s="122"/>
      <c r="O13" s="124"/>
      <c r="P13" s="125"/>
      <c r="Q13" s="126"/>
      <c r="R13" s="126"/>
      <c r="S13" s="126"/>
      <c r="T13" s="126"/>
      <c r="U13" s="127"/>
      <c r="V13" s="127"/>
      <c r="W13" s="127"/>
      <c r="X13" s="127"/>
      <c r="Y13" s="127"/>
      <c r="Z13" s="127"/>
      <c r="AA13" s="126"/>
      <c r="AB13" s="126"/>
      <c r="AC13" s="126"/>
      <c r="AD13" s="126"/>
      <c r="AE13" s="126"/>
      <c r="AF13" s="127"/>
      <c r="AG13" s="127"/>
      <c r="AH13" s="127"/>
      <c r="AI13" s="127"/>
      <c r="AJ13" s="127"/>
      <c r="AK13" s="126"/>
      <c r="AL13" s="126"/>
      <c r="AM13" s="126"/>
      <c r="AN13" s="126"/>
      <c r="AO13" s="126"/>
      <c r="AP13" s="127"/>
      <c r="AQ13" s="127"/>
      <c r="AR13" s="127"/>
      <c r="AS13" s="127"/>
      <c r="AT13" s="127"/>
      <c r="AU13" s="126"/>
      <c r="AV13" s="126"/>
      <c r="AW13" s="126"/>
      <c r="AX13" s="126"/>
      <c r="AY13" s="126"/>
      <c r="AZ13" s="123"/>
      <c r="BA13" s="123"/>
      <c r="BB13" s="123"/>
      <c r="BC13" s="123"/>
      <c r="BD13" s="128"/>
    </row>
    <row r="14" spans="1:56" s="4" customFormat="1" ht="12.75" x14ac:dyDescent="0.2">
      <c r="A14" s="139" t="s">
        <v>74</v>
      </c>
      <c r="B14" s="113"/>
      <c r="C14" s="148"/>
      <c r="D14" s="113"/>
      <c r="E14" s="113"/>
      <c r="F14" s="113"/>
      <c r="G14" s="113"/>
      <c r="H14" s="113"/>
      <c r="I14" s="114"/>
      <c r="J14" s="145"/>
      <c r="K14" s="145"/>
      <c r="L14" s="114"/>
      <c r="M14" s="114"/>
      <c r="N14" s="114"/>
      <c r="O14" s="116"/>
      <c r="P14" s="82"/>
      <c r="Q14" s="117"/>
      <c r="R14" s="84"/>
      <c r="S14" s="117"/>
      <c r="T14" s="117"/>
      <c r="U14" s="118"/>
      <c r="V14" s="118"/>
      <c r="W14" s="118"/>
      <c r="X14" s="118"/>
      <c r="Y14" s="118"/>
      <c r="Z14" s="129"/>
      <c r="AA14" s="117"/>
      <c r="AB14" s="117"/>
      <c r="AC14" s="117"/>
      <c r="AD14" s="117"/>
      <c r="AE14" s="117"/>
      <c r="AF14" s="85"/>
      <c r="AG14" s="118"/>
      <c r="AH14" s="85"/>
      <c r="AI14" s="118"/>
      <c r="AJ14" s="118"/>
      <c r="AK14" s="84"/>
      <c r="AL14" s="117"/>
      <c r="AM14" s="84"/>
      <c r="AN14" s="117"/>
      <c r="AO14" s="117"/>
      <c r="AP14" s="85"/>
      <c r="AQ14" s="118"/>
      <c r="AR14" s="85"/>
      <c r="AS14" s="118"/>
      <c r="AT14" s="118"/>
      <c r="AU14" s="84"/>
      <c r="AV14" s="117"/>
      <c r="AW14" s="84"/>
      <c r="AX14" s="117"/>
      <c r="AY14" s="117"/>
      <c r="AZ14" s="115"/>
      <c r="BA14" s="115"/>
      <c r="BB14" s="115"/>
      <c r="BC14" s="115"/>
      <c r="BD14" s="119"/>
    </row>
    <row r="15" spans="1:56" s="4" customFormat="1" ht="12.75" x14ac:dyDescent="0.2">
      <c r="A15" s="143"/>
      <c r="B15" s="5"/>
      <c r="C15" s="47"/>
      <c r="D15" s="48"/>
      <c r="E15" s="48"/>
      <c r="F15" s="49"/>
      <c r="G15" s="49"/>
      <c r="H15" s="49"/>
      <c r="I15" s="49"/>
      <c r="J15" s="50"/>
      <c r="K15" s="50"/>
      <c r="L15" s="51"/>
      <c r="M15" s="51"/>
      <c r="N15" s="51"/>
      <c r="O15" s="52"/>
      <c r="P15" s="53"/>
      <c r="Q15" s="54"/>
      <c r="R15" s="54"/>
      <c r="S15" s="54"/>
      <c r="T15" s="54"/>
      <c r="U15" s="55"/>
      <c r="V15" s="55"/>
      <c r="W15" s="55"/>
      <c r="X15" s="55"/>
      <c r="Y15" s="55"/>
      <c r="Z15" s="55"/>
      <c r="AA15" s="54"/>
      <c r="AB15" s="54"/>
      <c r="AC15" s="54"/>
      <c r="AD15" s="54"/>
      <c r="AE15" s="54"/>
      <c r="AF15" s="55"/>
      <c r="AG15" s="55"/>
      <c r="AH15" s="118"/>
      <c r="AI15" s="55"/>
      <c r="AJ15" s="55"/>
      <c r="AK15" s="54"/>
      <c r="AL15" s="54"/>
      <c r="AM15" s="54"/>
      <c r="AN15" s="54"/>
      <c r="AO15" s="54"/>
      <c r="AP15" s="55"/>
      <c r="AQ15" s="55"/>
      <c r="AR15" s="118"/>
      <c r="AS15" s="55"/>
      <c r="AT15" s="55"/>
      <c r="AU15" s="54"/>
      <c r="AV15" s="54"/>
      <c r="AW15" s="54"/>
      <c r="AX15" s="54"/>
      <c r="AY15" s="54"/>
      <c r="AZ15" s="50"/>
      <c r="BA15" s="50"/>
      <c r="BB15" s="50"/>
      <c r="BC15" s="50"/>
      <c r="BD15" s="56"/>
    </row>
    <row r="16" spans="1:56" s="4" customFormat="1" ht="12.75" x14ac:dyDescent="0.2">
      <c r="A16" s="167" t="s">
        <v>37</v>
      </c>
      <c r="B16" s="161" t="str">
        <f>IF(ISERROR(SUM(#REF!)),"-",SUM(#REF!))</f>
        <v>-</v>
      </c>
      <c r="C16" s="162"/>
      <c r="D16" s="163" t="str">
        <f>IF(ISERROR(SUM(#REF!)),"-",SUM(#REF!))</f>
        <v>-</v>
      </c>
      <c r="E16" s="164" t="str">
        <f>IF(ISERROR(SUM(#REF!)),"-",SUM(#REF!))</f>
        <v>-</v>
      </c>
      <c r="F16" s="164" t="str">
        <f>IF(ISERROR(SUM(#REF!)),"-",SUM(#REF!))</f>
        <v>-</v>
      </c>
      <c r="G16" s="164" t="str">
        <f>IF(ISERROR(SUM(#REF!)),"-",SUM(#REF!))</f>
        <v>-</v>
      </c>
      <c r="H16" s="164" t="str">
        <f>IF(ISERROR(SUM(#REF!)),"-",SUM(#REF!))</f>
        <v>-</v>
      </c>
      <c r="I16" s="164" t="str">
        <f>IF(ISERROR(SUM(#REF!)),"-",SUM(#REF!))</f>
        <v>-</v>
      </c>
      <c r="J16" s="165" t="str">
        <f>IF(ISERROR(AVERAGE(#REF!)),"-",AVERAGE(#REF!))</f>
        <v>-</v>
      </c>
      <c r="K16" s="165" t="str">
        <f>IF(ISERROR(AVERAGE(#REF!)),"-",AVERAGE(#REF!))</f>
        <v>-</v>
      </c>
      <c r="L16" s="164" t="str">
        <f>IF(ISERROR(SUM(#REF!)),"-",SUM(#REF!))</f>
        <v>-</v>
      </c>
      <c r="M16" s="164" t="str">
        <f>IF(ISERROR(SUM(#REF!)),"-",SUM(#REF!))</f>
        <v>-</v>
      </c>
      <c r="N16" s="164" t="str">
        <f>IF(ISERROR(SUM(#REF!)),"-",SUM(#REF!))</f>
        <v>-</v>
      </c>
      <c r="O16" s="166" t="str">
        <f>IF(ISERROR(SUM(#REF!)),"-",SUM(#REF!))</f>
        <v>-</v>
      </c>
      <c r="P16" s="154" t="str">
        <f>IF(ISERROR(SUM(#REF!)),"-",SUM(#REF!))</f>
        <v>-</v>
      </c>
      <c r="Q16" s="155" t="str">
        <f>IF(ISERROR(R16/12*Occupancy!$B$65),"-",R16/12*Occupancy!$B$65)</f>
        <v>-</v>
      </c>
      <c r="R16" s="155" t="str">
        <f>IF(ISERROR(SUM(#REF!)),"-",SUM(#REF!))</f>
        <v>-</v>
      </c>
      <c r="S16" s="155" t="str">
        <f>IF(ISERROR(IF(P16="","",P16/VLOOKUP(Occupancy!$B$65,Occupancy!$B$68:$B$79,1)*12/$B16)),"-",IF(P16="","",P16/VLOOKUP(Occupancy!$B$65,Occupancy!$B$68:$B$79,1)*12/$B16))</f>
        <v>-</v>
      </c>
      <c r="T16" s="155" t="str">
        <f>IF(ISERROR(IF(Q16="","",Q16/VLOOKUP(Occupancy!$B$65,Occupancy!$B$68:$B$79,1)*12/$B16)),"-",IF(Q16="","",Q16/VLOOKUP(Occupancy!$B$65,Occupancy!$B$68:$B$79,1)*12/$B16))</f>
        <v>-</v>
      </c>
      <c r="U16" s="156" t="str">
        <f>IF(ISERROR(SUM(#REF!)),"-",SUM(#REF!))</f>
        <v>-</v>
      </c>
      <c r="V16" s="156" t="str">
        <f>IF(ISERROR(SUM(#REF!)),"-",SUM(#REF!))</f>
        <v>-</v>
      </c>
      <c r="W16" s="156" t="str">
        <f>IF(ISERROR(SUM(#REF!)),"-",SUM(#REF!))</f>
        <v>-</v>
      </c>
      <c r="X16" s="156" t="str">
        <f>IF(ISERROR(Expenses!BE11),"-",Expenses!BE11)</f>
        <v>-</v>
      </c>
      <c r="Y16" s="156" t="str">
        <f>IF(ISERROR(Expenses!BF11),"-",Expenses!BF11)</f>
        <v>-</v>
      </c>
      <c r="Z16" s="157" t="str">
        <f>IF(ISERROR(U16/P16),"-",U16/P16)</f>
        <v>-</v>
      </c>
      <c r="AA16" s="155" t="str">
        <f>IF(ISERROR(P16-U16),"-",P16-U16)</f>
        <v>-</v>
      </c>
      <c r="AB16" s="155" t="str">
        <f>IF(ISERROR(Q16-V16),"-",Q16-V16)</f>
        <v>-</v>
      </c>
      <c r="AC16" s="155" t="str">
        <f>IF(ISERROR(R16-W16),"-",R16-W16)</f>
        <v>-</v>
      </c>
      <c r="AD16" s="155" t="str">
        <f>IF(ISERROR(S16-X16),"-",S16-X16)</f>
        <v>-</v>
      </c>
      <c r="AE16" s="155" t="str">
        <f>IF(ISERROR(T16-Y16),"-",T16-Y16)</f>
        <v>-</v>
      </c>
      <c r="AF16" s="156" t="str">
        <f>IF(ISERROR(SUM(#REF!)),"-",SUM(#REF!))</f>
        <v>-</v>
      </c>
      <c r="AG16" s="156" t="str">
        <f>IF(ISERROR(SUM(#REF!)),"-",SUM(#REF!))</f>
        <v>-</v>
      </c>
      <c r="AH16" s="169" t="str">
        <f>IF(ISERROR(SUM(#REF!)),"-",SUM(#REF!))</f>
        <v>-</v>
      </c>
      <c r="AI16" s="156" t="str">
        <f>IF(ISERROR(IF(AF16="","",AF16/VLOOKUP(Occupancy!$B$65,Occupancy!$B$68:$B$79,1)*12/$B16)),"-",IF(AF16="","",AF16/VLOOKUP(Occupancy!$B$65,Occupancy!$B$68:$B$79,1)*12/$B16))</f>
        <v>-</v>
      </c>
      <c r="AJ16" s="156" t="str">
        <f>IF(ISERROR(IF(AG16="","",AG16/VLOOKUP(Occupancy!$B$65,Occupancy!$B$68:$B$79,1)*12/$B16)),"-",IF(AG16="","",AG16/VLOOKUP(Occupancy!$B$65,Occupancy!$B$68:$B$79,1)*12/$B16))</f>
        <v>-</v>
      </c>
      <c r="AK16" s="155" t="str">
        <f>IF(ISERROR(SUM(#REF!)),"-",SUM(#REF!))</f>
        <v>-</v>
      </c>
      <c r="AL16" s="155" t="str">
        <f>IF(ISERROR(AM16/12*Occupancy!$B$65),"-",AM16/12*Occupancy!$B$65)</f>
        <v>-</v>
      </c>
      <c r="AM16" s="155" t="str">
        <f>IF(ISERROR(SUM(#REF!)),"-",SUM(#REF!))</f>
        <v>-</v>
      </c>
      <c r="AN16" s="155" t="str">
        <f>IF(ISERROR(IF(AK16="","",AK16/VLOOKUP(Occupancy!$B$65,Occupancy!$B$68:$B$79,1)*12/$B16)),"-",IF(AK16="","",AK16/VLOOKUP(Occupancy!$B$65,Occupancy!$B$68:$B$79,1)*12/$B16))</f>
        <v>-</v>
      </c>
      <c r="AO16" s="155" t="str">
        <f>IF(ISERROR(IF(AL16="","",AL16/VLOOKUP(Occupancy!$B$65,Occupancy!$B$68:$B$79,1)*12/$B16)),"-",IF(AL16="","",AL16/VLOOKUP(Occupancy!$B$65,Occupancy!$B$68:$B$79,1)*12/$B16))</f>
        <v>-</v>
      </c>
      <c r="AP16" s="156" t="str">
        <f>IF(ISERROR(SUM(#REF!)),"-",SUM(#REF!))</f>
        <v>-</v>
      </c>
      <c r="AQ16" s="156" t="str">
        <f>IF(ISERROR(SUM(#REF!)),"-",SUM(#REF!))</f>
        <v>-</v>
      </c>
      <c r="AR16" s="169" t="str">
        <f>IF(ISERROR(SUM(#REF!)),"-",SUM(#REF!))</f>
        <v>-</v>
      </c>
      <c r="AS16" s="156" t="str">
        <f>IF(ISERROR(IF(AP16="","",AP16/VLOOKUP(Occupancy!$B$65,Occupancy!$B$68:$B$79,1)*12/$B16)),"-",IF(AP16="","",AP16/VLOOKUP(Occupancy!$B$65,Occupancy!$B$68:$B$79,1)*12/$B16))</f>
        <v>-</v>
      </c>
      <c r="AT16" s="156" t="str">
        <f>IF(ISERROR(IF(AQ16="","",AQ16/VLOOKUP(Occupancy!$B$65,Occupancy!$B$68:$B$79,1)*12/$B16)),"-",IF(AQ16="","",AQ16/VLOOKUP(Occupancy!$B$65,Occupancy!$B$68:$B$79,1)*12/$B16))</f>
        <v>-</v>
      </c>
      <c r="AU16" s="155" t="str">
        <f>IF(ISERROR(SUM(#REF!)),"-",SUM(#REF!))</f>
        <v>-</v>
      </c>
      <c r="AV16" s="155" t="str">
        <f>IF(ISERROR(SUM(#REF!)),"-",SUM(#REF!))</f>
        <v>-</v>
      </c>
      <c r="AW16" s="155" t="str">
        <f>IF(ISERROR(SUM(#REF!)),"-",SUM(#REF!))</f>
        <v>-</v>
      </c>
      <c r="AX16" s="155" t="str">
        <f>IF(ISERROR(IF(AU16="","",AU16/VLOOKUP(Occupancy!$B$65,Occupancy!$B$68:$B$79,1)*12/$B16)),"-",IF(AU16="","",AU16/VLOOKUP(Occupancy!$B$65,Occupancy!$B$68:$B$79,1)*12/$B16))</f>
        <v>-</v>
      </c>
      <c r="AY16" s="155" t="str">
        <f>IF(ISERROR(IF(AV16="","",AV16/VLOOKUP(Occupancy!$B$65,Occupancy!$B$68:$B$79,1)*12/$B16)),"-",IF(AV16="","",AV16/VLOOKUP(Occupancy!$B$65,Occupancy!$B$68:$B$79,1)*12/$B16))</f>
        <v>-</v>
      </c>
      <c r="AZ16" s="158" t="str">
        <f>IF(ISERROR(SUM(#REF!)),"-",SUM(#REF!))</f>
        <v>-</v>
      </c>
      <c r="BA16" s="158" t="str">
        <f>IF(ISERROR(SUM(#REF!)),"-",SUM(#REF!))</f>
        <v>-</v>
      </c>
      <c r="BB16" s="158" t="str">
        <f>IF(ISERROR(SUM(#REF!)),"-",SUM(#REF!))</f>
        <v>-</v>
      </c>
      <c r="BC16" s="158" t="str">
        <f>IF(ISERROR(IF(AZ16="","",AZ16/VLOOKUP(Occupancy!$B$65,Occupancy!$B$68:$B$79,1)*12/$B16)),"-",IF(AZ16="","",AZ16/VLOOKUP(Occupancy!$B$65,Occupancy!$B$68:$B$79,1)*12/$B16))</f>
        <v>-</v>
      </c>
      <c r="BD16" s="159" t="str">
        <f>IF(ISERROR(IF(BA16="","",BA16/VLOOKUP(Occupancy!$B$65,Occupancy!$B$68:$B$79,1)*12/$B16)),"-",IF(BA16="","",BA16/VLOOKUP(Occupancy!$B$65,Occupancy!$B$68:$B$79,1)*12/$B16))</f>
        <v>-</v>
      </c>
    </row>
    <row r="17" spans="1:56" s="4" customFormat="1" ht="12.75" x14ac:dyDescent="0.2">
      <c r="A17" s="168"/>
      <c r="B17" s="91"/>
      <c r="C17" s="120"/>
      <c r="D17" s="121"/>
      <c r="E17" s="121"/>
      <c r="F17" s="122"/>
      <c r="G17" s="122"/>
      <c r="H17" s="122"/>
      <c r="I17" s="122"/>
      <c r="J17" s="123"/>
      <c r="K17" s="123"/>
      <c r="L17" s="122"/>
      <c r="M17" s="122"/>
      <c r="N17" s="122"/>
      <c r="O17" s="124"/>
      <c r="P17" s="125"/>
      <c r="Q17" s="126"/>
      <c r="R17" s="126"/>
      <c r="S17" s="126"/>
      <c r="T17" s="126"/>
      <c r="U17" s="127"/>
      <c r="V17" s="127"/>
      <c r="W17" s="127"/>
      <c r="X17" s="127"/>
      <c r="Y17" s="127"/>
      <c r="Z17" s="127"/>
      <c r="AA17" s="126"/>
      <c r="AB17" s="126"/>
      <c r="AC17" s="126"/>
      <c r="AD17" s="126"/>
      <c r="AE17" s="126"/>
      <c r="AF17" s="127"/>
      <c r="AG17" s="127"/>
      <c r="AH17" s="118"/>
      <c r="AI17" s="127"/>
      <c r="AJ17" s="127"/>
      <c r="AK17" s="126"/>
      <c r="AL17" s="126"/>
      <c r="AM17" s="126"/>
      <c r="AN17" s="126"/>
      <c r="AO17" s="126"/>
      <c r="AP17" s="127"/>
      <c r="AQ17" s="127"/>
      <c r="AR17" s="118"/>
      <c r="AS17" s="127"/>
      <c r="AT17" s="127"/>
      <c r="AU17" s="126"/>
      <c r="AV17" s="126"/>
      <c r="AW17" s="126"/>
      <c r="AX17" s="126"/>
      <c r="AY17" s="126"/>
      <c r="AZ17" s="123"/>
      <c r="BA17" s="123"/>
      <c r="BB17" s="123"/>
      <c r="BC17" s="123"/>
      <c r="BD17" s="128"/>
    </row>
    <row r="18" spans="1:56" s="4" customFormat="1" ht="12.75" x14ac:dyDescent="0.2">
      <c r="A18" s="139" t="s">
        <v>20</v>
      </c>
      <c r="B18" s="113"/>
      <c r="C18" s="148"/>
      <c r="D18" s="113"/>
      <c r="E18" s="113"/>
      <c r="F18" s="113"/>
      <c r="G18" s="113"/>
      <c r="H18" s="113"/>
      <c r="I18" s="114"/>
      <c r="J18" s="145"/>
      <c r="K18" s="145"/>
      <c r="L18" s="114"/>
      <c r="M18" s="114"/>
      <c r="N18" s="114"/>
      <c r="O18" s="116"/>
      <c r="P18" s="82"/>
      <c r="Q18" s="117"/>
      <c r="R18" s="84"/>
      <c r="S18" s="117"/>
      <c r="T18" s="117"/>
      <c r="U18" s="118"/>
      <c r="V18" s="118"/>
      <c r="W18" s="118"/>
      <c r="X18" s="118"/>
      <c r="Y18" s="118"/>
      <c r="Z18" s="129"/>
      <c r="AA18" s="117"/>
      <c r="AB18" s="117"/>
      <c r="AC18" s="117"/>
      <c r="AD18" s="117"/>
      <c r="AE18" s="117"/>
      <c r="AF18" s="85"/>
      <c r="AG18" s="118"/>
      <c r="AH18" s="85"/>
      <c r="AI18" s="118"/>
      <c r="AJ18" s="118"/>
      <c r="AK18" s="84"/>
      <c r="AL18" s="117"/>
      <c r="AM18" s="84"/>
      <c r="AN18" s="117"/>
      <c r="AO18" s="117"/>
      <c r="AP18" s="85"/>
      <c r="AQ18" s="118"/>
      <c r="AR18" s="85"/>
      <c r="AS18" s="118"/>
      <c r="AT18" s="118"/>
      <c r="AU18" s="84"/>
      <c r="AV18" s="117"/>
      <c r="AW18" s="84"/>
      <c r="AX18" s="117"/>
      <c r="AY18" s="117"/>
      <c r="AZ18" s="115"/>
      <c r="BA18" s="115"/>
      <c r="BB18" s="115"/>
      <c r="BC18" s="115"/>
      <c r="BD18" s="119"/>
    </row>
    <row r="19" spans="1:56" s="4" customFormat="1" ht="12.75" x14ac:dyDescent="0.2">
      <c r="A19" s="143"/>
      <c r="B19" s="5"/>
      <c r="C19" s="47"/>
      <c r="D19" s="48"/>
      <c r="E19" s="48"/>
      <c r="F19" s="49"/>
      <c r="G19" s="49"/>
      <c r="H19" s="49"/>
      <c r="I19" s="49"/>
      <c r="J19" s="50"/>
      <c r="K19" s="50"/>
      <c r="L19" s="51"/>
      <c r="M19" s="51"/>
      <c r="N19" s="51"/>
      <c r="O19" s="52"/>
      <c r="P19" s="53"/>
      <c r="Q19" s="54"/>
      <c r="R19" s="54"/>
      <c r="S19" s="54"/>
      <c r="T19" s="54"/>
      <c r="U19" s="55"/>
      <c r="V19" s="55"/>
      <c r="W19" s="55"/>
      <c r="X19" s="55"/>
      <c r="Y19" s="55"/>
      <c r="Z19" s="55"/>
      <c r="AA19" s="54"/>
      <c r="AB19" s="54"/>
      <c r="AC19" s="54"/>
      <c r="AD19" s="54"/>
      <c r="AE19" s="54"/>
      <c r="AF19" s="55"/>
      <c r="AG19" s="55"/>
      <c r="AH19" s="55"/>
      <c r="AI19" s="55"/>
      <c r="AJ19" s="55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4"/>
      <c r="AV19" s="54"/>
      <c r="AW19" s="54"/>
      <c r="AX19" s="54"/>
      <c r="AY19" s="54"/>
      <c r="AZ19" s="50"/>
      <c r="BA19" s="50"/>
      <c r="BB19" s="50"/>
      <c r="BC19" s="50"/>
      <c r="BD19" s="56"/>
    </row>
    <row r="20" spans="1:56" s="4" customFormat="1" ht="12.75" x14ac:dyDescent="0.2">
      <c r="A20" s="140" t="s">
        <v>79</v>
      </c>
      <c r="B20" s="91" t="str">
        <f>IF(ISERROR(SUM(#REF!)),"-",SUM(#REF!))</f>
        <v>-</v>
      </c>
      <c r="C20" s="120"/>
      <c r="D20" s="121" t="str">
        <f>IF(ISERROR(SUM(#REF!)),"-",SUM(#REF!))</f>
        <v>-</v>
      </c>
      <c r="E20" s="122" t="str">
        <f>IF(ISERROR(SUM(#REF!)),"-",SUM(#REF!))</f>
        <v>-</v>
      </c>
      <c r="F20" s="122" t="str">
        <f>IF(ISERROR(SUM(#REF!)),"-",SUM(#REF!))</f>
        <v>-</v>
      </c>
      <c r="G20" s="122" t="str">
        <f>IF(ISERROR(SUM(#REF!)),"-",SUM(#REF!))</f>
        <v>-</v>
      </c>
      <c r="H20" s="122" t="str">
        <f>IF(ISERROR(SUM(#REF!)),"-",SUM(#REF!))</f>
        <v>-</v>
      </c>
      <c r="I20" s="122" t="str">
        <f>IF(ISERROR(SUM(#REF!)),"-",SUM(#REF!))</f>
        <v>-</v>
      </c>
      <c r="J20" s="146" t="str">
        <f>IF(ISERROR(AVERAGE(#REF!)),"-",AVERAGE(#REF!))</f>
        <v>-</v>
      </c>
      <c r="K20" s="146" t="str">
        <f>IF(ISERROR(AVERAGE(#REF!)),"-",AVERAGE(#REF!))</f>
        <v>-</v>
      </c>
      <c r="L20" s="122" t="str">
        <f>IF(ISERROR(SUM(#REF!)),"-",SUM(#REF!))</f>
        <v>-</v>
      </c>
      <c r="M20" s="122" t="str">
        <f>IF(ISERROR(SUM(#REF!)),"-",SUM(#REF!))</f>
        <v>-</v>
      </c>
      <c r="N20" s="122" t="str">
        <f>IF(ISERROR(SUM(#REF!)),"-",SUM(#REF!))</f>
        <v>-</v>
      </c>
      <c r="O20" s="124" t="str">
        <f>IF(ISERROR(SUM(#REF!)),"-",SUM(#REF!))</f>
        <v>-</v>
      </c>
      <c r="P20" s="125" t="str">
        <f>IF(ISERROR(SUM(#REF!)),"-",SUM(#REF!))</f>
        <v>-</v>
      </c>
      <c r="Q20" s="126" t="str">
        <f>IF(ISERROR(R20/12*Occupancy!$B$65),"-",R20/12*Occupancy!$B$65)</f>
        <v>-</v>
      </c>
      <c r="R20" s="189" t="str">
        <f>IF(ISERROR(SUM(#REF!)),"-",SUM(#REF!))</f>
        <v>-</v>
      </c>
      <c r="S20" s="126" t="str">
        <f>IF(ISERROR(IF(P20="","",P20/VLOOKUP(Occupancy!$B$65,Occupancy!$B$68:$B$79,1)*12/$B20)),"-",IF(P20="","",P20/VLOOKUP(Occupancy!$B$65,Occupancy!$B$68:$B$79,1)*12/$B20))</f>
        <v>-</v>
      </c>
      <c r="T20" s="126" t="str">
        <f>IF(ISERROR(IF(Q20="","",Q20/VLOOKUP(Occupancy!$B$65,Occupancy!$B$68:$B$79,1)*12/$B20)),"-",IF(Q20="","",Q20/VLOOKUP(Occupancy!$B$65,Occupancy!$B$68:$B$79,1)*12/$B20))</f>
        <v>-</v>
      </c>
      <c r="U20" s="127" t="str">
        <f>IF(ISERROR(SUM(#REF!)),"-",SUM(#REF!))</f>
        <v>-</v>
      </c>
      <c r="V20" s="127" t="str">
        <f>IF(ISERROR(SUM(#REF!)),"-",SUM(#REF!))</f>
        <v>-</v>
      </c>
      <c r="W20" s="127" t="str">
        <f>IF(ISERROR(SUM(#REF!)),"-",SUM(#REF!))</f>
        <v>-</v>
      </c>
      <c r="X20" s="127" t="str">
        <f>IF(ISERROR(Expenses!BE15),"-",Expenses!BE15)</f>
        <v>-</v>
      </c>
      <c r="Y20" s="127" t="str">
        <f>IF(ISERROR(Expenses!BF15),"-",Expenses!BF15)</f>
        <v>-</v>
      </c>
      <c r="Z20" s="136" t="str">
        <f>IF(ISERROR(U20/P20),"-",U20/P20)</f>
        <v>-</v>
      </c>
      <c r="AA20" s="126" t="str">
        <f>IF(ISERROR(P20-U20),"-",P20-U20)</f>
        <v>-</v>
      </c>
      <c r="AB20" s="126" t="str">
        <f>IF(ISERROR(Q20-V20),"-",Q20-V20)</f>
        <v>-</v>
      </c>
      <c r="AC20" s="126" t="str">
        <f>IF(ISERROR(R20-W20),"-",R20-W20)</f>
        <v>-</v>
      </c>
      <c r="AD20" s="126" t="str">
        <f>IF(ISERROR(S20-X20),"-",S20-X20)</f>
        <v>-</v>
      </c>
      <c r="AE20" s="126" t="str">
        <f>IF(ISERROR(T20-Y20),"-",T20-Y20)</f>
        <v>-</v>
      </c>
      <c r="AF20" s="127" t="str">
        <f>IF(ISERROR(SUM(#REF!)),"-",SUM(#REF!))</f>
        <v>-</v>
      </c>
      <c r="AG20" s="127" t="str">
        <f>IF(ISERROR(SUM(#REF!)),"-",SUM(#REF!))</f>
        <v>-</v>
      </c>
      <c r="AH20" s="127" t="str">
        <f>IF(ISERROR(SUM(#REF!)),"-",SUM(#REF!))</f>
        <v>-</v>
      </c>
      <c r="AI20" s="127" t="str">
        <f>IF(ISERROR(IF(AF20="","",AF20/VLOOKUP(Occupancy!$B$65,Occupancy!$B$68:$B$79,1)*12/$B20)),"-",IF(AF20="","",AF20/VLOOKUP(Occupancy!$B$65,Occupancy!$B$68:$B$79,1)*12/$B20))</f>
        <v>-</v>
      </c>
      <c r="AJ20" s="127" t="str">
        <f>IF(ISERROR(IF(AG20="","",AG20/VLOOKUP(Occupancy!$B$65,Occupancy!$B$68:$B$79,1)*12/$B20)),"-",IF(AG20="","",AG20/VLOOKUP(Occupancy!$B$65,Occupancy!$B$68:$B$79,1)*12/$B20))</f>
        <v>-</v>
      </c>
      <c r="AK20" s="126" t="str">
        <f>IF(ISERROR(SUM(#REF!)),"-",SUM(#REF!))</f>
        <v>-</v>
      </c>
      <c r="AL20" s="126" t="str">
        <f>IF(ISERROR(AM20/12*Occupancy!$B$65),"-",AM20/12*Occupancy!$B$65)</f>
        <v>-</v>
      </c>
      <c r="AM20" s="126" t="str">
        <f>IF(ISERROR(SUM(#REF!)),"-",SUM(#REF!))</f>
        <v>-</v>
      </c>
      <c r="AN20" s="126" t="str">
        <f>IF(ISERROR(IF(AK20="","",AK20/VLOOKUP(Occupancy!$B$65,Occupancy!$B$68:$B$79,1)*12/$B20)),"-",IF(AK20="","",AK20/VLOOKUP(Occupancy!$B$65,Occupancy!$B$68:$B$79,1)*12/$B20))</f>
        <v>-</v>
      </c>
      <c r="AO20" s="126" t="str">
        <f>IF(ISERROR(IF(AL20="","",AL20/VLOOKUP(Occupancy!$B$65,Occupancy!$B$68:$B$79,1)*12/$B20)),"-",IF(AL20="","",AL20/VLOOKUP(Occupancy!$B$65,Occupancy!$B$68:$B$79,1)*12/$B20))</f>
        <v>-</v>
      </c>
      <c r="AP20" s="127" t="str">
        <f>IF(ISERROR(SUM(#REF!)),"-",SUM(#REF!))</f>
        <v>-</v>
      </c>
      <c r="AQ20" s="127" t="str">
        <f>IF(ISERROR(SUM(#REF!)),"-",SUM(#REF!))</f>
        <v>-</v>
      </c>
      <c r="AR20" s="127" t="str">
        <f>IF(ISERROR(SUM(#REF!)),"-",SUM(#REF!))</f>
        <v>-</v>
      </c>
      <c r="AS20" s="127" t="str">
        <f>IF(ISERROR(IF(AP20="","",AP20/VLOOKUP(Occupancy!$B$65,Occupancy!$B$68:$B$79,1)*12/$B20)),"-",IF(AP20="","",AP20/VLOOKUP(Occupancy!$B$65,Occupancy!$B$68:$B$79,1)*12/$B20))</f>
        <v>-</v>
      </c>
      <c r="AT20" s="127" t="str">
        <f>IF(ISERROR(IF(AQ20="","",AQ20/VLOOKUP(Occupancy!$B$65,Occupancy!$B$68:$B$79,1)*12/$B20)),"-",IF(AQ20="","",AQ20/VLOOKUP(Occupancy!$B$65,Occupancy!$B$68:$B$79,1)*12/$B20))</f>
        <v>-</v>
      </c>
      <c r="AU20" s="126" t="str">
        <f>IF(ISERROR(SUM(#REF!)),"-",SUM(#REF!))</f>
        <v>-</v>
      </c>
      <c r="AV20" s="126" t="str">
        <f>IF(ISERROR(SUM(#REF!)),"-",SUM(#REF!))</f>
        <v>-</v>
      </c>
      <c r="AW20" s="126" t="str">
        <f>IF(ISERROR(SUM(#REF!)),"-",SUM(#REF!))</f>
        <v>-</v>
      </c>
      <c r="AX20" s="126" t="str">
        <f>IF(ISERROR(IF(AU20="","",AU20/VLOOKUP(Occupancy!$B$65,Occupancy!$B$68:$B$79,1)*12/$B20)),"-",IF(AU20="","",AU20/VLOOKUP(Occupancy!$B$65,Occupancy!$B$68:$B$79,1)*12/$B20))</f>
        <v>-</v>
      </c>
      <c r="AY20" s="126" t="str">
        <f>IF(ISERROR(IF(AV20="","",AV20/VLOOKUP(Occupancy!$B$65,Occupancy!$B$68:$B$79,1)*12/$B20)),"-",IF(AV20="","",AV20/VLOOKUP(Occupancy!$B$65,Occupancy!$B$68:$B$79,1)*12/$B20))</f>
        <v>-</v>
      </c>
      <c r="AZ20" s="123" t="str">
        <f>IF(ISERROR(SUM(#REF!)),"-",SUM(#REF!))</f>
        <v>-</v>
      </c>
      <c r="BA20" s="123" t="str">
        <f>IF(ISERROR(SUM(#REF!)),"-",SUM(#REF!))</f>
        <v>-</v>
      </c>
      <c r="BB20" s="123" t="str">
        <f>IF(ISERROR(SUM(#REF!)),"-",SUM(#REF!))</f>
        <v>-</v>
      </c>
      <c r="BC20" s="123" t="str">
        <f>IF(ISERROR(IF(AZ20="","",AZ20/VLOOKUP(Occupancy!$B$65,Occupancy!$B$68:$B$79,1)*12/$B20)),"-",IF(AZ20="","",AZ20/VLOOKUP(Occupancy!$B$65,Occupancy!$B$68:$B$79,1)*12/$B20))</f>
        <v>-</v>
      </c>
      <c r="BD20" s="128" t="str">
        <f>IF(ISERROR(IF(BA20="","",BA20/VLOOKUP(Occupancy!$B$65,Occupancy!$B$68:$B$79,1)*12/$B20)),"-",IF(BA20="","",BA20/VLOOKUP(Occupancy!$B$65,Occupancy!$B$68:$B$79,1)*12/$B20))</f>
        <v>-</v>
      </c>
    </row>
    <row r="21" spans="1:56" s="4" customFormat="1" ht="12.75" x14ac:dyDescent="0.2">
      <c r="A21" s="141"/>
      <c r="B21" s="81"/>
      <c r="C21" s="120"/>
      <c r="D21" s="121"/>
      <c r="E21" s="122"/>
      <c r="F21" s="122"/>
      <c r="G21" s="122"/>
      <c r="H21" s="122"/>
      <c r="I21" s="122"/>
      <c r="J21" s="146"/>
      <c r="K21" s="146"/>
      <c r="L21" s="122"/>
      <c r="M21" s="122"/>
      <c r="N21" s="122"/>
      <c r="O21" s="124"/>
      <c r="P21" s="154"/>
      <c r="Q21" s="155"/>
      <c r="R21" s="155"/>
      <c r="S21" s="155"/>
      <c r="T21" s="155"/>
      <c r="U21" s="156"/>
      <c r="V21" s="156"/>
      <c r="W21" s="156"/>
      <c r="X21" s="156"/>
      <c r="Y21" s="156"/>
      <c r="Z21" s="157"/>
      <c r="AA21" s="155"/>
      <c r="AB21" s="155"/>
      <c r="AC21" s="155"/>
      <c r="AD21" s="155"/>
      <c r="AE21" s="155"/>
      <c r="AF21" s="156"/>
      <c r="AG21" s="156"/>
      <c r="AH21" s="156"/>
      <c r="AI21" s="156"/>
      <c r="AJ21" s="156"/>
      <c r="AK21" s="155"/>
      <c r="AL21" s="155"/>
      <c r="AM21" s="155"/>
      <c r="AN21" s="155"/>
      <c r="AO21" s="155"/>
      <c r="AP21" s="156"/>
      <c r="AQ21" s="156"/>
      <c r="AR21" s="156"/>
      <c r="AS21" s="156"/>
      <c r="AT21" s="156"/>
      <c r="AU21" s="155"/>
      <c r="AV21" s="155"/>
      <c r="AW21" s="155"/>
      <c r="AX21" s="155"/>
      <c r="AY21" s="155"/>
      <c r="AZ21" s="158"/>
      <c r="BA21" s="158"/>
      <c r="BB21" s="158"/>
      <c r="BC21" s="158"/>
      <c r="BD21" s="159"/>
    </row>
    <row r="22" spans="1:56" s="4" customFormat="1" ht="13.5" thickBot="1" x14ac:dyDescent="0.25">
      <c r="A22" s="141" t="s">
        <v>38</v>
      </c>
      <c r="B22" s="81" t="str">
        <f t="shared" ref="B22:I22" si="0">IF(ISERROR(B20+B16+B12),"-",B20+B16+B12)</f>
        <v>-</v>
      </c>
      <c r="C22" s="120">
        <f t="shared" si="0"/>
        <v>0</v>
      </c>
      <c r="D22" s="121" t="str">
        <f t="shared" si="0"/>
        <v>-</v>
      </c>
      <c r="E22" s="122" t="str">
        <f t="shared" si="0"/>
        <v>-</v>
      </c>
      <c r="F22" s="122" t="str">
        <f t="shared" si="0"/>
        <v>-</v>
      </c>
      <c r="G22" s="122" t="str">
        <f t="shared" si="0"/>
        <v>-</v>
      </c>
      <c r="H22" s="122" t="str">
        <f t="shared" si="0"/>
        <v>-</v>
      </c>
      <c r="I22" s="122" t="str">
        <f t="shared" si="0"/>
        <v>-</v>
      </c>
      <c r="J22" s="146" t="str">
        <f>IF(ISERROR(AVERAGE(#REF!,#REF!)),"-",AVERAGE(#REF!,#REF!))</f>
        <v>-</v>
      </c>
      <c r="K22" s="146" t="str">
        <f>IF(ISERROR(AVERAGE(#REF!,#REF!)),"-",AVERAGE(#REF!,#REF!))</f>
        <v>-</v>
      </c>
      <c r="L22" s="122" t="str">
        <f>IF(ISERROR(L20+L16+L12),"-",L20+L16+L12)</f>
        <v>-</v>
      </c>
      <c r="M22" s="122" t="str">
        <f>IF(ISERROR(M20+M16+M12),"-",M20+M16+M12)</f>
        <v>-</v>
      </c>
      <c r="N22" s="122" t="str">
        <f>IF(ISERROR(N20+N16+N12),"-",N20+N16+N12)</f>
        <v>-</v>
      </c>
      <c r="O22" s="124" t="str">
        <f>IF(ISERROR(O20+O16+O12),"-",O20+O16+O12)</f>
        <v>-</v>
      </c>
      <c r="P22" s="131" t="str">
        <f>IF(ISERROR(P20+P16+P12),"-",P20+P16+P12)</f>
        <v>-</v>
      </c>
      <c r="Q22" s="132" t="str">
        <f>IF(ISERROR(R22/12*Occupancy!$B$65),"-",R22/12*Occupancy!$B$65)</f>
        <v>-</v>
      </c>
      <c r="R22" s="132" t="str">
        <f>IF(ISERROR(R20+R16+R12),"-",R20+R16+R12)</f>
        <v>-</v>
      </c>
      <c r="S22" s="132" t="str">
        <f>IF(ISERROR(IF(P22="","",P22/VLOOKUP(Occupancy!$B$65,Occupancy!$B$68:$B$79,1)*12/$B22)),"-",IF(P22="","",P22/VLOOKUP(Occupancy!$B$65,Occupancy!$B$68:$B$79,1)*12/$B22))</f>
        <v>-</v>
      </c>
      <c r="T22" s="132" t="str">
        <f>IF(ISERROR(IF(Q22="","",Q22/VLOOKUP(Occupancy!$B$65,Occupancy!$B$68:$B$79,1)*12/$B22)),"-",IF(Q22="","",Q22/VLOOKUP(Occupancy!$B$65,Occupancy!$B$68:$B$79,1)*12/$B22))</f>
        <v>-</v>
      </c>
      <c r="U22" s="133" t="str">
        <f>IF(ISERROR(U20+U16+U12),"-",U20+U16+U12)</f>
        <v>-</v>
      </c>
      <c r="V22" s="133" t="str">
        <f>IF(ISERROR(V20+V16+V12),"-",V20+V16+V12)</f>
        <v>-</v>
      </c>
      <c r="W22" s="133" t="str">
        <f>IF(ISERROR(W20+W16+W12),"-",W20+W16+W12)</f>
        <v>-</v>
      </c>
      <c r="X22" s="133" t="str">
        <f>IF(ISERROR(IF(ISERROR(Y22/12*Occupancy!$B$65),"-",Y22/12*Occupancy!$B$65)),"-",IF(ISERROR(Y22/12*Occupancy!$B$65),"-",Y22/12*Occupancy!$B$65))</f>
        <v>-</v>
      </c>
      <c r="Y22" s="133" t="str">
        <f>IF(ISERROR(IF(ISERROR(Z22/12*Occupancy!$B$65),"-",Z22/12*Occupancy!$B$65)),"-",IF(ISERROR(Z22/12*Occupancy!$B$65),"-",Z22/12*Occupancy!$B$65))</f>
        <v>-</v>
      </c>
      <c r="Z22" s="137" t="str">
        <f>IF(ISERROR(U22/P22),"-",U22/P22)</f>
        <v>-</v>
      </c>
      <c r="AA22" s="132" t="str">
        <f>IF(ISERROR(P22-U22),"-",P22-U22)</f>
        <v>-</v>
      </c>
      <c r="AB22" s="132" t="str">
        <f>IF(ISERROR(Q22-V22),"-",Q22-V22)</f>
        <v>-</v>
      </c>
      <c r="AC22" s="132" t="str">
        <f>IF(ISERROR(R22-W22),"-",R22-W22)</f>
        <v>-</v>
      </c>
      <c r="AD22" s="132" t="str">
        <f>IF(ISERROR(IF(ISERROR(AE22/12*Occupancy!$B$65),"-",AE22/12*Occupancy!$B$65)),"-",IF(ISERROR(AE22/12*Occupancy!$B$65),"-",AE22/12*Occupancy!$B$65))</f>
        <v>-</v>
      </c>
      <c r="AE22" s="132" t="str">
        <f>IF(ISERROR(T22-Y22),"-",T22-Y22)</f>
        <v>-</v>
      </c>
      <c r="AF22" s="133" t="str">
        <f>IF(ISERROR(AF20+AF16+AF12),"-",AF20+AF16+AF12)</f>
        <v>-</v>
      </c>
      <c r="AG22" s="133" t="str">
        <f>IF(ISERROR(AG20+AG16+AG12),"-",AG20+AG16+AG12)</f>
        <v>-</v>
      </c>
      <c r="AH22" s="133" t="str">
        <f>IF(ISERROR(AH20+AH16+AH12),"-",AH20+AH16+AH12)</f>
        <v>-</v>
      </c>
      <c r="AI22" s="133" t="str">
        <f>IF(ISERROR(IF(AF22="","",AF22/VLOOKUP(Occupancy!$B$65,Occupancy!$B$68:$B$79,1)*12/$B22)),"-",IF(AF22="","",AF22/VLOOKUP(Occupancy!$B$65,Occupancy!$B$68:$B$79,1)*12/$B22))</f>
        <v>-</v>
      </c>
      <c r="AJ22" s="133" t="str">
        <f>IF(ISERROR(IF(AG22="","",AG22/VLOOKUP(Occupancy!$B$65,Occupancy!$B$68:$B$79,1)*12/$B22)),"-",IF(AG22="","",AG22/VLOOKUP(Occupancy!$B$65,Occupancy!$B$68:$B$79,1)*12/$B22))</f>
        <v>-</v>
      </c>
      <c r="AK22" s="132" t="str">
        <f>IF(ISERROR(AK20+AK16+AK12),"-",AK20+AK16+AK12)</f>
        <v>-</v>
      </c>
      <c r="AL22" s="132" t="str">
        <f>IF(ISERROR(AM22/12*Occupancy!$B$65),"-",AM22/12*Occupancy!$B$65)</f>
        <v>-</v>
      </c>
      <c r="AM22" s="132" t="str">
        <f>IF(ISERROR(AM20+AM16+AM12),"-",AM20+AM16+AM12)</f>
        <v>-</v>
      </c>
      <c r="AN22" s="132" t="str">
        <f>IF(ISERROR(IF(AK22="","",AK22/VLOOKUP(Occupancy!$B$65,Occupancy!$B$68:$B$79,1)*12/$B22)),"-",IF(AK22="","",AK22/VLOOKUP(Occupancy!$B$65,Occupancy!$B$68:$B$79,1)*12/$B22))</f>
        <v>-</v>
      </c>
      <c r="AO22" s="132" t="str">
        <f>IF(ISERROR(IF(AL22="","",AL22/VLOOKUP(Occupancy!$B$65,Occupancy!$B$68:$B$79,1)*12/$B22)),"-",IF(AL22="","",AL22/VLOOKUP(Occupancy!$B$65,Occupancy!$B$68:$B$79,1)*12/$B22))</f>
        <v>-</v>
      </c>
      <c r="AP22" s="133" t="str">
        <f>IF(ISERROR(AP20+AP16+AP12),"-",AP20+AP16+AP12)</f>
        <v>-</v>
      </c>
      <c r="AQ22" s="133" t="str">
        <f>IF(ISERROR(AQ20+AQ16+AQ12),"-",AQ20+AQ16+AQ12)</f>
        <v>-</v>
      </c>
      <c r="AR22" s="133" t="str">
        <f>IF(ISERROR(AR20+AR16+AR12),"-",AR20+AR16+AR12)</f>
        <v>-</v>
      </c>
      <c r="AS22" s="133" t="str">
        <f>IF(ISERROR(IF(AP22="","",AP22/VLOOKUP(Occupancy!$B$65,Occupancy!$B$68:$B$79,1)*12/$B22)),"-",IF(AP22="","",AP22/VLOOKUP(Occupancy!$B$65,Occupancy!$B$68:$B$79,1)*12/$B22))</f>
        <v>-</v>
      </c>
      <c r="AT22" s="133" t="str">
        <f>IF(ISERROR(IF(AQ22="","",AQ22/VLOOKUP(Occupancy!$B$65,Occupancy!$B$68:$B$79,1)*12/$B22)),"-",IF(AQ22="","",AQ22/VLOOKUP(Occupancy!$B$65,Occupancy!$B$68:$B$79,1)*12/$B22))</f>
        <v>-</v>
      </c>
      <c r="AU22" s="132" t="str">
        <f>IF(ISERROR(AU20+AU16+AU12),"-",AU20+AU16+AU12)</f>
        <v>-</v>
      </c>
      <c r="AV22" s="132" t="str">
        <f>IF(ISERROR(AV20+AV16+AV12),"-",AV20+AV16+AV12)</f>
        <v>-</v>
      </c>
      <c r="AW22" s="132" t="str">
        <f>IF(ISERROR(AW20+AW16+AW12),"-",AW20+AW16+AW12)</f>
        <v>-</v>
      </c>
      <c r="AX22" s="132" t="str">
        <f>IF(ISERROR(IF(AU22="","",AU22/VLOOKUP(Occupancy!$B$65,Occupancy!$B$68:$B$79,1)*12/$B22)),"-",IF(AU22="","",AU22/VLOOKUP(Occupancy!$B$65,Occupancy!$B$68:$B$79,1)*12/$B22))</f>
        <v>-</v>
      </c>
      <c r="AY22" s="132" t="str">
        <f>IF(ISERROR(IF(AV22="","",AV22/VLOOKUP(Occupancy!$B$65,Occupancy!$B$68:$B$79,1)*12/$B22)),"-",IF(AV22="","",AV22/VLOOKUP(Occupancy!$B$65,Occupancy!$B$68:$B$79,1)*12/$B22))</f>
        <v>-</v>
      </c>
      <c r="AZ22" s="134" t="str">
        <f>IF(ISERROR(AZ20+AZ16+AZ12),"-",AZ20+AZ16+AZ12)</f>
        <v>-</v>
      </c>
      <c r="BA22" s="134" t="str">
        <f>IF(ISERROR(BA20+BA16+BA12),"-",BA20+BA16+BA12)</f>
        <v>-</v>
      </c>
      <c r="BB22" s="134" t="str">
        <f>IF(ISERROR(BB20+BB16+BB12),"-",BB20+BB16+BB12)</f>
        <v>-</v>
      </c>
      <c r="BC22" s="134" t="str">
        <f>IF(ISERROR(IF(AZ22="","",AZ22/VLOOKUP(Occupancy!$B$65,Occupancy!$B$68:$B$79,1)*12/$B22)),"-",IF(AZ22="","",AZ22/VLOOKUP(Occupancy!$B$65,Occupancy!$B$68:$B$79,1)*12/$B22))</f>
        <v>-</v>
      </c>
      <c r="BD22" s="135" t="str">
        <f>IF(ISERROR(IF(BA22="","",BA22/VLOOKUP(Occupancy!$B$65,Occupancy!$B$68:$B$79,1)*12/$B22)),"-",IF(BA22="","",BA22/VLOOKUP(Occupancy!$B$65,Occupancy!$B$68:$B$79,1)*12/$B22))</f>
        <v>-</v>
      </c>
    </row>
    <row r="23" spans="1:56" s="4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</row>
    <row r="24" spans="1:56" s="4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</row>
    <row r="25" spans="1:56" s="4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</row>
    <row r="26" spans="1:56" s="4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</row>
    <row r="27" spans="1:56" s="4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</row>
    <row r="28" spans="1:56" s="4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</row>
    <row r="29" spans="1:56" s="4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</row>
    <row r="30" spans="1:56" s="4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</row>
    <row r="31" spans="1:56" s="4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</row>
    <row r="32" spans="1:56" s="4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</row>
    <row r="33" spans="1:56" s="4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</row>
    <row r="34" spans="1:56" s="4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</row>
    <row r="35" spans="1:56" s="4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</row>
    <row r="36" spans="1:56" s="4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</row>
    <row r="37" spans="1:56" s="4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</row>
    <row r="38" spans="1:56" s="4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</row>
    <row r="39" spans="1:56" s="4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</row>
    <row r="40" spans="1:56" s="4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</row>
    <row r="41" spans="1:56" s="4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</row>
    <row r="42" spans="1:56" s="4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</row>
    <row r="43" spans="1:56" s="4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</row>
    <row r="44" spans="1:56" s="4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</row>
    <row r="45" spans="1:56" s="4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</row>
    <row r="46" spans="1:56" s="4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</row>
    <row r="47" spans="1:56" s="4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</row>
    <row r="48" spans="1:56" s="4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</row>
    <row r="49" spans="1:56" s="4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</row>
    <row r="50" spans="1:56" s="4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</row>
    <row r="51" spans="1:56" s="4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</row>
    <row r="52" spans="1:56" s="4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</row>
    <row r="53" spans="1:56" s="4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</row>
    <row r="54" spans="1:56" s="4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</row>
    <row r="55" spans="1:56" s="4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</row>
    <row r="56" spans="1:56" s="4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</row>
    <row r="57" spans="1:56" s="4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</row>
    <row r="58" spans="1:56" s="4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</row>
    <row r="59" spans="1:56" s="4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</row>
    <row r="60" spans="1:56" s="4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</row>
    <row r="61" spans="1:56" s="4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</row>
    <row r="62" spans="1:56" s="4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</row>
    <row r="63" spans="1:56" s="4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</row>
    <row r="64" spans="1:56" s="4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</row>
    <row r="65" spans="1:56" s="4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</row>
    <row r="66" spans="1:56" s="4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</row>
    <row r="67" spans="1:56" s="4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</row>
    <row r="68" spans="1:56" s="4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</row>
    <row r="69" spans="1:56" s="4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</row>
    <row r="70" spans="1:56" s="4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</row>
    <row r="71" spans="1:56" s="4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</row>
    <row r="72" spans="1:56" s="4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</row>
    <row r="73" spans="1:56" s="4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</row>
    <row r="74" spans="1:56" s="4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4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4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4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4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4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4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4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4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4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4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4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4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4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4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4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4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4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4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4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4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4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4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4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4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4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4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4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4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4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4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4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4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4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4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4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4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4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4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4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4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4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4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4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4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4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4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4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4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4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4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4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4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4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4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4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4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4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4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4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4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4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4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4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4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4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4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4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4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4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4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4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4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4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4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4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4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4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4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4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4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4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4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4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4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4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4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4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4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4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4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4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4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4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4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4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4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4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4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4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4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4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4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4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4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4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4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4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4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4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4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4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4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4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4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4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4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4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4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4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4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4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4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4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4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4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4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4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4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4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4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4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4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4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4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4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4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4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4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4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4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4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4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4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4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4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4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4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4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4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4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4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4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4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4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4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4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4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4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4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4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4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4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4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4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4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4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4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4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4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4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4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4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4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4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4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4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4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4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4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4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4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4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4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4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4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4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4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4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4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4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4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4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4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4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4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4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4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4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4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4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4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4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4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4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4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4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4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4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4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4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4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4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4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4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4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4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4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4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4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4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4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4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4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4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4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4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4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4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4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4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4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4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4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4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4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4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4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4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4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4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4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4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4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4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4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4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4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4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4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4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4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4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4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4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4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4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4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4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4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4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4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4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4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4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4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4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4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4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4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4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4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4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4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4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4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4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4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4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4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4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4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4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4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4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4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4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4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4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4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4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4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4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4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4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4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4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4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4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4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4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4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4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4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4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4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4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4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4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4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4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4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4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4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4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4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4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4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4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4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4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4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4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4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4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4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4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4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4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4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4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4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4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4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4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4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4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4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4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4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4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4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4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4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4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4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4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4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4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4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4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4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4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4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4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4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4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4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4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4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4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4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4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4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4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4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4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4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4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4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4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4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4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4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4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4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4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4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4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4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4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4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4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4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1:56" s="4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1:56" s="4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1:56" s="4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1:56" s="4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1:56" s="4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1:56" s="4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1:56" s="4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1:56" s="4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1:56" s="4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1:56" s="4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1:56" s="4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1:56" s="4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1:56" s="4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1:56" s="4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1:56" s="4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1:56" s="4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1:56" s="4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1:56" s="4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1:56" s="4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1:56" s="4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1:56" s="4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1:56" s="4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1:56" s="4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1:56" s="4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1:56" s="4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1:56" s="4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1:56" s="4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1:56" s="4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1:56" s="4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1:56" s="4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1:56" s="4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1:56" s="4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1:56" s="4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1:56" s="4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1:56" s="4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1:56" s="4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1:56" s="4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1:56" s="4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1:56" s="4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1:56" s="4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1:56" s="4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1:56" s="4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1:56" s="4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1:56" s="4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1:56" s="4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1:56" s="4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1:56" s="4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1:56" s="4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1:56" s="4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1:56" s="4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1:56" s="4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1:56" s="4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1:56" s="4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1:56" s="4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1:56" s="4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1:56" s="4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1:56" s="4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1:56" s="4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1:56" s="4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1:56" s="4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1:56" s="4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1:56" s="4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1:56" s="4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1:56" s="4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1:56" s="4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1:56" s="4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1:56" s="4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1:56" s="4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1:56" s="4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1:56" s="4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1:56" s="4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1:56" s="4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1:56" s="4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1:56" s="4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1:56" s="4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1:56" s="4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1:56" s="4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1:56" s="4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1:56" s="4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1:56" s="4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1:56" s="4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1:56" s="4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1:56" s="4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1:56" s="4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1:56" s="4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1:56" s="4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1:56" s="4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1:56" s="4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1:56" s="4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1:56" s="4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1:56" s="4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1:56" s="4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1:56" s="4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1:56" s="4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1:56" s="4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1:56" s="4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1:56" s="4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1:56" s="4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1:56" s="4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1:56" s="4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1:56" s="4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1:56" s="4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4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s="4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1:56" s="4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1:56" s="4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1:56" s="4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1:56" s="4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1:56" s="4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1:56" s="4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1:56" s="4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1:56" s="4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1:56" s="4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1:56" s="4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1:56" s="4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1:56" s="4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1:56" s="4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1:56" s="4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1:56" s="4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1:56" s="4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1:56" s="4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1:56" s="4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1:56" s="4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1:56" s="4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1:56" s="4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1:56" s="4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1:56" s="4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1:56" s="4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1:56" s="4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1:56" s="4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1:56" s="4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1:56" s="4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1:56" s="4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1:56" s="4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1:56" s="4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1:56" s="4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1:56" s="4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1:56" s="4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1:56" s="4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1:56" s="4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1:56" s="4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1:56" s="4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1:56" s="4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1:56" s="4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1:56" s="4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1:56" s="4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1:56" s="4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1:56" s="4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1:56" s="4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1:56" s="4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1:56" s="4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1:56" s="4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1:56" s="4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1:56" s="4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1:56" s="4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1:56" s="4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1:56" s="4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1:56" s="4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1:56" s="4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1:56" s="4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1:56" s="4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1:56" s="4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1:56" s="4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1:56" s="4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1:56" s="4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1:56" s="4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1:56" s="4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1:56" s="4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1:56" s="4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1:56" s="4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1:56" s="4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1:56" s="4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1:56" s="4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1:56" s="4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1:56" s="4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1:56" s="4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1:56" s="4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1:56" s="4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1:56" s="4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1:56" s="4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1:56" s="4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1:56" s="4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1:56" s="4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1:56" s="4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1:56" s="4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1:56" s="4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1:56" s="4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1:56" s="4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1:56" s="4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1:56" s="4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1:56" s="4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1:56" s="4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1:56" s="4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1:56" s="4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1:56" s="4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1:56" s="4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1:56" s="4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1:56" s="4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1:56" s="4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1:56" s="4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1:56" s="4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1:56" s="4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1:56" s="4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1:56" s="4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1:56" s="4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1:56" s="4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1:56" s="4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1:56" s="4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1:56" s="4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1:56" s="4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1:56" s="4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1:56" s="4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1:56" s="4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1:56" s="4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1:56" s="4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1:56" s="4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1:56" s="4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1:56" s="4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1:56" s="4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1:56" s="4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1:56" s="4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1:56" s="4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1:56" s="4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1:56" s="4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1:56" s="4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1:56" s="4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1:56" s="4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1:56" s="4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1:56" s="4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1:56" s="4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1:56" s="4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1:56" s="4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1:56" s="4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1:56" s="4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1:56" s="4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1:56" s="4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1:56" s="4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1:56" s="4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1:56" s="4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1:56" s="4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1:56" s="4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1:56" s="4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1:56" s="4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1:56" s="4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1:56" s="4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1:56" s="4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1:56" s="4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1:56" s="4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1:56" s="4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1:56" s="4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1:56" s="4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1:56" s="4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1:56" s="4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1:56" s="4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1:56" s="4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1:56" s="4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1:56" s="4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1:56" s="4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1:56" s="4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1:56" s="4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1:56" s="4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1:56" s="4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1:56" s="4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1:56" s="4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1:56" s="4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1:56" s="4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1:56" s="4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1:56" s="4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1:56" s="4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1:56" s="4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1:56" s="4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1:56" s="4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1:56" s="4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1:56" s="4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1:56" s="4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1:56" s="4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1:56" s="4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1:56" s="4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1:56" s="4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1:56" s="4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1:56" s="4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1:56" s="4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1:56" s="4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1:56" s="4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1:56" s="4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1:56" s="4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1:56" s="4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1:56" s="4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1:56" s="4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1:56" s="4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1:56" s="4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1:56" s="4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1:56" s="4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1:56" s="4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1:56" s="4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1:56" s="4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1:56" s="4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1:56" s="4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1:56" s="4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1:56" s="4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1:56" s="4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1:56" s="4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1:56" s="4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1:56" s="4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1:56" s="4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1:56" s="4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1:56" s="4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1:56" s="4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1:56" s="4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1:56" s="4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1:56" s="4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1:56" s="4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1:56" s="4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1:56" s="4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1:56" s="4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1:56" s="4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1:56" s="4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1:56" s="4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1:56" s="4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1:56" s="4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1:56" s="4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1:56" s="4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1:56" s="4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1:56" s="4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1:56" s="4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1:56" s="4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1:56" s="4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1:56" s="4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1:56" s="4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1:56" s="4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1:56" s="4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1:56" s="4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1:56" s="4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1:56" s="4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1:56" s="4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1:56" s="4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1:56" s="4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1:56" s="4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1:56" s="4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1:56" s="4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1:56" s="4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1:56" s="4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1:56" s="4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1:56" s="4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1:56" s="4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1:56" s="4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1:56" s="4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1:56" s="4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1:56" s="4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1:56" s="4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1:56" s="4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1:56" s="4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1:56" s="4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1:56" s="4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1:56" s="4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1:56" s="4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1:56" s="4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1:56" s="4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1:56" s="4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1:56" s="4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1:56" s="4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1:56" s="4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1:56" s="4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1:56" s="4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1:56" s="4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1:56" s="4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1:56" s="4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1:56" s="4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1:56" s="4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1:56" s="4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1:56" s="4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1:56" s="4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1:56" s="4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1:56" s="4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1:56" s="4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1:56" s="4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1:56" s="4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1:56" s="4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1:56" s="4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1:56" s="4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1:56" s="4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1:56" s="4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1:56" s="4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1:56" s="4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1:56" s="4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1:56" s="4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1:56" s="4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1:56" s="4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1:56" s="4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1:56" s="4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1:56" s="4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1:56" s="4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1:56" s="4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1:56" s="4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1:56" s="4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1:56" s="4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1:56" s="4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1:56" s="4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1:56" s="4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1:56" s="4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1:56" s="4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1:56" s="4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1:56" s="4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1:56" s="4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1:56" s="4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1:56" s="4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1:56" s="4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1:56" s="4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1:56" s="4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1:56" s="4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1:56" s="4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1:56" s="4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1:56" s="4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1:56" s="4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1:56" s="4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1:56" s="4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1:56" s="4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1:56" s="4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1:56" s="4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1:56" s="4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1:56" s="4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1:56" s="4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1:56" s="4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1:56" s="4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1:56" s="4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1:56" s="4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1:56" s="4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1:56" s="4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1:56" s="4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1:56" s="4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1:56" s="4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1:56" s="4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1:56" s="4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1:56" s="4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1:56" s="4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1:56" s="4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1:56" s="4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1:56" s="4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1:56" s="4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1:56" s="4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1:56" s="4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1:56" s="4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1:56" s="4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1:56" s="4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1:56" s="4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1:56" s="4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1:56" s="4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1:56" s="4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1:56" s="4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1:56" s="4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1:56" s="4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1:56" s="4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1:56" s="4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1:56" s="4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1:56" s="4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1:56" s="4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1:56" s="4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1:56" s="4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1:56" s="4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1:56" s="4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1:56" s="4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1:56" s="4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1:56" s="4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1:56" s="4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1:56" s="4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1:56" s="4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1:56" s="4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1:56" s="4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1:56" s="4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1:56" s="4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1:56" s="4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1:56" s="4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1:56" s="4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1:56" s="4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1:56" s="4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1:56" s="4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1:56" s="4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1:56" s="4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1:56" s="4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1:56" s="4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1:56" s="4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1:56" s="4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1:56" s="4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1:56" s="4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1:56" s="4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1:56" s="4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1:56" s="4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1:56" s="4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1:56" s="4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1:56" s="4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1:56" s="4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1:56" s="4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1:56" s="4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1:56" s="4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1:56" s="4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1:56" s="4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1:56" s="4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1:56" s="4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1:56" s="4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1:56" s="4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1:56" s="4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1:56" s="4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1:56" s="4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1:56" s="4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1:56" s="4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1:56" s="4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1:56" s="4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1:56" s="4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1:56" s="4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1:56" s="4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1:56" s="4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1:56" s="4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1:56" s="4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1:56" s="4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1:56" s="4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1:56" s="4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1:56" s="4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1:56" s="4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1:56" s="4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1:56" s="4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1:56" s="4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1:56" s="4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1:56" s="4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1:56" s="4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1:56" s="4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1:56" s="4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1:56" s="4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1:56" s="4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1:56" s="4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1:56" s="4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1:56" s="4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1:56" s="4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1:56" s="4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1:56" s="4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1:56" s="4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1:56" s="4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1:56" s="4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1:56" s="4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1:56" s="4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1:56" s="4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1:56" s="4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1:56" s="4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1:56" s="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1:56" s="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1:56" s="4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1:56" s="4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1:56" s="4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1:56" s="4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1:56" s="4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1:56" s="4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1:56" s="4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1:56" s="4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1:56" s="4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1:56" s="4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1:56" s="4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1:56" s="4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1:56" s="4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1:56" s="4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1:56" s="4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1:56" s="4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1:56" s="4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1:56" s="4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1:56" s="4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1:56" s="4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1:56" s="4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1:56" s="4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1:56" s="4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1:56" s="4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1:56" s="4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1:56" s="4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1:56" s="4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1:56" s="4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1:56" s="4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1:56" s="4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1:56" s="4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1:56" s="4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1:56" s="4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1:56" s="4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1:56" s="4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1:56" s="4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1:56" s="4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1:56" s="4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1:56" s="4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1:56" s="4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1:56" s="4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1:56" s="4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1:56" s="4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1:56" s="4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1:56" s="4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1:56" s="4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1:56" s="4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1:56" s="4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1:56" s="4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1:56" s="4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1:56" s="4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1:56" s="4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1:56" s="4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1:56" s="4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1:56" s="4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1:56" s="4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1:56" s="4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1:56" s="4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1:56" s="4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1:56" s="4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1:56" s="4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1:56" s="4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1:56" s="4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1:56" s="4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1:56" s="4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1:56" s="4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1:56" s="4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1:56" s="4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1:56" s="4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1:56" s="4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1:56" s="4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1:56" s="4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1:56" s="4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</row>
    <row r="1712" spans="1:56" s="4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</row>
    <row r="1713" spans="1:56" s="4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</row>
    <row r="1714" spans="1:56" s="4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</row>
    <row r="1715" spans="1:56" s="4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</row>
    <row r="1716" spans="1:56" s="4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</row>
    <row r="1717" spans="1:56" s="4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</row>
    <row r="1718" spans="1:56" s="4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</row>
    <row r="1719" spans="1:56" s="4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</row>
    <row r="1720" spans="1:56" s="4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</row>
    <row r="1721" spans="1:56" s="4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</row>
    <row r="1722" spans="1:56" s="4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</row>
    <row r="1723" spans="1:56" s="4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</row>
    <row r="1724" spans="1:56" s="4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</row>
    <row r="1725" spans="1:56" s="4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</row>
    <row r="1726" spans="1:56" s="4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</row>
    <row r="1727" spans="1:56" s="4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</row>
    <row r="1728" spans="1:56" s="4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</row>
    <row r="1729" spans="1:56" s="4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</row>
    <row r="1730" spans="1:56" s="4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</row>
    <row r="1731" spans="1:56" s="4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</row>
    <row r="1732" spans="1:56" s="4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</row>
    <row r="1733" spans="1:56" s="4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</row>
    <row r="1734" spans="1:56" s="4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</row>
    <row r="1735" spans="1:56" s="4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</row>
    <row r="1736" spans="1:56" s="4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</row>
    <row r="1737" spans="1:56" s="4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</row>
    <row r="1738" spans="1:56" s="4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</row>
    <row r="1739" spans="1:56" s="4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</row>
    <row r="1740" spans="1:56" s="4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</row>
    <row r="1741" spans="1:56" s="4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</row>
    <row r="1742" spans="1:56" s="4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</row>
    <row r="1743" spans="1:56" s="4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</row>
    <row r="1744" spans="1:56" s="4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</row>
    <row r="1745" spans="1:56" s="4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</row>
    <row r="1746" spans="1:56" s="4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</row>
    <row r="1747" spans="1:56" s="4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</row>
    <row r="1748" spans="1:56" s="4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</row>
    <row r="1749" spans="1:56" s="4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</row>
    <row r="1750" spans="1:56" s="4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</row>
    <row r="1751" spans="1:56" s="4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</row>
    <row r="1752" spans="1:56" s="4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</row>
    <row r="1753" spans="1:56" s="4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</row>
    <row r="1754" spans="1:56" s="4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</row>
    <row r="1755" spans="1:56" s="4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</row>
    <row r="1756" spans="1:56" s="4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</row>
    <row r="1757" spans="1:56" s="4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</row>
    <row r="1758" spans="1:56" s="4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</row>
    <row r="1759" spans="1:56" s="4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</row>
    <row r="1760" spans="1:56" s="4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</row>
    <row r="1761" spans="1:56" s="4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</row>
    <row r="1762" spans="1:56" s="4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</row>
    <row r="1763" spans="1:56" s="4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</row>
    <row r="1764" spans="1:56" s="4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</row>
    <row r="1765" spans="1:56" s="4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</row>
    <row r="1766" spans="1:56" s="4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</row>
    <row r="1767" spans="1:56" s="4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</row>
    <row r="1768" spans="1:56" s="4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</row>
    <row r="1769" spans="1:56" s="4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</row>
    <row r="1770" spans="1:56" s="4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</row>
    <row r="1771" spans="1:56" s="4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</row>
    <row r="1772" spans="1:56" s="4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</row>
    <row r="1773" spans="1:56" s="4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</row>
    <row r="1774" spans="1:56" s="4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</row>
    <row r="1775" spans="1:56" s="4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</row>
    <row r="1776" spans="1:56" s="4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</row>
    <row r="1777" spans="1:56" s="4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</row>
    <row r="1778" spans="1:56" s="4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</row>
    <row r="1779" spans="1:56" s="4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</row>
    <row r="1780" spans="1:56" s="4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</row>
    <row r="1781" spans="1:56" s="4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</row>
    <row r="1782" spans="1:56" s="4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</row>
    <row r="1783" spans="1:56" s="4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</row>
    <row r="1784" spans="1:56" s="4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</row>
    <row r="1785" spans="1:56" s="4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</row>
    <row r="1786" spans="1:56" s="4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</row>
    <row r="1787" spans="1:56" s="4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</row>
    <row r="1788" spans="1:56" s="4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</row>
    <row r="1789" spans="1:56" s="4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</row>
    <row r="1790" spans="1:56" s="4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</row>
    <row r="1791" spans="1:56" s="4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</row>
    <row r="1792" spans="1:56" s="4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</row>
    <row r="1793" spans="1:56" s="4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</row>
    <row r="1794" spans="1:56" s="4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</row>
    <row r="1795" spans="1:56" s="4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</row>
    <row r="1796" spans="1:56" s="4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</row>
    <row r="1797" spans="1:56" s="4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</row>
    <row r="1798" spans="1:56" s="4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</row>
    <row r="1799" spans="1:56" s="4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</row>
    <row r="1800" spans="1:56" s="4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</row>
    <row r="1801" spans="1:56" s="4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</row>
    <row r="1802" spans="1:56" s="4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</row>
    <row r="1803" spans="1:56" s="4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</row>
    <row r="1804" spans="1:56" s="4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</row>
    <row r="1805" spans="1:56" s="4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</row>
    <row r="1806" spans="1:56" s="4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</row>
    <row r="1807" spans="1:56" s="4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</row>
    <row r="1808" spans="1:56" s="4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</row>
    <row r="1809" spans="1:56" s="4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</row>
    <row r="1810" spans="1:56" s="4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</row>
    <row r="1811" spans="1:56" s="4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</row>
    <row r="1812" spans="1:56" s="4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</row>
    <row r="1813" spans="1:56" s="4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</row>
    <row r="1814" spans="1:56" s="4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</row>
    <row r="1815" spans="1:56" s="4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</row>
    <row r="1816" spans="1:56" s="4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</row>
    <row r="1817" spans="1:56" s="4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</row>
    <row r="1818" spans="1:56" s="4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</row>
    <row r="1819" spans="1:56" s="4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</row>
    <row r="1820" spans="1:56" s="4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</row>
    <row r="1821" spans="1:56" s="4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</row>
    <row r="1822" spans="1:56" s="4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</row>
    <row r="1823" spans="1:56" s="4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</row>
    <row r="1824" spans="1:56" s="4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</row>
    <row r="1825" spans="1:56" s="4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</row>
    <row r="1826" spans="1:56" s="4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</row>
    <row r="1827" spans="1:56" s="4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</row>
    <row r="1828" spans="1:56" s="4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</row>
    <row r="1829" spans="1:56" s="4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</row>
    <row r="1830" spans="1:56" s="4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</row>
    <row r="1831" spans="1:56" s="4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</row>
    <row r="1832" spans="1:56" s="4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</row>
    <row r="1833" spans="1:56" s="4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</row>
    <row r="1834" spans="1:56" s="4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</row>
    <row r="1835" spans="1:56" s="4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</row>
    <row r="1836" spans="1:56" s="4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</row>
    <row r="1837" spans="1:56" s="4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</row>
    <row r="1838" spans="1:56" s="4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</row>
    <row r="1839" spans="1:56" s="4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</row>
    <row r="1840" spans="1:56" s="4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</row>
    <row r="1841" spans="1:56" s="4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</row>
    <row r="1842" spans="1:56" s="4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</row>
    <row r="1843" spans="1:56" s="4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</row>
    <row r="1844" spans="1:56" s="4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</row>
    <row r="1845" spans="1:56" s="4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</row>
    <row r="1846" spans="1:56" s="4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</row>
    <row r="1847" spans="1:56" s="4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</row>
    <row r="1848" spans="1:56" s="4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</row>
    <row r="1849" spans="1:56" s="4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</row>
    <row r="1850" spans="1:56" s="4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</row>
    <row r="1851" spans="1:56" s="4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</row>
    <row r="1852" spans="1:56" s="4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</row>
    <row r="1853" spans="1:56" s="4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</row>
    <row r="1854" spans="1:56" s="4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</row>
    <row r="1855" spans="1:56" s="4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</row>
    <row r="1856" spans="1:56" s="4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</row>
    <row r="1857" spans="1:56" s="4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</row>
    <row r="1858" spans="1:56" s="4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</row>
    <row r="1859" spans="1:56" s="4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</row>
    <row r="1860" spans="1:56" s="4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</row>
    <row r="1861" spans="1:56" s="4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</row>
    <row r="1862" spans="1:56" s="4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</row>
    <row r="1863" spans="1:56" s="4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</row>
    <row r="1864" spans="1:56" s="4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</row>
    <row r="1865" spans="1:56" s="4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</row>
    <row r="1866" spans="1:56" s="4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</row>
    <row r="1867" spans="1:56" s="4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</row>
    <row r="1868" spans="1:56" s="4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</row>
    <row r="1869" spans="1:56" s="4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</row>
    <row r="1870" spans="1:56" s="4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</row>
    <row r="1871" spans="1:56" s="4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</row>
    <row r="1872" spans="1:56" s="4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</row>
    <row r="1873" spans="1:56" s="4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</row>
    <row r="1874" spans="1:56" s="4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</row>
    <row r="1875" spans="1:56" s="4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</row>
    <row r="1876" spans="1:56" s="4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</row>
    <row r="1877" spans="1:56" s="4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</row>
    <row r="1878" spans="1:56" s="4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</row>
    <row r="1879" spans="1:56" s="4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</row>
    <row r="1880" spans="1:56" s="4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</row>
    <row r="1881" spans="1:56" s="4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</row>
    <row r="1882" spans="1:56" s="4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</row>
    <row r="1883" spans="1:56" s="4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</row>
    <row r="1884" spans="1:56" s="4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</row>
    <row r="1885" spans="1:56" s="4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</row>
    <row r="1886" spans="1:56" s="4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</row>
    <row r="1887" spans="1:56" s="4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</row>
    <row r="1888" spans="1:56" s="4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</row>
    <row r="1889" spans="1:56" s="4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</row>
    <row r="1890" spans="1:56" s="4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</row>
    <row r="1891" spans="1:56" s="4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</row>
    <row r="1892" spans="1:56" s="4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</row>
    <row r="1893" spans="1:56" s="4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</row>
    <row r="1894" spans="1:56" s="4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</row>
    <row r="1895" spans="1:56" s="4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</row>
    <row r="1896" spans="1:56" s="4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</row>
    <row r="1897" spans="1:56" s="4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</row>
    <row r="1898" spans="1:56" s="4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</row>
    <row r="1899" spans="1:56" s="4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</row>
    <row r="1900" spans="1:56" s="4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</row>
    <row r="1901" spans="1:56" s="4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</row>
    <row r="1902" spans="1:56" s="4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</row>
    <row r="1903" spans="1:56" s="4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</row>
    <row r="1904" spans="1:56" s="4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</row>
    <row r="1905" spans="1:56" s="4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</row>
    <row r="1906" spans="1:56" s="4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</row>
    <row r="1907" spans="1:56" s="4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</row>
    <row r="1908" spans="1:56" s="4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</row>
    <row r="1909" spans="1:56" s="4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</row>
    <row r="1910" spans="1:56" s="4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</row>
    <row r="1911" spans="1:56" s="4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</row>
    <row r="1912" spans="1:56" s="4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</row>
    <row r="1913" spans="1:56" s="4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</row>
    <row r="1914" spans="1:56" s="4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</row>
    <row r="1915" spans="1:56" s="4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</row>
    <row r="1916" spans="1:56" s="4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</row>
    <row r="1917" spans="1:56" s="4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</row>
    <row r="1918" spans="1:56" s="4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</row>
    <row r="1919" spans="1:56" s="4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</row>
    <row r="1920" spans="1:56" s="4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</row>
    <row r="1921" spans="1:56" s="4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</row>
    <row r="1922" spans="1:56" s="4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</row>
    <row r="1923" spans="1:56" s="4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</row>
    <row r="1924" spans="1:56" s="4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</row>
    <row r="1925" spans="1:56" s="4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</row>
    <row r="1926" spans="1:56" s="4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</row>
    <row r="1927" spans="1:56" s="4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</row>
    <row r="1928" spans="1:56" s="4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</row>
    <row r="1929" spans="1:56" s="4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</row>
    <row r="1930" spans="1:56" s="4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</row>
    <row r="1931" spans="1:56" s="4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</row>
    <row r="1932" spans="1:56" s="4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</row>
    <row r="1933" spans="1:56" s="4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</row>
    <row r="1934" spans="1:56" s="4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</row>
    <row r="1935" spans="1:56" s="4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</row>
    <row r="1936" spans="1:56" s="4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</row>
    <row r="1937" spans="1:56" s="4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</row>
    <row r="1938" spans="1:56" s="4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</row>
    <row r="1939" spans="1:56" s="4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</row>
    <row r="1940" spans="1:56" s="4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</row>
    <row r="1941" spans="1:56" s="4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</row>
    <row r="1942" spans="1:56" s="4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</row>
    <row r="1943" spans="1:56" s="4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</row>
    <row r="1944" spans="1:56" s="4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</row>
    <row r="1945" spans="1:56" s="4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</row>
    <row r="1946" spans="1:56" s="4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</row>
    <row r="1947" spans="1:56" s="4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</row>
    <row r="1948" spans="1:56" s="4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</row>
    <row r="1949" spans="1:56" s="4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</row>
    <row r="1950" spans="1:56" s="4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</row>
    <row r="1951" spans="1:56" s="4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</row>
    <row r="1952" spans="1:56" s="4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</row>
    <row r="1953" spans="1:56" s="4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</row>
    <row r="1954" spans="1:56" s="4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</row>
    <row r="1955" spans="1:56" s="4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</row>
    <row r="1956" spans="1:56" s="4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</row>
    <row r="1957" spans="1:56" s="4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</row>
    <row r="1958" spans="1:56" s="4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</row>
    <row r="1959" spans="1:56" s="4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</row>
    <row r="1960" spans="1:56" s="4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</row>
    <row r="1961" spans="1:56" s="4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</row>
    <row r="1962" spans="1:56" s="4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</row>
    <row r="1963" spans="1:56" s="4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</row>
    <row r="1964" spans="1:56" s="4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</row>
    <row r="1965" spans="1:56" s="4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</row>
    <row r="1966" spans="1:56" s="4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</row>
    <row r="1967" spans="1:56" s="4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</row>
    <row r="1968" spans="1:56" s="4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</row>
    <row r="1969" spans="1:56" s="4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</row>
    <row r="1970" spans="1:56" s="4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</row>
    <row r="1971" spans="1:56" s="4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</row>
    <row r="1972" spans="1:56" s="4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</row>
    <row r="1973" spans="1:56" s="4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</row>
    <row r="1974" spans="1:56" s="4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</row>
    <row r="1975" spans="1:56" s="4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</row>
    <row r="1976" spans="1:56" s="4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</row>
    <row r="1977" spans="1:56" s="4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</row>
    <row r="1978" spans="1:56" s="4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</row>
    <row r="1979" spans="1:56" s="4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</row>
    <row r="1980" spans="1:56" s="4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</row>
    <row r="1981" spans="1:56" s="4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</row>
    <row r="1982" spans="1:56" s="4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</row>
    <row r="1983" spans="1:56" s="4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</row>
    <row r="1984" spans="1:56" s="4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</row>
    <row r="1985" spans="1:56" s="4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</row>
    <row r="1986" spans="1:56" s="4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</row>
    <row r="1987" spans="1:56" s="4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</row>
    <row r="1988" spans="1:56" s="4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</row>
    <row r="1989" spans="1:56" s="4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</row>
    <row r="1990" spans="1:56" s="4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</row>
    <row r="1991" spans="1:56" s="4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</row>
    <row r="1992" spans="1:56" s="4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</row>
    <row r="1993" spans="1:56" s="4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</row>
    <row r="1994" spans="1:56" s="4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</row>
    <row r="1995" spans="1:56" s="4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</row>
    <row r="1996" spans="1:56" s="4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</row>
    <row r="1997" spans="1:56" s="4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</row>
    <row r="1998" spans="1:56" s="4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</row>
    <row r="1999" spans="1:56" s="4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</row>
    <row r="2000" spans="1:56" s="4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</row>
    <row r="2001" spans="1:56" s="4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</row>
    <row r="2002" spans="1:56" s="4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</row>
    <row r="2003" spans="1:56" s="4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</row>
    <row r="2004" spans="1:56" s="4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</row>
    <row r="2005" spans="1:56" s="4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</row>
    <row r="2006" spans="1:56" s="4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</row>
    <row r="2007" spans="1:56" s="4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</row>
    <row r="2008" spans="1:56" s="4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</row>
    <row r="2009" spans="1:56" s="4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</row>
    <row r="2010" spans="1:56" s="4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</row>
    <row r="2011" spans="1:56" s="4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</row>
    <row r="2012" spans="1:56" s="4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</row>
    <row r="2013" spans="1:56" s="4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</row>
    <row r="2014" spans="1:56" s="4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</row>
    <row r="2015" spans="1:56" s="4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</row>
    <row r="2016" spans="1:56" s="4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</row>
    <row r="2017" spans="1:56" s="4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</row>
    <row r="2018" spans="1:56" s="4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</row>
    <row r="2019" spans="1:56" s="4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</row>
    <row r="2020" spans="1:56" s="4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</row>
    <row r="2021" spans="1:56" s="4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</row>
    <row r="2022" spans="1:56" s="4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</row>
    <row r="2023" spans="1:56" s="4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</row>
    <row r="2024" spans="1:56" s="4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</row>
    <row r="2025" spans="1:56" s="4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</row>
    <row r="2026" spans="1:56" s="4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</row>
    <row r="2027" spans="1:56" s="4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</row>
    <row r="2028" spans="1:56" s="4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</row>
    <row r="2029" spans="1:56" s="4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</row>
    <row r="2030" spans="1:56" s="4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</row>
    <row r="2031" spans="1:56" s="4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</row>
    <row r="2032" spans="1:56" s="4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</row>
    <row r="2033" spans="1:56" s="4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</row>
    <row r="2034" spans="1:56" s="4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</row>
    <row r="2035" spans="1:56" s="4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</row>
    <row r="2036" spans="1:56" s="4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</row>
    <row r="2037" spans="1:56" s="4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</row>
    <row r="2038" spans="1:56" s="4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</row>
    <row r="2039" spans="1:56" s="4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</row>
    <row r="2040" spans="1:56" s="4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</row>
    <row r="2041" spans="1:56" s="4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</row>
    <row r="2042" spans="1:56" s="4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</row>
    <row r="2043" spans="1:56" s="4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</row>
    <row r="2044" spans="1:56" s="4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</row>
    <row r="2045" spans="1:56" s="4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</row>
    <row r="2046" spans="1:56" s="4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</row>
    <row r="2047" spans="1:56" s="4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</row>
    <row r="2048" spans="1:56" s="4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</row>
    <row r="2049" spans="1:56" s="4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</row>
    <row r="2050" spans="1:56" s="4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</row>
    <row r="2051" spans="1:56" s="4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</row>
    <row r="2052" spans="1:56" s="4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</row>
    <row r="2053" spans="1:56" s="4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</row>
    <row r="2054" spans="1:56" s="4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</row>
    <row r="2055" spans="1:56" s="4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</row>
    <row r="2056" spans="1:56" s="4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</row>
    <row r="2057" spans="1:56" s="4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</row>
    <row r="2058" spans="1:56" s="4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</row>
    <row r="2059" spans="1:56" s="4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</row>
    <row r="2060" spans="1:56" s="4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</row>
    <row r="2061" spans="1:56" s="4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</row>
    <row r="2062" spans="1:56" s="4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</row>
    <row r="2063" spans="1:56" s="4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</row>
    <row r="2064" spans="1:56" s="4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</row>
    <row r="2065" spans="1:56" s="4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</row>
    <row r="2066" spans="1:56" s="4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</row>
    <row r="2067" spans="1:56" s="4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</row>
    <row r="2068" spans="1:56" s="4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</row>
    <row r="2069" spans="1:56" s="4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</row>
    <row r="2070" spans="1:56" s="4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</row>
    <row r="2071" spans="1:56" s="4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</row>
    <row r="2072" spans="1:56" s="4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</row>
    <row r="2073" spans="1:56" s="4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</row>
    <row r="2074" spans="1:56" s="4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</row>
    <row r="2075" spans="1:56" s="4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</row>
    <row r="2076" spans="1:56" s="4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</row>
    <row r="2077" spans="1:56" s="4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</row>
    <row r="2078" spans="1:56" s="4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</row>
    <row r="2079" spans="1:56" s="4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</row>
    <row r="2080" spans="1:56" s="4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</row>
    <row r="2081" spans="1:56" s="4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</row>
    <row r="2082" spans="1:56" s="4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</row>
    <row r="2083" spans="1:56" s="4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</row>
    <row r="2084" spans="1:56" s="4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</row>
    <row r="2085" spans="1:56" s="4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</row>
    <row r="2086" spans="1:56" s="4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</row>
    <row r="2087" spans="1:56" s="4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</row>
    <row r="2088" spans="1:56" s="4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</row>
    <row r="2089" spans="1:56" s="4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</row>
    <row r="2090" spans="1:56" s="4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</row>
    <row r="2091" spans="1:56" s="4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</row>
    <row r="2092" spans="1:56" s="4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</row>
    <row r="2093" spans="1:56" s="4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</row>
    <row r="2094" spans="1:56" s="4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</row>
    <row r="2095" spans="1:56" s="4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</row>
    <row r="2096" spans="1:56" s="4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</row>
    <row r="2097" spans="1:56" s="4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</row>
    <row r="2098" spans="1:56" s="4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</row>
    <row r="2099" spans="1:56" s="4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</row>
    <row r="2100" spans="1:56" s="4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</row>
    <row r="2101" spans="1:56" s="4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</row>
    <row r="2102" spans="1:56" s="4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</row>
    <row r="2103" spans="1:56" s="4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</row>
    <row r="2104" spans="1:56" s="4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</row>
    <row r="2105" spans="1:56" s="4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</row>
    <row r="2106" spans="1:56" s="4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</row>
    <row r="2107" spans="1:56" s="4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</row>
    <row r="2108" spans="1:56" s="4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</row>
    <row r="2109" spans="1:56" s="4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</row>
    <row r="2110" spans="1:56" s="4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</row>
    <row r="2111" spans="1:56" s="4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</row>
    <row r="2112" spans="1:56" s="4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</row>
    <row r="2113" spans="1:56" s="4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</row>
    <row r="2114" spans="1:56" s="4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</row>
    <row r="2115" spans="1:56" s="4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</row>
    <row r="2116" spans="1:56" s="4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</row>
    <row r="2117" spans="1:56" s="4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</row>
    <row r="2118" spans="1:56" s="4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</row>
    <row r="2119" spans="1:56" s="4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</row>
    <row r="2120" spans="1:56" s="4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</row>
    <row r="2121" spans="1:56" s="4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</row>
    <row r="2122" spans="1:56" s="4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</row>
    <row r="2123" spans="1:56" s="4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</row>
    <row r="2124" spans="1:56" s="4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</row>
    <row r="2125" spans="1:56" s="4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</row>
    <row r="2126" spans="1:56" s="4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</row>
    <row r="2127" spans="1:56" s="4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</row>
    <row r="2128" spans="1:56" s="4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</row>
    <row r="2129" spans="1:56" s="4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</row>
    <row r="2130" spans="1:56" s="4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</row>
    <row r="2131" spans="1:56" s="4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</row>
    <row r="2132" spans="1:56" s="4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</row>
    <row r="2133" spans="1:56" s="4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</row>
    <row r="2134" spans="1:56" s="4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</row>
    <row r="2135" spans="1:56" s="4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</row>
    <row r="2136" spans="1:56" s="4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</row>
    <row r="2137" spans="1:56" s="4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</row>
    <row r="2138" spans="1:56" s="4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</row>
    <row r="2139" spans="1:56" s="4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</row>
    <row r="2140" spans="1:56" s="4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</row>
    <row r="2141" spans="1:56" s="4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</row>
    <row r="2142" spans="1:56" s="4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</row>
    <row r="2143" spans="1:56" s="4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</row>
    <row r="2144" spans="1:56" s="4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</row>
    <row r="2145" spans="1:56" s="4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</row>
    <row r="2146" spans="1:56" s="4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</row>
    <row r="2147" spans="1:56" s="4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</row>
    <row r="2148" spans="1:56" s="4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</row>
    <row r="2149" spans="1:56" s="4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</row>
    <row r="2150" spans="1:56" s="4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</row>
    <row r="2151" spans="1:56" s="4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</row>
    <row r="2152" spans="1:56" s="4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</row>
    <row r="2153" spans="1:56" s="4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</row>
    <row r="2154" spans="1:56" s="4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</row>
    <row r="2155" spans="1:56" s="4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</row>
    <row r="2156" spans="1:56" s="4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</row>
    <row r="2157" spans="1:56" s="4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</row>
    <row r="2158" spans="1:56" s="4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</row>
    <row r="2159" spans="1:56" s="4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</row>
    <row r="2160" spans="1:56" s="4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</row>
    <row r="2161" spans="1:56" s="4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</row>
    <row r="2162" spans="1:56" s="4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</row>
    <row r="2163" spans="1:56" s="4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</row>
    <row r="2164" spans="1:56" s="4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</row>
    <row r="2165" spans="1:56" s="4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</row>
    <row r="2166" spans="1:56" s="4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</row>
    <row r="2167" spans="1:56" s="4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</row>
    <row r="2168" spans="1:56" s="4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</row>
    <row r="2169" spans="1:56" s="4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</row>
    <row r="2170" spans="1:56" s="4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</row>
    <row r="2171" spans="1:56" s="4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</row>
    <row r="2172" spans="1:56" s="4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</row>
    <row r="2173" spans="1:56" s="4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</row>
    <row r="2174" spans="1:56" s="4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</row>
    <row r="2175" spans="1:56" s="4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</row>
    <row r="2176" spans="1:56" s="4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</row>
    <row r="2177" spans="1:56" s="4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</row>
    <row r="2178" spans="1:56" s="4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</row>
    <row r="2179" spans="1:56" s="4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</row>
    <row r="2180" spans="1:56" s="4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</row>
    <row r="2181" spans="1:56" s="4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</row>
    <row r="2182" spans="1:56" s="4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</row>
    <row r="2183" spans="1:56" s="4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</row>
    <row r="2184" spans="1:56" s="4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</row>
    <row r="2185" spans="1:56" s="4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</row>
    <row r="2186" spans="1:56" s="4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</row>
    <row r="2187" spans="1:56" s="4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</row>
    <row r="2188" spans="1:56" s="4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</row>
    <row r="2189" spans="1:56" s="4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</row>
    <row r="2190" spans="1:56" s="4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</row>
    <row r="2191" spans="1:56" s="4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</row>
    <row r="2192" spans="1:56" s="4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</row>
    <row r="2193" spans="1:56" s="4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</row>
    <row r="2194" spans="1:56" s="4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</row>
    <row r="2195" spans="1:56" s="4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</row>
    <row r="2196" spans="1:56" s="4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</row>
    <row r="2197" spans="1:56" s="4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</row>
    <row r="2198" spans="1:56" s="4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</row>
    <row r="2199" spans="1:56" s="4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</row>
    <row r="2200" spans="1:56" s="4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</row>
    <row r="2201" spans="1:56" s="4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</row>
    <row r="2202" spans="1:56" s="4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</row>
    <row r="2203" spans="1:56" s="4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</row>
    <row r="2204" spans="1:56" s="4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</row>
    <row r="2205" spans="1:56" s="4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</row>
    <row r="2206" spans="1:56" s="4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</row>
    <row r="2207" spans="1:56" s="4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</row>
    <row r="2208" spans="1:56" s="4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</row>
    <row r="2209" spans="1:56" s="4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</row>
    <row r="2210" spans="1:56" s="4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</row>
    <row r="2211" spans="1:56" s="4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</row>
    <row r="2212" spans="1:56" s="4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</row>
    <row r="2213" spans="1:56" s="4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</row>
    <row r="2214" spans="1:56" s="4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</row>
    <row r="2215" spans="1:56" s="4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</row>
    <row r="2216" spans="1:56" s="4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</row>
    <row r="2217" spans="1:56" s="4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</row>
    <row r="2218" spans="1:56" s="4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</row>
    <row r="2219" spans="1:56" s="4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</row>
    <row r="2220" spans="1:56" s="4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</row>
    <row r="2221" spans="1:56" s="4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</row>
    <row r="2222" spans="1:56" s="4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</row>
    <row r="2223" spans="1:56" s="4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</row>
    <row r="2224" spans="1:56" s="4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</row>
    <row r="2225" spans="1:56" s="4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</row>
    <row r="2226" spans="1:56" s="4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</row>
    <row r="2227" spans="1:56" s="4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</row>
    <row r="2228" spans="1:56" s="4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</row>
    <row r="2229" spans="1:56" s="4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</row>
    <row r="2230" spans="1:56" s="4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</row>
    <row r="2231" spans="1:56" s="4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</row>
    <row r="2232" spans="1:56" s="4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</row>
    <row r="2233" spans="1:56" s="4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</row>
    <row r="2234" spans="1:56" s="4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</row>
    <row r="2235" spans="1:56" s="4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</row>
    <row r="2236" spans="1:56" s="4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</row>
    <row r="2237" spans="1:56" s="4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</row>
    <row r="2238" spans="1:56" s="4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</row>
    <row r="2239" spans="1:56" s="4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</row>
    <row r="2240" spans="1:56" s="4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</row>
    <row r="2241" spans="1:56" s="4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</row>
    <row r="2242" spans="1:56" s="4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</row>
    <row r="2243" spans="1:56" s="4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</row>
    <row r="2244" spans="1:56" s="4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</row>
    <row r="2245" spans="1:56" s="4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</row>
    <row r="2246" spans="1:56" s="4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</row>
    <row r="2247" spans="1:56" s="4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</row>
    <row r="2248" spans="1:56" s="4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</row>
    <row r="2249" spans="1:56" s="4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</row>
    <row r="2250" spans="1:56" s="4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</row>
    <row r="2251" spans="1:56" s="4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</row>
    <row r="2252" spans="1:56" s="4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</row>
    <row r="2253" spans="1:56" s="4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</row>
    <row r="2254" spans="1:56" s="4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</row>
    <row r="2255" spans="1:56" s="4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</row>
    <row r="2256" spans="1:56" s="4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</row>
    <row r="2257" spans="1:56" s="4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</row>
    <row r="2258" spans="1:56" s="4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</row>
    <row r="2259" spans="1:56" s="4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</row>
    <row r="2260" spans="1:56" s="4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</row>
    <row r="2261" spans="1:56" s="4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</row>
    <row r="2262" spans="1:56" s="4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</row>
    <row r="2263" spans="1:56" s="4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</row>
    <row r="2264" spans="1:56" s="4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</row>
    <row r="2265" spans="1:56" s="4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</row>
    <row r="2266" spans="1:56" s="4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</row>
    <row r="2267" spans="1:56" s="4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</row>
    <row r="2268" spans="1:56" s="4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</row>
    <row r="2269" spans="1:56" s="4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</row>
    <row r="2270" spans="1:56" s="4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</row>
    <row r="2271" spans="1:56" s="4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</row>
    <row r="2272" spans="1:56" s="4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</row>
    <row r="2273" spans="1:56" s="4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</row>
    <row r="2274" spans="1:56" s="4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</row>
    <row r="2275" spans="1:56" s="4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</row>
    <row r="2276" spans="1:56" s="4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</row>
    <row r="2277" spans="1:56" s="4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</row>
    <row r="2278" spans="1:56" s="4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</row>
    <row r="2279" spans="1:56" s="4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</row>
    <row r="2280" spans="1:56" s="4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</row>
    <row r="2281" spans="1:56" s="4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</row>
    <row r="2282" spans="1:56" s="4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</row>
    <row r="2283" spans="1:56" s="4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</row>
    <row r="2284" spans="1:56" s="4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</row>
    <row r="2285" spans="1:56" s="4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</row>
    <row r="2286" spans="1:56" s="4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</row>
    <row r="2287" spans="1:56" s="4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</row>
    <row r="2288" spans="1:56" s="4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</row>
    <row r="2289" spans="1:56" s="4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</row>
    <row r="2290" spans="1:56" s="4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</row>
    <row r="2291" spans="1:56" s="4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</row>
    <row r="2292" spans="1:56" s="4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</row>
    <row r="2293" spans="1:56" s="4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</row>
    <row r="2294" spans="1:56" s="4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</row>
    <row r="2295" spans="1:56" s="4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</row>
    <row r="2296" spans="1:56" s="4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</row>
    <row r="2297" spans="1:56" s="4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</row>
    <row r="2298" spans="1:56" s="4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</row>
    <row r="2299" spans="1:56" s="4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</row>
    <row r="2300" spans="1:56" s="4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</row>
    <row r="2301" spans="1:56" s="4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</row>
    <row r="2302" spans="1:56" s="4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</row>
    <row r="2303" spans="1:56" s="4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</row>
    <row r="2304" spans="1:56" s="4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</row>
    <row r="2305" spans="1:56" s="4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</row>
    <row r="2306" spans="1:56" s="4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</row>
    <row r="2307" spans="1:56" s="4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</row>
    <row r="2308" spans="1:56" s="4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</row>
    <row r="2309" spans="1:56" s="4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</row>
    <row r="2310" spans="1:56" s="4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</row>
    <row r="2311" spans="1:56" s="4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</row>
    <row r="2312" spans="1:56" s="4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</row>
    <row r="2313" spans="1:56" s="4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</row>
    <row r="2314" spans="1:56" s="4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</row>
    <row r="2315" spans="1:56" s="4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</row>
    <row r="2316" spans="1:56" s="4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</row>
    <row r="2317" spans="1:56" s="4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</row>
    <row r="2318" spans="1:56" s="4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</row>
    <row r="2319" spans="1:56" s="4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</row>
    <row r="2320" spans="1:56" s="4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</row>
    <row r="2321" spans="1:56" s="4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</row>
    <row r="2322" spans="1:56" s="4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</row>
    <row r="2323" spans="1:56" s="4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</row>
    <row r="2324" spans="1:56" s="4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</row>
    <row r="2325" spans="1:56" s="4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</row>
    <row r="2326" spans="1:56" s="4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</row>
    <row r="2327" spans="1:56" s="4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</row>
    <row r="2328" spans="1:56" s="4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</row>
    <row r="2329" spans="1:56" s="4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</row>
    <row r="2330" spans="1:56" s="4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</row>
    <row r="2331" spans="1:56" s="4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</row>
    <row r="2332" spans="1:56" s="4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</row>
    <row r="2333" spans="1:56" s="4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</row>
    <row r="2334" spans="1:56" s="4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</row>
    <row r="2335" spans="1:56" s="4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</row>
    <row r="2336" spans="1:56" s="4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</row>
    <row r="2337" spans="1:56" s="4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</row>
    <row r="2338" spans="1:56" s="4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</row>
    <row r="2339" spans="1:56" s="4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</row>
    <row r="2340" spans="1:56" s="4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</row>
    <row r="2341" spans="1:56" s="4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</row>
    <row r="2342" spans="1:56" s="4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</row>
    <row r="2343" spans="1:56" s="4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</row>
    <row r="2344" spans="1:56" s="4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</row>
    <row r="2345" spans="1:56" s="4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</row>
    <row r="2346" spans="1:56" s="4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</row>
    <row r="2347" spans="1:56" s="4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</row>
    <row r="2348" spans="1:56" s="4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</row>
    <row r="2349" spans="1:56" s="4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</row>
    <row r="2350" spans="1:56" s="4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</row>
    <row r="2351" spans="1:56" s="4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</row>
    <row r="2352" spans="1:56" s="4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</row>
    <row r="2353" spans="1:56" s="4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</row>
    <row r="2354" spans="1:56" s="4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</row>
    <row r="2355" spans="1:56" s="4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</row>
    <row r="2356" spans="1:56" s="4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</row>
    <row r="2357" spans="1:56" s="4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</row>
    <row r="2358" spans="1:56" s="4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</row>
    <row r="2359" spans="1:56" s="4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</row>
    <row r="2360" spans="1:56" s="4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</row>
    <row r="2361" spans="1:56" s="4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</row>
    <row r="2362" spans="1:56" s="4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</row>
    <row r="2363" spans="1:56" s="4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</row>
    <row r="2364" spans="1:56" s="4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</row>
    <row r="2365" spans="1:56" s="4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</row>
    <row r="2366" spans="1:56" s="4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</row>
    <row r="2367" spans="1:56" s="4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</row>
    <row r="2368" spans="1:56" s="4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</row>
    <row r="2369" spans="1:56" s="4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</row>
    <row r="2370" spans="1:56" s="4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</row>
    <row r="2371" spans="1:56" s="4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</row>
    <row r="2372" spans="1:56" s="4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</row>
    <row r="2373" spans="1:56" s="4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</row>
    <row r="2374" spans="1:56" s="4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</row>
    <row r="2375" spans="1:56" s="4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</row>
    <row r="2376" spans="1:56" s="4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</row>
    <row r="2377" spans="1:56" s="4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</row>
    <row r="2378" spans="1:56" s="4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</row>
    <row r="2379" spans="1:56" s="4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</row>
    <row r="2380" spans="1:56" s="4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</row>
    <row r="2381" spans="1:56" s="4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</row>
    <row r="2382" spans="1:56" s="4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</row>
    <row r="2383" spans="1:56" s="4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</row>
    <row r="2384" spans="1:56" s="4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</row>
    <row r="2385" spans="1:56" s="4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</row>
    <row r="2386" spans="1:56" s="4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</row>
    <row r="2387" spans="1:56" s="4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</row>
    <row r="2388" spans="1:56" s="4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</row>
    <row r="2389" spans="1:56" s="4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</row>
    <row r="2390" spans="1:56" s="4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</row>
    <row r="2391" spans="1:56" s="4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</row>
    <row r="2392" spans="1:56" s="4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</row>
    <row r="2393" spans="1:56" s="4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</row>
    <row r="2394" spans="1:56" s="4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</row>
    <row r="2395" spans="1:56" s="4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</row>
    <row r="2396" spans="1:56" s="4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</row>
    <row r="2397" spans="1:56" s="4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</row>
    <row r="2398" spans="1:56" s="4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</row>
    <row r="2399" spans="1:56" s="4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</row>
    <row r="2400" spans="1:56" s="4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</row>
    <row r="2401" spans="1:56" s="4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</row>
    <row r="2402" spans="1:56" s="4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</row>
    <row r="2403" spans="1:56" s="4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</row>
    <row r="2404" spans="1:56" s="4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</row>
    <row r="2405" spans="1:56" s="4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</row>
    <row r="2406" spans="1:56" s="4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</row>
    <row r="2407" spans="1:56" s="4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</row>
    <row r="2408" spans="1:56" s="4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</row>
    <row r="2409" spans="1:56" s="4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</row>
    <row r="2410" spans="1:56" s="4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</row>
    <row r="2411" spans="1:56" s="4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</row>
    <row r="2412" spans="1:56" s="4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</row>
    <row r="2413" spans="1:56" s="4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</row>
    <row r="2414" spans="1:56" s="4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</row>
    <row r="2415" spans="1:56" s="4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</row>
    <row r="2416" spans="1:56" s="4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</row>
    <row r="2417" spans="1:56" s="4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</row>
    <row r="2418" spans="1:56" s="4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</row>
    <row r="2419" spans="1:56" s="4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</row>
    <row r="2420" spans="1:56" s="4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</row>
    <row r="2421" spans="1:56" s="4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</row>
    <row r="2422" spans="1:56" s="4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</row>
    <row r="2423" spans="1:56" s="4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</row>
    <row r="2424" spans="1:56" s="4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</row>
    <row r="2425" spans="1:56" s="4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</row>
    <row r="2426" spans="1:56" s="4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</row>
    <row r="2427" spans="1:56" s="4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</row>
    <row r="2428" spans="1:56" s="4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</row>
    <row r="2429" spans="1:56" s="4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</row>
    <row r="2430" spans="1:56" s="4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</row>
    <row r="2431" spans="1:56" s="4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</row>
    <row r="2432" spans="1:56" s="4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</row>
    <row r="2433" spans="1:56" s="4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</row>
    <row r="2434" spans="1:56" s="4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</row>
    <row r="2435" spans="1:56" s="4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</row>
    <row r="2436" spans="1:56" s="4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</row>
    <row r="2437" spans="1:56" s="4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</row>
    <row r="2438" spans="1:56" s="4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</row>
    <row r="2439" spans="1:56" s="4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</row>
    <row r="2440" spans="1:56" s="4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</row>
    <row r="2441" spans="1:56" s="4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</row>
    <row r="2442" spans="1:56" s="4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</row>
    <row r="2443" spans="1:56" s="4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</row>
    <row r="2444" spans="1:56" s="4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</row>
    <row r="2445" spans="1:56" s="4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</row>
    <row r="2446" spans="1:56" s="4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</row>
    <row r="2447" spans="1:56" s="4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</row>
    <row r="2448" spans="1:56" s="4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</row>
    <row r="2449" spans="1:56" s="4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</row>
    <row r="2450" spans="1:56" s="4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</row>
    <row r="2451" spans="1:56" s="4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</row>
    <row r="2452" spans="1:56" s="4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</row>
    <row r="2453" spans="1:56" s="4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</row>
    <row r="2454" spans="1:56" s="4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</row>
    <row r="2455" spans="1:56" s="4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</row>
    <row r="2456" spans="1:56" s="4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</row>
    <row r="2457" spans="1:56" s="4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</row>
    <row r="2458" spans="1:56" s="4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</row>
    <row r="2459" spans="1:56" s="4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</row>
    <row r="2460" spans="1:56" s="4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</row>
    <row r="2461" spans="1:56" s="4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</row>
    <row r="2462" spans="1:56" s="4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</row>
    <row r="2463" spans="1:56" s="4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</row>
    <row r="2464" spans="1:56" s="4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</row>
    <row r="2465" spans="1:56" s="4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</row>
    <row r="2466" spans="1:56" s="4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</row>
    <row r="2467" spans="1:56" s="4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</row>
    <row r="2468" spans="1:56" s="4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</row>
    <row r="2469" spans="1:56" s="4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</row>
    <row r="2470" spans="1:56" s="4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</row>
    <row r="2471" spans="1:56" s="4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</row>
    <row r="2472" spans="1:56" s="4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</row>
    <row r="2473" spans="1:56" s="4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</row>
    <row r="2474" spans="1:56" s="4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</row>
    <row r="2475" spans="1:56" s="4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</row>
    <row r="2476" spans="1:56" s="4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</row>
    <row r="2477" spans="1:56" s="4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</row>
    <row r="2478" spans="1:56" s="4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</row>
    <row r="2479" spans="1:56" s="4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</row>
    <row r="2480" spans="1:56" s="4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</row>
    <row r="2481" spans="1:56" s="4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</row>
    <row r="2482" spans="1:56" s="4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</row>
    <row r="2483" spans="1:56" s="4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</row>
    <row r="2484" spans="1:56" s="4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</row>
    <row r="2485" spans="1:56" s="4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</row>
    <row r="2486" spans="1:56" s="4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</row>
    <row r="2487" spans="1:56" s="4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</row>
    <row r="2488" spans="1:56" s="4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</row>
    <row r="2489" spans="1:56" s="4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</row>
    <row r="2490" spans="1:56" s="4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</row>
    <row r="2491" spans="1:56" s="4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</row>
    <row r="2492" spans="1:56" s="4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</row>
    <row r="2493" spans="1:56" s="4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</row>
    <row r="2494" spans="1:56" s="4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</row>
    <row r="2495" spans="1:56" s="4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</row>
    <row r="2496" spans="1:56" s="4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</row>
    <row r="2497" spans="1:56" s="4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</row>
    <row r="2498" spans="1:56" s="4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</row>
    <row r="2499" spans="1:56" s="4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</row>
    <row r="2500" spans="1:56" s="4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</row>
    <row r="2501" spans="1:56" s="4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</row>
    <row r="2502" spans="1:56" s="4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</row>
    <row r="2503" spans="1:56" s="4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</row>
    <row r="2504" spans="1:56" s="4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</row>
    <row r="2505" spans="1:56" s="4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</row>
    <row r="2506" spans="1:56" s="4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</row>
    <row r="2507" spans="1:56" s="4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</row>
    <row r="2508" spans="1:56" s="4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</row>
    <row r="2509" spans="1:56" s="4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</row>
    <row r="2510" spans="1:56" s="4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</row>
    <row r="2511" spans="1:56" s="4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</row>
    <row r="2512" spans="1:56" s="4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</row>
    <row r="2513" spans="1:56" s="4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</row>
    <row r="2514" spans="1:56" s="4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</row>
    <row r="2515" spans="1:56" s="4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</row>
    <row r="2516" spans="1:56" s="4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</row>
    <row r="2517" spans="1:56" s="4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</row>
    <row r="2518" spans="1:56" s="4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</row>
    <row r="2519" spans="1:56" s="4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</row>
    <row r="2520" spans="1:56" s="4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</row>
    <row r="2521" spans="1:56" s="4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</row>
    <row r="2522" spans="1:56" s="4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</row>
    <row r="2523" spans="1:56" s="4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</row>
    <row r="2524" spans="1:56" s="4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</row>
    <row r="2525" spans="1:56" s="4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</row>
    <row r="2526" spans="1:56" s="4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</row>
    <row r="2527" spans="1:56" s="4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</row>
    <row r="2528" spans="1:56" s="4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</row>
    <row r="2529" spans="1:56" s="4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</row>
    <row r="2530" spans="1:56" s="4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</row>
    <row r="2531" spans="1:56" s="4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</row>
    <row r="2532" spans="1:56" s="4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</row>
    <row r="2533" spans="1:56" s="4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</row>
    <row r="2534" spans="1:56" s="4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</row>
    <row r="2535" spans="1:56" s="4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</row>
    <row r="2536" spans="1:56" s="4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</row>
    <row r="2537" spans="1:56" s="4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</row>
    <row r="2538" spans="1:56" s="4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</row>
    <row r="2539" spans="1:56" s="4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</row>
    <row r="2540" spans="1:56" s="4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</row>
    <row r="2541" spans="1:56" s="4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</row>
    <row r="2542" spans="1:56" s="4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</row>
    <row r="2543" spans="1:56" s="4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</row>
    <row r="2544" spans="1:56" s="4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</row>
    <row r="2545" spans="1:56" s="4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</row>
    <row r="2546" spans="1:56" s="4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</row>
    <row r="2547" spans="1:56" s="4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</row>
    <row r="2548" spans="1:56" s="4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</row>
    <row r="2549" spans="1:56" s="4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</row>
    <row r="2550" spans="1:56" s="4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</row>
    <row r="2551" spans="1:56" s="4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</row>
    <row r="2552" spans="1:56" s="4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</row>
    <row r="2553" spans="1:56" s="4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</row>
    <row r="2554" spans="1:56" s="4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</row>
    <row r="2555" spans="1:56" s="4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</row>
    <row r="2556" spans="1:56" s="4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</row>
    <row r="2557" spans="1:56" s="4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</row>
    <row r="2558" spans="1:56" s="4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</row>
    <row r="2559" spans="1:56" s="4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</row>
    <row r="2560" spans="1:56" s="4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</row>
    <row r="2561" spans="1:56" s="4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</row>
    <row r="2562" spans="1:56" s="4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</row>
    <row r="2563" spans="1:56" s="4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</row>
    <row r="2564" spans="1:56" s="4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</row>
    <row r="2565" spans="1:56" s="4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</row>
    <row r="2566" spans="1:56" s="4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</row>
    <row r="2567" spans="1:56" s="4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</row>
    <row r="2568" spans="1:56" s="4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</row>
    <row r="2569" spans="1:56" s="4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</row>
    <row r="2570" spans="1:56" s="4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</row>
    <row r="2571" spans="1:56" s="4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</row>
    <row r="2572" spans="1:56" s="4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</row>
    <row r="2573" spans="1:56" s="4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</row>
    <row r="2574" spans="1:56" s="4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</row>
    <row r="2575" spans="1:56" s="4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</row>
    <row r="2576" spans="1:56" s="4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</row>
    <row r="2577" spans="1:56" s="4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</row>
    <row r="2578" spans="1:56" s="4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</row>
    <row r="2579" spans="1:56" s="4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</row>
    <row r="2580" spans="1:56" s="4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</row>
    <row r="2581" spans="1:56" s="4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</row>
    <row r="2582" spans="1:56" s="4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</row>
    <row r="2583" spans="1:56" s="4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</row>
    <row r="2584" spans="1:56" s="4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</row>
    <row r="2585" spans="1:56" s="4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</row>
    <row r="2586" spans="1:56" s="4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</row>
    <row r="2587" spans="1:56" s="4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</row>
    <row r="2588" spans="1:56" s="4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</row>
    <row r="2589" spans="1:56" s="4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</row>
    <row r="2590" spans="1:56" s="4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</row>
    <row r="2591" spans="1:56" s="4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</row>
    <row r="2592" spans="1:56" s="4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</row>
    <row r="2593" spans="1:56" s="4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</row>
    <row r="2594" spans="1:56" s="4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</row>
    <row r="2595" spans="1:56" s="4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</row>
    <row r="2596" spans="1:56" s="4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</row>
    <row r="2597" spans="1:56" s="4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</row>
    <row r="2598" spans="1:56" s="4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</row>
    <row r="2599" spans="1:56" s="4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</row>
    <row r="2600" spans="1:56" s="4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</row>
    <row r="2601" spans="1:56" s="4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</row>
    <row r="2602" spans="1:56" s="4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</row>
    <row r="2603" spans="1:56" s="4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</row>
    <row r="2604" spans="1:56" s="4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</row>
    <row r="2605" spans="1:56" s="4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</row>
    <row r="2606" spans="1:56" s="4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</row>
    <row r="2607" spans="1:56" s="4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</row>
    <row r="2608" spans="1:56" s="4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</row>
    <row r="2609" spans="1:56" s="4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</row>
    <row r="2610" spans="1:56" s="4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</row>
    <row r="2611" spans="1:56" s="4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</row>
    <row r="2612" spans="1:56" s="4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</row>
    <row r="2613" spans="1:56" s="4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</row>
    <row r="2614" spans="1:56" s="4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</row>
    <row r="2615" spans="1:56" s="4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</row>
    <row r="2616" spans="1:56" s="4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</row>
    <row r="2617" spans="1:56" s="4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</row>
    <row r="2618" spans="1:56" s="4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</row>
    <row r="2619" spans="1:56" s="4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</row>
    <row r="2620" spans="1:56" s="4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</row>
    <row r="2621" spans="1:56" s="4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</row>
    <row r="2622" spans="1:56" s="4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</row>
    <row r="2623" spans="1:56" s="4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</row>
    <row r="2624" spans="1:56" s="4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</row>
    <row r="2625" spans="1:56" s="4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</row>
    <row r="2626" spans="1:56" s="4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</row>
    <row r="2627" spans="1:56" s="4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</row>
    <row r="2628" spans="1:56" s="4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</row>
    <row r="2629" spans="1:56" s="4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</row>
    <row r="2630" spans="1:56" s="4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</row>
    <row r="2631" spans="1:56" s="4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</row>
    <row r="2632" spans="1:56" s="4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</row>
    <row r="2633" spans="1:56" s="4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</row>
    <row r="2634" spans="1:56" s="4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</row>
    <row r="2635" spans="1:56" s="4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</row>
    <row r="2636" spans="1:56" s="4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</row>
    <row r="2637" spans="1:56" s="4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</row>
    <row r="2638" spans="1:56" s="4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</row>
    <row r="2639" spans="1:56" s="4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</row>
    <row r="2640" spans="1:56" s="4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</row>
    <row r="2641" spans="1:56" s="4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</row>
    <row r="2642" spans="1:56" s="4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</row>
    <row r="2643" spans="1:56" s="4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</row>
    <row r="2644" spans="1:56" s="4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</row>
    <row r="2645" spans="1:56" s="4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</row>
    <row r="2646" spans="1:56" s="4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</row>
    <row r="2647" spans="1:56" s="4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</row>
    <row r="2648" spans="1:56" s="4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</row>
    <row r="2649" spans="1:56" s="4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</row>
    <row r="2650" spans="1:56" s="4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</row>
    <row r="2651" spans="1:56" s="4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</row>
    <row r="2652" spans="1:56" s="4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</row>
    <row r="2653" spans="1:56" s="4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</row>
    <row r="2654" spans="1:56" s="4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</row>
    <row r="2655" spans="1:56" s="4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</row>
    <row r="2656" spans="1:56" s="4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</row>
    <row r="2657" spans="1:56" s="4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</row>
    <row r="2658" spans="1:56" s="4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</row>
    <row r="2659" spans="1:56" s="4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</row>
    <row r="2660" spans="1:56" s="4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</row>
    <row r="2661" spans="1:56" s="4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</row>
    <row r="2662" spans="1:56" s="4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</row>
    <row r="2663" spans="1:56" s="4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</row>
    <row r="2664" spans="1:56" s="4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</row>
    <row r="2665" spans="1:56" s="4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</row>
    <row r="2666" spans="1:56" s="4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</row>
    <row r="2667" spans="1:56" s="4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</row>
    <row r="2668" spans="1:56" s="4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</row>
    <row r="2669" spans="1:56" s="4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</row>
    <row r="2670" spans="1:56" s="4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</row>
    <row r="2671" spans="1:56" s="4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</row>
    <row r="2672" spans="1:56" s="4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</row>
    <row r="2673" spans="1:56" s="4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</row>
    <row r="2674" spans="1:56" s="4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</row>
    <row r="2675" spans="1:56" s="4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</row>
    <row r="2676" spans="1:56" s="4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</row>
    <row r="2677" spans="1:56" s="4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</row>
    <row r="2678" spans="1:56" s="4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</row>
    <row r="2679" spans="1:56" s="4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</row>
    <row r="2680" spans="1:56" s="4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</row>
    <row r="2681" spans="1:56" s="4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</row>
    <row r="2682" spans="1:56" s="4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</row>
    <row r="2683" spans="1:56" s="4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</row>
    <row r="2684" spans="1:56" s="4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</row>
    <row r="2685" spans="1:56" s="4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</row>
    <row r="2686" spans="1:56" s="4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</row>
    <row r="2687" spans="1:56" s="4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</row>
    <row r="2688" spans="1:56" s="4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</row>
    <row r="2689" spans="1:56" s="4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</row>
    <row r="2690" spans="1:56" s="4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</row>
    <row r="2691" spans="1:56" s="4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</row>
    <row r="2692" spans="1:56" s="4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</row>
    <row r="2693" spans="1:56" s="4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</row>
    <row r="2694" spans="1:56" s="4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</row>
    <row r="2695" spans="1:56" s="4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</row>
    <row r="2696" spans="1:56" s="4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</row>
    <row r="2697" spans="1:56" s="4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</row>
    <row r="2698" spans="1:56" s="4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</row>
    <row r="2699" spans="1:56" s="4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</row>
    <row r="2700" spans="1:56" s="4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</row>
    <row r="2701" spans="1:56" s="4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</row>
    <row r="2702" spans="1:56" s="4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</row>
    <row r="2703" spans="1:56" s="4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</row>
    <row r="2704" spans="1:56" s="4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</row>
    <row r="2705" spans="1:56" s="4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</row>
    <row r="2706" spans="1:56" s="4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</row>
    <row r="2707" spans="1:56" s="4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</row>
    <row r="2708" spans="1:56" s="4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</row>
    <row r="2709" spans="1:56" s="4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</row>
    <row r="2710" spans="1:56" s="4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</row>
    <row r="2711" spans="1:56" s="4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</row>
    <row r="2712" spans="1:56" s="4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</row>
    <row r="2713" spans="1:56" s="4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</row>
    <row r="2714" spans="1:56" s="4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</row>
    <row r="2715" spans="1:56" s="4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</row>
    <row r="2716" spans="1:56" s="4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</row>
    <row r="2717" spans="1:56" s="4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</row>
    <row r="2718" spans="1:56" s="4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</row>
    <row r="2719" spans="1:56" s="4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</row>
    <row r="2720" spans="1:56" s="4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</row>
    <row r="2721" spans="1:56" s="4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</row>
    <row r="2722" spans="1:56" s="4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</row>
    <row r="2723" spans="1:56" s="4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</row>
    <row r="2724" spans="1:56" s="4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</row>
    <row r="2725" spans="1:56" s="4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</row>
    <row r="2726" spans="1:56" s="4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</row>
    <row r="2727" spans="1:56" s="4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</row>
    <row r="2728" spans="1:56" s="4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</row>
    <row r="2729" spans="1:56" s="4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</row>
    <row r="2730" spans="1:56" s="4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</row>
    <row r="2731" spans="1:56" s="4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</row>
    <row r="2732" spans="1:56" s="4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</row>
    <row r="2733" spans="1:56" s="4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</row>
    <row r="2734" spans="1:56" s="4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</row>
    <row r="2735" spans="1:56" s="4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</row>
    <row r="2736" spans="1:56" s="4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</row>
    <row r="2737" spans="1:56" s="4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</row>
    <row r="2738" spans="1:56" s="4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</row>
    <row r="2739" spans="1:56" s="4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</row>
    <row r="2740" spans="1:56" s="4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</row>
    <row r="2741" spans="1:56" s="4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</row>
    <row r="2742" spans="1:56" s="4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</row>
    <row r="2743" spans="1:56" s="4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</row>
    <row r="2744" spans="1:56" s="4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</row>
    <row r="2745" spans="1:56" s="4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</row>
    <row r="2746" spans="1:56" s="4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</row>
    <row r="2747" spans="1:56" s="4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</row>
    <row r="2748" spans="1:56" s="4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</row>
    <row r="2749" spans="1:56" s="4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</row>
    <row r="2750" spans="1:56" s="4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</row>
    <row r="2751" spans="1:56" s="4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</row>
    <row r="2752" spans="1:56" s="4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</row>
    <row r="2753" spans="1:56" s="4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</row>
    <row r="2754" spans="1:56" s="4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</row>
    <row r="2755" spans="1:56" s="4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</row>
    <row r="2756" spans="1:56" s="4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</row>
    <row r="2757" spans="1:56" s="4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</row>
    <row r="2758" spans="1:56" s="4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</row>
    <row r="2759" spans="1:56" s="4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</row>
    <row r="2760" spans="1:56" s="4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</row>
    <row r="2761" spans="1:56" s="4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</row>
    <row r="2762" spans="1:56" s="4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</row>
    <row r="2763" spans="1:56" s="4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</row>
    <row r="2764" spans="1:56" s="4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</row>
    <row r="2765" spans="1:56" s="4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</row>
    <row r="2766" spans="1:56" s="4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</row>
    <row r="2767" spans="1:56" s="4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</row>
    <row r="2768" spans="1:56" s="4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</row>
    <row r="2769" spans="1:56" s="4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</row>
    <row r="2770" spans="1:56" s="4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</row>
    <row r="2771" spans="1:56" s="4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</row>
    <row r="2772" spans="1:56" s="4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</row>
    <row r="2773" spans="1:56" s="4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</row>
    <row r="2774" spans="1:56" s="4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</row>
    <row r="2775" spans="1:56" s="4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</row>
    <row r="2776" spans="1:56" s="4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</row>
    <row r="2777" spans="1:56" s="4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</row>
    <row r="2778" spans="1:56" s="4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</row>
    <row r="2779" spans="1:56" s="4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</row>
    <row r="2780" spans="1:56" s="4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</row>
    <row r="2781" spans="1:56" s="4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</row>
    <row r="2782" spans="1:56" s="4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</row>
    <row r="2783" spans="1:56" s="4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</row>
    <row r="2784" spans="1:56" s="4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</row>
    <row r="2785" spans="1:56" s="4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</row>
    <row r="2786" spans="1:56" s="4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</row>
    <row r="2787" spans="1:56" s="4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</row>
    <row r="2788" spans="1:56" s="4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</row>
    <row r="2789" spans="1:56" s="4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</row>
    <row r="2790" spans="1:56" s="4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</row>
    <row r="2791" spans="1:56" s="4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</row>
    <row r="2792" spans="1:56" s="4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</row>
    <row r="2793" spans="1:56" s="4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</row>
    <row r="2794" spans="1:56" s="4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</row>
    <row r="2795" spans="1:56" s="4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</row>
    <row r="2796" spans="1:56" s="4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</row>
    <row r="2797" spans="1:56" s="4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</row>
    <row r="2798" spans="1:56" s="4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</row>
    <row r="2799" spans="1:56" s="4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</row>
    <row r="2800" spans="1:56" s="4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</row>
    <row r="2801" spans="1:56" s="4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</row>
    <row r="2802" spans="1:56" s="4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</row>
    <row r="2803" spans="1:56" s="4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</row>
    <row r="2804" spans="1:56" s="4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</row>
    <row r="2805" spans="1:56" s="4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</row>
    <row r="2806" spans="1:56" s="4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</row>
    <row r="2807" spans="1:56" s="4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</row>
    <row r="2808" spans="1:56" s="4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</row>
    <row r="2809" spans="1:56" s="4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</row>
    <row r="2810" spans="1:56" s="4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</row>
    <row r="2811" spans="1:56" s="4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</row>
    <row r="2812" spans="1:56" s="4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</row>
    <row r="2813" spans="1:56" s="4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</row>
    <row r="2814" spans="1:56" s="4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</row>
    <row r="2815" spans="1:56" s="4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</row>
    <row r="2816" spans="1:56" s="4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</row>
    <row r="2817" spans="1:56" s="4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</row>
    <row r="2818" spans="1:56" s="4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</row>
    <row r="2819" spans="1:56" s="4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</row>
    <row r="2820" spans="1:56" s="4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</row>
    <row r="2821" spans="1:56" s="4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</row>
    <row r="2822" spans="1:56" s="4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</row>
    <row r="2823" spans="1:56" s="4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</row>
    <row r="2824" spans="1:56" s="4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</row>
    <row r="2825" spans="1:56" s="4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</row>
    <row r="2826" spans="1:56" s="4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</row>
    <row r="2827" spans="1:56" s="4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</row>
    <row r="2828" spans="1:56" s="4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</row>
    <row r="2829" spans="1:56" s="4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</row>
    <row r="2830" spans="1:56" s="4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</row>
    <row r="2831" spans="1:56" s="4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</row>
    <row r="2832" spans="1:56" s="4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</row>
    <row r="2833" spans="1:56" s="4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</row>
    <row r="2834" spans="1:56" s="4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</row>
    <row r="2835" spans="1:56" s="4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</row>
    <row r="2836" spans="1:56" s="4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</row>
    <row r="2837" spans="1:56" s="4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</row>
    <row r="2838" spans="1:56" s="4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</row>
    <row r="2839" spans="1:56" s="4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</row>
    <row r="2840" spans="1:56" s="4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</row>
    <row r="2841" spans="1:56" s="4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</row>
    <row r="2842" spans="1:56" s="4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</row>
    <row r="2843" spans="1:56" s="4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</row>
    <row r="2844" spans="1:56" s="4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</row>
    <row r="2845" spans="1:56" s="4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</row>
    <row r="2846" spans="1:56" s="4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</row>
    <row r="2847" spans="1:56" s="4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</row>
    <row r="2848" spans="1:56" s="4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</row>
    <row r="2849" spans="1:56" s="4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</row>
    <row r="2850" spans="1:56" s="4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</row>
    <row r="2851" spans="1:56" s="4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</row>
    <row r="2852" spans="1:56" s="4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</row>
    <row r="2853" spans="1:56" s="4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</row>
    <row r="2854" spans="1:56" s="4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</row>
    <row r="2855" spans="1:56" s="4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</row>
    <row r="2856" spans="1:56" s="4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</row>
    <row r="2857" spans="1:56" s="4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</row>
    <row r="2858" spans="1:56" s="4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</row>
    <row r="2859" spans="1:56" s="4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</row>
    <row r="2860" spans="1:56" s="4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</row>
    <row r="2861" spans="1:56" s="4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</row>
    <row r="2862" spans="1:56" s="4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</row>
    <row r="2863" spans="1:56" s="4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</row>
    <row r="2864" spans="1:56" s="4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</row>
    <row r="2865" spans="1:56" s="4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</row>
    <row r="2866" spans="1:56" s="4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</row>
    <row r="2867" spans="1:56" s="4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</row>
    <row r="2868" spans="1:56" s="4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</row>
    <row r="2869" spans="1:56" s="4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</row>
    <row r="2870" spans="1:56" s="4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</row>
    <row r="2871" spans="1:56" s="4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</row>
    <row r="2872" spans="1:56" s="4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</row>
    <row r="2873" spans="1:56" s="4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</row>
    <row r="2874" spans="1:56" s="4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</row>
    <row r="2875" spans="1:56" s="4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</row>
    <row r="2876" spans="1:56" s="4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</row>
    <row r="2877" spans="1:56" s="4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</row>
    <row r="2878" spans="1:56" s="4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</row>
    <row r="2879" spans="1:56" s="4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</row>
    <row r="2880" spans="1:56" s="4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</row>
    <row r="2881" spans="1:56" s="4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</row>
    <row r="2882" spans="1:56" s="4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</row>
    <row r="2883" spans="1:56" s="4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</row>
    <row r="2884" spans="1:56" s="4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</row>
    <row r="2885" spans="1:56" s="4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</row>
    <row r="2886" spans="1:56" s="4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</row>
    <row r="2887" spans="1:56" s="4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</row>
    <row r="2888" spans="1:56" s="4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</row>
    <row r="2889" spans="1:56" s="4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</row>
    <row r="2890" spans="1:56" s="4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</row>
    <row r="2891" spans="1:56" s="4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</row>
    <row r="2892" spans="1:56" s="4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</row>
    <row r="2893" spans="1:56" s="4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</row>
    <row r="2894" spans="1:56" s="4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</row>
    <row r="2895" spans="1:56" s="4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</row>
    <row r="2896" spans="1:56" s="4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</row>
    <row r="2897" spans="1:56" s="4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</row>
    <row r="2898" spans="1:56" s="4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</row>
    <row r="2899" spans="1:56" s="4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</row>
    <row r="2900" spans="1:56" s="4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</row>
    <row r="2901" spans="1:56" s="4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</row>
    <row r="2902" spans="1:56" s="4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</row>
    <row r="2903" spans="1:56" s="4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</row>
    <row r="2904" spans="1:56" s="4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</row>
    <row r="2905" spans="1:56" s="4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</row>
    <row r="2906" spans="1:56" s="4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</row>
    <row r="2907" spans="1:56" s="4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</row>
    <row r="2908" spans="1:56" s="4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</row>
    <row r="2909" spans="1:56" s="4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</row>
    <row r="2910" spans="1:56" s="4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</row>
    <row r="2911" spans="1:56" s="4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</row>
    <row r="2912" spans="1:56" s="4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</row>
    <row r="2913" spans="1:56" s="4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</row>
    <row r="2914" spans="1:56" s="4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</row>
    <row r="2915" spans="1:56" s="4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</row>
    <row r="2916" spans="1:56" s="4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</row>
    <row r="2917" spans="1:56" s="4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</row>
    <row r="2918" spans="1:56" s="4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</row>
    <row r="2919" spans="1:56" s="4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</row>
    <row r="2920" spans="1:56" s="4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</row>
    <row r="2921" spans="1:56" s="4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</row>
    <row r="2922" spans="1:56" s="4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</row>
    <row r="2923" spans="1:56" s="4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</row>
    <row r="2924" spans="1:56" s="4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</row>
    <row r="2925" spans="1:56" s="4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</row>
    <row r="2926" spans="1:56" s="4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</row>
    <row r="2927" spans="1:56" s="4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</row>
    <row r="2928" spans="1:56" s="4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</row>
    <row r="2929" spans="1:56" s="4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</row>
    <row r="2930" spans="1:56" s="4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</row>
    <row r="2931" spans="1:56" s="4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</row>
    <row r="2932" spans="1:56" s="4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</row>
    <row r="2933" spans="1:56" s="4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</row>
    <row r="2934" spans="1:56" s="4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</row>
    <row r="2935" spans="1:56" s="4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</row>
    <row r="2936" spans="1:56" s="4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</row>
    <row r="2937" spans="1:56" s="4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</row>
    <row r="2938" spans="1:56" s="4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</row>
    <row r="2939" spans="1:56" s="4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</row>
    <row r="2940" spans="1:56" s="4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</row>
    <row r="2941" spans="1:56" s="4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</row>
    <row r="2942" spans="1:56" s="4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</row>
    <row r="2943" spans="1:56" s="4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</row>
    <row r="2944" spans="1:56" s="4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</row>
    <row r="2945" spans="1:56" s="4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</row>
    <row r="2946" spans="1:56" s="4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</row>
    <row r="2947" spans="1:56" s="4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</row>
    <row r="2948" spans="1:56" s="4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</row>
    <row r="2949" spans="1:56" s="4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</row>
    <row r="2950" spans="1:56" s="4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</row>
    <row r="2951" spans="1:56" s="4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</row>
    <row r="2952" spans="1:56" s="4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</row>
    <row r="2953" spans="1:56" s="4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</row>
    <row r="2954" spans="1:56" s="4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</row>
    <row r="2955" spans="1:56" s="4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</row>
    <row r="2956" spans="1:56" s="4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</row>
    <row r="2957" spans="1:56" s="4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</row>
    <row r="2958" spans="1:56" s="4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</row>
    <row r="2959" spans="1:56" s="4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</row>
    <row r="2960" spans="1:56" s="4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</row>
    <row r="2961" spans="1:56" s="4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</row>
    <row r="2962" spans="1:56" s="4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</row>
    <row r="2963" spans="1:56" s="4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</row>
    <row r="2964" spans="1:56" s="4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</row>
    <row r="2965" spans="1:56" s="4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</row>
    <row r="2966" spans="1:56" s="4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</row>
    <row r="2967" spans="1:56" s="4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</row>
    <row r="2968" spans="1:56" s="4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</row>
    <row r="2969" spans="1:56" s="4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</row>
    <row r="2970" spans="1:56" s="4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</row>
    <row r="2971" spans="1:56" s="4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</row>
    <row r="2972" spans="1:56" s="4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</row>
    <row r="2973" spans="1:56" s="4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</row>
    <row r="2974" spans="1:56" s="4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</row>
    <row r="2975" spans="1:56" s="4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</row>
    <row r="2976" spans="1:56" s="4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</row>
    <row r="2977" spans="1:56" s="4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</row>
    <row r="2978" spans="1:56" s="4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</row>
    <row r="2979" spans="1:56" s="4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</row>
    <row r="2980" spans="1:56" s="4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</row>
    <row r="2981" spans="1:56" s="4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</row>
    <row r="2982" spans="1:56" s="4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</row>
    <row r="2983" spans="1:56" s="4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</row>
    <row r="2984" spans="1:56" s="4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</row>
    <row r="2985" spans="1:56" s="4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</row>
    <row r="2986" spans="1:56" s="4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</row>
    <row r="2987" spans="1:56" s="4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</row>
    <row r="2988" spans="1:56" s="4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</row>
    <row r="2989" spans="1:56" s="4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</row>
    <row r="2990" spans="1:56" s="4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</row>
    <row r="2991" spans="1:56" s="4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</row>
    <row r="2992" spans="1:56" s="4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</row>
    <row r="2993" spans="1:56" s="4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</row>
    <row r="2994" spans="1:56" s="4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</row>
    <row r="2995" spans="1:56" s="4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</row>
    <row r="2996" spans="1:56" s="4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</row>
    <row r="2997" spans="1:56" s="4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</row>
    <row r="2998" spans="1:56" s="4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</row>
    <row r="2999" spans="1:56" s="4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</row>
    <row r="3000" spans="1:56" s="4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</row>
    <row r="3001" spans="1:56" s="4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</row>
    <row r="3002" spans="1:56" s="4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</row>
    <row r="3003" spans="1:56" s="4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</row>
    <row r="3004" spans="1:56" s="4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</row>
    <row r="3005" spans="1:56" s="4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</row>
    <row r="3006" spans="1:56" s="4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</row>
    <row r="3007" spans="1:56" s="4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</row>
    <row r="3008" spans="1:56" s="4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</row>
    <row r="3009" spans="1:56" s="4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</row>
    <row r="3010" spans="1:56" s="4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</row>
    <row r="3011" spans="1:56" s="4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</row>
    <row r="3012" spans="1:56" s="4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</row>
    <row r="3013" spans="1:56" s="4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</row>
    <row r="3014" spans="1:56" s="4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</row>
    <row r="3015" spans="1:56" s="4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</row>
    <row r="3016" spans="1:56" s="4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</row>
    <row r="3017" spans="1:56" s="4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</row>
    <row r="3018" spans="1:56" s="4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</row>
    <row r="3019" spans="1:56" s="4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</row>
    <row r="3020" spans="1:56" s="4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</row>
    <row r="3021" spans="1:56" s="4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</row>
    <row r="3022" spans="1:56" s="4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</row>
    <row r="3023" spans="1:56" s="4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</row>
    <row r="3024" spans="1:56" s="4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</row>
    <row r="3025" spans="1:56" s="4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</row>
    <row r="3026" spans="1:56" s="4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</row>
    <row r="3027" spans="1:56" s="4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</row>
    <row r="3028" spans="1:56" s="4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</row>
    <row r="3029" spans="1:56" s="4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</row>
    <row r="3030" spans="1:56" s="4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</row>
    <row r="3031" spans="1:56" s="4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</row>
    <row r="3032" spans="1:56" s="4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</row>
    <row r="3033" spans="1:56" s="4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</row>
    <row r="3034" spans="1:56" s="4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</row>
    <row r="3035" spans="1:56" s="4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</row>
    <row r="3036" spans="1:56" s="4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</row>
    <row r="3037" spans="1:56" s="4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</row>
    <row r="3038" spans="1:56" s="4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</row>
    <row r="3039" spans="1:56" s="4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</row>
    <row r="3040" spans="1:56" s="4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</row>
    <row r="3041" spans="1:56" s="4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</row>
    <row r="3042" spans="1:56" s="4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</row>
    <row r="3043" spans="1:56" s="4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</row>
    <row r="3044" spans="1:56" s="4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</row>
    <row r="3045" spans="1:56" s="4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</row>
    <row r="3046" spans="1:56" s="4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</row>
    <row r="3047" spans="1:56" s="4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</row>
    <row r="3048" spans="1:56" s="4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</row>
    <row r="3049" spans="1:56" s="4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</row>
    <row r="3050" spans="1:56" s="4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</row>
    <row r="3051" spans="1:56" s="4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</row>
    <row r="3052" spans="1:56" s="4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</row>
    <row r="3053" spans="1:56" s="4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</row>
    <row r="3054" spans="1:56" s="4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</row>
    <row r="3055" spans="1:56" s="4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</row>
    <row r="3056" spans="1:56" s="4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</row>
    <row r="3057" spans="1:56" s="4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</row>
    <row r="3058" spans="1:56" s="4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</row>
    <row r="3059" spans="1:56" s="4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</row>
    <row r="3060" spans="1:56" s="4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</row>
    <row r="3061" spans="1:56" s="4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</row>
    <row r="3062" spans="1:56" s="4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</row>
    <row r="3063" spans="1:56" s="4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</row>
    <row r="3064" spans="1:56" s="4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</row>
    <row r="3065" spans="1:56" s="4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</row>
    <row r="3066" spans="1:56" s="4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</row>
    <row r="3067" spans="1:56" s="4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</row>
    <row r="3068" spans="1:56" s="4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</row>
    <row r="3069" spans="1:56" s="4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</row>
    <row r="3070" spans="1:56" s="4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</row>
    <row r="3071" spans="1:56" s="4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</row>
    <row r="3072" spans="1:56" s="4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</row>
    <row r="3073" spans="1:56" s="4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</row>
    <row r="3074" spans="1:56" s="4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</row>
    <row r="3075" spans="1:56" s="4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</row>
    <row r="3076" spans="1:56" s="4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</row>
    <row r="3077" spans="1:56" s="4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</row>
    <row r="3078" spans="1:56" s="4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</row>
    <row r="3079" spans="1:56" s="4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</row>
    <row r="3080" spans="1:56" s="4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</row>
    <row r="3081" spans="1:56" s="4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</row>
    <row r="3082" spans="1:56" s="4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</row>
    <row r="3083" spans="1:56" s="4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</row>
    <row r="3084" spans="1:56" s="4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</row>
    <row r="3085" spans="1:56" s="4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</row>
    <row r="3086" spans="1:56" s="4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</row>
    <row r="3087" spans="1:56" s="4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</row>
    <row r="3088" spans="1:56" s="4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</row>
    <row r="3089" spans="1:56" s="4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</row>
    <row r="3090" spans="1:56" s="4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</row>
    <row r="3091" spans="1:56" s="4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</row>
    <row r="3092" spans="1:56" s="4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</row>
    <row r="3093" spans="1:56" s="4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</row>
    <row r="3094" spans="1:56" s="4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</row>
    <row r="3095" spans="1:56" s="4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</row>
    <row r="3096" spans="1:56" s="4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</row>
    <row r="3097" spans="1:56" s="4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</row>
    <row r="3098" spans="1:56" s="4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</row>
    <row r="3099" spans="1:56" s="4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</row>
    <row r="3100" spans="1:56" s="4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</row>
    <row r="3101" spans="1:56" s="4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</row>
    <row r="3102" spans="1:56" s="4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</row>
    <row r="3103" spans="1:56" s="4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</row>
    <row r="3104" spans="1:56" s="4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</row>
    <row r="3105" spans="1:56" s="4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</row>
    <row r="3106" spans="1:56" s="4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</row>
    <row r="3107" spans="1:56" s="4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</row>
    <row r="3108" spans="1:56" s="4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</row>
    <row r="3109" spans="1:56" s="4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</row>
    <row r="3110" spans="1:56" s="4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</row>
    <row r="3111" spans="1:56" s="4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</row>
    <row r="3112" spans="1:56" s="4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</row>
    <row r="3113" spans="1:56" s="4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</row>
    <row r="3114" spans="1:56" s="4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</row>
    <row r="3115" spans="1:56" s="4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</row>
    <row r="3116" spans="1:56" s="4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</row>
    <row r="3117" spans="1:56" s="4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</row>
    <row r="3118" spans="1:56" s="4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</row>
    <row r="3119" spans="1:56" s="4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</row>
    <row r="3120" spans="1:56" s="4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</row>
    <row r="3121" spans="1:56" s="4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</row>
    <row r="3122" spans="1:56" s="4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</row>
    <row r="3123" spans="1:56" s="4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</row>
    <row r="3124" spans="1:56" s="4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</row>
    <row r="3125" spans="1:56" s="4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</row>
    <row r="3126" spans="1:56" s="4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</row>
    <row r="3127" spans="1:56" s="4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</row>
    <row r="3128" spans="1:56" s="4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</row>
    <row r="3129" spans="1:56" s="4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</row>
    <row r="3130" spans="1:56" s="4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</row>
    <row r="3131" spans="1:56" s="4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</row>
    <row r="3132" spans="1:56" s="4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</row>
    <row r="3133" spans="1:56" s="4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</row>
    <row r="3134" spans="1:56" s="4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</row>
    <row r="3135" spans="1:56" s="4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</row>
    <row r="3136" spans="1:56" s="4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</row>
    <row r="3137" spans="1:56" s="4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</row>
    <row r="3138" spans="1:56" s="4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</row>
    <row r="3139" spans="1:56" s="4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</row>
    <row r="3140" spans="1:56" s="4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</row>
    <row r="3141" spans="1:56" s="4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</row>
    <row r="3142" spans="1:56" s="4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</row>
    <row r="3143" spans="1:56" s="4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</row>
    <row r="3144" spans="1:56" s="4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</row>
    <row r="3145" spans="1:56" s="4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</row>
    <row r="3146" spans="1:56" s="4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</row>
    <row r="3147" spans="1:56" s="4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</row>
    <row r="3148" spans="1:56" s="4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</row>
    <row r="3149" spans="1:56" s="4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</row>
    <row r="3150" spans="1:56" s="4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</row>
    <row r="3151" spans="1:56" s="4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</row>
    <row r="3152" spans="1:56" s="4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</row>
    <row r="3153" spans="1:56" s="4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</row>
    <row r="3154" spans="1:56" s="4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</row>
    <row r="3155" spans="1:56" s="4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</row>
    <row r="3156" spans="1:56" s="4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</row>
    <row r="3157" spans="1:56" s="4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</row>
    <row r="3158" spans="1:56" s="4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</row>
    <row r="3159" spans="1:56" s="4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</row>
    <row r="3160" spans="1:56" s="4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</row>
    <row r="3161" spans="1:56" s="4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</row>
    <row r="3162" spans="1:56" s="4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</row>
    <row r="3163" spans="1:56" s="4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</row>
    <row r="3164" spans="1:56" s="4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</row>
    <row r="3165" spans="1:56" s="4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</row>
    <row r="3166" spans="1:56" s="4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</row>
    <row r="3167" spans="1:56" s="4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</row>
    <row r="3168" spans="1:56" s="4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</row>
    <row r="3169" spans="1:56" s="4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</row>
    <row r="3170" spans="1:56" s="4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</row>
    <row r="3171" spans="1:56" s="4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</row>
    <row r="3172" spans="1:56" s="4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</row>
    <row r="3173" spans="1:56" s="4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</row>
    <row r="3174" spans="1:56" s="4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</row>
    <row r="3175" spans="1:56" s="4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</row>
    <row r="3176" spans="1:56" s="4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</row>
    <row r="3177" spans="1:56" s="4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</row>
    <row r="3178" spans="1:56" s="4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</row>
    <row r="3179" spans="1:56" s="4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</row>
    <row r="3180" spans="1:56" s="4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</row>
    <row r="3181" spans="1:56" s="4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</row>
    <row r="3182" spans="1:56" s="4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</row>
    <row r="3183" spans="1:56" s="4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</row>
    <row r="3184" spans="1:56" s="4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</row>
    <row r="3185" spans="1:56" s="4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</row>
    <row r="3186" spans="1:56" s="4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</row>
    <row r="3187" spans="1:56" s="4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</row>
    <row r="3188" spans="1:56" s="4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</row>
    <row r="3189" spans="1:56" s="4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</row>
    <row r="3190" spans="1:56" s="4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</row>
    <row r="3191" spans="1:56" s="4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</row>
    <row r="3192" spans="1:56" s="4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</row>
    <row r="3193" spans="1:56" s="4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</row>
    <row r="3194" spans="1:56" s="4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</row>
    <row r="3195" spans="1:56" s="4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</row>
    <row r="3196" spans="1:56" s="4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</row>
    <row r="3197" spans="1:56" s="4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</row>
    <row r="3198" spans="1:56" s="4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</row>
    <row r="3199" spans="1:56" s="4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</row>
    <row r="3200" spans="1:56" s="4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</row>
    <row r="3201" spans="1:56" s="4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</row>
    <row r="3202" spans="1:56" s="4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</row>
    <row r="3203" spans="1:56" s="4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</row>
    <row r="3204" spans="1:56" s="4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</row>
    <row r="3205" spans="1:56" s="4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</row>
    <row r="3206" spans="1:56" s="4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</row>
    <row r="3207" spans="1:56" s="4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</row>
    <row r="3208" spans="1:56" s="4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</row>
    <row r="3209" spans="1:56" s="4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</row>
    <row r="3210" spans="1:56" s="4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</row>
    <row r="3211" spans="1:56" s="4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</row>
    <row r="3212" spans="1:56" s="4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</row>
    <row r="3213" spans="1:56" s="4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</row>
    <row r="3214" spans="1:56" s="4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</row>
    <row r="3215" spans="1:56" s="4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</row>
    <row r="3216" spans="1:56" s="4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</row>
    <row r="3217" spans="1:56" s="4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</row>
    <row r="3218" spans="1:56" s="4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</row>
    <row r="3219" spans="1:56" s="4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</row>
    <row r="3220" spans="1:56" s="4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</row>
    <row r="3221" spans="1:56" s="4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</row>
    <row r="3222" spans="1:56" s="4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</row>
    <row r="3223" spans="1:56" s="4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</row>
    <row r="3224" spans="1:56" s="4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</row>
    <row r="3225" spans="1:56" s="4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</row>
    <row r="3226" spans="1:56" s="4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</row>
    <row r="3227" spans="1:56" s="4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</row>
    <row r="3228" spans="1:56" s="4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</row>
    <row r="3229" spans="1:56" s="4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</row>
    <row r="3230" spans="1:56" s="4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</row>
    <row r="3231" spans="1:56" s="4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</row>
    <row r="3232" spans="1:56" s="4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</row>
    <row r="3233" spans="1:56" s="4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</row>
    <row r="3234" spans="1:56" s="4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</row>
    <row r="3235" spans="1:56" s="4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</row>
    <row r="3236" spans="1:56" s="4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</row>
    <row r="3237" spans="1:56" s="4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</row>
    <row r="3238" spans="1:56" s="4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</row>
    <row r="3239" spans="1:56" s="4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</row>
    <row r="3240" spans="1:56" s="4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</row>
    <row r="3241" spans="1:56" s="4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</row>
    <row r="3242" spans="1:56" s="4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</row>
    <row r="3243" spans="1:56" s="4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</row>
    <row r="3244" spans="1:56" s="4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</row>
    <row r="3245" spans="1:56" s="4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</row>
    <row r="3246" spans="1:56" s="4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</row>
    <row r="3247" spans="1:56" s="4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</row>
    <row r="3248" spans="1:56" s="4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</row>
    <row r="3249" spans="1:56" s="4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</row>
    <row r="3250" spans="1:56" s="4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</row>
    <row r="3251" spans="1:56" s="4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</row>
    <row r="3252" spans="1:56" s="4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</row>
    <row r="3253" spans="1:56" s="4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</row>
    <row r="3254" spans="1:56" s="4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</row>
    <row r="3255" spans="1:56" s="4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</row>
    <row r="3256" spans="1:56" s="4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</row>
    <row r="3257" spans="1:56" s="4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</row>
    <row r="3258" spans="1:56" s="4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</row>
    <row r="3259" spans="1:56" s="4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</row>
    <row r="3260" spans="1:56" s="4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</row>
    <row r="3261" spans="1:56" s="4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</row>
    <row r="3262" spans="1:56" s="4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</row>
    <row r="3263" spans="1:56" s="4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</row>
    <row r="3264" spans="1:56" s="4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</row>
    <row r="3265" spans="1:56" s="4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</row>
    <row r="3266" spans="1:56" s="4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</row>
    <row r="3267" spans="1:56" s="4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</row>
    <row r="3268" spans="1:56" s="4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</row>
    <row r="3269" spans="1:56" s="4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</row>
    <row r="3270" spans="1:56" s="4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</row>
    <row r="3271" spans="1:56" s="4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</row>
    <row r="3272" spans="1:56" s="4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</row>
    <row r="3273" spans="1:56" s="4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</row>
    <row r="3274" spans="1:56" s="4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</row>
    <row r="3275" spans="1:56" s="4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</row>
    <row r="3276" spans="1:56" s="4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</row>
    <row r="3277" spans="1:56" s="4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</row>
    <row r="3278" spans="1:56" s="4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</row>
    <row r="3279" spans="1:56" s="4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</row>
    <row r="3280" spans="1:56" s="4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</row>
    <row r="3281" spans="1:56" s="4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</row>
    <row r="3282" spans="1:56" s="4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</row>
    <row r="3283" spans="1:56" s="4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</row>
    <row r="3284" spans="1:56" s="4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</row>
    <row r="3285" spans="1:56" s="4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</row>
    <row r="3286" spans="1:56" s="4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</row>
    <row r="3287" spans="1:56" s="4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</row>
    <row r="3288" spans="1:56" s="4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</row>
    <row r="3289" spans="1:56" s="4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</row>
    <row r="3290" spans="1:56" s="4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</row>
    <row r="3291" spans="1:56" s="4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</row>
    <row r="3292" spans="1:56" s="4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</row>
    <row r="3293" spans="1:56" s="4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</row>
    <row r="3294" spans="1:56" s="4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</row>
    <row r="3295" spans="1:56" s="4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</row>
    <row r="3296" spans="1:56" s="4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</row>
    <row r="3297" spans="1:56" s="4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</row>
    <row r="3298" spans="1:56" s="4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</row>
    <row r="3299" spans="1:56" s="4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</row>
    <row r="3300" spans="1:56" s="4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</row>
    <row r="3301" spans="1:56" s="4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</row>
    <row r="3302" spans="1:56" s="4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</row>
    <row r="3303" spans="1:56" s="4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</row>
    <row r="3304" spans="1:56" s="4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</row>
    <row r="3305" spans="1:56" s="4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</row>
    <row r="3306" spans="1:56" s="4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</row>
    <row r="3307" spans="1:56" s="4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</row>
    <row r="3308" spans="1:56" s="4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</row>
    <row r="3309" spans="1:56" s="4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</row>
    <row r="3310" spans="1:56" s="4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</row>
    <row r="3311" spans="1:56" s="4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</row>
    <row r="3312" spans="1:56" s="4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</row>
    <row r="3313" spans="1:56" s="4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</row>
    <row r="3314" spans="1:56" s="4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</row>
    <row r="3315" spans="1:56" s="4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</row>
    <row r="3316" spans="1:56" s="4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</row>
    <row r="3317" spans="1:56" s="4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</row>
    <row r="3318" spans="1:56" s="4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</row>
    <row r="3319" spans="1:56" s="4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</row>
    <row r="3320" spans="1:56" s="4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</row>
    <row r="3321" spans="1:56" s="4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</row>
    <row r="3322" spans="1:56" s="4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</row>
    <row r="3323" spans="1:56" s="4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</row>
    <row r="3324" spans="1:56" s="4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</row>
    <row r="3325" spans="1:56" s="4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</row>
    <row r="3326" spans="1:56" s="4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</row>
    <row r="3327" spans="1:56" s="4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</row>
    <row r="3328" spans="1:56" s="4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</row>
    <row r="3329" spans="1:56" s="4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</row>
    <row r="3330" spans="1:56" s="4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</row>
    <row r="3331" spans="1:56" s="4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</row>
    <row r="3332" spans="1:56" s="4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</row>
    <row r="3333" spans="1:56" s="4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</row>
    <row r="3334" spans="1:56" s="4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</row>
    <row r="3335" spans="1:56" s="4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</row>
    <row r="3336" spans="1:56" s="4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</row>
    <row r="3337" spans="1:56" s="4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</row>
    <row r="3338" spans="1:56" s="4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</row>
    <row r="3339" spans="1:56" s="4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</row>
    <row r="3340" spans="1:56" s="4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</row>
    <row r="3341" spans="1:56" s="4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</row>
    <row r="3342" spans="1:56" s="4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</row>
    <row r="3343" spans="1:56" s="4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</row>
    <row r="3344" spans="1:56" s="4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</row>
    <row r="3345" spans="1:56" s="4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</row>
    <row r="3346" spans="1:56" s="4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</row>
    <row r="3347" spans="1:56" s="4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</row>
    <row r="3348" spans="1:56" s="4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</row>
    <row r="3349" spans="1:56" s="4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</row>
    <row r="3350" spans="1:56" s="4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</row>
    <row r="3351" spans="1:56" s="4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</row>
    <row r="3352" spans="1:56" s="4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</row>
    <row r="3353" spans="1:56" s="4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</row>
    <row r="3354" spans="1:56" s="4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</row>
    <row r="3355" spans="1:56" s="4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</row>
    <row r="3356" spans="1:56" s="4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</row>
    <row r="3357" spans="1:56" s="4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</row>
    <row r="3358" spans="1:56" s="4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</row>
    <row r="3359" spans="1:56" s="4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</row>
    <row r="3360" spans="1:56" s="4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</row>
    <row r="3361" spans="1:56" s="4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</row>
    <row r="3362" spans="1:56" s="4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</row>
    <row r="3363" spans="1:56" s="4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</row>
    <row r="3364" spans="1:56" s="4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</row>
    <row r="3365" spans="1:56" s="4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</row>
    <row r="3366" spans="1:56" s="4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</row>
    <row r="3367" spans="1:56" s="4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</row>
    <row r="3368" spans="1:56" s="4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</row>
    <row r="3369" spans="1:56" s="4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</row>
    <row r="3370" spans="1:56" s="4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</row>
    <row r="3371" spans="1:56" s="4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</row>
    <row r="3372" spans="1:56" s="4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</row>
    <row r="3373" spans="1:56" s="4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</row>
    <row r="3374" spans="1:56" s="4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</row>
    <row r="3375" spans="1:56" s="4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</row>
    <row r="3376" spans="1:56" s="4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</row>
    <row r="3377" spans="1:56" s="4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</row>
    <row r="3378" spans="1:56" s="4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</row>
    <row r="3379" spans="1:56" s="4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</row>
    <row r="3380" spans="1:56" s="4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</row>
    <row r="3381" spans="1:56" s="4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</row>
    <row r="3382" spans="1:56" s="4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</row>
    <row r="3383" spans="1:56" s="4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</row>
    <row r="3384" spans="1:56" s="4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</row>
    <row r="3385" spans="1:56" s="4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</row>
    <row r="3386" spans="1:56" s="4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</row>
    <row r="3387" spans="1:56" s="4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</row>
    <row r="3388" spans="1:56" s="4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</row>
    <row r="3389" spans="1:56" s="4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</row>
    <row r="3390" spans="1:56" s="4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</row>
    <row r="3391" spans="1:56" s="4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</row>
    <row r="3392" spans="1:56" s="4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</row>
    <row r="3393" spans="1:56" s="4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</row>
    <row r="3394" spans="1:56" s="4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</row>
    <row r="3395" spans="1:56" s="4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</row>
    <row r="3396" spans="1:56" s="4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</row>
    <row r="3397" spans="1:56" s="4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</row>
    <row r="3398" spans="1:56" s="4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</row>
    <row r="3399" spans="1:56" s="4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</row>
    <row r="3400" spans="1:56" s="4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</row>
    <row r="3401" spans="1:56" s="4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</row>
    <row r="3402" spans="1:56" s="4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</row>
    <row r="3403" spans="1:56" s="4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</row>
    <row r="3404" spans="1:56" s="4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</row>
    <row r="3405" spans="1:56" s="4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</row>
    <row r="3406" spans="1:56" s="4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</row>
    <row r="3407" spans="1:56" s="4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</row>
    <row r="3408" spans="1:56" s="4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</row>
    <row r="3409" spans="1:56" s="4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</row>
    <row r="3410" spans="1:56" s="4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</row>
    <row r="3411" spans="1:56" s="4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</row>
    <row r="3412" spans="1:56" s="4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</row>
    <row r="3413" spans="1:56" s="4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</row>
    <row r="3414" spans="1:56" s="4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</row>
    <row r="3415" spans="1:56" s="4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</row>
    <row r="3416" spans="1:56" s="4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</row>
    <row r="3417" spans="1:56" s="4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</row>
    <row r="3418" spans="1:56" s="4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</row>
    <row r="3419" spans="1:56" s="4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</row>
    <row r="3420" spans="1:56" s="4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</row>
    <row r="3421" spans="1:56" s="4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</row>
    <row r="3422" spans="1:56" s="4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</row>
    <row r="3423" spans="1:56" s="4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</row>
    <row r="3424" spans="1:56" s="4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</row>
    <row r="3425" spans="1:56" s="4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</row>
    <row r="3426" spans="1:56" s="4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</row>
    <row r="3427" spans="1:56" s="4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</row>
    <row r="3428" spans="1:56" s="4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</row>
    <row r="3429" spans="1:56" s="4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</row>
    <row r="3430" spans="1:56" s="4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</row>
    <row r="3431" spans="1:56" s="4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</row>
    <row r="3432" spans="1:56" s="4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</row>
    <row r="3433" spans="1:56" s="4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</row>
    <row r="3434" spans="1:56" s="4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</row>
    <row r="3435" spans="1:56" s="4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</row>
    <row r="3436" spans="1:56" s="4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</row>
    <row r="3437" spans="1:56" s="4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</row>
    <row r="3438" spans="1:56" s="4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</row>
    <row r="3439" spans="1:56" s="4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</row>
    <row r="3440" spans="1:56" s="4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</row>
    <row r="3441" spans="1:56" s="4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</row>
    <row r="3442" spans="1:56" s="4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</row>
    <row r="3443" spans="1:56" s="4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</row>
    <row r="3444" spans="1:56" s="4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</row>
    <row r="3445" spans="1:56" s="4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</row>
    <row r="3446" spans="1:56" s="4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</row>
    <row r="3447" spans="1:56" s="4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</row>
    <row r="3448" spans="1:56" s="4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</row>
    <row r="3449" spans="1:56" s="4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</row>
    <row r="3450" spans="1:56" s="4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</row>
    <row r="3451" spans="1:56" s="4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</row>
    <row r="3452" spans="1:56" s="4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</row>
    <row r="3453" spans="1:56" s="4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</row>
    <row r="3454" spans="1:56" s="4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</row>
    <row r="3455" spans="1:56" s="4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</row>
    <row r="3456" spans="1:56" s="4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</row>
    <row r="3457" spans="1:56" s="4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</row>
    <row r="3458" spans="1:56" s="4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</row>
    <row r="3459" spans="1:56" s="4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</row>
    <row r="3460" spans="1:56" s="4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</row>
    <row r="3461" spans="1:56" s="4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</row>
    <row r="3462" spans="1:56" s="4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</row>
    <row r="3463" spans="1:56" s="4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</row>
    <row r="3464" spans="1:56" s="4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</row>
    <row r="3465" spans="1:56" s="4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</row>
    <row r="3466" spans="1:56" s="4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</row>
    <row r="3467" spans="1:56" s="4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</row>
    <row r="3468" spans="1:56" s="4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</row>
    <row r="3469" spans="1:56" s="4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</row>
    <row r="3470" spans="1:56" s="4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</row>
    <row r="3471" spans="1:56" s="4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</row>
    <row r="3472" spans="1:56" s="4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</row>
    <row r="3473" spans="1:56" s="4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</row>
    <row r="3474" spans="1:56" s="4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</row>
    <row r="3475" spans="1:56" s="4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</row>
    <row r="3476" spans="1:56" s="4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</row>
    <row r="3477" spans="1:56" s="4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</row>
    <row r="3478" spans="1:56" s="4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</row>
    <row r="3479" spans="1:56" s="4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</row>
    <row r="3480" spans="1:56" s="4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</row>
    <row r="3481" spans="1:56" s="4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</row>
    <row r="3482" spans="1:56" s="4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</row>
    <row r="3483" spans="1:56" s="4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</row>
    <row r="3484" spans="1:56" s="4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</row>
    <row r="3485" spans="1:56" s="4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</row>
    <row r="3486" spans="1:56" s="4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</row>
    <row r="3487" spans="1:56" s="4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</row>
    <row r="3488" spans="1:56" s="4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</row>
    <row r="3489" spans="1:56" s="4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</row>
    <row r="3490" spans="1:56" s="4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</row>
    <row r="3491" spans="1:56" s="4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</row>
    <row r="3492" spans="1:56" s="4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</row>
    <row r="3493" spans="1:56" s="4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</row>
    <row r="3494" spans="1:56" s="4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</row>
    <row r="3495" spans="1:56" s="4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</row>
    <row r="3496" spans="1:56" s="4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</row>
    <row r="3497" spans="1:56" s="4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</row>
    <row r="3498" spans="1:56" s="4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</row>
    <row r="3499" spans="1:56" s="4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</row>
    <row r="3500" spans="1:56" s="4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</row>
    <row r="3501" spans="1:56" s="4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</row>
    <row r="3502" spans="1:56" s="4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</row>
    <row r="3503" spans="1:56" s="4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</row>
    <row r="3504" spans="1:56" s="4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</row>
    <row r="3505" spans="1:56" s="4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</row>
    <row r="3506" spans="1:56" s="4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</row>
    <row r="3507" spans="1:56" s="4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</row>
    <row r="3508" spans="1:56" s="4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</row>
    <row r="3509" spans="1:56" s="4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</row>
    <row r="3510" spans="1:56" s="4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</row>
    <row r="3511" spans="1:56" s="4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</row>
    <row r="3512" spans="1:56" s="4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</row>
    <row r="3513" spans="1:56" s="4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</row>
    <row r="3514" spans="1:56" s="4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</row>
    <row r="3515" spans="1:56" s="4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</row>
    <row r="3516" spans="1:56" s="4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</row>
    <row r="3517" spans="1:56" s="4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</row>
    <row r="3518" spans="1:56" s="4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</row>
    <row r="3519" spans="1:56" s="4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</row>
    <row r="3520" spans="1:56" s="4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</row>
    <row r="3521" spans="1:56" s="4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</row>
    <row r="3522" spans="1:56" s="4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</row>
    <row r="3523" spans="1:56" s="4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</row>
    <row r="3524" spans="1:56" s="4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</row>
    <row r="3525" spans="1:56" s="4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</row>
    <row r="3526" spans="1:56" s="4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</row>
    <row r="3527" spans="1:56" s="4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</row>
    <row r="3528" spans="1:56" s="4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</row>
    <row r="3529" spans="1:56" s="4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</row>
    <row r="3530" spans="1:56" s="4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</row>
    <row r="3531" spans="1:56" s="4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</row>
    <row r="3532" spans="1:56" s="4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</row>
    <row r="3533" spans="1:56" s="4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</row>
    <row r="3534" spans="1:56" s="4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</row>
    <row r="3535" spans="1:56" s="4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</row>
    <row r="3536" spans="1:56" s="4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</row>
    <row r="3537" spans="1:56" s="4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</row>
    <row r="3538" spans="1:56" s="4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</row>
    <row r="3539" spans="1:56" s="4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</row>
    <row r="3540" spans="1:56" s="4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</row>
    <row r="3541" spans="1:56" s="4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</row>
    <row r="3542" spans="1:56" s="4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</row>
    <row r="3543" spans="1:56" s="4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</row>
    <row r="3544" spans="1:56" s="4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</row>
    <row r="3545" spans="1:56" s="4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</row>
    <row r="3546" spans="1:56" s="4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</row>
    <row r="3547" spans="1:56" s="4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</row>
    <row r="3548" spans="1:56" s="4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</row>
    <row r="3549" spans="1:56" s="4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</row>
    <row r="3550" spans="1:56" s="4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</row>
    <row r="3551" spans="1:56" s="4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</row>
    <row r="3552" spans="1:56" s="4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</row>
    <row r="3553" spans="1:56" s="4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</row>
    <row r="3554" spans="1:56" s="4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</row>
    <row r="3555" spans="1:56" s="4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</row>
    <row r="3556" spans="1:56" s="4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</row>
    <row r="3557" spans="1:56" s="4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</row>
    <row r="3558" spans="1:56" s="4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</row>
    <row r="3559" spans="1:56" s="4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</row>
    <row r="3560" spans="1:56" s="4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</row>
    <row r="3561" spans="1:56" s="4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</row>
    <row r="3562" spans="1:56" s="4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</row>
    <row r="3563" spans="1:56" s="4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</row>
    <row r="3564" spans="1:56" s="4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</row>
    <row r="3565" spans="1:56" s="4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</row>
    <row r="3566" spans="1:56" s="4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</row>
    <row r="3567" spans="1:56" s="4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</row>
    <row r="3568" spans="1:56" s="4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</row>
    <row r="3569" spans="1:56" s="4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</row>
    <row r="3570" spans="1:56" s="4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</row>
    <row r="3571" spans="1:56" s="4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</row>
    <row r="3572" spans="1:56" s="4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</row>
    <row r="3573" spans="1:56" s="4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</row>
    <row r="3574" spans="1:56" s="4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</row>
    <row r="3575" spans="1:56" s="4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</row>
    <row r="3576" spans="1:56" s="4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</row>
    <row r="3577" spans="1:56" s="4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</row>
    <row r="3578" spans="1:56" s="4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</row>
    <row r="3579" spans="1:56" s="4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</row>
    <row r="3580" spans="1:56" s="4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</row>
    <row r="3581" spans="1:56" s="4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</row>
    <row r="3582" spans="1:56" s="4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</row>
    <row r="3583" spans="1:56" s="4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</row>
    <row r="3584" spans="1:56" s="4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</row>
    <row r="3585" spans="1:56" s="4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</row>
    <row r="3586" spans="1:56" s="4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</row>
    <row r="3587" spans="1:56" s="4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</row>
    <row r="3588" spans="1:56" s="4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</row>
    <row r="3589" spans="1:56" s="4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</row>
    <row r="3590" spans="1:56" s="4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</row>
    <row r="3591" spans="1:56" s="4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</row>
    <row r="3592" spans="1:56" s="4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</row>
    <row r="3593" spans="1:56" s="4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</row>
    <row r="3594" spans="1:56" s="4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</row>
    <row r="3595" spans="1:56" s="4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</row>
    <row r="3596" spans="1:56" s="4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</row>
    <row r="3597" spans="1:56" s="4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</row>
    <row r="3598" spans="1:56" s="4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</row>
    <row r="3599" spans="1:56" s="4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</row>
    <row r="3600" spans="1:56" s="4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</row>
    <row r="3601" spans="1:56" s="4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</row>
    <row r="3602" spans="1:56" s="4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</row>
    <row r="3603" spans="1:56" s="4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</row>
    <row r="3604" spans="1:56" s="4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</row>
    <row r="3605" spans="1:56" s="4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</row>
    <row r="3606" spans="1:56" s="4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</row>
    <row r="3607" spans="1:56" s="4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</row>
    <row r="3608" spans="1:56" s="4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</row>
    <row r="3609" spans="1:56" s="4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</row>
    <row r="3610" spans="1:56" s="4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</row>
    <row r="3611" spans="1:56" s="4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</row>
    <row r="3612" spans="1:56" s="4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</row>
    <row r="3613" spans="1:56" s="4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</row>
    <row r="3614" spans="1:56" s="4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</row>
    <row r="3615" spans="1:56" s="4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</row>
    <row r="3616" spans="1:56" s="4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</row>
    <row r="3617" spans="1:56" s="4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</row>
    <row r="3618" spans="1:56" s="4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</row>
    <row r="3619" spans="1:56" s="4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</row>
    <row r="3620" spans="1:56" s="4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</row>
    <row r="3621" spans="1:56" s="4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</row>
    <row r="3622" spans="1:56" s="4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</row>
    <row r="3623" spans="1:56" s="4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</row>
    <row r="3624" spans="1:56" s="4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</row>
    <row r="3625" spans="1:56" s="4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</row>
    <row r="3626" spans="1:56" s="4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</row>
    <row r="3627" spans="1:56" s="4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</row>
    <row r="3628" spans="1:56" s="4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</row>
    <row r="3629" spans="1:56" s="4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</row>
    <row r="3630" spans="1:56" s="4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</row>
    <row r="3631" spans="1:56" s="4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</row>
    <row r="3632" spans="1:56" s="4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</row>
    <row r="3633" spans="1:56" s="4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</row>
    <row r="3634" spans="1:56" s="4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</row>
    <row r="3635" spans="1:56" s="4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</row>
    <row r="3636" spans="1:56" s="4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</row>
    <row r="3637" spans="1:56" s="4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</row>
    <row r="3638" spans="1:56" s="4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</row>
    <row r="3639" spans="1:56" s="4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</row>
    <row r="3640" spans="1:56" s="4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</row>
    <row r="3641" spans="1:56" s="4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</row>
    <row r="3642" spans="1:56" s="4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</row>
    <row r="3643" spans="1:56" s="4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</row>
    <row r="3644" spans="1:56" s="4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</row>
    <row r="3645" spans="1:56" s="4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</row>
    <row r="3646" spans="1:56" s="4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</row>
    <row r="3647" spans="1:56" s="4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</row>
    <row r="3648" spans="1:56" s="4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</row>
    <row r="3649" spans="1:56" s="4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</row>
    <row r="3650" spans="1:56" s="4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</row>
    <row r="3651" spans="1:56" s="4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</row>
    <row r="3652" spans="1:56" s="4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</row>
    <row r="3653" spans="1:56" s="4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</row>
    <row r="3654" spans="1:56" s="4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</row>
    <row r="3655" spans="1:56" s="4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</row>
    <row r="3656" spans="1:56" s="4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</row>
    <row r="3657" spans="1:56" s="4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</row>
    <row r="3658" spans="1:56" s="4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</row>
    <row r="3659" spans="1:56" s="4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</row>
    <row r="3660" spans="1:56" s="4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</row>
    <row r="3661" spans="1:56" s="4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</row>
    <row r="3662" spans="1:56" s="4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</row>
    <row r="3663" spans="1:56" s="4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</row>
    <row r="3664" spans="1:56" s="4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</row>
    <row r="3665" spans="1:56" s="4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</row>
    <row r="3666" spans="1:56" s="4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</row>
    <row r="3667" spans="1:56" s="4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</row>
    <row r="3668" spans="1:56" s="4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</row>
    <row r="3669" spans="1:56" s="4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</row>
    <row r="3670" spans="1:56" s="4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</row>
    <row r="3671" spans="1:56" s="4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</row>
    <row r="3672" spans="1:56" s="4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</row>
    <row r="3673" spans="1:56" s="4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</row>
    <row r="3674" spans="1:56" s="4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</row>
    <row r="3675" spans="1:56" s="4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</row>
    <row r="3676" spans="1:56" s="4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</row>
    <row r="3677" spans="1:56" s="4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</row>
    <row r="3678" spans="1:56" s="4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</row>
    <row r="3679" spans="1:56" s="4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</row>
    <row r="3680" spans="1:56" s="4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</row>
    <row r="3681" spans="1:56" s="4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</row>
    <row r="3682" spans="1:56" s="4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</row>
    <row r="3683" spans="1:56" s="4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</row>
    <row r="3684" spans="1:56" s="4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</row>
    <row r="3685" spans="1:56" s="4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</row>
    <row r="3686" spans="1:56" s="4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</row>
    <row r="3687" spans="1:56" s="4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</row>
    <row r="3688" spans="1:56" s="4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</row>
    <row r="3689" spans="1:56" s="4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</row>
    <row r="3690" spans="1:56" s="4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</row>
    <row r="3691" spans="1:56" s="4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</row>
    <row r="3692" spans="1:56" s="4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</row>
    <row r="3693" spans="1:56" s="4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</row>
    <row r="3694" spans="1:56" s="4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</row>
    <row r="3695" spans="1:56" s="4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</row>
    <row r="3696" spans="1:56" s="4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</row>
    <row r="3697" spans="1:56" s="4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</row>
    <row r="3698" spans="1:56" s="4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</row>
    <row r="3699" spans="1:56" s="4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</row>
    <row r="3700" spans="1:56" s="4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</row>
    <row r="3701" spans="1:56" s="4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</row>
    <row r="3702" spans="1:56" s="4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</row>
    <row r="3703" spans="1:56" s="4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</row>
    <row r="3704" spans="1:56" s="4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</row>
    <row r="3705" spans="1:56" s="4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</row>
    <row r="3706" spans="1:56" s="4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</row>
    <row r="3707" spans="1:56" s="4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</row>
    <row r="3708" spans="1:56" s="4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</row>
    <row r="3709" spans="1:56" s="4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</row>
    <row r="3710" spans="1:56" s="4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</row>
    <row r="3711" spans="1:56" s="4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</row>
    <row r="3712" spans="1:56" s="4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</row>
    <row r="3713" spans="1:56" s="4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</row>
    <row r="3714" spans="1:56" s="4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</row>
    <row r="3715" spans="1:56" s="4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</row>
    <row r="3716" spans="1:56" s="4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</row>
    <row r="3717" spans="1:56" s="4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</row>
    <row r="3718" spans="1:56" s="4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</row>
    <row r="3719" spans="1:56" s="4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</row>
    <row r="3720" spans="1:56" s="4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</row>
    <row r="3721" spans="1:56" s="4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</row>
    <row r="3722" spans="1:56" s="4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</row>
    <row r="3723" spans="1:56" s="4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</row>
    <row r="3724" spans="1:56" s="4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</row>
    <row r="3725" spans="1:56" s="4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</row>
    <row r="3726" spans="1:56" s="4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</row>
    <row r="3727" spans="1:56" s="4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</row>
    <row r="3728" spans="1:56" s="4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</row>
    <row r="3729" spans="1:56" s="4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</row>
    <row r="3730" spans="1:56" s="4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</row>
    <row r="3731" spans="1:56" s="4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</row>
    <row r="3732" spans="1:56" s="4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</row>
    <row r="3733" spans="1:56" s="4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</row>
    <row r="3734" spans="1:56" s="4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</row>
    <row r="3735" spans="1:56" s="4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</row>
    <row r="3736" spans="1:56" s="4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</row>
    <row r="3737" spans="1:56" s="4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</row>
    <row r="3738" spans="1:56" s="4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</row>
    <row r="3739" spans="1:56" s="4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</row>
    <row r="3740" spans="1:56" s="4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</row>
    <row r="3741" spans="1:56" s="4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</row>
    <row r="3742" spans="1:56" s="4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</row>
    <row r="3743" spans="1:56" s="4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</row>
    <row r="3744" spans="1:56" s="4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</row>
    <row r="3745" spans="1:56" s="4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</row>
    <row r="3746" spans="1:56" s="4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</row>
    <row r="3747" spans="1:56" s="4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</row>
    <row r="3748" spans="1:56" s="4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</row>
    <row r="3749" spans="1:56" s="4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</row>
    <row r="3750" spans="1:56" s="4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</row>
    <row r="3751" spans="1:56" s="4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</row>
    <row r="3752" spans="1:56" s="4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</row>
    <row r="3753" spans="1:56" s="4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</row>
    <row r="3754" spans="1:56" s="4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</row>
    <row r="3755" spans="1:56" s="4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</row>
    <row r="3756" spans="1:56" s="4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</row>
    <row r="3757" spans="1:56" s="4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</row>
    <row r="3758" spans="1:56" s="4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</row>
    <row r="3759" spans="1:56" s="4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</row>
    <row r="3760" spans="1:56" s="4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</row>
    <row r="3761" spans="1:56" s="4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</row>
    <row r="3762" spans="1:56" s="4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</row>
    <row r="3763" spans="1:56" s="4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</row>
    <row r="3764" spans="1:56" s="4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</row>
    <row r="3765" spans="1:56" s="4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</row>
    <row r="3766" spans="1:56" s="4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</row>
    <row r="3767" spans="1:56" s="4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</row>
    <row r="3768" spans="1:56" s="4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</row>
    <row r="3769" spans="1:56" s="4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</row>
    <row r="3770" spans="1:56" s="4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</row>
    <row r="3771" spans="1:56" s="4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</row>
    <row r="3772" spans="1:56" s="4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</row>
    <row r="3773" spans="1:56" s="4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</row>
    <row r="3774" spans="1:56" s="4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</row>
    <row r="3775" spans="1:56" s="4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</row>
    <row r="3776" spans="1:56" s="4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</row>
    <row r="3777" spans="1:56" s="4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</row>
    <row r="3778" spans="1:56" s="4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</row>
    <row r="3779" spans="1:56" s="4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</row>
    <row r="3780" spans="1:56" s="4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</row>
    <row r="3781" spans="1:56" s="4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</row>
    <row r="3782" spans="1:56" s="4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</row>
    <row r="3783" spans="1:56" s="4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</row>
    <row r="3784" spans="1:56" s="4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</row>
    <row r="3785" spans="1:56" s="4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</row>
    <row r="3786" spans="1:56" s="4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</row>
    <row r="3787" spans="1:56" s="4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</row>
    <row r="3788" spans="1:56" s="4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</row>
    <row r="3789" spans="1:56" s="4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</row>
    <row r="3790" spans="1:56" s="4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</row>
    <row r="3791" spans="1:56" s="4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</row>
    <row r="3792" spans="1:56" s="4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</row>
    <row r="3793" spans="1:56" s="4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</row>
    <row r="3794" spans="1:56" s="4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</row>
    <row r="3795" spans="1:56" s="4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</row>
    <row r="3796" spans="1:56" s="4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</row>
    <row r="3797" spans="1:56" s="4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</row>
    <row r="3798" spans="1:56" s="4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</row>
    <row r="3799" spans="1:56" s="4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</row>
    <row r="3800" spans="1:56" s="4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</row>
    <row r="3801" spans="1:56" s="4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</row>
    <row r="3802" spans="1:56" s="4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</row>
    <row r="3803" spans="1:56" s="4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</row>
    <row r="3804" spans="1:56" s="4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</row>
    <row r="3805" spans="1:56" s="4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</row>
    <row r="3806" spans="1:56" s="4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</row>
    <row r="3807" spans="1:56" s="4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</row>
    <row r="3808" spans="1:56" s="4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</row>
    <row r="3809" spans="1:56" s="4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</row>
    <row r="3810" spans="1:56" s="4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</row>
    <row r="3811" spans="1:56" s="4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</row>
    <row r="3812" spans="1:56" s="4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</row>
    <row r="3813" spans="1:56" s="4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</row>
    <row r="3814" spans="1:56" s="4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</row>
    <row r="3815" spans="1:56" s="4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</row>
    <row r="3816" spans="1:56" s="4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</row>
    <row r="3817" spans="1:56" s="4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</row>
    <row r="3818" spans="1:56" s="4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</row>
    <row r="3819" spans="1:56" s="4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</row>
    <row r="3820" spans="1:56" s="4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</row>
    <row r="3821" spans="1:56" s="4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</row>
    <row r="3822" spans="1:56" s="4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</row>
    <row r="3823" spans="1:56" s="4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</row>
    <row r="3824" spans="1:56" s="4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</row>
    <row r="3825" spans="1:56" s="4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</row>
    <row r="3826" spans="1:56" s="4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</row>
    <row r="3827" spans="1:56" s="4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</row>
    <row r="3828" spans="1:56" s="4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</row>
    <row r="3829" spans="1:56" s="4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</row>
    <row r="3830" spans="1:56" s="4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</row>
    <row r="3831" spans="1:56" s="4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</row>
    <row r="3832" spans="1:56" s="4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</row>
    <row r="3833" spans="1:56" s="4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</row>
    <row r="3834" spans="1:56" s="4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</row>
    <row r="3835" spans="1:56" s="4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</row>
    <row r="3836" spans="1:56" s="4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</row>
    <row r="3837" spans="1:56" s="4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</row>
    <row r="3838" spans="1:56" s="4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</row>
    <row r="3839" spans="1:56" s="4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</row>
    <row r="3840" spans="1:56" s="4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</row>
    <row r="3841" spans="1:56" s="4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</row>
    <row r="3842" spans="1:56" s="4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</row>
    <row r="3843" spans="1:56" s="4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</row>
    <row r="3844" spans="1:56" s="4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</row>
    <row r="3845" spans="1:56" s="4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</row>
    <row r="3846" spans="1:56" s="4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</row>
    <row r="3847" spans="1:56" s="4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</row>
    <row r="3848" spans="1:56" s="4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</row>
    <row r="3849" spans="1:56" s="4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</row>
    <row r="3850" spans="1:56" s="4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</row>
    <row r="3851" spans="1:56" s="4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</row>
    <row r="3852" spans="1:56" s="4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</row>
    <row r="3853" spans="1:56" s="4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</row>
    <row r="3854" spans="1:56" s="4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</row>
    <row r="3855" spans="1:56" s="4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</row>
    <row r="3856" spans="1:56" s="4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</row>
    <row r="3857" spans="1:56" s="4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</row>
    <row r="3858" spans="1:56" s="4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</row>
    <row r="3859" spans="1:56" s="4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</row>
    <row r="3860" spans="1:56" s="4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</row>
    <row r="3861" spans="1:56" s="4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</row>
    <row r="3862" spans="1:56" s="4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</row>
    <row r="3863" spans="1:56" s="4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</row>
    <row r="3864" spans="1:56" s="4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</row>
    <row r="3865" spans="1:56" s="4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</row>
    <row r="3866" spans="1:56" s="4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</row>
    <row r="3867" spans="1:56" s="4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</row>
    <row r="3868" spans="1:56" s="4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</row>
    <row r="3869" spans="1:56" s="4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</row>
    <row r="3870" spans="1:56" s="4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</row>
    <row r="3871" spans="1:56" s="4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</row>
    <row r="3872" spans="1:56" s="4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</row>
    <row r="3873" spans="1:56" s="4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</row>
    <row r="3874" spans="1:56" s="4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</row>
    <row r="3875" spans="1:56" s="4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</row>
    <row r="3876" spans="1:56" s="4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</row>
    <row r="3877" spans="1:56" s="4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</row>
    <row r="3878" spans="1:56" s="4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</row>
    <row r="3879" spans="1:56" s="4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</row>
    <row r="3880" spans="1:56" s="4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</row>
    <row r="3881" spans="1:56" s="4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</row>
    <row r="3882" spans="1:56" s="4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</row>
    <row r="3883" spans="1:56" s="4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</row>
    <row r="3884" spans="1:56" s="4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</row>
    <row r="3885" spans="1:56" s="4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</row>
    <row r="3886" spans="1:56" s="4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</row>
    <row r="3887" spans="1:56" s="4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</row>
    <row r="3888" spans="1:56" s="4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</row>
    <row r="3889" spans="1:56" s="4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</row>
    <row r="3890" spans="1:56" s="4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</row>
    <row r="3891" spans="1:56" s="4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</row>
    <row r="3892" spans="1:56" s="4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</row>
    <row r="3893" spans="1:56" s="4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</row>
    <row r="3894" spans="1:56" s="4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</row>
    <row r="3895" spans="1:56" s="4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</row>
    <row r="3896" spans="1:56" s="4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</row>
    <row r="3897" spans="1:56" s="4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</row>
    <row r="3898" spans="1:56" s="4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</row>
    <row r="3899" spans="1:56" s="4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</row>
    <row r="3900" spans="1:56" s="4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</row>
    <row r="3901" spans="1:56" s="4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</row>
    <row r="3902" spans="1:56" s="4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</row>
    <row r="3903" spans="1:56" s="4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</row>
    <row r="3904" spans="1:56" s="4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</row>
    <row r="3905" spans="1:56" s="4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</row>
    <row r="3906" spans="1:56" s="4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</row>
    <row r="3907" spans="1:56" s="4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</row>
    <row r="3908" spans="1:56" s="4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</row>
    <row r="3909" spans="1:56" s="4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</row>
    <row r="3910" spans="1:56" s="4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</row>
    <row r="3911" spans="1:56" s="4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</row>
    <row r="3912" spans="1:56" s="4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</row>
    <row r="3913" spans="1:56" s="4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</row>
    <row r="3914" spans="1:56" s="4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</row>
    <row r="3915" spans="1:56" s="4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</row>
    <row r="3916" spans="1:56" s="4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</row>
    <row r="3917" spans="1:56" s="4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</row>
    <row r="3918" spans="1:56" s="4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</row>
    <row r="3919" spans="1:56" s="4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</row>
    <row r="3920" spans="1:56" s="4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</row>
    <row r="3921" spans="1:56" s="4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</row>
    <row r="3922" spans="1:56" s="4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</row>
    <row r="3923" spans="1:56" s="4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</row>
    <row r="3924" spans="1:56" s="4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</row>
    <row r="3925" spans="1:56" s="4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</row>
    <row r="3926" spans="1:56" s="4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</row>
    <row r="3927" spans="1:56" s="4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</row>
    <row r="3928" spans="1:56" s="4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</row>
    <row r="3929" spans="1:56" s="4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</row>
    <row r="3930" spans="1:56" s="4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</row>
    <row r="3931" spans="1:56" s="4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</row>
    <row r="3932" spans="1:56" s="4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</row>
    <row r="3933" spans="1:56" s="4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</row>
    <row r="3934" spans="1:56" s="4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</row>
    <row r="3935" spans="1:56" s="4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</row>
    <row r="3936" spans="1:56" s="4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</row>
    <row r="3937" spans="1:56" s="4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</row>
    <row r="3938" spans="1:56" s="4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</row>
    <row r="3939" spans="1:56" s="4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</row>
    <row r="3940" spans="1:56" s="4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</row>
    <row r="3941" spans="1:56" s="4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</row>
    <row r="3942" spans="1:56" s="4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</row>
    <row r="3943" spans="1:56" s="4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</row>
    <row r="3944" spans="1:56" s="4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</row>
    <row r="3945" spans="1:56" s="4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</row>
    <row r="3946" spans="1:56" s="4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</row>
    <row r="3947" spans="1:56" s="4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</row>
    <row r="3948" spans="1:56" s="4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</row>
    <row r="3949" spans="1:56" s="4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</row>
    <row r="3950" spans="1:56" s="4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</row>
    <row r="3951" spans="1:56" s="4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</row>
    <row r="3952" spans="1:56" s="4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</row>
    <row r="3953" spans="1:56" s="4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</row>
    <row r="3954" spans="1:56" s="4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</row>
    <row r="3955" spans="1:56" s="4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</row>
    <row r="3956" spans="1:56" s="4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</row>
    <row r="3957" spans="1:56" s="4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</row>
    <row r="3958" spans="1:56" s="4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</row>
    <row r="3959" spans="1:56" s="4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</row>
    <row r="3960" spans="1:56" s="4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</row>
    <row r="3961" spans="1:56" s="4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</row>
    <row r="3962" spans="1:56" s="4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</row>
    <row r="3963" spans="1:56" s="4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</row>
    <row r="3964" spans="1:56" s="4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</row>
    <row r="3965" spans="1:56" s="4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</row>
    <row r="3966" spans="1:56" s="4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</row>
    <row r="3967" spans="1:56" s="4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</row>
    <row r="3968" spans="1:56" s="4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</row>
    <row r="3969" spans="1:56" s="4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</row>
    <row r="3970" spans="1:56" s="4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</row>
    <row r="3971" spans="1:56" s="4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</row>
    <row r="3972" spans="1:56" s="4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</row>
    <row r="3973" spans="1:56" s="4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</row>
    <row r="3974" spans="1:56" s="4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</row>
    <row r="3975" spans="1:56" s="4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</row>
    <row r="3976" spans="1:56" s="4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</row>
    <row r="3977" spans="1:56" s="4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</row>
    <row r="3978" spans="1:56" s="4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</row>
    <row r="3979" spans="1:56" s="4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</row>
    <row r="3980" spans="1:56" s="4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</row>
    <row r="3981" spans="1:56" s="4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</row>
    <row r="3982" spans="1:56" s="4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</row>
    <row r="3983" spans="1:56" s="4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</row>
    <row r="3984" spans="1:56" s="4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</row>
    <row r="3985" spans="1:56" s="4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</row>
    <row r="3986" spans="1:56" s="4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</row>
    <row r="3987" spans="1:56" s="4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</row>
    <row r="3988" spans="1:56" s="4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</row>
    <row r="3989" spans="1:56" s="4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</row>
    <row r="3990" spans="1:56" s="4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</row>
    <row r="3991" spans="1:56" s="4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</row>
    <row r="3992" spans="1:56" s="4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</row>
    <row r="3993" spans="1:56" s="4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</row>
    <row r="3994" spans="1:56" s="4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</row>
    <row r="3995" spans="1:56" s="4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</row>
    <row r="3996" spans="1:56" s="4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</row>
    <row r="3997" spans="1:56" s="4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</row>
    <row r="3998" spans="1:56" s="4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</row>
    <row r="3999" spans="1:56" s="4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</row>
    <row r="4000" spans="1:56" s="4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</row>
    <row r="4001" spans="1:56" s="4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</row>
    <row r="4002" spans="1:56" s="4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</row>
    <row r="4003" spans="1:56" s="4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</row>
    <row r="4004" spans="1:56" s="4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</row>
    <row r="4005" spans="1:56" s="4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</row>
    <row r="4006" spans="1:56" s="4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</row>
    <row r="4007" spans="1:56" s="4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</row>
    <row r="4008" spans="1:56" s="4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</row>
    <row r="4009" spans="1:56" s="4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</row>
    <row r="4010" spans="1:56" s="4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</row>
    <row r="4011" spans="1:56" s="4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</row>
    <row r="4012" spans="1:56" s="4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</row>
    <row r="4013" spans="1:56" s="4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</row>
    <row r="4014" spans="1:56" s="4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</row>
    <row r="4015" spans="1:56" s="4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</row>
    <row r="4016" spans="1:56" s="4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</row>
    <row r="4017" spans="1:56" s="4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</row>
    <row r="4018" spans="1:56" s="4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</row>
    <row r="4019" spans="1:56" s="4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</row>
    <row r="4020" spans="1:56" s="4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</row>
    <row r="4021" spans="1:56" s="4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</row>
    <row r="4022" spans="1:56" s="4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</row>
    <row r="4023" spans="1:56" s="4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</row>
    <row r="4024" spans="1:56" s="4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</row>
    <row r="4025" spans="1:56" s="4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</row>
    <row r="4026" spans="1:56" s="4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</row>
    <row r="4027" spans="1:56" s="4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</row>
    <row r="4028" spans="1:56" s="4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</row>
    <row r="4029" spans="1:56" s="4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</row>
    <row r="4030" spans="1:56" s="4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</row>
    <row r="4031" spans="1:56" s="4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</row>
    <row r="4032" spans="1:56" s="4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</row>
    <row r="4033" spans="1:56" s="4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</row>
    <row r="4034" spans="1:56" s="4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</row>
    <row r="4035" spans="1:56" s="4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</row>
    <row r="4036" spans="1:56" s="4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</row>
    <row r="4037" spans="1:56" s="4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</row>
    <row r="4038" spans="1:56" s="4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</row>
    <row r="4039" spans="1:56" s="4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</row>
    <row r="4040" spans="1:56" s="4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</row>
    <row r="4041" spans="1:56" s="4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</row>
    <row r="4042" spans="1:56" s="4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</row>
    <row r="4043" spans="1:56" s="4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</row>
    <row r="4044" spans="1:56" s="4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</row>
    <row r="4045" spans="1:56" s="4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</row>
    <row r="4046" spans="1:56" s="4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</row>
    <row r="4047" spans="1:56" s="4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</row>
    <row r="4048" spans="1:56" s="4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</row>
    <row r="4049" spans="1:56" s="4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</row>
    <row r="4050" spans="1:56" s="4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</row>
    <row r="4051" spans="1:56" s="4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</row>
    <row r="4052" spans="1:56" s="4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</row>
    <row r="4053" spans="1:56" s="4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</row>
    <row r="4054" spans="1:56" s="4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</row>
    <row r="4055" spans="1:56" s="4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</row>
    <row r="4056" spans="1:56" s="4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</row>
    <row r="4057" spans="1:56" s="4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</row>
    <row r="4058" spans="1:56" s="4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</row>
    <row r="4059" spans="1:56" s="4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</row>
    <row r="4060" spans="1:56" s="4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</row>
    <row r="4061" spans="1:56" s="4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</row>
    <row r="4062" spans="1:56" s="4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</row>
    <row r="4063" spans="1:56" s="4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</row>
    <row r="4064" spans="1:56" s="4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</row>
    <row r="4065" spans="1:56" s="4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</row>
    <row r="4066" spans="1:56" s="4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</row>
    <row r="4067" spans="1:56" s="4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</row>
    <row r="4068" spans="1:56" s="4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</row>
    <row r="4069" spans="1:56" s="4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</row>
    <row r="4070" spans="1:56" s="4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</row>
    <row r="4071" spans="1:56" s="4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</row>
    <row r="4072" spans="1:56" s="4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</row>
    <row r="4073" spans="1:56" s="4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</row>
    <row r="4074" spans="1:56" s="4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</row>
    <row r="4075" spans="1:56" s="4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</row>
    <row r="4076" spans="1:56" s="4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</row>
    <row r="4077" spans="1:56" s="4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</row>
    <row r="4078" spans="1:56" s="4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</row>
    <row r="4079" spans="1:56" s="4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</row>
    <row r="4080" spans="1:56" s="4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</row>
    <row r="4081" spans="1:56" s="4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</row>
    <row r="4082" spans="1:56" s="4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</row>
    <row r="4083" spans="1:56" s="4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</row>
    <row r="4084" spans="1:56" s="4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</row>
    <row r="4085" spans="1:56" s="4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</row>
    <row r="4086" spans="1:56" s="4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</row>
    <row r="4087" spans="1:56" s="4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</row>
    <row r="4088" spans="1:56" s="4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</row>
    <row r="4089" spans="1:56" s="4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</row>
    <row r="4090" spans="1:56" s="4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</row>
    <row r="4091" spans="1:56" s="4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</row>
    <row r="4092" spans="1:56" s="4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</row>
    <row r="4093" spans="1:56" s="4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</row>
    <row r="4094" spans="1:56" s="4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</row>
    <row r="4095" spans="1:56" s="4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</row>
    <row r="4096" spans="1:56" s="4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</row>
    <row r="4097" spans="1:56" s="4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</row>
    <row r="4098" spans="1:56" s="4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</row>
    <row r="4099" spans="1:56" s="4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</row>
    <row r="4100" spans="1:56" s="4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</row>
    <row r="4101" spans="1:56" s="4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</row>
    <row r="4102" spans="1:56" s="4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</row>
    <row r="4103" spans="1:56" s="4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</row>
    <row r="4104" spans="1:56" s="4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</row>
    <row r="4105" spans="1:56" s="4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</row>
    <row r="4106" spans="1:56" s="4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</row>
    <row r="4107" spans="1:56" s="4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</row>
    <row r="4108" spans="1:56" s="4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</row>
    <row r="4109" spans="1:56" s="4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</row>
    <row r="4110" spans="1:56" s="4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</row>
    <row r="4111" spans="1:56" s="4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</row>
    <row r="4112" spans="1:56" s="4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</row>
    <row r="4113" spans="1:56" s="4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</row>
    <row r="4114" spans="1:56" s="4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</row>
    <row r="4115" spans="1:56" s="4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</row>
    <row r="4116" spans="1:56" s="4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</row>
    <row r="4117" spans="1:56" s="4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</row>
    <row r="4118" spans="1:56" s="4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</row>
    <row r="4119" spans="1:56" s="4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</row>
    <row r="4120" spans="1:56" s="4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</row>
    <row r="4121" spans="1:56" s="4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</row>
    <row r="4122" spans="1:56" s="4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</row>
    <row r="4123" spans="1:56" s="4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</row>
    <row r="4124" spans="1:56" s="4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</row>
    <row r="4125" spans="1:56" s="4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</row>
    <row r="4126" spans="1:56" s="4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</row>
    <row r="4127" spans="1:56" s="4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</row>
    <row r="4128" spans="1:56" s="4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</row>
    <row r="4129" spans="1:56" s="4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</row>
    <row r="4130" spans="1:56" s="4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</row>
    <row r="4131" spans="1:56" s="4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</row>
    <row r="4132" spans="1:56" s="4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</row>
    <row r="4133" spans="1:56" s="4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</row>
    <row r="4134" spans="1:56" s="4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</row>
    <row r="4135" spans="1:56" s="4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</row>
    <row r="4136" spans="1:56" s="4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</row>
    <row r="4137" spans="1:56" s="4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</row>
    <row r="4138" spans="1:56" s="4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</row>
    <row r="4139" spans="1:56" s="4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</row>
    <row r="4140" spans="1:56" s="4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</row>
    <row r="4141" spans="1:56" s="4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</row>
    <row r="4142" spans="1:56" s="4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</row>
    <row r="4143" spans="1:56" s="4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</row>
    <row r="4144" spans="1:56" s="4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</row>
    <row r="4145" spans="1:56" s="4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</row>
    <row r="4146" spans="1:56" s="4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</row>
    <row r="4147" spans="1:56" s="4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</row>
    <row r="4148" spans="1:56" s="4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</row>
    <row r="4149" spans="1:56" s="4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</row>
    <row r="4150" spans="1:56" s="4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</row>
    <row r="4151" spans="1:56" s="4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</row>
    <row r="4152" spans="1:56" s="4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</row>
    <row r="4153" spans="1:56" s="4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</row>
    <row r="4154" spans="1:56" s="4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</row>
    <row r="4155" spans="1:56" s="4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</row>
    <row r="4156" spans="1:56" s="4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</row>
    <row r="4157" spans="1:56" s="4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</row>
    <row r="4158" spans="1:56" s="4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</row>
    <row r="4159" spans="1:56" s="4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</row>
    <row r="4160" spans="1:56" s="4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</row>
    <row r="4161" spans="1:56" s="4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</row>
    <row r="4162" spans="1:56" s="4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</row>
    <row r="4163" spans="1:56" s="4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</row>
    <row r="4164" spans="1:56" s="4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</row>
    <row r="4165" spans="1:56" s="4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</row>
    <row r="4166" spans="1:56" s="4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</row>
    <row r="4167" spans="1:56" s="4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</row>
    <row r="4168" spans="1:56" s="4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</row>
    <row r="4169" spans="1:56" s="4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</row>
    <row r="4170" spans="1:56" s="4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</row>
    <row r="4171" spans="1:56" s="4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</row>
    <row r="4172" spans="1:56" s="4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</row>
    <row r="4173" spans="1:56" s="4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</row>
    <row r="4174" spans="1:56" s="4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</row>
    <row r="4175" spans="1:56" s="4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</row>
    <row r="4176" spans="1:56" s="4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</row>
    <row r="4177" spans="1:56" s="4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</row>
    <row r="4178" spans="1:56" s="4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</row>
    <row r="4179" spans="1:56" s="4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</row>
    <row r="4180" spans="1:56" s="4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</row>
    <row r="4181" spans="1:56" s="4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</row>
    <row r="4182" spans="1:56" s="4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</row>
    <row r="4183" spans="1:56" s="4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</row>
    <row r="4184" spans="1:56" s="4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</row>
    <row r="4185" spans="1:56" s="4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</row>
    <row r="4186" spans="1:56" s="4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</row>
    <row r="4187" spans="1:56" s="4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</row>
    <row r="4188" spans="1:56" s="4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</row>
    <row r="4189" spans="1:56" s="4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</row>
    <row r="4190" spans="1:56" s="4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</row>
    <row r="4191" spans="1:56" s="4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</row>
    <row r="4192" spans="1:56" s="4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</row>
    <row r="4193" spans="1:56" s="4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</row>
    <row r="4194" spans="1:56" s="4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</row>
    <row r="4195" spans="1:56" s="4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</row>
    <row r="4196" spans="1:56" s="4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</row>
    <row r="4197" spans="1:56" s="4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</row>
    <row r="4198" spans="1:56" s="4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</row>
    <row r="4199" spans="1:56" s="4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</row>
    <row r="4200" spans="1:56" s="4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</row>
    <row r="4201" spans="1:56" s="4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</row>
    <row r="4202" spans="1:56" s="4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</row>
    <row r="4203" spans="1:56" s="4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</row>
    <row r="4204" spans="1:56" s="4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</row>
    <row r="4205" spans="1:56" s="4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</row>
    <row r="4206" spans="1:56" s="4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</row>
    <row r="4207" spans="1:56" s="4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</row>
    <row r="4208" spans="1:56" s="4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</row>
    <row r="4209" spans="1:56" s="4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</row>
    <row r="4210" spans="1:56" s="4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</row>
    <row r="4211" spans="1:56" s="4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</row>
    <row r="4212" spans="1:56" s="4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</row>
    <row r="4213" spans="1:56" s="4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</row>
    <row r="4214" spans="1:56" s="4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</row>
    <row r="4215" spans="1:56" s="4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</row>
    <row r="4216" spans="1:56" s="4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</row>
    <row r="4217" spans="1:56" s="4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</row>
    <row r="4218" spans="1:56" s="4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</row>
    <row r="4219" spans="1:56" s="4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</row>
    <row r="4220" spans="1:56" s="4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</row>
    <row r="4221" spans="1:56" s="4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</row>
    <row r="4222" spans="1:56" s="4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</row>
    <row r="4223" spans="1:56" s="4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</row>
    <row r="4224" spans="1:56" s="4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</row>
    <row r="4225" spans="1:56" s="4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</row>
    <row r="4226" spans="1:56" s="4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</row>
    <row r="4227" spans="1:56" s="4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</row>
    <row r="4228" spans="1:56" s="4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</row>
    <row r="4229" spans="1:56" s="4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</row>
    <row r="4230" spans="1:56" s="4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</row>
    <row r="4231" spans="1:56" s="4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</row>
    <row r="4232" spans="1:56" s="4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</row>
    <row r="4233" spans="1:56" s="4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</row>
    <row r="4234" spans="1:56" s="4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</row>
    <row r="4235" spans="1:56" s="4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</row>
    <row r="4236" spans="1:56" s="4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</row>
    <row r="4237" spans="1:56" s="4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</row>
    <row r="4238" spans="1:56" s="4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</row>
    <row r="4239" spans="1:56" s="4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</row>
    <row r="4240" spans="1:56" s="4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</row>
    <row r="4241" spans="1:56" s="4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</row>
    <row r="4242" spans="1:56" s="4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</row>
    <row r="4243" spans="1:56" s="4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</row>
    <row r="4244" spans="1:56" s="4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</row>
    <row r="4245" spans="1:56" s="4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</row>
    <row r="4246" spans="1:56" s="4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</row>
    <row r="4247" spans="1:56" s="4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</row>
    <row r="4248" spans="1:56" s="4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</row>
    <row r="4249" spans="1:56" s="4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</row>
    <row r="4250" spans="1:56" s="4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</row>
    <row r="4251" spans="1:56" s="4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</row>
    <row r="4252" spans="1:56" s="4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</row>
    <row r="4253" spans="1:56" s="4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</row>
    <row r="4254" spans="1:56" s="4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</row>
    <row r="4255" spans="1:56" s="4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</row>
    <row r="4256" spans="1:56" s="4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</row>
    <row r="4257" spans="1:56" s="4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</row>
    <row r="4258" spans="1:56" s="4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</row>
    <row r="4259" spans="1:56" s="4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</row>
    <row r="4260" spans="1:56" s="4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</row>
    <row r="4261" spans="1:56" s="4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</row>
    <row r="4262" spans="1:56" s="4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</row>
    <row r="4263" spans="1:56" s="4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</row>
    <row r="4264" spans="1:56" s="4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</row>
    <row r="4265" spans="1:56" s="4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</row>
    <row r="4266" spans="1:56" s="4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</row>
    <row r="4267" spans="1:56" s="4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</row>
    <row r="4268" spans="1:56" s="4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</row>
    <row r="4269" spans="1:56" s="4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</row>
    <row r="4270" spans="1:56" s="4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</row>
    <row r="4271" spans="1:56" s="4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</row>
    <row r="4272" spans="1:56" s="4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</row>
    <row r="4273" spans="1:56" s="4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</row>
    <row r="4274" spans="1:56" s="4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</row>
    <row r="4275" spans="1:56" s="4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</row>
    <row r="4276" spans="1:56" s="4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</row>
    <row r="4277" spans="1:56" s="4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</row>
    <row r="4278" spans="1:56" s="4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</row>
    <row r="4279" spans="1:56" s="4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</row>
    <row r="4280" spans="1:56" s="4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</row>
    <row r="4281" spans="1:56" s="4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</row>
    <row r="4282" spans="1:56" s="4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</row>
    <row r="4283" spans="1:56" s="4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</row>
    <row r="4284" spans="1:56" s="4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</row>
    <row r="4285" spans="1:56" s="4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</row>
    <row r="4286" spans="1:56" s="4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</row>
    <row r="4287" spans="1:56" s="4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</row>
    <row r="4288" spans="1:56" s="4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</row>
    <row r="4289" spans="1:56" s="4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</row>
    <row r="4290" spans="1:56" s="4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</row>
    <row r="4291" spans="1:56" s="4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</row>
    <row r="4292" spans="1:56" s="4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</row>
    <row r="4293" spans="1:56" s="4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</row>
    <row r="4294" spans="1:56" s="4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</row>
    <row r="4295" spans="1:56" s="4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</row>
    <row r="4296" spans="1:56" s="4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</row>
    <row r="4297" spans="1:56" s="4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</row>
    <row r="4298" spans="1:56" s="4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</row>
    <row r="4299" spans="1:56" s="4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</row>
    <row r="4300" spans="1:56" s="4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</row>
    <row r="4301" spans="1:56" s="4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</row>
    <row r="4302" spans="1:56" s="4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</row>
    <row r="4303" spans="1:56" s="4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</row>
    <row r="4304" spans="1:56" s="4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</row>
    <row r="4305" spans="1:56" s="4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</row>
    <row r="4306" spans="1:56" s="4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</row>
    <row r="4307" spans="1:56" s="4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</row>
    <row r="4308" spans="1:56" s="4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</row>
    <row r="4309" spans="1:56" s="4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</row>
    <row r="4310" spans="1:56" s="4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</row>
    <row r="4311" spans="1:56" s="4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</row>
    <row r="4312" spans="1:56" s="4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</row>
    <row r="4313" spans="1:56" s="4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</row>
    <row r="4314" spans="1:56" s="4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</row>
    <row r="4315" spans="1:56" s="4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</row>
    <row r="4316" spans="1:56" s="4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</row>
    <row r="4317" spans="1:56" s="4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</row>
    <row r="4318" spans="1:56" s="4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</row>
    <row r="4319" spans="1:56" s="4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</row>
    <row r="4320" spans="1:56" s="4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</row>
    <row r="4321" spans="1:56" s="4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</row>
    <row r="4322" spans="1:56" s="4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</row>
    <row r="4323" spans="1:56" s="4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</row>
    <row r="4324" spans="1:56" s="4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</row>
    <row r="4325" spans="1:56" s="4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</row>
    <row r="4326" spans="1:56" s="4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</row>
    <row r="4327" spans="1:56" s="4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</row>
    <row r="4328" spans="1:56" s="4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</row>
    <row r="4329" spans="1:56" s="4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</row>
    <row r="4330" spans="1:56" s="4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</row>
    <row r="4331" spans="1:56" s="4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</row>
    <row r="4332" spans="1:56" s="4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</row>
    <row r="4333" spans="1:56" s="4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</row>
    <row r="4334" spans="1:56" s="4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</row>
    <row r="4335" spans="1:56" s="4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</row>
    <row r="4336" spans="1:56" s="4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</row>
    <row r="4337" spans="1:56" s="4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</row>
    <row r="4338" spans="1:56" s="4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</row>
    <row r="4339" spans="1:56" s="4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</row>
    <row r="4340" spans="1:56" s="4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</row>
    <row r="4341" spans="1:56" s="4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</row>
    <row r="4342" spans="1:56" s="4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</row>
    <row r="4343" spans="1:56" s="4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</row>
    <row r="4344" spans="1:56" s="4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</row>
    <row r="4345" spans="1:56" s="4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</row>
    <row r="4346" spans="1:56" s="4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</row>
    <row r="4347" spans="1:56" s="4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</row>
    <row r="4348" spans="1:56" s="4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</row>
    <row r="4349" spans="1:56" s="4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</row>
    <row r="4350" spans="1:56" s="4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</row>
    <row r="4351" spans="1:56" s="4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</row>
    <row r="4352" spans="1:56" s="4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</row>
    <row r="4353" spans="1:56" s="4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</row>
    <row r="4354" spans="1:56" s="4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</row>
    <row r="4355" spans="1:56" s="4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</row>
    <row r="4356" spans="1:56" s="4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</row>
    <row r="4357" spans="1:56" s="4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</row>
    <row r="4358" spans="1:56" s="4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</row>
    <row r="4359" spans="1:56" s="4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</row>
    <row r="4360" spans="1:56" s="4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</row>
    <row r="4361" spans="1:56" s="4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</row>
    <row r="4362" spans="1:56" s="4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</row>
    <row r="4363" spans="1:56" s="4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</row>
    <row r="4364" spans="1:56" s="4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</row>
    <row r="4365" spans="1:56" s="4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</row>
    <row r="4366" spans="1:56" s="4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</row>
    <row r="4367" spans="1:56" s="4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</row>
    <row r="4368" spans="1:56" s="4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</row>
    <row r="4369" spans="1:56" s="4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</row>
    <row r="4370" spans="1:56" s="4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</row>
    <row r="4371" spans="1:56" s="4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</row>
    <row r="4372" spans="1:56" s="4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</row>
    <row r="4373" spans="1:56" s="4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</row>
    <row r="4374" spans="1:56" s="4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</row>
    <row r="4375" spans="1:56" s="4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</row>
    <row r="4376" spans="1:56" s="4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</row>
    <row r="4377" spans="1:56" s="4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</row>
    <row r="4378" spans="1:56" s="4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</row>
    <row r="4379" spans="1:56" s="4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</row>
    <row r="4380" spans="1:56" s="4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</row>
    <row r="4381" spans="1:56" s="4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</row>
    <row r="4382" spans="1:56" s="4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</row>
    <row r="4383" spans="1:56" s="4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</row>
    <row r="4384" spans="1:56" s="4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</row>
    <row r="4385" spans="1:56" s="4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</row>
    <row r="4386" spans="1:56" s="4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</row>
    <row r="4387" spans="1:56" s="4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</row>
    <row r="4388" spans="1:56" s="4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</row>
    <row r="4389" spans="1:56" s="4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</row>
    <row r="4390" spans="1:56" s="4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</row>
    <row r="4391" spans="1:56" s="4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</row>
    <row r="4392" spans="1:56" s="4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</row>
    <row r="4393" spans="1:56" s="4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</row>
    <row r="4394" spans="1:56" s="4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</row>
    <row r="4395" spans="1:56" s="4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</row>
    <row r="4396" spans="1:56" s="4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</row>
    <row r="4397" spans="1:56" s="4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</row>
    <row r="4398" spans="1:56" s="4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</row>
    <row r="4399" spans="1:56" s="4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</row>
    <row r="4400" spans="1:56" s="4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</row>
    <row r="4401" spans="1:56" s="4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</row>
    <row r="4402" spans="1:56" s="4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</row>
    <row r="4403" spans="1:56" s="4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</row>
    <row r="4404" spans="1:56" s="4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</row>
    <row r="4405" spans="1:56" s="4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</row>
    <row r="4406" spans="1:56" s="4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</row>
    <row r="4407" spans="1:56" s="4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</row>
    <row r="4408" spans="1:56" s="4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</row>
    <row r="4409" spans="1:56" s="4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</row>
    <row r="4410" spans="1:56" s="4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</row>
    <row r="4411" spans="1:56" s="4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</row>
    <row r="4412" spans="1:56" s="4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</row>
    <row r="4413" spans="1:56" s="4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</row>
    <row r="4414" spans="1:56" s="4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</row>
    <row r="4415" spans="1:56" s="4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</row>
    <row r="4416" spans="1:56" s="4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</row>
    <row r="4417" spans="1:56" s="4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</row>
    <row r="4418" spans="1:56" s="4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</row>
    <row r="4419" spans="1:56" s="4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</row>
    <row r="4420" spans="1:56" s="4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</row>
    <row r="4421" spans="1:56" s="4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</row>
    <row r="4422" spans="1:56" s="4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</row>
    <row r="4423" spans="1:56" s="4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</row>
    <row r="4424" spans="1:56" s="4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</row>
    <row r="4425" spans="1:56" s="4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</row>
    <row r="4426" spans="1:56" s="4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</row>
    <row r="4427" spans="1:56" s="4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</row>
    <row r="4428" spans="1:56" s="4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</row>
    <row r="4429" spans="1:56" s="4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</row>
    <row r="4430" spans="1:56" s="4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</row>
    <row r="4431" spans="1:56" s="4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</row>
    <row r="4432" spans="1:56" s="4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</row>
    <row r="4433" spans="1:56" s="4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</row>
    <row r="4434" spans="1:56" s="4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</row>
    <row r="4435" spans="1:56" s="4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</row>
    <row r="4436" spans="1:56" s="4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</row>
    <row r="4437" spans="1:56" s="4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</row>
    <row r="4438" spans="1:56" s="4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</row>
    <row r="4439" spans="1:56" s="4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</row>
    <row r="4440" spans="1:56" s="4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</row>
    <row r="4441" spans="1:56" s="4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</row>
    <row r="4442" spans="1:56" s="4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</row>
    <row r="4443" spans="1:56" s="4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</row>
    <row r="4444" spans="1:56" s="4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</row>
    <row r="4445" spans="1:56" s="4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</row>
    <row r="4446" spans="1:56" s="4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</row>
    <row r="4447" spans="1:56" s="4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</row>
    <row r="4448" spans="1:56" s="4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</row>
    <row r="4449" spans="1:56" s="4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</row>
    <row r="4450" spans="1:56" s="4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</row>
    <row r="4451" spans="1:56" s="4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</row>
    <row r="4452" spans="1:56" s="4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</row>
    <row r="4453" spans="1:56" s="4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</row>
    <row r="4454" spans="1:56" s="4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</row>
    <row r="4455" spans="1:56" s="4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</row>
    <row r="4456" spans="1:56" s="4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</row>
    <row r="4457" spans="1:56" s="4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</row>
    <row r="4458" spans="1:56" s="4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</row>
    <row r="4459" spans="1:56" s="4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</row>
    <row r="4460" spans="1:56" s="4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</row>
    <row r="4461" spans="1:56" s="4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</row>
    <row r="4462" spans="1:56" s="4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</row>
    <row r="4463" spans="1:56" s="4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</row>
    <row r="4464" spans="1:56" s="4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</row>
    <row r="4465" spans="1:56" s="4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</row>
    <row r="4466" spans="1:56" s="4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</row>
    <row r="4467" spans="1:56" s="4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</row>
    <row r="4468" spans="1:56" s="4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</row>
    <row r="4469" spans="1:56" s="4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</row>
    <row r="4470" spans="1:56" s="4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</row>
    <row r="4471" spans="1:56" s="4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</row>
    <row r="4472" spans="1:56" s="4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</row>
    <row r="4473" spans="1:56" s="4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</row>
    <row r="4474" spans="1:56" s="4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</row>
    <row r="4475" spans="1:56" s="4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</row>
    <row r="4476" spans="1:56" s="4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</row>
    <row r="4477" spans="1:56" s="4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</row>
    <row r="4478" spans="1:56" s="4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</row>
    <row r="4479" spans="1:56" s="4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</row>
    <row r="4480" spans="1:56" s="4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</row>
    <row r="4481" spans="1:56" s="4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</row>
    <row r="4482" spans="1:56" s="4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</row>
    <row r="4483" spans="1:56" s="4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</row>
    <row r="4484" spans="1:56" s="4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</row>
    <row r="4485" spans="1:56" s="4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</row>
    <row r="4486" spans="1:56" s="4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</row>
    <row r="4487" spans="1:56" s="4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</row>
    <row r="4488" spans="1:56" s="4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</row>
    <row r="4489" spans="1:56" s="4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</row>
    <row r="4490" spans="1:56" s="4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</row>
    <row r="4491" spans="1:56" s="4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</row>
    <row r="4492" spans="1:56" s="4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</row>
    <row r="4493" spans="1:56" s="4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</row>
    <row r="4494" spans="1:56" s="4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</row>
    <row r="4495" spans="1:56" s="4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</row>
    <row r="4496" spans="1:56" s="4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</row>
    <row r="4497" spans="1:56" s="4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</row>
    <row r="4498" spans="1:56" s="4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</row>
    <row r="4499" spans="1:56" s="4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</row>
    <row r="4500" spans="1:56" s="4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</row>
    <row r="4501" spans="1:56" s="4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</row>
    <row r="4502" spans="1:56" s="4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</row>
    <row r="4503" spans="1:56" s="4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</row>
    <row r="4504" spans="1:56" s="4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</row>
    <row r="4505" spans="1:56" s="4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</row>
    <row r="4506" spans="1:56" s="4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</row>
    <row r="4507" spans="1:56" s="4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</row>
    <row r="4508" spans="1:56" s="4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</row>
    <row r="4509" spans="1:56" s="4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</row>
    <row r="4510" spans="1:56" s="4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</row>
    <row r="4511" spans="1:56" s="4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</row>
    <row r="4512" spans="1:56" s="4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</row>
    <row r="4513" spans="1:56" s="4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</row>
    <row r="4514" spans="1:56" s="4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</row>
    <row r="4515" spans="1:56" s="4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</row>
    <row r="4516" spans="1:56" s="4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</row>
    <row r="4517" spans="1:56" s="4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</row>
    <row r="4518" spans="1:56" s="4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</row>
    <row r="4519" spans="1:56" s="4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</row>
    <row r="4520" spans="1:56" s="4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</row>
    <row r="4521" spans="1:56" s="4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</row>
    <row r="4522" spans="1:56" s="4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</row>
    <row r="4523" spans="1:56" s="4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</row>
    <row r="4524" spans="1:56" s="4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</row>
    <row r="4525" spans="1:56" s="4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</row>
    <row r="4526" spans="1:56" s="4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</row>
    <row r="4527" spans="1:56" s="4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</row>
    <row r="4528" spans="1:56" s="4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</row>
    <row r="4529" spans="1:56" s="4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</row>
    <row r="4530" spans="1:56" s="4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</row>
    <row r="4531" spans="1:56" s="4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</row>
    <row r="4532" spans="1:56" s="4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</row>
    <row r="4533" spans="1:56" s="4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</row>
    <row r="4534" spans="1:56" s="4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</row>
    <row r="4535" spans="1:56" s="4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</row>
    <row r="4536" spans="1:56" s="4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</row>
    <row r="4537" spans="1:56" s="4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</row>
    <row r="4538" spans="1:56" s="4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</row>
    <row r="4539" spans="1:56" s="4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</row>
    <row r="4540" spans="1:56" s="4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</row>
    <row r="4541" spans="1:56" s="4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</row>
    <row r="4542" spans="1:56" s="4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</row>
    <row r="4543" spans="1:56" s="4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</row>
    <row r="4544" spans="1:56" s="4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</row>
    <row r="4545" spans="1:56" s="4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</row>
    <row r="4546" spans="1:56" s="4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</row>
    <row r="4547" spans="1:56" s="4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</row>
    <row r="4548" spans="1:56" s="4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</row>
    <row r="4549" spans="1:56" s="4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</row>
    <row r="4550" spans="1:56" s="4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</row>
    <row r="4551" spans="1:56" s="4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</row>
    <row r="4552" spans="1:56" s="4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</row>
    <row r="4553" spans="1:56" s="4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</row>
    <row r="4554" spans="1:56" s="4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</row>
    <row r="4555" spans="1:56" s="4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</row>
    <row r="4556" spans="1:56" s="4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</row>
    <row r="4557" spans="1:56" s="4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</row>
    <row r="4558" spans="1:56" s="4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</row>
    <row r="4559" spans="1:56" s="4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</row>
    <row r="4560" spans="1:56" s="4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</row>
    <row r="4561" spans="1:56" s="4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</row>
    <row r="4562" spans="1:56" s="4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</row>
    <row r="4563" spans="1:56" s="4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</row>
    <row r="4564" spans="1:56" s="4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</row>
    <row r="4565" spans="1:56" s="4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</row>
    <row r="4566" spans="1:56" s="4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</row>
    <row r="4567" spans="1:56" s="4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</row>
    <row r="4568" spans="1:56" s="4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</row>
    <row r="4569" spans="1:56" s="4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</row>
    <row r="4570" spans="1:56" s="4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</row>
    <row r="4571" spans="1:56" s="4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</row>
    <row r="4572" spans="1:56" s="4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</row>
    <row r="4573" spans="1:56" s="4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</row>
    <row r="4574" spans="1:56" s="4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</row>
    <row r="4575" spans="1:56" s="4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</row>
    <row r="4576" spans="1:56" s="4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</row>
    <row r="4577" spans="1:56" s="4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</row>
    <row r="4578" spans="1:56" s="4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</row>
    <row r="4579" spans="1:56" s="4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</row>
    <row r="4580" spans="1:56" s="4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</row>
    <row r="4581" spans="1:56" s="4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</row>
    <row r="4582" spans="1:56" s="4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</row>
    <row r="4583" spans="1:56" s="4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</row>
    <row r="4584" spans="1:56" s="4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</row>
    <row r="4585" spans="1:56" s="4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</row>
    <row r="4586" spans="1:56" s="4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</row>
    <row r="4587" spans="1:56" s="4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</row>
    <row r="4588" spans="1:56" s="4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</row>
    <row r="4589" spans="1:56" s="4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</row>
    <row r="4590" spans="1:56" s="4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</row>
    <row r="4591" spans="1:56" s="4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</row>
    <row r="4592" spans="1:56" s="4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</row>
    <row r="4593" spans="1:56" s="4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</row>
    <row r="4594" spans="1:56" s="4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</row>
    <row r="4595" spans="1:56" s="4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</row>
    <row r="4596" spans="1:56" s="4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</row>
    <row r="4597" spans="1:56" s="4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</row>
    <row r="4598" spans="1:56" s="4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</row>
    <row r="4599" spans="1:56" s="4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</row>
    <row r="4600" spans="1:56" s="4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</row>
    <row r="4601" spans="1:56" s="4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</row>
    <row r="4602" spans="1:56" s="4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</row>
    <row r="4603" spans="1:56" s="4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</row>
    <row r="4604" spans="1:56" s="4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</row>
    <row r="4605" spans="1:56" s="4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</row>
    <row r="4606" spans="1:56" s="4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</row>
    <row r="4607" spans="1:56" s="4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</row>
    <row r="4608" spans="1:56" s="4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</row>
    <row r="4609" spans="1:56" s="4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</row>
    <row r="4610" spans="1:56" s="4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</row>
    <row r="4611" spans="1:56" s="4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</row>
    <row r="4612" spans="1:56" s="4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</row>
    <row r="4613" spans="1:56" s="4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</row>
    <row r="4614" spans="1:56" s="4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</row>
    <row r="4615" spans="1:56" s="4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</row>
    <row r="4616" spans="1:56" s="4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</row>
    <row r="4617" spans="1:56" s="4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</row>
    <row r="4618" spans="1:56" s="4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</row>
    <row r="4619" spans="1:56" s="4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</row>
    <row r="4620" spans="1:56" s="4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</row>
    <row r="4621" spans="1:56" s="4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</row>
    <row r="4622" spans="1:56" s="4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</row>
    <row r="4623" spans="1:56" s="4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</row>
    <row r="4624" spans="1:56" s="4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</row>
    <row r="4625" spans="1:56" s="4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</row>
    <row r="4626" spans="1:56" s="4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</row>
    <row r="4627" spans="1:56" s="4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</row>
    <row r="4628" spans="1:56" s="4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</row>
    <row r="4629" spans="1:56" s="4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</row>
    <row r="4630" spans="1:56" s="4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</row>
    <row r="4631" spans="1:56" s="4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</row>
    <row r="4632" spans="1:56" s="4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</row>
    <row r="4633" spans="1:56" s="4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</row>
    <row r="4634" spans="1:56" s="4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</row>
    <row r="4635" spans="1:56" s="4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</row>
    <row r="4636" spans="1:56" s="4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</row>
    <row r="4637" spans="1:56" s="4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</row>
    <row r="4638" spans="1:56" s="4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</row>
    <row r="4639" spans="1:56" s="4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</row>
    <row r="4640" spans="1:56" s="4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</row>
    <row r="4641" spans="1:56" s="4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</row>
    <row r="4642" spans="1:56" s="4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</row>
    <row r="4643" spans="1:56" s="4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</row>
    <row r="4644" spans="1:56" s="4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</row>
    <row r="4645" spans="1:56" s="4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</row>
    <row r="4646" spans="1:56" s="4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</row>
    <row r="4647" spans="1:56" s="4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</row>
    <row r="4648" spans="1:56" s="4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</row>
    <row r="4649" spans="1:56" s="4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</row>
    <row r="4650" spans="1:56" s="4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</row>
    <row r="4651" spans="1:56" s="4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</row>
    <row r="4652" spans="1:56" s="4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</row>
    <row r="4653" spans="1:56" s="4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</row>
    <row r="4654" spans="1:56" s="4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</row>
    <row r="4655" spans="1:56" s="4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</row>
    <row r="4656" spans="1:56" s="4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</row>
    <row r="4657" spans="1:56" s="4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</row>
    <row r="4658" spans="1:56" s="4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</row>
    <row r="4659" spans="1:56" s="4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</row>
    <row r="4660" spans="1:56" s="4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</row>
    <row r="4661" spans="1:56" s="4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</row>
    <row r="4662" spans="1:56" s="4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</row>
    <row r="4663" spans="1:56" s="4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</row>
    <row r="4664" spans="1:56" s="4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</row>
    <row r="4665" spans="1:56" s="4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</row>
    <row r="4666" spans="1:56" s="4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</row>
    <row r="4667" spans="1:56" s="4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</row>
    <row r="4668" spans="1:56" s="4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</row>
    <row r="4669" spans="1:56" s="4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</row>
    <row r="4670" spans="1:56" s="4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</row>
    <row r="4671" spans="1:56" s="4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</row>
    <row r="4672" spans="1:56" s="4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</row>
    <row r="4673" spans="1:56" s="4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</row>
    <row r="4674" spans="1:56" s="4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</row>
    <row r="4675" spans="1:56" s="4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</row>
    <row r="4676" spans="1:56" s="4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</row>
    <row r="4677" spans="1:56" s="4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</row>
    <row r="4678" spans="1:56" s="4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</row>
    <row r="4679" spans="1:56" s="4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</row>
    <row r="4680" spans="1:56" s="4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</row>
    <row r="4681" spans="1:56" s="4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</row>
    <row r="4682" spans="1:56" s="4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</row>
    <row r="4683" spans="1:56" s="4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</row>
    <row r="4684" spans="1:56" s="4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</row>
    <row r="4685" spans="1:56" s="4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</row>
    <row r="4686" spans="1:56" s="4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</row>
    <row r="4687" spans="1:56" s="4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</row>
    <row r="4688" spans="1:56" s="4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</row>
    <row r="4689" spans="1:56" s="4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</row>
    <row r="4690" spans="1:56" s="4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</row>
    <row r="4691" spans="1:56" s="4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</row>
    <row r="4692" spans="1:56" s="4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</row>
    <row r="4693" spans="1:56" s="4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</row>
    <row r="4694" spans="1:56" s="4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</row>
    <row r="4695" spans="1:56" s="4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</row>
    <row r="4696" spans="1:56" s="4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</row>
    <row r="4697" spans="1:56" s="4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</row>
    <row r="4698" spans="1:56" s="4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</row>
    <row r="4699" spans="1:56" s="4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</row>
    <row r="4700" spans="1:56" s="4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</row>
    <row r="4701" spans="1:56" s="4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</row>
    <row r="4702" spans="1:56" s="4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</row>
    <row r="4703" spans="1:56" s="4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</row>
    <row r="4704" spans="1:56" s="4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</row>
    <row r="4705" spans="1:56" s="4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</row>
    <row r="4706" spans="1:56" s="4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</row>
    <row r="4707" spans="1:56" s="4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</row>
    <row r="4708" spans="1:56" s="4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</row>
    <row r="4709" spans="1:56" s="4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</row>
    <row r="4710" spans="1:56" s="4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</row>
    <row r="4711" spans="1:56" s="4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</row>
    <row r="4712" spans="1:56" s="4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</row>
    <row r="4713" spans="1:56" s="4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</row>
    <row r="4714" spans="1:56" s="4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</row>
    <row r="4715" spans="1:56" s="4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</row>
    <row r="4716" spans="1:56" s="4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</row>
    <row r="4717" spans="1:56" s="4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</row>
    <row r="4718" spans="1:56" s="4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</row>
    <row r="4719" spans="1:56" s="4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</row>
    <row r="4720" spans="1:56" s="4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</row>
    <row r="4721" spans="1:56" s="4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</row>
    <row r="4722" spans="1:56" s="4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</row>
    <row r="4723" spans="1:56" s="4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</row>
    <row r="4724" spans="1:56" s="4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</row>
    <row r="4725" spans="1:56" s="4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</row>
    <row r="4726" spans="1:56" s="4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</row>
    <row r="4727" spans="1:56" s="4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</row>
    <row r="4728" spans="1:56" s="4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</row>
    <row r="4729" spans="1:56" s="4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</row>
    <row r="4730" spans="1:56" s="4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</row>
    <row r="4731" spans="1:56" s="4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</row>
    <row r="4732" spans="1:56" s="4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</row>
    <row r="4733" spans="1:56" s="4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</row>
    <row r="4734" spans="1:56" s="4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</row>
    <row r="4735" spans="1:56" s="4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</row>
    <row r="4736" spans="1:56" s="4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</row>
    <row r="4737" spans="1:56" s="4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</row>
    <row r="4738" spans="1:56" s="4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</row>
    <row r="4739" spans="1:56" s="4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</row>
    <row r="4740" spans="1:56" s="4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</row>
    <row r="4741" spans="1:56" s="4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</row>
    <row r="4742" spans="1:56" s="4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</row>
    <row r="4743" spans="1:56" s="4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</row>
    <row r="4744" spans="1:56" s="4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</row>
    <row r="4745" spans="1:56" s="4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</row>
    <row r="4746" spans="1:56" s="4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</row>
    <row r="4747" spans="1:56" s="4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</row>
    <row r="4748" spans="1:56" s="4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</row>
    <row r="4749" spans="1:56" s="4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</row>
    <row r="4750" spans="1:56" s="4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</row>
    <row r="4751" spans="1:56" s="4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</row>
    <row r="4752" spans="1:56" s="4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</row>
    <row r="4753" spans="1:56" s="4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</row>
    <row r="4754" spans="1:56" s="4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</row>
    <row r="4755" spans="1:56" s="4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</row>
    <row r="4756" spans="1:56" s="4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</row>
    <row r="4757" spans="1:56" s="4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</row>
    <row r="4758" spans="1:56" s="4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</row>
    <row r="4759" spans="1:56" s="4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</row>
    <row r="4760" spans="1:56" s="4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</row>
    <row r="4761" spans="1:56" s="4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</row>
    <row r="4762" spans="1:56" s="4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</row>
    <row r="4763" spans="1:56" s="4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</row>
    <row r="4764" spans="1:56" s="4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</row>
    <row r="4765" spans="1:56" s="4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</row>
    <row r="4766" spans="1:56" s="4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</row>
    <row r="4767" spans="1:56" s="4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</row>
    <row r="4768" spans="1:56" s="4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</row>
    <row r="4769" spans="1:56" s="4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</row>
    <row r="4770" spans="1:56" s="4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</row>
    <row r="4771" spans="1:56" s="4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</row>
    <row r="4772" spans="1:56" s="4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</row>
    <row r="4773" spans="1:56" s="4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</row>
    <row r="4774" spans="1:56" s="4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</row>
    <row r="4775" spans="1:56" s="4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</row>
    <row r="4776" spans="1:56" s="4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</row>
    <row r="4777" spans="1:56" s="4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</row>
    <row r="4778" spans="1:56" s="4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</row>
    <row r="4779" spans="1:56" s="4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</row>
    <row r="4780" spans="1:56" s="4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</row>
    <row r="4781" spans="1:56" s="4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</row>
    <row r="4782" spans="1:56" s="4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</row>
    <row r="4783" spans="1:56" s="4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</row>
    <row r="4784" spans="1:56" s="4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</row>
    <row r="4785" spans="1:56" s="4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</row>
    <row r="4786" spans="1:56" s="4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</row>
    <row r="4787" spans="1:56" s="4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</row>
    <row r="4788" spans="1:56" s="4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</row>
    <row r="4789" spans="1:56" s="4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</row>
    <row r="4790" spans="1:56" s="4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</row>
    <row r="4791" spans="1:56" s="4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</row>
    <row r="4792" spans="1:56" s="4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</row>
    <row r="4793" spans="1:56" s="4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</row>
    <row r="4794" spans="1:56" s="4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</row>
    <row r="4795" spans="1:56" s="4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</row>
    <row r="4796" spans="1:56" s="4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</row>
    <row r="4797" spans="1:56" s="4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</row>
    <row r="4798" spans="1:56" s="4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</row>
    <row r="4799" spans="1:56" s="4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</row>
    <row r="4800" spans="1:56" s="4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</row>
    <row r="4801" spans="1:56" s="4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</row>
    <row r="4802" spans="1:56" s="4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</row>
    <row r="4803" spans="1:56" s="4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</row>
    <row r="4804" spans="1:56" s="4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</row>
    <row r="4805" spans="1:56" s="4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</row>
    <row r="4806" spans="1:56" s="4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</row>
    <row r="4807" spans="1:56" s="4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</row>
    <row r="4808" spans="1:56" s="4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</row>
    <row r="4809" spans="1:56" s="4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</row>
    <row r="4810" spans="1:56" s="4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</row>
    <row r="4811" spans="1:56" s="4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</row>
    <row r="4812" spans="1:56" s="4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</row>
    <row r="4813" spans="1:56" s="4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</row>
    <row r="4814" spans="1:56" s="4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</row>
    <row r="4815" spans="1:56" s="4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</row>
    <row r="4816" spans="1:56" s="4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</row>
    <row r="4817" spans="1:56" s="4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</row>
    <row r="4818" spans="1:56" s="4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</row>
    <row r="4819" spans="1:56" s="4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</row>
    <row r="4820" spans="1:56" s="4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</row>
    <row r="4821" spans="1:56" s="4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</row>
    <row r="4822" spans="1:56" s="4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</row>
    <row r="4823" spans="1:56" s="4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</row>
    <row r="4824" spans="1:56" s="4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</row>
    <row r="4825" spans="1:56" s="4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</row>
    <row r="4826" spans="1:56" s="4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</row>
    <row r="4827" spans="1:56" s="4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</row>
    <row r="4828" spans="1:56" s="4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</row>
    <row r="4829" spans="1:56" s="4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</row>
    <row r="4830" spans="1:56" s="4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</row>
    <row r="4831" spans="1:56" s="4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</row>
    <row r="4832" spans="1:56" s="4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</row>
    <row r="4833" spans="1:56" s="4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</row>
    <row r="4834" spans="1:56" s="4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</row>
    <row r="4835" spans="1:56" s="4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</row>
    <row r="4836" spans="1:56" s="4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</row>
    <row r="4837" spans="1:56" s="4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</row>
    <row r="4838" spans="1:56" s="4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</row>
    <row r="4839" spans="1:56" s="4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</row>
    <row r="4840" spans="1:56" s="4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</row>
    <row r="4841" spans="1:56" s="4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</row>
    <row r="4842" spans="1:56" s="4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</row>
    <row r="4843" spans="1:56" s="4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</row>
    <row r="4844" spans="1:56" s="4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</row>
    <row r="4845" spans="1:56" s="4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</row>
    <row r="4846" spans="1:56" s="4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</row>
    <row r="4847" spans="1:56" s="4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</row>
    <row r="4848" spans="1:56" s="4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</row>
    <row r="4849" spans="1:56" s="4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</row>
    <row r="4850" spans="1:56" s="4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</row>
    <row r="4851" spans="1:56" s="4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</row>
    <row r="4852" spans="1:56" s="4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</row>
    <row r="4853" spans="1:56" s="4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</row>
    <row r="4854" spans="1:56" s="4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</row>
    <row r="4855" spans="1:56" s="4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</row>
    <row r="4856" spans="1:56" s="4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</row>
    <row r="4857" spans="1:56" s="4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</row>
    <row r="4858" spans="1:56" s="4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</row>
    <row r="4859" spans="1:56" s="4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</row>
    <row r="4860" spans="1:56" s="4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</row>
    <row r="4861" spans="1:56" s="4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</row>
    <row r="4862" spans="1:56" s="4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</row>
    <row r="4863" spans="1:56" s="4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</row>
    <row r="4864" spans="1:56" s="4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</row>
    <row r="4865" spans="1:56" s="4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</row>
    <row r="4866" spans="1:56" s="4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</row>
    <row r="4867" spans="1:56" s="4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</row>
    <row r="4868" spans="1:56" s="4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</row>
    <row r="4869" spans="1:56" s="4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</row>
    <row r="4870" spans="1:56" s="4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</row>
    <row r="4871" spans="1:56" s="4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</row>
    <row r="4872" spans="1:56" s="4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</row>
    <row r="4873" spans="1:56" s="4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</row>
    <row r="4874" spans="1:56" s="4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</row>
    <row r="4875" spans="1:56" s="4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</row>
    <row r="4876" spans="1:56" s="4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</row>
    <row r="4877" spans="1:56" s="4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</row>
    <row r="4878" spans="1:56" s="4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</row>
    <row r="4879" spans="1:56" s="4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</row>
    <row r="4880" spans="1:56" s="4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</row>
    <row r="4881" spans="1:56" s="4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</row>
    <row r="4882" spans="1:56" s="4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</row>
    <row r="4883" spans="1:56" s="4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</row>
    <row r="4884" spans="1:56" s="4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</row>
    <row r="4885" spans="1:56" s="4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</row>
    <row r="4886" spans="1:56" s="4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</row>
    <row r="4887" spans="1:56" s="4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</row>
    <row r="4888" spans="1:56" s="4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</row>
    <row r="4889" spans="1:56" s="4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</row>
    <row r="4890" spans="1:56" s="4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</row>
    <row r="4891" spans="1:56" s="4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</row>
    <row r="4892" spans="1:56" s="4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</row>
    <row r="4893" spans="1:56" s="4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</row>
    <row r="4894" spans="1:56" s="4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</row>
    <row r="4895" spans="1:56" s="4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</row>
    <row r="4896" spans="1:56" s="4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</row>
    <row r="4897" spans="1:56" s="4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</row>
    <row r="4898" spans="1:56" s="4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</row>
    <row r="4899" spans="1:56" s="4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</row>
    <row r="4900" spans="1:56" s="4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</row>
    <row r="4901" spans="1:56" s="4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</row>
    <row r="4902" spans="1:56" s="4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</row>
    <row r="4903" spans="1:56" s="4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</row>
    <row r="4904" spans="1:56" s="4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</row>
    <row r="4905" spans="1:56" s="4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</row>
    <row r="4906" spans="1:56" s="4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</row>
    <row r="4907" spans="1:56" s="4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</row>
    <row r="4908" spans="1:56" s="4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</row>
    <row r="4909" spans="1:56" s="4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</row>
    <row r="4910" spans="1:56" s="4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</row>
    <row r="4911" spans="1:56" s="4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</row>
    <row r="4912" spans="1:56" s="4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</row>
    <row r="4913" spans="1:56" s="4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</row>
    <row r="4914" spans="1:56" s="4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</row>
    <row r="4915" spans="1:56" s="4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</row>
    <row r="4916" spans="1:56" s="4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</row>
    <row r="4917" spans="1:56" s="4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</row>
    <row r="4918" spans="1:56" s="4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</row>
    <row r="4919" spans="1:56" s="4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</row>
    <row r="4920" spans="1:56" s="4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</row>
    <row r="4921" spans="1:56" s="4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</row>
    <row r="4922" spans="1:56" s="4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</row>
    <row r="4923" spans="1:56" s="4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</row>
    <row r="4924" spans="1:56" s="4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</row>
    <row r="4925" spans="1:56" s="4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</row>
    <row r="4926" spans="1:56" s="4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</row>
    <row r="4927" spans="1:56" s="4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</row>
    <row r="4928" spans="1:56" s="4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</row>
    <row r="4929" spans="1:56" s="4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</row>
    <row r="4930" spans="1:56" s="4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</row>
    <row r="4931" spans="1:56" s="4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</row>
    <row r="4932" spans="1:56" s="4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</row>
    <row r="4933" spans="1:56" s="4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</row>
    <row r="4934" spans="1:56" s="4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</row>
    <row r="4935" spans="1:56" s="4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</row>
    <row r="4936" spans="1:56" s="4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</row>
    <row r="4937" spans="1:56" s="4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</row>
    <row r="4938" spans="1:56" s="4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</row>
    <row r="4939" spans="1:56" s="4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</row>
    <row r="4940" spans="1:56" s="4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</row>
    <row r="4941" spans="1:56" s="4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</row>
    <row r="4942" spans="1:56" s="4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</row>
    <row r="4943" spans="1:56" s="4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</row>
    <row r="4944" spans="1:56" s="4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</row>
    <row r="4945" spans="1:56" s="4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</row>
    <row r="4946" spans="1:56" s="4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</row>
    <row r="4947" spans="1:56" s="4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</row>
    <row r="4948" spans="1:56" s="4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</row>
    <row r="4949" spans="1:56" s="4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</row>
    <row r="4950" spans="1:56" s="4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</row>
    <row r="4951" spans="1:56" s="4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</row>
    <row r="4952" spans="1:56" s="4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</row>
    <row r="4953" spans="1:56" s="4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</row>
    <row r="4954" spans="1:56" s="4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</row>
    <row r="4955" spans="1:56" s="4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</row>
    <row r="4956" spans="1:56" s="4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</row>
    <row r="4957" spans="1:56" s="4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</row>
    <row r="4958" spans="1:56" s="4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</row>
    <row r="4959" spans="1:56" s="4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</row>
    <row r="4960" spans="1:56" s="4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</row>
    <row r="4961" spans="1:56" s="4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</row>
    <row r="4962" spans="1:56" s="4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</row>
    <row r="4963" spans="1:56" s="4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</row>
    <row r="4964" spans="1:56" s="4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</row>
    <row r="4965" spans="1:56" s="4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</row>
    <row r="4966" spans="1:56" s="4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</row>
    <row r="4967" spans="1:56" s="4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</row>
    <row r="4968" spans="1:56" s="4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</row>
    <row r="4969" spans="1:56" s="4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</row>
    <row r="4970" spans="1:56" s="4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</row>
    <row r="4971" spans="1:56" s="4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</row>
    <row r="4972" spans="1:56" s="4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</row>
    <row r="4973" spans="1:56" s="4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</row>
    <row r="4974" spans="1:56" s="4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</row>
    <row r="4975" spans="1:56" s="4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</row>
    <row r="4976" spans="1:56" s="4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</row>
    <row r="4977" spans="1:56" s="4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</row>
    <row r="4978" spans="1:56" s="4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</row>
    <row r="4979" spans="1:56" s="4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</row>
    <row r="4980" spans="1:56" s="4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</row>
    <row r="4981" spans="1:56" s="4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</row>
    <row r="4982" spans="1:56" s="4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</row>
    <row r="4983" spans="1:56" s="4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</row>
    <row r="4984" spans="1:56" s="4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</row>
    <row r="4985" spans="1:56" s="4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</row>
    <row r="4986" spans="1:56" s="4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</row>
    <row r="4987" spans="1:56" s="4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</row>
    <row r="4988" spans="1:56" s="4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</row>
    <row r="4989" spans="1:56" s="4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</row>
    <row r="4990" spans="1:56" s="4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</row>
    <row r="4991" spans="1:56" s="4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</row>
    <row r="4992" spans="1:56" s="4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</row>
    <row r="4993" spans="1:56" s="4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</row>
    <row r="4994" spans="1:56" s="4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</row>
    <row r="4995" spans="1:56" s="4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</row>
    <row r="4996" spans="1:56" s="4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</row>
    <row r="4997" spans="1:56" s="4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</row>
    <row r="4998" spans="1:56" s="4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</row>
    <row r="4999" spans="1:56" s="4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</row>
    <row r="5000" spans="1:56" s="4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</row>
    <row r="5001" spans="1:56" s="4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</row>
    <row r="5002" spans="1:56" s="4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</row>
    <row r="5003" spans="1:56" s="4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</row>
    <row r="5004" spans="1:56" s="4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</row>
    <row r="5005" spans="1:56" s="4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</row>
    <row r="5006" spans="1:56" s="4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</row>
    <row r="5007" spans="1:56" s="4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</row>
    <row r="5008" spans="1:56" s="4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</row>
    <row r="5009" spans="1:56" s="4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</row>
    <row r="5010" spans="1:56" s="4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</row>
    <row r="5011" spans="1:56" s="4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</row>
    <row r="5012" spans="1:56" s="4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</row>
    <row r="5013" spans="1:56" s="4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</row>
    <row r="5014" spans="1:56" s="4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</row>
    <row r="5015" spans="1:56" s="4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</row>
    <row r="5016" spans="1:56" s="4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</row>
    <row r="5017" spans="1:56" s="4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</row>
    <row r="5018" spans="1:56" s="4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</row>
    <row r="5019" spans="1:56" s="4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</row>
    <row r="5020" spans="1:56" s="4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</row>
    <row r="5021" spans="1:56" s="4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</row>
    <row r="5022" spans="1:56" s="4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</row>
    <row r="5023" spans="1:56" s="4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</row>
    <row r="5024" spans="1:56" s="4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</row>
    <row r="5025" spans="1:56" s="4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</row>
    <row r="5026" spans="1:56" s="4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</row>
    <row r="5027" spans="1:56" s="4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</row>
    <row r="5028" spans="1:56" s="4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</row>
    <row r="5029" spans="1:56" s="4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</row>
    <row r="5030" spans="1:56" s="4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</row>
    <row r="5031" spans="1:56" s="4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</row>
    <row r="5032" spans="1:56" s="4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</row>
    <row r="5033" spans="1:56" s="4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</row>
    <row r="5034" spans="1:56" s="4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</row>
    <row r="5035" spans="1:56" s="4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</row>
    <row r="5036" spans="1:56" s="4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</row>
    <row r="5037" spans="1:56" s="4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</row>
    <row r="5038" spans="1:56" s="4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</row>
    <row r="5039" spans="1:56" s="4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</row>
    <row r="5040" spans="1:56" s="4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</row>
    <row r="5041" spans="1:56" s="4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</row>
    <row r="5042" spans="1:56" s="4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</row>
    <row r="5043" spans="1:56" s="4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</row>
    <row r="5044" spans="1:56" s="4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</row>
    <row r="5045" spans="1:56" s="4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</row>
    <row r="5046" spans="1:56" s="4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</row>
    <row r="5047" spans="1:56" s="4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</row>
    <row r="5048" spans="1:56" s="4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</row>
    <row r="5049" spans="1:56" s="4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</row>
    <row r="5050" spans="1:56" s="4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</row>
    <row r="5051" spans="1:56" s="4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</row>
    <row r="5052" spans="1:56" s="4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</row>
    <row r="5053" spans="1:56" s="4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</row>
    <row r="5054" spans="1:56" s="4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</row>
    <row r="5055" spans="1:56" s="4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</row>
    <row r="5056" spans="1:56" s="4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</row>
    <row r="5057" spans="1:56" s="4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</row>
    <row r="5058" spans="1:56" s="4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</row>
    <row r="5059" spans="1:56" s="4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</row>
    <row r="5060" spans="1:56" s="4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</row>
    <row r="5061" spans="1:56" s="4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</row>
    <row r="5062" spans="1:56" s="4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</row>
    <row r="5063" spans="1:56" s="4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</row>
    <row r="5064" spans="1:56" s="4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</row>
    <row r="5065" spans="1:56" s="4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</row>
    <row r="5066" spans="1:56" s="4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</row>
    <row r="5067" spans="1:56" s="4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</row>
    <row r="5068" spans="1:56" s="4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</row>
    <row r="5069" spans="1:56" s="4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</row>
    <row r="5070" spans="1:56" s="4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</row>
    <row r="5071" spans="1:56" s="4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</row>
    <row r="5072" spans="1:56" s="4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</row>
    <row r="5073" spans="1:56" s="4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</row>
    <row r="5074" spans="1:56" s="4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</row>
    <row r="5075" spans="1:56" s="4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</row>
    <row r="5076" spans="1:56" s="4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</row>
    <row r="5077" spans="1:56" s="4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</row>
    <row r="5078" spans="1:56" s="4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</row>
    <row r="5079" spans="1:56" s="4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</row>
    <row r="5080" spans="1:56" s="4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</row>
    <row r="5081" spans="1:56" s="4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</row>
    <row r="5082" spans="1:56" s="4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</row>
    <row r="5083" spans="1:56" s="4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</row>
    <row r="5084" spans="1:56" s="4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</row>
    <row r="5085" spans="1:56" s="4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</row>
    <row r="5086" spans="1:56" s="4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</row>
    <row r="5087" spans="1:56" s="4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</row>
    <row r="5088" spans="1:56" s="4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</row>
    <row r="5089" spans="1:56" s="4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</row>
    <row r="5090" spans="1:56" s="4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</row>
    <row r="5091" spans="1:56" s="4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</row>
    <row r="5092" spans="1:56" s="4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</row>
    <row r="5093" spans="1:56" s="4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</row>
    <row r="5094" spans="1:56" s="4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</row>
    <row r="5095" spans="1:56" s="4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</row>
    <row r="5096" spans="1:56" s="4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</row>
    <row r="5097" spans="1:56" s="4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</row>
    <row r="5098" spans="1:56" s="4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</row>
    <row r="5099" spans="1:56" s="4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</row>
    <row r="5100" spans="1:56" s="4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</row>
    <row r="5101" spans="1:56" s="4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</row>
    <row r="5102" spans="1:56" s="4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</row>
    <row r="5103" spans="1:56" s="4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</row>
    <row r="5104" spans="1:56" s="4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</row>
    <row r="5105" spans="1:56" s="4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</row>
    <row r="5106" spans="1:56" s="4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</row>
    <row r="5107" spans="1:56" s="4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</row>
    <row r="5108" spans="1:56" s="4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</row>
    <row r="5109" spans="1:56" s="4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</row>
    <row r="5110" spans="1:56" s="4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</row>
    <row r="5111" spans="1:56" s="4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</row>
    <row r="5112" spans="1:56" s="4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</row>
    <row r="5113" spans="1:56" s="4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</row>
    <row r="5114" spans="1:56" s="4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</row>
    <row r="5115" spans="1:56" s="4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</row>
    <row r="5116" spans="1:56" s="4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</row>
    <row r="5117" spans="1:56" s="4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</row>
    <row r="5118" spans="1:56" s="4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</row>
    <row r="5119" spans="1:56" s="4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</row>
    <row r="5120" spans="1:56" s="4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</row>
    <row r="5121" spans="1:56" s="4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</row>
    <row r="5122" spans="1:56" s="4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</row>
    <row r="5123" spans="1:56" s="4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</row>
    <row r="5124" spans="1:56" s="4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</row>
    <row r="5125" spans="1:56" s="4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</row>
    <row r="5126" spans="1:56" s="4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</row>
    <row r="5127" spans="1:56" s="4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</row>
    <row r="5128" spans="1:56" s="4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</row>
    <row r="5129" spans="1:56" s="4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</row>
    <row r="5130" spans="1:56" s="4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</row>
    <row r="5131" spans="1:56" s="4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</row>
    <row r="5132" spans="1:56" s="4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</row>
    <row r="5133" spans="1:56" s="4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</row>
    <row r="5134" spans="1:56" s="4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</row>
    <row r="5135" spans="1:56" s="4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</row>
    <row r="5136" spans="1:56" s="4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</row>
    <row r="5137" spans="1:56" s="4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</row>
    <row r="5138" spans="1:56" s="4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</row>
    <row r="5139" spans="1:56" s="4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</row>
    <row r="5140" spans="1:56" s="4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</row>
    <row r="5141" spans="1:56" s="4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</row>
    <row r="5142" spans="1:56" s="4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</row>
    <row r="5143" spans="1:56" s="4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</row>
    <row r="5144" spans="1:56" s="4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</row>
    <row r="5145" spans="1:56" s="4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</row>
    <row r="5146" spans="1:56" s="4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</row>
    <row r="5147" spans="1:56" s="4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</row>
    <row r="5148" spans="1:56" s="4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</row>
    <row r="5149" spans="1:56" s="4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</row>
    <row r="5150" spans="1:56" s="4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</row>
    <row r="5151" spans="1:56" s="4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</row>
    <row r="5152" spans="1:56" s="4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</row>
    <row r="5153" spans="1:56" s="4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</row>
    <row r="5154" spans="1:56" s="4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</row>
    <row r="5155" spans="1:56" s="4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</row>
    <row r="5156" spans="1:56" s="4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</row>
    <row r="5157" spans="1:56" s="4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</row>
    <row r="5158" spans="1:56" s="4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</row>
    <row r="5159" spans="1:56" s="4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</row>
    <row r="5160" spans="1:56" s="4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</row>
    <row r="5161" spans="1:56" s="4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</row>
    <row r="5162" spans="1:56" s="4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</row>
    <row r="5163" spans="1:56" s="4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</row>
    <row r="5164" spans="1:56" s="4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</row>
    <row r="5165" spans="1:56" s="4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</row>
    <row r="5166" spans="1:56" s="4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</row>
    <row r="5167" spans="1:56" s="4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</row>
    <row r="5168" spans="1:56" s="4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</row>
    <row r="5169" spans="1:56" s="4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</row>
    <row r="5170" spans="1:56" s="4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</row>
    <row r="5171" spans="1:56" s="4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</row>
    <row r="5172" spans="1:56" s="4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</row>
    <row r="5173" spans="1:56" s="4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</row>
    <row r="5174" spans="1:56" s="4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</row>
    <row r="5175" spans="1:56" s="4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</row>
    <row r="5176" spans="1:56" s="4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</row>
    <row r="5177" spans="1:56" s="4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</row>
    <row r="5178" spans="1:56" s="4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</row>
    <row r="5179" spans="1:56" s="4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</row>
    <row r="5180" spans="1:56" s="4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</row>
    <row r="5181" spans="1:56" s="4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</row>
    <row r="5182" spans="1:56" s="4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</row>
    <row r="5183" spans="1:56" s="4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</row>
    <row r="5184" spans="1:56" s="4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</row>
    <row r="5185" spans="1:56" s="4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</row>
    <row r="5186" spans="1:56" s="4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</row>
    <row r="5187" spans="1:56" s="4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</row>
    <row r="5188" spans="1:56" s="4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</row>
    <row r="5189" spans="1:56" s="4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</row>
    <row r="5190" spans="1:56" s="4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</row>
    <row r="5191" spans="1:56" s="4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</row>
    <row r="5192" spans="1:56" s="4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</row>
    <row r="5193" spans="1:56" s="4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</row>
    <row r="5194" spans="1:56" s="4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</row>
    <row r="5195" spans="1:56" s="4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</row>
    <row r="5196" spans="1:56" s="4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</row>
    <row r="5197" spans="1:56" s="4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</row>
    <row r="5198" spans="1:56" s="4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</row>
    <row r="5199" spans="1:56" s="4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</row>
    <row r="5200" spans="1:56" s="4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</row>
    <row r="5201" spans="1:56" s="4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</row>
    <row r="5202" spans="1:56" s="4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</row>
    <row r="5203" spans="1:56" s="4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</row>
    <row r="5204" spans="1:56" s="4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</row>
    <row r="5205" spans="1:56" s="4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</row>
    <row r="5206" spans="1:56" s="4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</row>
    <row r="5207" spans="1:56" s="4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</row>
    <row r="5208" spans="1:56" s="4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</row>
    <row r="5209" spans="1:56" s="4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</row>
    <row r="5210" spans="1:56" s="4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</row>
    <row r="5211" spans="1:56" s="4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</row>
    <row r="5212" spans="1:56" s="4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</row>
    <row r="5213" spans="1:56" s="4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</row>
    <row r="5214" spans="1:56" s="4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</row>
    <row r="5215" spans="1:56" s="4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</row>
    <row r="5216" spans="1:56" s="4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</row>
    <row r="5217" spans="1:56" s="4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</row>
    <row r="5218" spans="1:56" s="4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</row>
    <row r="5219" spans="1:56" s="4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</row>
    <row r="5220" spans="1:56" s="4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</row>
    <row r="5221" spans="1:56" s="4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</row>
    <row r="5222" spans="1:56" s="4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</row>
    <row r="5223" spans="1:56" s="4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</row>
    <row r="5224" spans="1:56" s="4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</row>
    <row r="5225" spans="1:56" s="4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</row>
    <row r="5226" spans="1:56" s="4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</row>
    <row r="5227" spans="1:56" s="4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</row>
    <row r="5228" spans="1:56" s="4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</row>
    <row r="5229" spans="1:56" s="4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</row>
    <row r="5230" spans="1:56" s="4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</row>
    <row r="5231" spans="1:56" s="4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</row>
    <row r="5232" spans="1:56" s="4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</row>
    <row r="5233" spans="1:56" s="4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</row>
    <row r="5234" spans="1:56" s="4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</row>
    <row r="5235" spans="1:56" s="4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</row>
    <row r="5236" spans="1:56" s="4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</row>
    <row r="5237" spans="1:56" s="4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</row>
    <row r="5238" spans="1:56" s="4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</row>
    <row r="5239" spans="1:56" s="4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</row>
    <row r="5240" spans="1:56" s="4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</row>
    <row r="5241" spans="1:56" s="4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</row>
    <row r="5242" spans="1:56" s="4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</row>
    <row r="5243" spans="1:56" s="4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</row>
    <row r="5244" spans="1:56" s="4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</row>
    <row r="5245" spans="1:56" s="4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</row>
    <row r="5246" spans="1:56" s="4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</row>
    <row r="5247" spans="1:56" s="4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</row>
    <row r="5248" spans="1:56" s="4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</row>
    <row r="5249" spans="1:56" s="4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</row>
    <row r="5250" spans="1:56" s="4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</row>
    <row r="5251" spans="1:56" s="4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</row>
    <row r="5252" spans="1:56" s="4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</row>
    <row r="5253" spans="1:56" s="4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</row>
    <row r="5254" spans="1:56" s="4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</row>
    <row r="5255" spans="1:56" s="4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</row>
    <row r="5256" spans="1:56" s="4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</row>
    <row r="5257" spans="1:56" s="4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</row>
    <row r="5258" spans="1:56" s="4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</row>
    <row r="5259" spans="1:56" s="4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</row>
    <row r="5260" spans="1:56" s="4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</row>
    <row r="5261" spans="1:56" s="4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</row>
    <row r="5262" spans="1:56" s="4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</row>
    <row r="5263" spans="1:56" s="4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</row>
    <row r="5264" spans="1:56" s="4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</row>
    <row r="5265" spans="1:56" s="4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</row>
    <row r="5266" spans="1:56" s="4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</row>
    <row r="5267" spans="1:56" s="4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</row>
    <row r="5268" spans="1:56" s="4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</row>
    <row r="5269" spans="1:56" s="4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</row>
    <row r="5270" spans="1:56" s="4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</row>
    <row r="5271" spans="1:56" s="4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</row>
    <row r="5272" spans="1:56" s="4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</row>
    <row r="5273" spans="1:56" s="4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</row>
    <row r="5274" spans="1:56" s="4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</row>
    <row r="5275" spans="1:56" s="4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</row>
    <row r="5276" spans="1:56" s="4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</row>
    <row r="5277" spans="1:56" s="4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</row>
    <row r="5278" spans="1:56" s="4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</row>
    <row r="5279" spans="1:56" s="4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</row>
    <row r="5280" spans="1:56" s="4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</row>
    <row r="5281" spans="1:56" s="4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</row>
    <row r="5282" spans="1:56" s="4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</row>
    <row r="5283" spans="1:56" s="4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</row>
    <row r="5284" spans="1:56" s="4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</row>
    <row r="5285" spans="1:56" s="4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</row>
    <row r="5286" spans="1:56" s="4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</row>
    <row r="5287" spans="1:56" s="4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</row>
    <row r="5288" spans="1:56" s="4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</row>
    <row r="5289" spans="1:56" s="4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</row>
    <row r="5290" spans="1:56" s="4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</row>
    <row r="5291" spans="1:56" s="4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</row>
    <row r="5292" spans="1:56" s="4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</row>
    <row r="5293" spans="1:56" s="4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</row>
    <row r="5294" spans="1:56" s="4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</row>
    <row r="5295" spans="1:56" s="4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</row>
    <row r="5296" spans="1:56" s="4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</row>
    <row r="5297" spans="1:56" s="4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</row>
    <row r="5298" spans="1:56" s="4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</row>
    <row r="5299" spans="1:56" s="4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</row>
    <row r="5300" spans="1:56" s="4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</row>
    <row r="5301" spans="1:56" s="4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</row>
    <row r="5302" spans="1:56" s="4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</row>
    <row r="5303" spans="1:56" s="4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</row>
    <row r="5304" spans="1:56" s="4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</row>
    <row r="5305" spans="1:56" s="4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</row>
    <row r="5306" spans="1:56" s="4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</row>
    <row r="5307" spans="1:56" s="4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</row>
    <row r="5308" spans="1:56" s="4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</row>
    <row r="5309" spans="1:56" s="4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</row>
    <row r="5310" spans="1:56" s="4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</row>
    <row r="5311" spans="1:56" s="4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</row>
    <row r="5312" spans="1:56" s="4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</row>
    <row r="5313" spans="1:56" s="4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</row>
    <row r="5314" spans="1:56" s="4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</row>
    <row r="5315" spans="1:56" s="4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</row>
    <row r="5316" spans="1:56" s="4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</row>
    <row r="5317" spans="1:56" s="4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</row>
    <row r="5318" spans="1:56" s="4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</row>
    <row r="5319" spans="1:56" s="4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</row>
    <row r="5320" spans="1:56" s="4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</row>
    <row r="5321" spans="1:56" s="4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</row>
    <row r="5322" spans="1:56" s="4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</row>
    <row r="5323" spans="1:56" s="4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</row>
    <row r="5324" spans="1:56" s="4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</row>
    <row r="5325" spans="1:56" s="4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</row>
    <row r="5326" spans="1:56" s="4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</row>
    <row r="5327" spans="1:56" s="4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</row>
    <row r="5328" spans="1:56" s="4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</row>
    <row r="5329" spans="1:56" s="4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</row>
    <row r="5330" spans="1:56" s="4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</row>
    <row r="5331" spans="1:56" s="4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</row>
    <row r="5332" spans="1:56" s="4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</row>
    <row r="5333" spans="1:56" s="4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</row>
    <row r="5334" spans="1:56" s="4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</row>
    <row r="5335" spans="1:56" s="4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</row>
    <row r="5336" spans="1:56" s="4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</row>
    <row r="5337" spans="1:56" s="4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</row>
    <row r="5338" spans="1:56" s="4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</row>
    <row r="5339" spans="1:56" s="4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</row>
    <row r="5340" spans="1:56" s="4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</row>
    <row r="5341" spans="1:56" s="4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</row>
    <row r="5342" spans="1:56" s="4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</row>
    <row r="5343" spans="1:56" s="4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</row>
    <row r="5344" spans="1:56" s="4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</row>
    <row r="5345" spans="1:56" s="4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</row>
    <row r="5346" spans="1:56" s="4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</row>
    <row r="5347" spans="1:56" s="4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</row>
    <row r="5348" spans="1:56" s="4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</row>
    <row r="5349" spans="1:56" s="4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</row>
    <row r="5350" spans="1:56" s="4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</row>
    <row r="5351" spans="1:56" s="4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</row>
    <row r="5352" spans="1:56" s="4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</row>
    <row r="5353" spans="1:56" s="4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</row>
    <row r="5354" spans="1:56" s="4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</row>
    <row r="5355" spans="1:56" s="4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</row>
    <row r="5356" spans="1:56" s="4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</row>
    <row r="5357" spans="1:56" s="4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</row>
    <row r="5358" spans="1:56" s="4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</row>
    <row r="5359" spans="1:56" s="4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</row>
    <row r="5360" spans="1:56" s="4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</row>
    <row r="5361" spans="1:56" s="4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</row>
    <row r="5362" spans="1:56" s="4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</row>
    <row r="5363" spans="1:56" s="4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</row>
    <row r="5364" spans="1:56" s="4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</row>
    <row r="5365" spans="1:56" s="4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</row>
    <row r="5366" spans="1:56" s="4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</row>
    <row r="5367" spans="1:56" s="4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</row>
    <row r="5368" spans="1:56" s="4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</row>
    <row r="5369" spans="1:56" s="4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</row>
    <row r="5370" spans="1:56" s="4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</row>
    <row r="5371" spans="1:56" s="4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</row>
    <row r="5372" spans="1:56" s="4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</row>
    <row r="5373" spans="1:56" s="4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</row>
    <row r="5374" spans="1:56" s="4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</row>
    <row r="5375" spans="1:56" s="4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</row>
    <row r="5376" spans="1:56" s="4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</row>
    <row r="5377" spans="1:56" s="4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</row>
    <row r="5378" spans="1:56" s="4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</row>
    <row r="5379" spans="1:56" s="4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</row>
    <row r="5380" spans="1:56" s="4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</row>
    <row r="5381" spans="1:56" s="4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</row>
    <row r="5382" spans="1:56" s="4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</row>
    <row r="5383" spans="1:56" s="4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</row>
    <row r="5384" spans="1:56" s="4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</row>
    <row r="5385" spans="1:56" s="4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</row>
    <row r="5386" spans="1:56" s="4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</row>
    <row r="5387" spans="1:56" s="4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</row>
    <row r="5388" spans="1:56" s="4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</row>
    <row r="5389" spans="1:56" s="4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</row>
    <row r="5390" spans="1:56" s="4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</row>
    <row r="5391" spans="1:56" s="4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</row>
    <row r="5392" spans="1:56" s="4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</row>
    <row r="5393" spans="1:56" s="4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</row>
    <row r="5394" spans="1:56" s="4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</row>
    <row r="5395" spans="1:56" s="4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</row>
    <row r="5396" spans="1:56" s="4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</row>
    <row r="5397" spans="1:56" s="4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</row>
    <row r="5398" spans="1:56" s="4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</row>
    <row r="5399" spans="1:56" s="4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</row>
    <row r="5400" spans="1:56" s="4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</row>
    <row r="5401" spans="1:56" s="4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</row>
    <row r="5402" spans="1:56" s="4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</row>
    <row r="5403" spans="1:56" s="4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</row>
    <row r="5404" spans="1:56" s="4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</row>
    <row r="5405" spans="1:56" s="4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</row>
    <row r="5406" spans="1:56" s="4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</row>
    <row r="5407" spans="1:56" s="4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</row>
    <row r="5408" spans="1:56" s="4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</row>
    <row r="5409" spans="1:56" s="4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</row>
    <row r="5410" spans="1:56" s="4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</row>
    <row r="5411" spans="1:56" s="4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</row>
    <row r="5412" spans="1:56" s="4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</row>
    <row r="5413" spans="1:56" s="4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</row>
    <row r="5414" spans="1:56" s="4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</row>
    <row r="5415" spans="1:56" s="4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</row>
    <row r="5416" spans="1:56" s="4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</row>
    <row r="5417" spans="1:56" s="4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</row>
    <row r="5418" spans="1:56" s="4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</row>
    <row r="5419" spans="1:56" s="4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</row>
    <row r="5420" spans="1:56" s="4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</row>
    <row r="5421" spans="1:56" s="4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</row>
    <row r="5422" spans="1:56" s="4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</row>
    <row r="5423" spans="1:56" s="4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</row>
    <row r="5424" spans="1:56" s="4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</row>
    <row r="5425" spans="1:56" s="4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</row>
    <row r="5426" spans="1:56" s="4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</row>
    <row r="5427" spans="1:56" s="4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</row>
    <row r="5428" spans="1:56" s="4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</row>
    <row r="5429" spans="1:56" s="4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</row>
    <row r="5430" spans="1:56" s="4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</row>
    <row r="5431" spans="1:56" s="4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</row>
    <row r="5432" spans="1:56" s="4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</row>
    <row r="5433" spans="1:56" s="4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</row>
    <row r="5434" spans="1:56" s="4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</row>
    <row r="5435" spans="1:56" s="4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</row>
    <row r="5436" spans="1:56" s="4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</row>
    <row r="5437" spans="1:56" s="4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</row>
    <row r="5438" spans="1:56" s="4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</row>
    <row r="5439" spans="1:56" s="4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</row>
    <row r="5440" spans="1:56" s="4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</row>
    <row r="5441" spans="1:56" s="4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</row>
    <row r="5442" spans="1:56" s="4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</row>
    <row r="5443" spans="1:56" s="4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</row>
    <row r="5444" spans="1:56" s="4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</row>
    <row r="5445" spans="1:56" s="4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</row>
    <row r="5446" spans="1:56" s="4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</row>
    <row r="5447" spans="1:56" s="4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</row>
    <row r="5448" spans="1:56" s="4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</row>
    <row r="5449" spans="1:56" s="4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</row>
    <row r="5450" spans="1:56" s="4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</row>
    <row r="5451" spans="1:56" s="4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</row>
    <row r="5452" spans="1:56" s="4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</row>
    <row r="5453" spans="1:56" s="4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</row>
    <row r="5454" spans="1:56" s="4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</row>
    <row r="5455" spans="1:56" s="4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</row>
    <row r="5456" spans="1:56" s="4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</row>
    <row r="5457" spans="1:56" s="4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</row>
    <row r="5458" spans="1:56" s="4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</row>
    <row r="5459" spans="1:56" s="4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</row>
    <row r="5460" spans="1:56" s="4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</row>
    <row r="5461" spans="1:56" s="4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</row>
    <row r="5462" spans="1:56" s="4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</row>
    <row r="5463" spans="1:56" s="4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</row>
    <row r="5464" spans="1:56" s="4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</row>
    <row r="5465" spans="1:56" s="4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</row>
    <row r="5466" spans="1:56" s="4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</row>
    <row r="5467" spans="1:56" s="4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</row>
    <row r="5468" spans="1:56" s="4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</row>
    <row r="5469" spans="1:56" s="4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</row>
    <row r="5470" spans="1:56" s="4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</row>
    <row r="5471" spans="1:56" s="4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</row>
    <row r="5472" spans="1:56" s="4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</row>
    <row r="5473" spans="1:56" s="4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</row>
    <row r="5474" spans="1:56" s="4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</row>
    <row r="5475" spans="1:56" s="4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</row>
    <row r="5476" spans="1:56" s="4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</row>
    <row r="5477" spans="1:56" s="4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</row>
    <row r="5478" spans="1:56" s="4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</row>
    <row r="5479" spans="1:56" s="4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</row>
    <row r="5480" spans="1:56" s="4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</row>
    <row r="5481" spans="1:56" s="4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</row>
    <row r="5482" spans="1:56" s="4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</row>
    <row r="5483" spans="1:56" s="4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</row>
    <row r="5484" spans="1:56" s="4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</row>
    <row r="5485" spans="1:56" s="4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</row>
    <row r="5486" spans="1:56" s="4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</row>
    <row r="5487" spans="1:56" s="4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</row>
    <row r="5488" spans="1:56" s="4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</row>
    <row r="5489" spans="1:56" s="4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</row>
    <row r="5490" spans="1:56" s="4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</row>
    <row r="5491" spans="1:56" s="4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</row>
    <row r="5492" spans="1:56" s="4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</row>
    <row r="5493" spans="1:56" s="4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</row>
    <row r="5494" spans="1:56" s="4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</row>
    <row r="5495" spans="1:56" s="4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</row>
    <row r="5496" spans="1:56" s="4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</row>
    <row r="5497" spans="1:56" s="4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</row>
    <row r="5498" spans="1:56" s="4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</row>
    <row r="5499" spans="1:56" s="4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</row>
    <row r="5500" spans="1:56" s="4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</row>
    <row r="5501" spans="1:56" s="4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</row>
    <row r="5502" spans="1:56" s="4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</row>
    <row r="5503" spans="1:56" s="4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</row>
    <row r="5504" spans="1:56" s="4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</row>
    <row r="5505" spans="1:56" s="4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</row>
    <row r="5506" spans="1:56" s="4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</row>
    <row r="5507" spans="1:56" s="4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</row>
    <row r="5508" spans="1:56" s="4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</row>
    <row r="5509" spans="1:56" s="4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</row>
    <row r="5510" spans="1:56" s="4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</row>
    <row r="5511" spans="1:56" s="4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</row>
    <row r="5512" spans="1:56" s="4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</row>
    <row r="5513" spans="1:56" s="4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</row>
    <row r="5514" spans="1:56" s="4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</row>
    <row r="5515" spans="1:56" s="4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</row>
    <row r="5516" spans="1:56" s="4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</row>
    <row r="5517" spans="1:56" s="4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</row>
    <row r="5518" spans="1:56" s="4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</row>
    <row r="5519" spans="1:56" s="4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</row>
    <row r="5520" spans="1:56" s="4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</row>
    <row r="5521" spans="1:56" s="4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</row>
    <row r="5522" spans="1:56" s="4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</row>
    <row r="5523" spans="1:56" s="4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</row>
    <row r="5524" spans="1:56" s="4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</row>
    <row r="5525" spans="1:56" s="4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</row>
    <row r="5526" spans="1:56" s="4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</row>
    <row r="5527" spans="1:56" s="4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</row>
    <row r="5528" spans="1:56" s="4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</row>
    <row r="5529" spans="1:56" s="4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</row>
    <row r="5530" spans="1:56" s="4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</row>
    <row r="5531" spans="1:56" s="4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</row>
    <row r="5532" spans="1:56" s="4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</row>
    <row r="5533" spans="1:56" s="4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</row>
    <row r="5534" spans="1:56" s="4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</row>
    <row r="5535" spans="1:56" s="4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</row>
    <row r="5536" spans="1:56" s="4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</row>
    <row r="5537" spans="1:56" s="4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</row>
    <row r="5538" spans="1:56" s="4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</row>
    <row r="5539" spans="1:56" s="4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</row>
    <row r="5540" spans="1:56" s="4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</row>
    <row r="5541" spans="1:56" s="4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</row>
    <row r="5542" spans="1:56" s="4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</row>
    <row r="5543" spans="1:56" s="4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</row>
    <row r="5544" spans="1:56" s="4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</row>
    <row r="5545" spans="1:56" s="4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</row>
    <row r="5546" spans="1:56" s="4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</row>
    <row r="5547" spans="1:56" s="4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</row>
    <row r="5548" spans="1:56" s="4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</row>
    <row r="5549" spans="1:56" s="4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</row>
    <row r="5550" spans="1:56" s="4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</row>
    <row r="5551" spans="1:56" s="4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</row>
    <row r="5552" spans="1:56" s="4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</row>
    <row r="5553" spans="1:56" s="4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</row>
    <row r="5554" spans="1:56" s="4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</row>
    <row r="5555" spans="1:56" s="4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</row>
    <row r="5556" spans="1:56" s="4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</row>
    <row r="5557" spans="1:56" s="4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</row>
    <row r="5558" spans="1:56" s="4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</row>
    <row r="5559" spans="1:56" s="4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</row>
    <row r="5560" spans="1:56" s="4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</row>
    <row r="5561" spans="1:56" s="4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</row>
    <row r="5562" spans="1:56" s="4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</row>
    <row r="5563" spans="1:56" s="4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</row>
    <row r="5564" spans="1:56" s="4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</row>
    <row r="5565" spans="1:56" s="4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</row>
    <row r="5566" spans="1:56" s="4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</row>
    <row r="5567" spans="1:56" s="4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</row>
    <row r="5568" spans="1:56" s="4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</row>
    <row r="5569" spans="1:56" s="4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</row>
    <row r="5570" spans="1:56" s="4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</row>
    <row r="5571" spans="1:56" s="4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</row>
    <row r="5572" spans="1:56" s="4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</row>
    <row r="5573" spans="1:56" s="4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</row>
    <row r="5574" spans="1:56" s="4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</row>
    <row r="5575" spans="1:56" s="4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</row>
    <row r="5576" spans="1:56" s="4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</row>
    <row r="5577" spans="1:56" s="4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</row>
    <row r="5578" spans="1:56" s="4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</row>
    <row r="5579" spans="1:56" s="4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</row>
    <row r="5580" spans="1:56" s="4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</row>
    <row r="5581" spans="1:56" s="4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</row>
    <row r="5582" spans="1:56" s="4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</row>
    <row r="5583" spans="1:56" s="4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</row>
    <row r="5584" spans="1:56" s="4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</row>
    <row r="5585" spans="1:56" s="4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</row>
    <row r="5586" spans="1:56" s="4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</row>
    <row r="5587" spans="1:56" s="4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</row>
    <row r="5588" spans="1:56" s="4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</row>
    <row r="5589" spans="1:56" s="4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</row>
    <row r="5590" spans="1:56" s="4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</row>
    <row r="5591" spans="1:56" s="4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</row>
    <row r="5592" spans="1:56" s="4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</row>
    <row r="5593" spans="1:56" s="4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</row>
    <row r="5594" spans="1:56" s="4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</row>
    <row r="5595" spans="1:56" s="4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</row>
    <row r="5596" spans="1:56" s="4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</row>
    <row r="5597" spans="1:56" s="4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</row>
    <row r="5598" spans="1:56" s="4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</row>
    <row r="5599" spans="1:56" s="4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</row>
    <row r="5600" spans="1:56" s="4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</row>
    <row r="5601" spans="1:56" s="4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</row>
    <row r="5602" spans="1:56" s="4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</row>
    <row r="5603" spans="1:56" s="4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</row>
    <row r="5604" spans="1:56" s="4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</row>
    <row r="5605" spans="1:56" s="4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</row>
    <row r="5606" spans="1:56" s="4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</row>
    <row r="5607" spans="1:56" s="4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</row>
    <row r="5608" spans="1:56" s="4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</row>
    <row r="5609" spans="1:56" s="4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</row>
    <row r="5610" spans="1:56" s="4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</row>
    <row r="5611" spans="1:56" s="4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</row>
    <row r="5612" spans="1:56" s="4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</row>
    <row r="5613" spans="1:56" s="4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</row>
    <row r="5614" spans="1:56" s="4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</row>
    <row r="5615" spans="1:56" s="4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</row>
    <row r="5616" spans="1:56" s="4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</row>
    <row r="5617" spans="1:56" s="4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</row>
    <row r="5618" spans="1:56" s="4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</row>
    <row r="5619" spans="1:56" s="4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</row>
    <row r="5620" spans="1:56" s="4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</row>
    <row r="5621" spans="1:56" s="4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</row>
    <row r="5622" spans="1:56" s="4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</row>
    <row r="5623" spans="1:56" s="4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</row>
    <row r="5624" spans="1:56" s="4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</row>
    <row r="5625" spans="1:56" s="4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</row>
    <row r="5626" spans="1:56" s="4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</row>
    <row r="5627" spans="1:56" s="4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</row>
    <row r="5628" spans="1:56" s="4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</row>
    <row r="5629" spans="1:56" s="4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</row>
    <row r="5630" spans="1:56" s="4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</row>
    <row r="5631" spans="1:56" s="4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</row>
    <row r="5632" spans="1:56" s="4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</row>
    <row r="5633" spans="1:56" s="4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</row>
    <row r="5634" spans="1:56" s="4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</row>
    <row r="5635" spans="1:56" s="4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</row>
    <row r="5636" spans="1:56" s="4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</row>
    <row r="5637" spans="1:56" s="4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</row>
    <row r="5638" spans="1:56" s="4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</row>
    <row r="5639" spans="1:56" s="4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</row>
    <row r="5640" spans="1:56" s="4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</row>
    <row r="5641" spans="1:56" s="4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</row>
    <row r="5642" spans="1:56" s="4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</row>
    <row r="5643" spans="1:56" s="4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</row>
    <row r="5644" spans="1:56" s="4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</row>
    <row r="5645" spans="1:56" s="4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</row>
    <row r="5646" spans="1:56" s="4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</row>
    <row r="5647" spans="1:56" s="4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</row>
    <row r="5648" spans="1:56" s="4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</row>
    <row r="5649" spans="1:56" s="4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</row>
    <row r="5650" spans="1:56" s="4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</row>
    <row r="5651" spans="1:56" s="4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</row>
    <row r="5652" spans="1:56" s="4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</row>
    <row r="5653" spans="1:56" s="4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</row>
    <row r="5654" spans="1:56" s="4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</row>
    <row r="5655" spans="1:56" s="4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</row>
    <row r="5656" spans="1:56" s="4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</row>
    <row r="5657" spans="1:56" s="4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</row>
    <row r="5658" spans="1:56" s="4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</row>
    <row r="5659" spans="1:56" s="4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</row>
    <row r="5660" spans="1:56" s="4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</row>
    <row r="5661" spans="1:56" s="4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</row>
    <row r="5662" spans="1:56" s="4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</row>
    <row r="5663" spans="1:56" s="4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</row>
    <row r="5664" spans="1:56" s="4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</row>
    <row r="5665" spans="1:56" s="4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</row>
    <row r="5666" spans="1:56" s="4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</row>
    <row r="5667" spans="1:56" s="4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</row>
    <row r="5668" spans="1:56" s="4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</row>
    <row r="5669" spans="1:56" s="4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</row>
    <row r="5670" spans="1:56" s="4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</row>
    <row r="5671" spans="1:56" s="4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</row>
    <row r="5672" spans="1:56" s="4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</row>
    <row r="5673" spans="1:56" s="4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</row>
    <row r="5674" spans="1:56" s="4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</row>
    <row r="5675" spans="1:56" s="4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</row>
    <row r="5676" spans="1:56" s="4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</row>
    <row r="5677" spans="1:56" s="4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</row>
    <row r="5678" spans="1:56" s="4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</row>
    <row r="5679" spans="1:56" s="4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</row>
    <row r="5680" spans="1:56" s="4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</row>
    <row r="5681" spans="1:56" s="4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</row>
    <row r="5682" spans="1:56" s="4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</row>
    <row r="5683" spans="1:56" s="4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</row>
    <row r="5684" spans="1:56" s="4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</row>
    <row r="5685" spans="1:56" s="4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</row>
    <row r="5686" spans="1:56" s="4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</row>
    <row r="5687" spans="1:56" s="4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</row>
    <row r="5688" spans="1:56" s="4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</row>
    <row r="5689" spans="1:56" s="4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</row>
    <row r="5690" spans="1:56" s="4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</row>
    <row r="5691" spans="1:56" s="4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</row>
    <row r="5692" spans="1:56" s="4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</row>
    <row r="5693" spans="1:56" s="4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</row>
    <row r="5694" spans="1:56" s="4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</row>
    <row r="5695" spans="1:56" s="4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</row>
    <row r="5696" spans="1:56" s="4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</row>
    <row r="5697" spans="1:56" s="4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</row>
    <row r="5698" spans="1:56" s="4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</row>
    <row r="5699" spans="1:56" s="4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</row>
    <row r="5700" spans="1:56" s="4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</row>
    <row r="5701" spans="1:56" s="4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</row>
    <row r="5702" spans="1:56" s="4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</row>
    <row r="5703" spans="1:56" s="4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</row>
    <row r="5704" spans="1:56" s="4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</row>
    <row r="5705" spans="1:56" s="4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</row>
    <row r="5706" spans="1:56" s="4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</row>
    <row r="5707" spans="1:56" s="4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</row>
    <row r="5708" spans="1:56" s="4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</row>
    <row r="5709" spans="1:56" s="4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</row>
    <row r="5710" spans="1:56" s="4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</row>
    <row r="5711" spans="1:56" s="4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</row>
    <row r="5712" spans="1:56" s="4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</row>
    <row r="5713" spans="1:56" s="4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</row>
    <row r="5714" spans="1:56" s="4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</row>
    <row r="5715" spans="1:56" s="4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</row>
    <row r="5716" spans="1:56" s="4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</row>
    <row r="5717" spans="1:56" s="4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</row>
    <row r="5718" spans="1:56" s="4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</row>
    <row r="5719" spans="1:56" s="4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</row>
    <row r="5720" spans="1:56" s="4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</row>
    <row r="5721" spans="1:56" s="4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</row>
    <row r="5722" spans="1:56" s="4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</row>
    <row r="5723" spans="1:56" s="4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</row>
    <row r="5724" spans="1:56" s="4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</row>
    <row r="5725" spans="1:56" s="4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</row>
    <row r="5726" spans="1:56" s="4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</row>
    <row r="5727" spans="1:56" s="4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</row>
    <row r="5728" spans="1:56" s="4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</row>
    <row r="5729" spans="1:56" s="4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</row>
    <row r="5730" spans="1:56" s="4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</row>
    <row r="5731" spans="1:56" s="4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</row>
    <row r="5732" spans="1:56" s="4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</row>
    <row r="5733" spans="1:56" s="4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</row>
    <row r="5734" spans="1:56" s="4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</row>
    <row r="5735" spans="1:56" s="4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</row>
    <row r="5736" spans="1:56" s="4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</row>
    <row r="5737" spans="1:56" s="4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</row>
    <row r="5738" spans="1:56" s="4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</row>
    <row r="5739" spans="1:56" s="4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</row>
    <row r="5740" spans="1:56" s="4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</row>
    <row r="5741" spans="1:56" s="4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</row>
    <row r="5742" spans="1:56" s="4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</row>
    <row r="5743" spans="1:56" s="4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</row>
    <row r="5744" spans="1:56" s="4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</row>
    <row r="5745" spans="1:56" s="4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</row>
    <row r="5746" spans="1:56" s="4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</row>
    <row r="5747" spans="1:56" s="4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</row>
    <row r="5748" spans="1:56" s="4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</row>
    <row r="5749" spans="1:56" s="4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</row>
    <row r="5750" spans="1:56" s="4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</row>
    <row r="5751" spans="1:56" s="4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</row>
    <row r="5752" spans="1:56" s="4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</row>
    <row r="5753" spans="1:56" s="4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</row>
    <row r="5754" spans="1:56" s="4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</row>
    <row r="5755" spans="1:56" s="4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</row>
    <row r="5756" spans="1:56" s="4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</row>
    <row r="5757" spans="1:56" s="4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</row>
    <row r="5758" spans="1:56" s="4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</row>
    <row r="5759" spans="1:56" s="4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</row>
    <row r="5760" spans="1:56" s="4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</row>
    <row r="5761" spans="1:56" s="4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</row>
    <row r="5762" spans="1:56" s="4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</row>
    <row r="5763" spans="1:56" s="4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</row>
    <row r="5764" spans="1:56" s="4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</row>
    <row r="5765" spans="1:56" s="4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</row>
    <row r="5766" spans="1:56" s="4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</row>
    <row r="5767" spans="1:56" s="4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</row>
    <row r="5768" spans="1:56" s="4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</row>
    <row r="5769" spans="1:56" s="4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</row>
    <row r="5770" spans="1:56" s="4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</row>
    <row r="5771" spans="1:56" s="4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</row>
    <row r="5772" spans="1:56" s="4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</row>
    <row r="5773" spans="1:56" s="4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</row>
    <row r="5774" spans="1:56" s="4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</row>
    <row r="5775" spans="1:56" s="4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</row>
    <row r="5776" spans="1:56" s="4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</row>
    <row r="5777" spans="1:56" s="4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</row>
    <row r="5778" spans="1:56" s="4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</row>
    <row r="5779" spans="1:56" s="4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</row>
    <row r="5780" spans="1:56" s="4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</row>
    <row r="5781" spans="1:56" s="4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</row>
    <row r="5782" spans="1:56" s="4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</row>
    <row r="5783" spans="1:56" s="4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</row>
    <row r="5784" spans="1:56" s="4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</row>
    <row r="5785" spans="1:56" s="4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</row>
    <row r="5786" spans="1:56" s="4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</row>
    <row r="5787" spans="1:56" s="4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</row>
    <row r="5788" spans="1:56" s="4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</row>
    <row r="5789" spans="1:56" s="4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</row>
    <row r="5790" spans="1:56" s="4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</row>
    <row r="5791" spans="1:56" s="4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</row>
    <row r="5792" spans="1:56" s="4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</row>
    <row r="5793" spans="1:56" s="4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</row>
    <row r="5794" spans="1:56" s="4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</row>
    <row r="5795" spans="1:56" s="4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</row>
    <row r="5796" spans="1:56" s="4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</row>
    <row r="5797" spans="1:56" s="4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</row>
    <row r="5798" spans="1:56" s="4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</row>
    <row r="5799" spans="1:56" s="4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</row>
    <row r="5800" spans="1:56" s="4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</row>
    <row r="5801" spans="1:56" s="4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</row>
    <row r="5802" spans="1:56" s="4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</row>
    <row r="5803" spans="1:56" s="4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</row>
    <row r="5804" spans="1:56" s="4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</row>
    <row r="5805" spans="1:56" s="4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</row>
    <row r="5806" spans="1:56" s="4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</row>
    <row r="5807" spans="1:56" s="4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</row>
    <row r="5808" spans="1:56" s="4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</row>
    <row r="5809" spans="1:56" s="4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</row>
    <row r="5810" spans="1:56" s="4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</row>
    <row r="5811" spans="1:56" s="4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</row>
    <row r="5812" spans="1:56" s="4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</row>
    <row r="5813" spans="1:56" s="4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</row>
    <row r="5814" spans="1:56" s="4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</row>
    <row r="5815" spans="1:56" s="4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</row>
    <row r="5816" spans="1:56" s="4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</row>
    <row r="5817" spans="1:56" s="4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</row>
    <row r="5818" spans="1:56" s="4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</row>
    <row r="5819" spans="1:56" s="4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</row>
    <row r="5820" spans="1:56" s="4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</row>
    <row r="5821" spans="1:56" s="4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</row>
    <row r="5822" spans="1:56" s="4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</row>
    <row r="5823" spans="1:56" s="4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</row>
    <row r="5824" spans="1:56" s="4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</row>
    <row r="5825" spans="1:56" s="4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</row>
    <row r="5826" spans="1:56" s="4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</row>
    <row r="5827" spans="1:56" s="4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</row>
    <row r="5828" spans="1:56" s="4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</row>
    <row r="5829" spans="1:56" s="4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</row>
    <row r="5830" spans="1:56" s="4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</row>
    <row r="5831" spans="1:56" s="4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</row>
    <row r="5832" spans="1:56" s="4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</row>
    <row r="5833" spans="1:56" s="4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</row>
    <row r="5834" spans="1:56" s="4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</row>
    <row r="5835" spans="1:56" s="4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</row>
    <row r="5836" spans="1:56" s="4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</row>
    <row r="5837" spans="1:56" s="4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</row>
    <row r="5838" spans="1:56" s="4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</row>
    <row r="5839" spans="1:56" s="4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</row>
    <row r="5840" spans="1:56" s="4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</row>
    <row r="5841" spans="1:56" s="4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</row>
    <row r="5842" spans="1:56" s="4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</row>
    <row r="5843" spans="1:56" s="4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</row>
    <row r="5844" spans="1:56" s="4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</row>
    <row r="5845" spans="1:56" s="4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</row>
    <row r="5846" spans="1:56" s="4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</row>
    <row r="5847" spans="1:56" s="4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</row>
    <row r="5848" spans="1:56" s="4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</row>
    <row r="5849" spans="1:56" s="4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</row>
    <row r="5850" spans="1:56" s="4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</row>
    <row r="5851" spans="1:56" s="4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</row>
    <row r="5852" spans="1:56" s="4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</row>
    <row r="5853" spans="1:56" s="4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</row>
    <row r="5854" spans="1:56" s="4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</row>
    <row r="5855" spans="1:56" s="4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</row>
    <row r="5856" spans="1:56" s="4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</row>
    <row r="5857" spans="1:56" s="4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</row>
    <row r="5858" spans="1:56" s="4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</row>
    <row r="5859" spans="1:56" s="4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</row>
    <row r="5860" spans="1:56" s="4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</row>
    <row r="5861" spans="1:56" s="4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</row>
    <row r="5862" spans="1:56" s="4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</row>
    <row r="5863" spans="1:56" s="4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</row>
    <row r="5864" spans="1:56" s="4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</row>
    <row r="5865" spans="1:56" s="4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</row>
    <row r="5866" spans="1:56" s="4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</row>
    <row r="5867" spans="1:56" s="4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</row>
    <row r="5868" spans="1:56" s="4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</row>
    <row r="5869" spans="1:56" s="4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</row>
    <row r="5870" spans="1:56" s="4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</row>
    <row r="5871" spans="1:56" s="4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</row>
    <row r="5872" spans="1:56" s="4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</row>
    <row r="5873" spans="1:56" s="4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</row>
    <row r="5874" spans="1:56" s="4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</row>
    <row r="5875" spans="1:56" s="4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</row>
    <row r="5876" spans="1:56" s="4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</row>
    <row r="5877" spans="1:56" s="4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</row>
    <row r="5878" spans="1:56" s="4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</row>
    <row r="5879" spans="1:56" s="4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</row>
    <row r="5880" spans="1:56" s="4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</row>
    <row r="5881" spans="1:56" s="4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</row>
    <row r="5882" spans="1:56" s="4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</row>
    <row r="5883" spans="1:56" s="4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</row>
    <row r="5884" spans="1:56" s="4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</row>
    <row r="5885" spans="1:56" s="4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</row>
    <row r="5886" spans="1:56" s="4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</row>
    <row r="5887" spans="1:56" s="4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</row>
    <row r="5888" spans="1:56" s="4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</row>
    <row r="5889" spans="1:56" s="4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</row>
    <row r="5890" spans="1:56" s="4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</row>
    <row r="5891" spans="1:56" s="4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</row>
    <row r="5892" spans="1:56" s="4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</row>
    <row r="5893" spans="1:56" s="4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</row>
    <row r="5894" spans="1:56" s="4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</row>
    <row r="5895" spans="1:56" s="4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</row>
    <row r="5896" spans="1:56" s="4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</row>
  </sheetData>
  <sortState ref="A79:BI173">
    <sortCondition ref="A78"/>
  </sortState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23493"/>
  <sheetViews>
    <sheetView zoomScale="90" zoomScaleNormal="90" zoomScaleSheetLayoutView="55" workbookViewId="0"/>
  </sheetViews>
  <sheetFormatPr defaultRowHeight="15" x14ac:dyDescent="0.25"/>
  <cols>
    <col min="1" max="1" width="38.85546875" bestFit="1" customWidth="1"/>
    <col min="2" max="2" width="7.42578125" customWidth="1"/>
    <col min="3" max="3" width="32.42578125" bestFit="1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8.42578125" bestFit="1" customWidth="1"/>
    <col min="14" max="14" width="11.28515625" bestFit="1" customWidth="1"/>
    <col min="15" max="15" width="10.42578125" customWidth="1"/>
    <col min="16" max="16" width="10.140625" customWidth="1"/>
    <col min="17" max="17" width="8.7109375" bestFit="1" customWidth="1"/>
    <col min="18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80</v>
      </c>
    </row>
    <row r="3" spans="1:58" ht="19.5" customHeight="1" thickBot="1" x14ac:dyDescent="0.3">
      <c r="A3" s="27"/>
      <c r="B3" s="27" t="s">
        <v>4</v>
      </c>
      <c r="C3" s="27"/>
      <c r="D3" s="253" t="s">
        <v>82</v>
      </c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5"/>
      <c r="AC3" s="57"/>
      <c r="AD3" s="57"/>
      <c r="AE3" s="57"/>
      <c r="AF3" s="57"/>
      <c r="AG3" s="57"/>
      <c r="AH3" s="256" t="str">
        <f>D3</f>
        <v>March 2018 YTD Operating and Budgeted Results</v>
      </c>
      <c r="AI3" s="242"/>
      <c r="AJ3" s="242"/>
      <c r="AK3" s="242"/>
      <c r="AL3" s="242"/>
      <c r="AM3" s="242"/>
      <c r="AN3" s="242"/>
      <c r="AO3" s="242"/>
      <c r="AP3" s="242"/>
      <c r="AQ3" s="242"/>
      <c r="AR3" s="242"/>
      <c r="AS3" s="242"/>
      <c r="AT3" s="242"/>
      <c r="AU3" s="242"/>
      <c r="AV3" s="242"/>
      <c r="AW3" s="242"/>
      <c r="AX3" s="242"/>
      <c r="AY3" s="242"/>
      <c r="AZ3" s="242"/>
      <c r="BA3" s="242"/>
      <c r="BB3" s="242"/>
      <c r="BC3" s="242"/>
      <c r="BD3" s="242"/>
      <c r="BE3" s="242"/>
      <c r="BF3" s="257"/>
    </row>
    <row r="4" spans="1:58" x14ac:dyDescent="0.25">
      <c r="A4" s="58"/>
      <c r="B4" s="240" t="s">
        <v>14</v>
      </c>
      <c r="C4" s="242" t="s">
        <v>39</v>
      </c>
      <c r="D4" s="244" t="s">
        <v>40</v>
      </c>
      <c r="E4" s="245"/>
      <c r="F4" s="245"/>
      <c r="G4" s="245"/>
      <c r="H4" s="245"/>
      <c r="I4" s="246" t="s">
        <v>41</v>
      </c>
      <c r="J4" s="247"/>
      <c r="K4" s="247"/>
      <c r="L4" s="247"/>
      <c r="M4" s="248"/>
      <c r="N4" s="249" t="s">
        <v>42</v>
      </c>
      <c r="O4" s="245"/>
      <c r="P4" s="245"/>
      <c r="Q4" s="245"/>
      <c r="R4" s="250"/>
      <c r="S4" s="246" t="s">
        <v>43</v>
      </c>
      <c r="T4" s="247"/>
      <c r="U4" s="247"/>
      <c r="V4" s="247"/>
      <c r="W4" s="248"/>
      <c r="X4" s="249" t="s">
        <v>44</v>
      </c>
      <c r="Y4" s="245"/>
      <c r="Z4" s="245"/>
      <c r="AA4" s="245"/>
      <c r="AB4" s="245"/>
      <c r="AC4" s="59"/>
      <c r="AD4" s="60"/>
      <c r="AE4" s="60" t="s">
        <v>45</v>
      </c>
      <c r="AF4" s="60"/>
      <c r="AG4" s="61"/>
      <c r="AH4" s="250" t="s">
        <v>46</v>
      </c>
      <c r="AI4" s="258"/>
      <c r="AJ4" s="258"/>
      <c r="AK4" s="258"/>
      <c r="AL4" s="249"/>
      <c r="AM4" s="62"/>
      <c r="AN4" s="60"/>
      <c r="AO4" s="60" t="s">
        <v>47</v>
      </c>
      <c r="AP4" s="60"/>
      <c r="AQ4" s="63"/>
      <c r="AR4" s="245" t="s">
        <v>48</v>
      </c>
      <c r="AS4" s="245"/>
      <c r="AT4" s="245"/>
      <c r="AU4" s="245"/>
      <c r="AV4" s="245"/>
      <c r="AW4" s="246" t="s">
        <v>49</v>
      </c>
      <c r="AX4" s="247"/>
      <c r="AY4" s="247"/>
      <c r="AZ4" s="247"/>
      <c r="BA4" s="248"/>
      <c r="BB4" s="251" t="s">
        <v>50</v>
      </c>
      <c r="BC4" s="251"/>
      <c r="BD4" s="251"/>
      <c r="BE4" s="251"/>
      <c r="BF4" s="252"/>
    </row>
    <row r="5" spans="1:58" ht="51.75" x14ac:dyDescent="0.25">
      <c r="A5" s="152" t="s">
        <v>34</v>
      </c>
      <c r="B5" s="241"/>
      <c r="C5" s="243"/>
      <c r="D5" s="98" t="s">
        <v>51</v>
      </c>
      <c r="E5" s="99" t="s">
        <v>52</v>
      </c>
      <c r="F5" s="100" t="s">
        <v>29</v>
      </c>
      <c r="G5" s="99" t="s">
        <v>53</v>
      </c>
      <c r="H5" s="101" t="s">
        <v>54</v>
      </c>
      <c r="I5" s="102" t="s">
        <v>51</v>
      </c>
      <c r="J5" s="102" t="s">
        <v>52</v>
      </c>
      <c r="K5" s="103" t="s">
        <v>29</v>
      </c>
      <c r="L5" s="102" t="s">
        <v>53</v>
      </c>
      <c r="M5" s="102" t="s">
        <v>54</v>
      </c>
      <c r="N5" s="99" t="s">
        <v>51</v>
      </c>
      <c r="O5" s="99" t="s">
        <v>52</v>
      </c>
      <c r="P5" s="100" t="s">
        <v>29</v>
      </c>
      <c r="Q5" s="99" t="s">
        <v>53</v>
      </c>
      <c r="R5" s="99" t="s">
        <v>54</v>
      </c>
      <c r="S5" s="103" t="s">
        <v>51</v>
      </c>
      <c r="T5" s="102" t="s">
        <v>52</v>
      </c>
      <c r="U5" s="103" t="s">
        <v>29</v>
      </c>
      <c r="V5" s="102" t="s">
        <v>53</v>
      </c>
      <c r="W5" s="104" t="s">
        <v>54</v>
      </c>
      <c r="X5" s="99" t="s">
        <v>51</v>
      </c>
      <c r="Y5" s="99" t="s">
        <v>52</v>
      </c>
      <c r="Z5" s="100" t="s">
        <v>29</v>
      </c>
      <c r="AA5" s="99" t="s">
        <v>53</v>
      </c>
      <c r="AB5" s="105" t="s">
        <v>54</v>
      </c>
      <c r="AC5" s="106" t="s">
        <v>51</v>
      </c>
      <c r="AD5" s="102" t="s">
        <v>52</v>
      </c>
      <c r="AE5" s="103" t="s">
        <v>29</v>
      </c>
      <c r="AF5" s="102" t="s">
        <v>53</v>
      </c>
      <c r="AG5" s="107" t="s">
        <v>54</v>
      </c>
      <c r="AH5" s="100" t="s">
        <v>51</v>
      </c>
      <c r="AI5" s="99" t="s">
        <v>52</v>
      </c>
      <c r="AJ5" s="100" t="s">
        <v>29</v>
      </c>
      <c r="AK5" s="99" t="s">
        <v>53</v>
      </c>
      <c r="AL5" s="108" t="s">
        <v>54</v>
      </c>
      <c r="AM5" s="102" t="s">
        <v>51</v>
      </c>
      <c r="AN5" s="102" t="s">
        <v>52</v>
      </c>
      <c r="AO5" s="103" t="s">
        <v>29</v>
      </c>
      <c r="AP5" s="102" t="s">
        <v>53</v>
      </c>
      <c r="AQ5" s="104" t="s">
        <v>54</v>
      </c>
      <c r="AR5" s="109" t="s">
        <v>51</v>
      </c>
      <c r="AS5" s="99" t="s">
        <v>52</v>
      </c>
      <c r="AT5" s="100" t="s">
        <v>29</v>
      </c>
      <c r="AU5" s="99" t="s">
        <v>53</v>
      </c>
      <c r="AV5" s="105" t="s">
        <v>54</v>
      </c>
      <c r="AW5" s="102" t="s">
        <v>51</v>
      </c>
      <c r="AX5" s="102" t="s">
        <v>52</v>
      </c>
      <c r="AY5" s="103" t="s">
        <v>29</v>
      </c>
      <c r="AZ5" s="102" t="s">
        <v>53</v>
      </c>
      <c r="BA5" s="102" t="s">
        <v>54</v>
      </c>
      <c r="BB5" s="110" t="s">
        <v>51</v>
      </c>
      <c r="BC5" s="111" t="s">
        <v>52</v>
      </c>
      <c r="BD5" s="110" t="s">
        <v>29</v>
      </c>
      <c r="BE5" s="111" t="s">
        <v>53</v>
      </c>
      <c r="BF5" s="112" t="s">
        <v>54</v>
      </c>
    </row>
    <row r="6" spans="1:58" x14ac:dyDescent="0.25">
      <c r="A6" s="150"/>
      <c r="B6" s="64"/>
      <c r="C6" s="77"/>
      <c r="D6" s="98"/>
      <c r="E6" s="66"/>
      <c r="F6" s="100"/>
      <c r="G6" s="66"/>
      <c r="H6" s="66"/>
      <c r="I6" s="102"/>
      <c r="J6" s="69"/>
      <c r="K6" s="103"/>
      <c r="L6" s="69"/>
      <c r="M6" s="69"/>
      <c r="N6" s="99"/>
      <c r="O6" s="66"/>
      <c r="P6" s="100"/>
      <c r="Q6" s="66"/>
      <c r="R6" s="66"/>
      <c r="S6" s="103"/>
      <c r="T6" s="69"/>
      <c r="U6" s="103"/>
      <c r="V6" s="69"/>
      <c r="W6" s="69"/>
      <c r="X6" s="99"/>
      <c r="Y6" s="66"/>
      <c r="Z6" s="100"/>
      <c r="AA6" s="66"/>
      <c r="AB6" s="70"/>
      <c r="AC6" s="103"/>
      <c r="AD6" s="69"/>
      <c r="AE6" s="103"/>
      <c r="AF6" s="69"/>
      <c r="AG6" s="72"/>
      <c r="AH6" s="100"/>
      <c r="AI6" s="66"/>
      <c r="AJ6" s="100"/>
      <c r="AK6" s="66"/>
      <c r="AL6" s="70"/>
      <c r="AM6" s="102"/>
      <c r="AN6" s="69"/>
      <c r="AO6" s="103"/>
      <c r="AP6" s="69"/>
      <c r="AQ6" s="69"/>
      <c r="AR6" s="109"/>
      <c r="AS6" s="66"/>
      <c r="AT6" s="100">
        <f>SUMIFS(AnnualFinancialData!$L$2:$L$6293,AnnualFinancialData!$B$2:$B$6293,$A6,AnnualFinancialData!$K$2:$K$6293,"55301")</f>
        <v>0</v>
      </c>
      <c r="AU6" s="66"/>
      <c r="AV6" s="66"/>
      <c r="AW6" s="102"/>
      <c r="AX6" s="69"/>
      <c r="AY6" s="103"/>
      <c r="AZ6" s="69"/>
      <c r="BA6" s="69"/>
      <c r="BB6" s="75"/>
      <c r="BC6" s="75"/>
      <c r="BD6" s="75"/>
      <c r="BE6" s="75"/>
      <c r="BF6" s="76"/>
    </row>
    <row r="7" spans="1:58" x14ac:dyDescent="0.25">
      <c r="A7" s="170" t="s">
        <v>55</v>
      </c>
      <c r="B7" s="161" t="str">
        <f>IF(ISERROR(SUM(#REF!)),"-",SUM(#REF!))</f>
        <v>-</v>
      </c>
      <c r="C7" s="171"/>
      <c r="D7" s="98" t="str">
        <f>IF(ISERROR(SUM(#REF!)),"-",SUM(#REF!))</f>
        <v>-</v>
      </c>
      <c r="E7" s="172" t="str">
        <f>IF(ISERROR(F7/12*Occupancy!$B$65),"-",F7/12*Occupancy!$B$65)</f>
        <v>-</v>
      </c>
      <c r="F7" s="100" t="str">
        <f>IF(ISERROR(SUM(#REF!)),"-",SUM(#REF!))</f>
        <v>-</v>
      </c>
      <c r="G7" s="172" t="str">
        <f>IF(ISERROR(D7/$B7/VLOOKUP(Occupancy!$B$65,Occupancy!$B$68:'Occupancy'!$B$79,1)*12),"-",D7/$B7/VLOOKUP(Occupancy!$B$65,Occupancy!$B$68:'Occupancy'!$B$79,1)*12)</f>
        <v>-</v>
      </c>
      <c r="H7" s="172" t="str">
        <f>IF(ISERROR(E7/$B7/VLOOKUP(Occupancy!$B$65,Occupancy!$B$68:'Occupancy'!$B$79,1)*12),"-",E7/$B7/VLOOKUP(Occupancy!$B$65,Occupancy!$B$68:'Occupancy'!$B$79,1)*12)</f>
        <v>-</v>
      </c>
      <c r="I7" s="102" t="str">
        <f>IF(ISERROR(SUM(#REF!)),"-",SUM(#REF!))</f>
        <v>-</v>
      </c>
      <c r="J7" s="173" t="str">
        <f>IF(ISERROR(K7/12*Occupancy!$B$65),"-",K7/12*Occupancy!$B$65)</f>
        <v>-</v>
      </c>
      <c r="K7" s="103" t="str">
        <f>IF(ISERROR(SUM(#REF!)),"-",SUM(#REF!))</f>
        <v>-</v>
      </c>
      <c r="L7" s="173" t="str">
        <f>IF(ISERROR(I7/$B7/VLOOKUP(Occupancy!$B$65,Occupancy!$B$68:'Occupancy'!$B$79,1)*12),"-",I7/$B7/VLOOKUP(Occupancy!$B$65,Occupancy!$B$68:'Occupancy'!$B$79,1)*12)</f>
        <v>-</v>
      </c>
      <c r="M7" s="173" t="str">
        <f>IF(ISERROR(J7/$B7/VLOOKUP(Occupancy!$B$65,Occupancy!$B$68:'Occupancy'!$B$79,1)*12),"-",J7/$B7/VLOOKUP(Occupancy!$B$65,Occupancy!$B$68:'Occupancy'!$B$79,1)*12)</f>
        <v>-</v>
      </c>
      <c r="N7" s="99" t="str">
        <f>IF(ISERROR(SUM(#REF!)),"-",SUM(#REF!))</f>
        <v>-</v>
      </c>
      <c r="O7" s="172" t="str">
        <f>IF(ISERROR(P7/12*Occupancy!$B$65),"-",P7/12*Occupancy!$B$65)</f>
        <v>-</v>
      </c>
      <c r="P7" s="100" t="str">
        <f>IF(ISERROR(SUM(#REF!)),"-",SUM(#REF!))</f>
        <v>-</v>
      </c>
      <c r="Q7" s="172" t="str">
        <f>IF(ISERROR(N7/$B7/VLOOKUP(Occupancy!$B$65,Occupancy!$B$68:'Occupancy'!$B$79,1)*12),"-",N7/$B7/VLOOKUP(Occupancy!$B$65,Occupancy!$B$68:'Occupancy'!$B$79,1)*12)</f>
        <v>-</v>
      </c>
      <c r="R7" s="172" t="str">
        <f>IF(ISERROR(O7/$B7/VLOOKUP(Occupancy!$B$65,Occupancy!$B$68:'Occupancy'!$B$79,1)*12),"-",O7/$B7/VLOOKUP(Occupancy!$B$65,Occupancy!$B$68:'Occupancy'!$B$79,1)*12)</f>
        <v>-</v>
      </c>
      <c r="S7" s="103" t="str">
        <f>IF(ISERROR(SUM(#REF!)),"-",SUM(#REF!))</f>
        <v>-</v>
      </c>
      <c r="T7" s="173" t="str">
        <f>IF(ISERROR(U7/12*Occupancy!$B$65),"-",U7/12*Occupancy!$B$65)</f>
        <v>-</v>
      </c>
      <c r="U7" s="103" t="str">
        <f>IF(ISERROR(SUM(#REF!)),"-",SUM(#REF!))</f>
        <v>-</v>
      </c>
      <c r="V7" s="173" t="str">
        <f>IF(ISERROR(S7/$B7/VLOOKUP(Occupancy!$B$65,Occupancy!$B$68:'Occupancy'!$B$79,1)*12),"-",S7/$B7/VLOOKUP(Occupancy!$B$65,Occupancy!$B$68:'Occupancy'!$B$79,1)*12)</f>
        <v>-</v>
      </c>
      <c r="W7" s="173" t="str">
        <f>IF(ISERROR(T7/$B7/VLOOKUP(Occupancy!$B$65,Occupancy!$B$68:'Occupancy'!$B$79,1)*12),"-",T7/$B7/VLOOKUP(Occupancy!$B$65,Occupancy!$B$68:'Occupancy'!$B$79,1)*12)</f>
        <v>-</v>
      </c>
      <c r="X7" s="99" t="str">
        <f>IF(ISERROR(SUM(#REF!)),"-",SUM(#REF!))</f>
        <v>-</v>
      </c>
      <c r="Y7" s="172" t="str">
        <f>IF(ISERROR(Z7/12*Occupancy!$B$65),"-",Z7/12*Occupancy!$B$65)</f>
        <v>-</v>
      </c>
      <c r="Z7" s="100" t="str">
        <f>IF(ISERROR(SUM(#REF!)),"-",SUM(#REF!))</f>
        <v>-</v>
      </c>
      <c r="AA7" s="172" t="str">
        <f>IF(ISERROR(X7/$B7/VLOOKUP(Occupancy!$B$65,Occupancy!$B$68:'Occupancy'!$B$79,1)*12),"-",X7/$B7/VLOOKUP(Occupancy!$B$65,Occupancy!$B$68:'Occupancy'!$B$79,1)*12)</f>
        <v>-</v>
      </c>
      <c r="AB7" s="174" t="str">
        <f>IF(ISERROR(Y7/$B7/VLOOKUP(Occupancy!$B$65,Occupancy!$B$68:'Occupancy'!$B$79,1)*12),"-",Y7/$B7/VLOOKUP(Occupancy!$B$65,Occupancy!$B$68:'Occupancy'!$B$79,1)*12)</f>
        <v>-</v>
      </c>
      <c r="AC7" s="103" t="str">
        <f>IF(ISERROR(SUM(#REF!)),"-",SUM(#REF!))</f>
        <v>-</v>
      </c>
      <c r="AD7" s="173" t="str">
        <f>IF(ISERROR(AE7/12*Occupancy!$B$65),"-",AE7/12*Occupancy!$B$65)</f>
        <v>-</v>
      </c>
      <c r="AE7" s="103" t="str">
        <f>IF(ISERROR(SUM(#REF!)),"-",SUM(#REF!))</f>
        <v>-</v>
      </c>
      <c r="AF7" s="173" t="str">
        <f>IF(ISERROR(AC7/$B7/VLOOKUP(Occupancy!$B$65,Occupancy!$B$68:'Occupancy'!$B$79,1)*12),"-",AC7/$B7/VLOOKUP(Occupancy!$B$65,Occupancy!$B$68:'Occupancy'!$B$79,1)*12)</f>
        <v>-</v>
      </c>
      <c r="AG7" s="175" t="str">
        <f>IF(ISERROR(AD7/$B7/VLOOKUP(Occupancy!$B$65,Occupancy!$B$68:'Occupancy'!$B$79,1)*12),"-",AD7/$B7/VLOOKUP(Occupancy!$B$65,Occupancy!$B$68:'Occupancy'!$B$79,1)*12)</f>
        <v>-</v>
      </c>
      <c r="AH7" s="100" t="str">
        <f>IF(ISERROR(SUM(#REF!)),"-",SUM(#REF!))</f>
        <v>-</v>
      </c>
      <c r="AI7" s="172" t="str">
        <f>IF(ISERROR(AJ7/12*Occupancy!$B$65),"-",AJ7/12*Occupancy!$B$65)</f>
        <v>-</v>
      </c>
      <c r="AJ7" s="100" t="str">
        <f>IF(ISERROR(SUM(#REF!)),"-",SUM(#REF!))</f>
        <v>-</v>
      </c>
      <c r="AK7" s="172" t="str">
        <f>IF(ISERROR(AH7/$B7/VLOOKUP(Occupancy!$B$65,Occupancy!$B$68:'Occupancy'!$B$79,1)*12),"-",AH7/$B7/VLOOKUP(Occupancy!$B$65,Occupancy!$B$68:'Occupancy'!$B$79,1)*12)</f>
        <v>-</v>
      </c>
      <c r="AL7" s="174" t="str">
        <f>IF(ISERROR(AI7/$B7/VLOOKUP(Occupancy!$B$65,Occupancy!$B$68:'Occupancy'!$B$79,1)*12),"-",AI7/$B7/VLOOKUP(Occupancy!$B$65,Occupancy!$B$68:'Occupancy'!$B$79,1)*12)</f>
        <v>-</v>
      </c>
      <c r="AM7" s="102" t="str">
        <f>IF(ISERROR(SUM(#REF!)),"-",SUM(#REF!))</f>
        <v>-</v>
      </c>
      <c r="AN7" s="173" t="str">
        <f>IF(ISERROR(AO7/12*Occupancy!$B$65),"-",AO7/12*Occupancy!$B$65)</f>
        <v>-</v>
      </c>
      <c r="AO7" s="103" t="str">
        <f>IF(ISERROR(SUM(#REF!)),"-",SUM(#REF!))</f>
        <v>-</v>
      </c>
      <c r="AP7" s="173" t="str">
        <f>IF(ISERROR(AM7/$B7/VLOOKUP(Occupancy!$B$65,Occupancy!$B$68:'Occupancy'!$B$79,1)*12),"-",AM7/$B7/VLOOKUP(Occupancy!$B$65,Occupancy!$B$68:'Occupancy'!$B$79,1)*12)</f>
        <v>-</v>
      </c>
      <c r="AQ7" s="173" t="str">
        <f>IF(ISERROR(AN7/$B7/VLOOKUP(Occupancy!$B$65,Occupancy!$B$68:'Occupancy'!$B$79,1)*12),"-",AN7/$B7/VLOOKUP(Occupancy!$B$65,Occupancy!$B$68:'Occupancy'!$B$79,1)*12)</f>
        <v>-</v>
      </c>
      <c r="AR7" s="109" t="str">
        <f>IF(ISERROR(SUM(#REF!)),"-",SUM(#REF!))</f>
        <v>-</v>
      </c>
      <c r="AS7" s="172" t="str">
        <f>IF(ISERROR(AT7/12*Occupancy!$B$65),"-",AT7/12*Occupancy!$B$65)</f>
        <v>-</v>
      </c>
      <c r="AT7" s="100" t="str">
        <f>IF(ISERROR(SUM(#REF!)),"-",SUM(#REF!))</f>
        <v>-</v>
      </c>
      <c r="AU7" s="172" t="str">
        <f>IF(ISERROR(AR7/$B7/VLOOKUP(Occupancy!$B$65,Occupancy!$B$68:'Occupancy'!$B$79,1)*12),"-",AR7/$B7/VLOOKUP(Occupancy!$B$65,Occupancy!$B$68:'Occupancy'!$B$79,1)*12)</f>
        <v>-</v>
      </c>
      <c r="AV7" s="172" t="str">
        <f>IF(ISERROR(AS7/$B7/VLOOKUP(Occupancy!$B$65,Occupancy!$B$68:'Occupancy'!$B$79,1)*12),"-",AS7/$B7/VLOOKUP(Occupancy!$B$65,Occupancy!$B$68:'Occupancy'!$B$79,1)*12)</f>
        <v>-</v>
      </c>
      <c r="AW7" s="102" t="str">
        <f>IF(ISERROR(SUM(#REF!)),"-",SUM(#REF!))</f>
        <v>-</v>
      </c>
      <c r="AX7" s="173" t="str">
        <f>IF(ISERROR(AY7/12*Occupancy!$B$65),"-",AY7/12*Occupancy!$B$65)</f>
        <v>-</v>
      </c>
      <c r="AY7" s="103" t="str">
        <f>IF(ISERROR(SUM(#REF!)),"-",SUM(#REF!))</f>
        <v>-</v>
      </c>
      <c r="AZ7" s="173" t="str">
        <f>IF(ISERROR(AW7/$B7/VLOOKUP(Occupancy!$B$65,Occupancy!$B$68:'Occupancy'!$B$79,1)*12),"-",AW7/$B7/VLOOKUP(Occupancy!$B$65,Occupancy!$B$68:'Occupancy'!$B$79,1)*12)</f>
        <v>-</v>
      </c>
      <c r="BA7" s="173" t="str">
        <f>IF(ISERROR(AX7/$B7/VLOOKUP(Occupancy!$B$65,Occupancy!$B$68:'Occupancy'!$B$79,1)*12),"-",AX7/$B7/VLOOKUP(Occupancy!$B$65,Occupancy!$B$68:'Occupancy'!$B$79,1)*12)</f>
        <v>-</v>
      </c>
      <c r="BB7" s="176" t="str">
        <f>IF(ISERROR(SUM(#REF!)),"-",SUM(#REF!))</f>
        <v>-</v>
      </c>
      <c r="BC7" s="176" t="str">
        <f>IF(ISERROR(SUM(#REF!)),"-",SUM(#REF!))</f>
        <v>-</v>
      </c>
      <c r="BD7" s="176" t="str">
        <f>IF(ISERROR(SUM(#REF!)),"-",SUM(#REF!))</f>
        <v>-</v>
      </c>
      <c r="BE7" s="176" t="str">
        <f>IF(ISERROR(BB7/$B7/VLOOKUP(Occupancy!$B$65,Occupancy!$B$68:'Occupancy'!$B$79,1)*12),"-",BB7/$B7/VLOOKUP(Occupancy!$B$65,Occupancy!$B$68:'Occupancy'!$B$79,1)*12)</f>
        <v>-</v>
      </c>
      <c r="BF7" s="177" t="str">
        <f>IF(ISERROR(BC7/$B7/VLOOKUP(Occupancy!$B$65,Occupancy!$B$68:'Occupancy'!$B$79,1)*12),"-",BC7/$B7/VLOOKUP(Occupancy!$B$65,Occupancy!$B$68:'Occupancy'!$B$79,1)*12)</f>
        <v>-</v>
      </c>
    </row>
    <row r="8" spans="1:58" x14ac:dyDescent="0.25">
      <c r="A8" s="178"/>
      <c r="B8" s="17"/>
      <c r="C8" s="179"/>
      <c r="D8" s="98"/>
      <c r="E8" s="180"/>
      <c r="F8" s="100"/>
      <c r="G8" s="181"/>
      <c r="H8" s="181"/>
      <c r="I8" s="102"/>
      <c r="J8" s="182"/>
      <c r="K8" s="103"/>
      <c r="L8" s="183"/>
      <c r="M8" s="183"/>
      <c r="N8" s="99"/>
      <c r="O8" s="180"/>
      <c r="P8" s="100"/>
      <c r="Q8" s="181"/>
      <c r="R8" s="181"/>
      <c r="S8" s="103"/>
      <c r="T8" s="182"/>
      <c r="U8" s="103"/>
      <c r="V8" s="183"/>
      <c r="W8" s="183"/>
      <c r="X8" s="99"/>
      <c r="Y8" s="180"/>
      <c r="Z8" s="100"/>
      <c r="AA8" s="181"/>
      <c r="AB8" s="184"/>
      <c r="AC8" s="103"/>
      <c r="AD8" s="182"/>
      <c r="AE8" s="103"/>
      <c r="AF8" s="183"/>
      <c r="AG8" s="185"/>
      <c r="AH8" s="100"/>
      <c r="AI8" s="180"/>
      <c r="AJ8" s="100"/>
      <c r="AK8" s="181"/>
      <c r="AL8" s="184"/>
      <c r="AM8" s="102"/>
      <c r="AN8" s="182"/>
      <c r="AO8" s="103"/>
      <c r="AP8" s="183"/>
      <c r="AQ8" s="183"/>
      <c r="AR8" s="109"/>
      <c r="AS8" s="180"/>
      <c r="AT8" s="100">
        <f>SUMIFS(AnnualFinancialData!$L$2:$L$6293,AnnualFinancialData!$B$2:$B$6293,$A8,AnnualFinancialData!$K$2:$K$6293,"55301")</f>
        <v>0</v>
      </c>
      <c r="AU8" s="181"/>
      <c r="AV8" s="181"/>
      <c r="AW8" s="102"/>
      <c r="AX8" s="182"/>
      <c r="AY8" s="103"/>
      <c r="AZ8" s="183"/>
      <c r="BA8" s="183"/>
      <c r="BB8" s="186"/>
      <c r="BC8" s="186"/>
      <c r="BD8" s="186"/>
      <c r="BE8" s="187"/>
      <c r="BF8" s="188"/>
    </row>
    <row r="9" spans="1:58" x14ac:dyDescent="0.25">
      <c r="A9" s="13" t="s">
        <v>36</v>
      </c>
      <c r="B9" s="26"/>
      <c r="C9" s="149"/>
      <c r="D9" s="98"/>
      <c r="E9" s="83"/>
      <c r="F9" s="100"/>
      <c r="G9" s="83"/>
      <c r="H9" s="83"/>
      <c r="I9" s="102"/>
      <c r="J9" s="86"/>
      <c r="K9" s="103"/>
      <c r="L9" s="86"/>
      <c r="M9" s="86"/>
      <c r="N9" s="99"/>
      <c r="O9" s="83"/>
      <c r="P9" s="100"/>
      <c r="Q9" s="83"/>
      <c r="R9" s="83"/>
      <c r="S9" s="103"/>
      <c r="T9" s="86"/>
      <c r="U9" s="103"/>
      <c r="V9" s="86"/>
      <c r="W9" s="86"/>
      <c r="X9" s="99"/>
      <c r="Y9" s="83"/>
      <c r="Z9" s="100"/>
      <c r="AA9" s="83"/>
      <c r="AB9" s="87"/>
      <c r="AC9" s="103"/>
      <c r="AD9" s="86"/>
      <c r="AE9" s="103"/>
      <c r="AF9" s="86"/>
      <c r="AG9" s="88"/>
      <c r="AH9" s="100"/>
      <c r="AI9" s="83"/>
      <c r="AJ9" s="100"/>
      <c r="AK9" s="83"/>
      <c r="AL9" s="87"/>
      <c r="AM9" s="102"/>
      <c r="AN9" s="86"/>
      <c r="AO9" s="103"/>
      <c r="AP9" s="86"/>
      <c r="AQ9" s="86"/>
      <c r="AR9" s="109"/>
      <c r="AS9" s="83"/>
      <c r="AT9" s="100">
        <f>SUMIFS(AnnualFinancialData!$L$2:$L$6293,AnnualFinancialData!$B$2:$B$6293,$A9,AnnualFinancialData!$K$2:$K$6293,"55301")</f>
        <v>0</v>
      </c>
      <c r="AU9" s="83"/>
      <c r="AV9" s="83"/>
      <c r="AW9" s="102"/>
      <c r="AX9" s="86"/>
      <c r="AY9" s="103"/>
      <c r="AZ9" s="86"/>
      <c r="BA9" s="86"/>
      <c r="BB9" s="89"/>
      <c r="BC9" s="89"/>
      <c r="BD9" s="89"/>
      <c r="BE9" s="89"/>
      <c r="BF9" s="90"/>
    </row>
    <row r="10" spans="1:58" x14ac:dyDescent="0.25">
      <c r="A10" s="150"/>
      <c r="B10" s="17"/>
      <c r="C10" s="17"/>
      <c r="D10" s="98"/>
      <c r="E10" s="66"/>
      <c r="F10" s="100"/>
      <c r="G10" s="66"/>
      <c r="H10" s="66"/>
      <c r="I10" s="102"/>
      <c r="J10" s="69"/>
      <c r="K10" s="103"/>
      <c r="L10" s="69"/>
      <c r="M10" s="69"/>
      <c r="N10" s="99"/>
      <c r="O10" s="66"/>
      <c r="P10" s="100"/>
      <c r="Q10" s="66"/>
      <c r="R10" s="66"/>
      <c r="S10" s="103"/>
      <c r="T10" s="69"/>
      <c r="U10" s="103"/>
      <c r="V10" s="69"/>
      <c r="W10" s="69"/>
      <c r="X10" s="99"/>
      <c r="Y10" s="66"/>
      <c r="Z10" s="100"/>
      <c r="AA10" s="66"/>
      <c r="AB10" s="70"/>
      <c r="AC10" s="103"/>
      <c r="AD10" s="69"/>
      <c r="AE10" s="103"/>
      <c r="AF10" s="69"/>
      <c r="AG10" s="72"/>
      <c r="AH10" s="100"/>
      <c r="AI10" s="66"/>
      <c r="AJ10" s="100"/>
      <c r="AK10" s="66"/>
      <c r="AL10" s="70"/>
      <c r="AM10" s="102"/>
      <c r="AN10" s="69"/>
      <c r="AO10" s="103"/>
      <c r="AP10" s="69"/>
      <c r="AQ10" s="69"/>
      <c r="AR10" s="109"/>
      <c r="AS10" s="66"/>
      <c r="AT10" s="100">
        <f>SUMIFS(AnnualFinancialData!$L$2:$L$6293,AnnualFinancialData!$B$2:$B$6293,$A10,AnnualFinancialData!$K$2:$K$6293,"55301")</f>
        <v>0</v>
      </c>
      <c r="AU10" s="66"/>
      <c r="AV10" s="66"/>
      <c r="AW10" s="102"/>
      <c r="AX10" s="69"/>
      <c r="AY10" s="103"/>
      <c r="AZ10" s="69"/>
      <c r="BA10" s="69"/>
      <c r="BB10" s="75"/>
      <c r="BC10" s="75"/>
      <c r="BD10" s="75"/>
      <c r="BE10" s="75"/>
      <c r="BF10" s="76"/>
    </row>
    <row r="11" spans="1:58" x14ac:dyDescent="0.25">
      <c r="A11" s="170" t="s">
        <v>37</v>
      </c>
      <c r="B11" s="161" t="str">
        <f>IF(ISERROR(SUM(#REF!)),"-",SUM(#REF!))</f>
        <v>-</v>
      </c>
      <c r="C11" s="161"/>
      <c r="D11" s="98" t="str">
        <f>IF(ISERROR(SUM(#REF!)),"-",SUM(#REF!))</f>
        <v>-</v>
      </c>
      <c r="E11" s="172" t="str">
        <f>IF(ISERROR(F11/12*Occupancy!$B$65),"-",F11/12*Occupancy!$B$65)</f>
        <v>-</v>
      </c>
      <c r="F11" s="100" t="str">
        <f>IF(ISERROR(SUM(#REF!)),"-",SUM(#REF!))</f>
        <v>-</v>
      </c>
      <c r="G11" s="172" t="str">
        <f>IF(ISERROR(D11/$B11/VLOOKUP(Occupancy!$B$65,Occupancy!$B$68:'Occupancy'!$B$79,1)*12),"-",D11/$B11/VLOOKUP(Occupancy!$B$65,Occupancy!$B$68:'Occupancy'!$B$79,1)*12)</f>
        <v>-</v>
      </c>
      <c r="H11" s="172" t="str">
        <f>IF(ISERROR(E11/$B11/VLOOKUP(Occupancy!$B$65,Occupancy!$B$68:'Occupancy'!$B$79,1)*12),"-",E11/$B11/VLOOKUP(Occupancy!$B$65,Occupancy!$B$68:'Occupancy'!$B$79,1)*12)</f>
        <v>-</v>
      </c>
      <c r="I11" s="102" t="str">
        <f>IF(ISERROR(SUM(#REF!)),"-",SUM(#REF!))</f>
        <v>-</v>
      </c>
      <c r="J11" s="173" t="str">
        <f>IF(ISERROR(K11/12*Occupancy!$B$65),"-",K11/12*Occupancy!$B$65)</f>
        <v>-</v>
      </c>
      <c r="K11" s="103" t="str">
        <f>IF(ISERROR(SUM(#REF!)),"-",SUM(#REF!))</f>
        <v>-</v>
      </c>
      <c r="L11" s="173" t="str">
        <f>IF(ISERROR(I11/$B11/VLOOKUP(Occupancy!$B$65,Occupancy!$B$68:'Occupancy'!$B$79,1)*12),"-",I11/$B11/VLOOKUP(Occupancy!$B$65,Occupancy!$B$68:'Occupancy'!$B$79,1)*12)</f>
        <v>-</v>
      </c>
      <c r="M11" s="173" t="str">
        <f>IF(ISERROR(J11/$B11/VLOOKUP(Occupancy!$B$65,Occupancy!$B$68:'Occupancy'!$B$79,1)*12),"-",J11/$B11/VLOOKUP(Occupancy!$B$65,Occupancy!$B$68:'Occupancy'!$B$79,1)*12)</f>
        <v>-</v>
      </c>
      <c r="N11" s="99" t="str">
        <f>IF(ISERROR(SUM(#REF!)),"-",SUM(#REF!))</f>
        <v>-</v>
      </c>
      <c r="O11" s="172" t="str">
        <f>IF(ISERROR(P11/12*Occupancy!$B$65),"-",P11/12*Occupancy!$B$65)</f>
        <v>-</v>
      </c>
      <c r="P11" s="100" t="str">
        <f>IF(ISERROR(SUM(#REF!)),"-",SUM(#REF!))</f>
        <v>-</v>
      </c>
      <c r="Q11" s="172" t="str">
        <f>IF(ISERROR(N11/$B11/VLOOKUP(Occupancy!$B$65,Occupancy!$B$68:'Occupancy'!$B$79,1)*12),"-",N11/$B11/VLOOKUP(Occupancy!$B$65,Occupancy!$B$68:'Occupancy'!$B$79,1)*12)</f>
        <v>-</v>
      </c>
      <c r="R11" s="172" t="str">
        <f>IF(ISERROR(O11/$B11/VLOOKUP(Occupancy!$B$65,Occupancy!$B$68:'Occupancy'!$B$79,1)*12),"-",O11/$B11/VLOOKUP(Occupancy!$B$65,Occupancy!$B$68:'Occupancy'!$B$79,1)*12)</f>
        <v>-</v>
      </c>
      <c r="S11" s="103" t="str">
        <f>IF(ISERROR(SUM(#REF!)),"-",SUM(#REF!))</f>
        <v>-</v>
      </c>
      <c r="T11" s="173" t="str">
        <f>IF(ISERROR(U11/12*Occupancy!$B$65),"-",U11/12*Occupancy!$B$65)</f>
        <v>-</v>
      </c>
      <c r="U11" s="103" t="str">
        <f>IF(ISERROR(SUM(#REF!)),"-",SUM(#REF!))</f>
        <v>-</v>
      </c>
      <c r="V11" s="173" t="str">
        <f>IF(ISERROR(S11/$B11/VLOOKUP(Occupancy!$B$65,Occupancy!$B$68:'Occupancy'!$B$79,1)*12),"-",S11/$B11/VLOOKUP(Occupancy!$B$65,Occupancy!$B$68:'Occupancy'!$B$79,1)*12)</f>
        <v>-</v>
      </c>
      <c r="W11" s="173" t="str">
        <f>IF(ISERROR(T11/$B11/VLOOKUP(Occupancy!$B$65,Occupancy!$B$68:'Occupancy'!$B$79,1)*12),"-",T11/$B11/VLOOKUP(Occupancy!$B$65,Occupancy!$B$68:'Occupancy'!$B$79,1)*12)</f>
        <v>-</v>
      </c>
      <c r="X11" s="99" t="str">
        <f>IF(ISERROR(SUM(#REF!)),"-",SUM(#REF!))</f>
        <v>-</v>
      </c>
      <c r="Y11" s="172" t="str">
        <f>IF(ISERROR(Z11/12*Occupancy!$B$65),"-",Z11/12*Occupancy!$B$65)</f>
        <v>-</v>
      </c>
      <c r="Z11" s="100" t="str">
        <f>IF(ISERROR(SUM(#REF!)),"-",SUM(#REF!))</f>
        <v>-</v>
      </c>
      <c r="AA11" s="172" t="str">
        <f>IF(ISERROR(X11/$B11/VLOOKUP(Occupancy!$B$65,Occupancy!$B$68:'Occupancy'!$B$79,1)*12),"-",X11/$B11/VLOOKUP(Occupancy!$B$65,Occupancy!$B$68:'Occupancy'!$B$79,1)*12)</f>
        <v>-</v>
      </c>
      <c r="AB11" s="174" t="str">
        <f>IF(ISERROR(Y11/$B11/VLOOKUP(Occupancy!$B$65,Occupancy!$B$68:'Occupancy'!$B$79,1)*12),"-",Y11/$B11/VLOOKUP(Occupancy!$B$65,Occupancy!$B$68:'Occupancy'!$B$79,1)*12)</f>
        <v>-</v>
      </c>
      <c r="AC11" s="103" t="str">
        <f>IF(ISERROR(SUM(#REF!)),"-",SUM(#REF!))</f>
        <v>-</v>
      </c>
      <c r="AD11" s="173" t="str">
        <f>IF(ISERROR(AE11/12*Occupancy!$B$65),"-",AE11/12*Occupancy!$B$65)</f>
        <v>-</v>
      </c>
      <c r="AE11" s="103" t="str">
        <f>IF(ISERROR(SUM(#REF!)),"-",SUM(#REF!))</f>
        <v>-</v>
      </c>
      <c r="AF11" s="173" t="str">
        <f>IF(ISERROR(AC11/$B11/VLOOKUP(Occupancy!$B$65,Occupancy!$B$68:'Occupancy'!$B$79,1)*12),"-",AC11/$B11/VLOOKUP(Occupancy!$B$65,Occupancy!$B$68:'Occupancy'!$B$79,1)*12)</f>
        <v>-</v>
      </c>
      <c r="AG11" s="175" t="str">
        <f>IF(ISERROR(AD11/$B11/VLOOKUP(Occupancy!$B$65,Occupancy!$B$68:'Occupancy'!$B$79,1)*12),"-",AD11/$B11/VLOOKUP(Occupancy!$B$65,Occupancy!$B$68:'Occupancy'!$B$79,1)*12)</f>
        <v>-</v>
      </c>
      <c r="AH11" s="100" t="str">
        <f>IF(ISERROR(SUM(#REF!)),"-",SUM(#REF!))</f>
        <v>-</v>
      </c>
      <c r="AI11" s="172" t="str">
        <f>IF(ISERROR(AJ11/12*Occupancy!$B$65),"-",AJ11/12*Occupancy!$B$65)</f>
        <v>-</v>
      </c>
      <c r="AJ11" s="100" t="str">
        <f>IF(ISERROR(SUM(#REF!)),"-",SUM(#REF!))</f>
        <v>-</v>
      </c>
      <c r="AK11" s="172" t="str">
        <f>IF(ISERROR(AH11/$B11/VLOOKUP(Occupancy!$B$65,Occupancy!$B$68:'Occupancy'!$B$79,1)*12),"-",AH11/$B11/VLOOKUP(Occupancy!$B$65,Occupancy!$B$68:'Occupancy'!$B$79,1)*12)</f>
        <v>-</v>
      </c>
      <c r="AL11" s="174" t="str">
        <f>IF(ISERROR(AI11/$B11/VLOOKUP(Occupancy!$B$65,Occupancy!$B$68:'Occupancy'!$B$79,1)*12),"-",AI11/$B11/VLOOKUP(Occupancy!$B$65,Occupancy!$B$68:'Occupancy'!$B$79,1)*12)</f>
        <v>-</v>
      </c>
      <c r="AM11" s="102" t="str">
        <f>IF(ISERROR(SUM(#REF!)),"-",SUM(#REF!))</f>
        <v>-</v>
      </c>
      <c r="AN11" s="173" t="str">
        <f>IF(ISERROR(AO11/12*Occupancy!$B$65),"-",AO11/12*Occupancy!$B$65)</f>
        <v>-</v>
      </c>
      <c r="AO11" s="103" t="str">
        <f>IF(ISERROR(SUM(#REF!)),"-",SUM(#REF!))</f>
        <v>-</v>
      </c>
      <c r="AP11" s="173" t="str">
        <f>IF(ISERROR(AM11/$B11/VLOOKUP(Occupancy!$B$65,Occupancy!$B$68:'Occupancy'!$B$79,1)*12),"-",AM11/$B11/VLOOKUP(Occupancy!$B$65,Occupancy!$B$68:'Occupancy'!$B$79,1)*12)</f>
        <v>-</v>
      </c>
      <c r="AQ11" s="173" t="str">
        <f>IF(ISERROR(AN11/$B11/VLOOKUP(Occupancy!$B$65,Occupancy!$B$68:'Occupancy'!$B$79,1)*12),"-",AN11/$B11/VLOOKUP(Occupancy!$B$65,Occupancy!$B$68:'Occupancy'!$B$79,1)*12)</f>
        <v>-</v>
      </c>
      <c r="AR11" s="109" t="str">
        <f>IF(ISERROR(SUM(#REF!)),"-",SUM(#REF!))</f>
        <v>-</v>
      </c>
      <c r="AS11" s="172" t="str">
        <f>IF(ISERROR(AT11/12*Occupancy!$B$65),"-",AT11/12*Occupancy!$B$65)</f>
        <v>-</v>
      </c>
      <c r="AT11" s="100" t="str">
        <f>IF(ISERROR(SUM(#REF!)),"-",SUM(#REF!))</f>
        <v>-</v>
      </c>
      <c r="AU11" s="172" t="str">
        <f>IF(ISERROR(AR11/$B11/VLOOKUP(Occupancy!$B$65,Occupancy!$B$68:'Occupancy'!$B$79,1)*12),"-",AR11/$B11/VLOOKUP(Occupancy!$B$65,Occupancy!$B$68:'Occupancy'!$B$79,1)*12)</f>
        <v>-</v>
      </c>
      <c r="AV11" s="172" t="str">
        <f>IF(ISERROR(AS11/$B11/VLOOKUP(Occupancy!$B$65,Occupancy!$B$68:'Occupancy'!$B$79,1)*12),"-",AS11/$B11/VLOOKUP(Occupancy!$B$65,Occupancy!$B$68:'Occupancy'!$B$79,1)*12)</f>
        <v>-</v>
      </c>
      <c r="AW11" s="102" t="str">
        <f>IF(ISERROR(SUM(#REF!)),"-",SUM(#REF!))</f>
        <v>-</v>
      </c>
      <c r="AX11" s="173" t="str">
        <f>IF(ISERROR(AY11/12*Occupancy!$B$65),"-",AY11/12*Occupancy!$B$65)</f>
        <v>-</v>
      </c>
      <c r="AY11" s="103" t="str">
        <f>IF(ISERROR(SUM(#REF!)),"-",SUM(#REF!))</f>
        <v>-</v>
      </c>
      <c r="AZ11" s="173" t="str">
        <f>IF(ISERROR(AW11/$B11/VLOOKUP(Occupancy!$B$65,Occupancy!$B$68:'Occupancy'!$B$79,1)*12),"-",AW11/$B11/VLOOKUP(Occupancy!$B$65,Occupancy!$B$68:'Occupancy'!$B$79,1)*12)</f>
        <v>-</v>
      </c>
      <c r="BA11" s="173" t="str">
        <f>IF(ISERROR(AX11/$B11/VLOOKUP(Occupancy!$B$65,Occupancy!$B$68:'Occupancy'!$B$79,1)*12),"-",AX11/$B11/VLOOKUP(Occupancy!$B$65,Occupancy!$B$68:'Occupancy'!$B$79,1)*12)</f>
        <v>-</v>
      </c>
      <c r="BB11" s="176" t="str">
        <f>IF(ISERROR(SUM(#REF!)),"-",SUM(#REF!))</f>
        <v>-</v>
      </c>
      <c r="BC11" s="176" t="str">
        <f>IF(ISERROR(SUM(#REF!)),"-",SUM(#REF!))</f>
        <v>-</v>
      </c>
      <c r="BD11" s="176" t="str">
        <f>IF(ISERROR(SUM(#REF!)),"-",SUM(#REF!))</f>
        <v>-</v>
      </c>
      <c r="BE11" s="176" t="str">
        <f>IF(ISERROR(BB11/$B11/VLOOKUP(Occupancy!$B$65,Occupancy!$B$68:'Occupancy'!$B$79,1)*12),"-",BB11/$B11/VLOOKUP(Occupancy!$B$65,Occupancy!$B$68:'Occupancy'!$B$79,1)*12)</f>
        <v>-</v>
      </c>
      <c r="BF11" s="177" t="str">
        <f>IF(ISERROR(BC11/$B11/VLOOKUP(Occupancy!$B$65,Occupancy!$B$68:'Occupancy'!$B$79,1)*12),"-",BC11/$B11/VLOOKUP(Occupancy!$B$65,Occupancy!$B$68:'Occupancy'!$B$79,1)*12)</f>
        <v>-</v>
      </c>
    </row>
    <row r="12" spans="1:58" x14ac:dyDescent="0.25">
      <c r="A12" s="178"/>
      <c r="B12" s="17"/>
      <c r="C12" s="179"/>
      <c r="D12" s="98"/>
      <c r="E12" s="180"/>
      <c r="F12" s="100"/>
      <c r="G12" s="181"/>
      <c r="H12" s="181"/>
      <c r="I12" s="102"/>
      <c r="J12" s="182"/>
      <c r="K12" s="103"/>
      <c r="L12" s="183"/>
      <c r="M12" s="183"/>
      <c r="N12" s="99"/>
      <c r="O12" s="180"/>
      <c r="P12" s="100"/>
      <c r="Q12" s="181"/>
      <c r="R12" s="181"/>
      <c r="S12" s="103"/>
      <c r="T12" s="182"/>
      <c r="U12" s="103"/>
      <c r="V12" s="183"/>
      <c r="W12" s="183"/>
      <c r="X12" s="99"/>
      <c r="Y12" s="180"/>
      <c r="Z12" s="100"/>
      <c r="AA12" s="181"/>
      <c r="AB12" s="184"/>
      <c r="AC12" s="103"/>
      <c r="AD12" s="182"/>
      <c r="AE12" s="103"/>
      <c r="AF12" s="183"/>
      <c r="AG12" s="185"/>
      <c r="AH12" s="100"/>
      <c r="AI12" s="180"/>
      <c r="AJ12" s="100"/>
      <c r="AK12" s="181"/>
      <c r="AL12" s="184"/>
      <c r="AM12" s="102"/>
      <c r="AN12" s="182"/>
      <c r="AO12" s="103"/>
      <c r="AP12" s="183"/>
      <c r="AQ12" s="183"/>
      <c r="AR12" s="109"/>
      <c r="AS12" s="180"/>
      <c r="AT12" s="100">
        <f>SUMIFS(AnnualFinancialData!$L$2:$L$6293,AnnualFinancialData!$B$2:$B$6293,$A12,AnnualFinancialData!$K$2:$K$6293,"55301")</f>
        <v>0</v>
      </c>
      <c r="AU12" s="181"/>
      <c r="AV12" s="181"/>
      <c r="AW12" s="102"/>
      <c r="AX12" s="182"/>
      <c r="AY12" s="103"/>
      <c r="AZ12" s="183"/>
      <c r="BA12" s="183"/>
      <c r="BB12" s="186"/>
      <c r="BC12" s="186"/>
      <c r="BD12" s="186"/>
      <c r="BE12" s="187"/>
      <c r="BF12" s="188"/>
    </row>
    <row r="13" spans="1:58" x14ac:dyDescent="0.25">
      <c r="A13" s="151" t="s">
        <v>20</v>
      </c>
      <c r="B13" s="153"/>
      <c r="C13" s="149"/>
      <c r="D13" s="98"/>
      <c r="E13" s="83"/>
      <c r="F13" s="100"/>
      <c r="G13" s="83"/>
      <c r="H13" s="83"/>
      <c r="I13" s="102"/>
      <c r="J13" s="86"/>
      <c r="K13" s="103"/>
      <c r="L13" s="86"/>
      <c r="M13" s="86"/>
      <c r="N13" s="99"/>
      <c r="O13" s="83"/>
      <c r="P13" s="100"/>
      <c r="Q13" s="83"/>
      <c r="R13" s="83"/>
      <c r="S13" s="103"/>
      <c r="T13" s="86"/>
      <c r="U13" s="103"/>
      <c r="V13" s="86"/>
      <c r="W13" s="86"/>
      <c r="X13" s="99"/>
      <c r="Y13" s="83"/>
      <c r="Z13" s="100"/>
      <c r="AA13" s="83"/>
      <c r="AB13" s="87"/>
      <c r="AC13" s="103"/>
      <c r="AD13" s="86"/>
      <c r="AE13" s="103"/>
      <c r="AF13" s="86"/>
      <c r="AG13" s="88"/>
      <c r="AH13" s="100"/>
      <c r="AI13" s="83"/>
      <c r="AJ13" s="100"/>
      <c r="AK13" s="83"/>
      <c r="AL13" s="87"/>
      <c r="AM13" s="102"/>
      <c r="AN13" s="86"/>
      <c r="AO13" s="103"/>
      <c r="AP13" s="86"/>
      <c r="AQ13" s="86"/>
      <c r="AR13" s="109"/>
      <c r="AS13" s="83"/>
      <c r="AT13" s="100">
        <f>SUMIFS(AnnualFinancialData!$L$2:$L$6293,AnnualFinancialData!$B$2:$B$6293,$A13,AnnualFinancialData!$K$2:$K$6293,"55301")</f>
        <v>0</v>
      </c>
      <c r="AU13" s="83"/>
      <c r="AV13" s="83"/>
      <c r="AW13" s="102"/>
      <c r="AX13" s="86"/>
      <c r="AY13" s="103"/>
      <c r="AZ13" s="86"/>
      <c r="BA13" s="86"/>
      <c r="BB13" s="89"/>
      <c r="BC13" s="89"/>
      <c r="BD13" s="89"/>
      <c r="BE13" s="89"/>
      <c r="BF13" s="90"/>
    </row>
    <row r="14" spans="1:58" x14ac:dyDescent="0.25">
      <c r="A14" s="150"/>
      <c r="B14" s="17"/>
      <c r="C14" s="17"/>
      <c r="D14" s="65"/>
      <c r="E14" s="66"/>
      <c r="F14" s="67"/>
      <c r="G14" s="66"/>
      <c r="H14" s="66"/>
      <c r="I14" s="68"/>
      <c r="J14" s="69"/>
      <c r="K14" s="68"/>
      <c r="L14" s="69"/>
      <c r="M14" s="69"/>
      <c r="N14" s="67"/>
      <c r="O14" s="66"/>
      <c r="P14" s="67"/>
      <c r="Q14" s="66"/>
      <c r="R14" s="66"/>
      <c r="S14" s="68"/>
      <c r="T14" s="69"/>
      <c r="U14" s="68"/>
      <c r="V14" s="69"/>
      <c r="W14" s="69"/>
      <c r="X14" s="67"/>
      <c r="Y14" s="66"/>
      <c r="Z14" s="67"/>
      <c r="AA14" s="66"/>
      <c r="AB14" s="70"/>
      <c r="AC14" s="71"/>
      <c r="AD14" s="69"/>
      <c r="AE14" s="71"/>
      <c r="AF14" s="69"/>
      <c r="AG14" s="72"/>
      <c r="AH14" s="73"/>
      <c r="AI14" s="66"/>
      <c r="AJ14" s="67"/>
      <c r="AK14" s="66"/>
      <c r="AL14" s="70"/>
      <c r="AM14" s="74"/>
      <c r="AN14" s="69"/>
      <c r="AO14" s="74"/>
      <c r="AP14" s="69"/>
      <c r="AQ14" s="69"/>
      <c r="AR14" s="73"/>
      <c r="AS14" s="66"/>
      <c r="AT14" s="67"/>
      <c r="AU14" s="66"/>
      <c r="AV14" s="66"/>
      <c r="AW14" s="68"/>
      <c r="AX14" s="69"/>
      <c r="AY14" s="68"/>
      <c r="AZ14" s="69"/>
      <c r="BA14" s="69"/>
      <c r="BB14" s="75"/>
      <c r="BC14" s="75"/>
      <c r="BD14" s="75"/>
      <c r="BE14" s="75"/>
      <c r="BF14" s="76"/>
    </row>
    <row r="15" spans="1:58" x14ac:dyDescent="0.25">
      <c r="A15" s="144" t="s">
        <v>79</v>
      </c>
      <c r="B15" s="91" t="str">
        <f>IF(ISERROR(SUM(#REF!)),"-",SUM(#REF!))</f>
        <v>-</v>
      </c>
      <c r="C15" s="91"/>
      <c r="D15" s="92" t="str">
        <f>IF(ISERROR(SUM(#REF!)),"-",SUM(#REF!))</f>
        <v>-</v>
      </c>
      <c r="E15" s="92" t="str">
        <f>IF(ISERROR(F15/12*Occupancy!$B$65),"-",F15/12*Occupancy!$B$65)</f>
        <v>-</v>
      </c>
      <c r="F15" s="92" t="str">
        <f>IF(ISERROR(SUM(#REF!)),"-",SUM(#REF!))</f>
        <v>-</v>
      </c>
      <c r="G15" s="92" t="str">
        <f>IF(ISERROR(D15/$B15/VLOOKUP(Occupancy!$B$65,Occupancy!$B$68:'Occupancy'!$B$79,1)*12),"-",D15/$B15/VLOOKUP(Occupancy!$B$65,Occupancy!$B$68:'Occupancy'!$B$79,1)*12)</f>
        <v>-</v>
      </c>
      <c r="H15" s="92" t="str">
        <f>IF(ISERROR(E15/$B15/VLOOKUP(Occupancy!$B$65,Occupancy!$B$68:'Occupancy'!$B$79,1)*12),"-",E15/$B15/VLOOKUP(Occupancy!$B$65,Occupancy!$B$68:'Occupancy'!$B$79,1)*12)</f>
        <v>-</v>
      </c>
      <c r="I15" s="93" t="str">
        <f>IF(ISERROR(SUM(#REF!)),"-",SUM(#REF!))</f>
        <v>-</v>
      </c>
      <c r="J15" s="93" t="str">
        <f>IF(ISERROR(K15/12*Occupancy!$B$65),"-",K15/12*Occupancy!$B$65)</f>
        <v>-</v>
      </c>
      <c r="K15" s="93" t="str">
        <f>IF(ISERROR(SUM(#REF!)),"-",SUM(#REF!))</f>
        <v>-</v>
      </c>
      <c r="L15" s="93" t="str">
        <f>IF(ISERROR(I15/$B15/VLOOKUP(Occupancy!$B$65,Occupancy!$B$68:'Occupancy'!$B$79,1)*12),"-",I15/$B15/VLOOKUP(Occupancy!$B$65,Occupancy!$B$68:'Occupancy'!$B$79,1)*12)</f>
        <v>-</v>
      </c>
      <c r="M15" s="93" t="str">
        <f>IF(ISERROR(J15/$B15/VLOOKUP(Occupancy!$B$65,Occupancy!$B$68:'Occupancy'!$B$79,1)*12),"-",J15/$B15/VLOOKUP(Occupancy!$B$65,Occupancy!$B$68:'Occupancy'!$B$79,1)*12)</f>
        <v>-</v>
      </c>
      <c r="N15" s="92" t="str">
        <f>IF(ISERROR(SUM(#REF!)),"-",SUM(#REF!))</f>
        <v>-</v>
      </c>
      <c r="O15" s="92" t="str">
        <f>IF(ISERROR(P15/12*Occupancy!$B$65),"-",P15/12*Occupancy!$B$65)</f>
        <v>-</v>
      </c>
      <c r="P15" s="92" t="str">
        <f>IF(ISERROR(SUM(#REF!)),"-",SUM(#REF!))</f>
        <v>-</v>
      </c>
      <c r="Q15" s="92" t="str">
        <f>IF(ISERROR(N15/$B15/VLOOKUP(Occupancy!$B$65,Occupancy!$B$68:'Occupancy'!$B$79,1)*12),"-",N15/$B15/VLOOKUP(Occupancy!$B$65,Occupancy!$B$68:'Occupancy'!$B$79,1)*12)</f>
        <v>-</v>
      </c>
      <c r="R15" s="92" t="str">
        <f>IF(ISERROR(O15/$B15/VLOOKUP(Occupancy!$B$65,Occupancy!$B$68:'Occupancy'!$B$79,1)*12),"-",O15/$B15/VLOOKUP(Occupancy!$B$65,Occupancy!$B$68:'Occupancy'!$B$79,1)*12)</f>
        <v>-</v>
      </c>
      <c r="S15" s="93" t="str">
        <f>IF(ISERROR(SUM(#REF!)),"-",SUM(#REF!))</f>
        <v>-</v>
      </c>
      <c r="T15" s="93" t="str">
        <f>IF(ISERROR(U15/12*Occupancy!$B$65),"-",U15/12*Occupancy!$B$65)</f>
        <v>-</v>
      </c>
      <c r="U15" s="93" t="str">
        <f>IF(ISERROR(SUM(#REF!)),"-",SUM(#REF!))</f>
        <v>-</v>
      </c>
      <c r="V15" s="93" t="str">
        <f>IF(ISERROR(S15/$B15/VLOOKUP(Occupancy!$B$65,Occupancy!$B$68:'Occupancy'!$B$79,1)*12),"-",S15/$B15/VLOOKUP(Occupancy!$B$65,Occupancy!$B$68:'Occupancy'!$B$79,1)*12)</f>
        <v>-</v>
      </c>
      <c r="W15" s="93" t="str">
        <f>IF(ISERROR(T15/$B15/VLOOKUP(Occupancy!$B$65,Occupancy!$B$68:'Occupancy'!$B$79,1)*12),"-",T15/$B15/VLOOKUP(Occupancy!$B$65,Occupancy!$B$68:'Occupancy'!$B$79,1)*12)</f>
        <v>-</v>
      </c>
      <c r="X15" s="92" t="str">
        <f>IF(ISERROR(SUM(#REF!)),"-",SUM(#REF!))</f>
        <v>-</v>
      </c>
      <c r="Y15" s="92" t="str">
        <f>IF(ISERROR(Z15/12*Occupancy!$B$65),"-",Z15/12*Occupancy!$B$65)</f>
        <v>-</v>
      </c>
      <c r="Z15" s="92" t="str">
        <f>IF(ISERROR(SUM(#REF!)),"-",SUM(#REF!))</f>
        <v>-</v>
      </c>
      <c r="AA15" s="92" t="str">
        <f>IF(ISERROR(X15/$B15/VLOOKUP(Occupancy!$B$65,Occupancy!$B$68:'Occupancy'!$B$79,1)*12),"-",X15/$B15/VLOOKUP(Occupancy!$B$65,Occupancy!$B$68:'Occupancy'!$B$79,1)*12)</f>
        <v>-</v>
      </c>
      <c r="AB15" s="94" t="str">
        <f>IF(ISERROR(Y15/$B15/VLOOKUP(Occupancy!$B$65,Occupancy!$B$68:'Occupancy'!$B$79,1)*12),"-",Y15/$B15/VLOOKUP(Occupancy!$B$65,Occupancy!$B$68:'Occupancy'!$B$79,1)*12)</f>
        <v>-</v>
      </c>
      <c r="AC15" s="93" t="str">
        <f>IF(ISERROR(SUM(#REF!)),"-",SUM(#REF!))</f>
        <v>-</v>
      </c>
      <c r="AD15" s="93" t="str">
        <f>IF(ISERROR(AE15/12*Occupancy!$B$65),"-",AE15/12*Occupancy!$B$65)</f>
        <v>-</v>
      </c>
      <c r="AE15" s="93" t="str">
        <f>IF(ISERROR(SUM(#REF!)),"-",SUM(#REF!))</f>
        <v>-</v>
      </c>
      <c r="AF15" s="93" t="str">
        <f>IF(ISERROR(AC15/$B15/VLOOKUP(Occupancy!$B$65,Occupancy!$B$68:'Occupancy'!$B$79,1)*12),"-",AC15/$B15/VLOOKUP(Occupancy!$B$65,Occupancy!$B$68:'Occupancy'!$B$79,1)*12)</f>
        <v>-</v>
      </c>
      <c r="AG15" s="95" t="str">
        <f>IF(ISERROR(AD15/$B15/VLOOKUP(Occupancy!$B$65,Occupancy!$B$68:'Occupancy'!$B$79,1)*12),"-",AD15/$B15/VLOOKUP(Occupancy!$B$65,Occupancy!$B$68:'Occupancy'!$B$79,1)*12)</f>
        <v>-</v>
      </c>
      <c r="AH15" s="92" t="str">
        <f>IF(ISERROR(SUM(#REF!)),"-",SUM(#REF!))</f>
        <v>-</v>
      </c>
      <c r="AI15" s="92" t="str">
        <f>IF(ISERROR(AJ15/12*Occupancy!$B$65),"-",AJ15/12*Occupancy!$B$65)</f>
        <v>-</v>
      </c>
      <c r="AJ15" s="92" t="str">
        <f>IF(ISERROR(SUM(#REF!)),"-",SUM(#REF!))</f>
        <v>-</v>
      </c>
      <c r="AK15" s="92" t="str">
        <f>IF(ISERROR(AH15/$B15/VLOOKUP(Occupancy!$B$65,Occupancy!$B$68:'Occupancy'!$B$79,1)*12),"-",AH15/$B15/VLOOKUP(Occupancy!$B$65,Occupancy!$B$68:'Occupancy'!$B$79,1)*12)</f>
        <v>-</v>
      </c>
      <c r="AL15" s="94" t="str">
        <f>IF(ISERROR(AI15/$B15/VLOOKUP(Occupancy!$B$65,Occupancy!$B$68:'Occupancy'!$B$79,1)*12),"-",AI15/$B15/VLOOKUP(Occupancy!$B$65,Occupancy!$B$68:'Occupancy'!$B$79,1)*12)</f>
        <v>-</v>
      </c>
      <c r="AM15" s="93" t="str">
        <f>IF(ISERROR(SUM(#REF!)),"-",SUM(#REF!))</f>
        <v>-</v>
      </c>
      <c r="AN15" s="93" t="str">
        <f>IF(ISERROR(AO15/12*Occupancy!$B$65),"-",AO15/12*Occupancy!$B$65)</f>
        <v>-</v>
      </c>
      <c r="AO15" s="93" t="str">
        <f>IF(ISERROR(SUM(#REF!)),"-",SUM(#REF!))</f>
        <v>-</v>
      </c>
      <c r="AP15" s="93" t="str">
        <f>IF(ISERROR(AM15/$B15/VLOOKUP(Occupancy!$B$65,Occupancy!$B$68:'Occupancy'!$B$79,1)*12),"-",AM15/$B15/VLOOKUP(Occupancy!$B$65,Occupancy!$B$68:'Occupancy'!$B$79,1)*12)</f>
        <v>-</v>
      </c>
      <c r="AQ15" s="93" t="str">
        <f>IF(ISERROR(AN15/$B15/VLOOKUP(Occupancy!$B$65,Occupancy!$B$68:'Occupancy'!$B$79,1)*12),"-",AN15/$B15/VLOOKUP(Occupancy!$B$65,Occupancy!$B$68:'Occupancy'!$B$79,1)*12)</f>
        <v>-</v>
      </c>
      <c r="AR15" s="92" t="str">
        <f>IF(ISERROR(SUM(#REF!)),"-",SUM(#REF!))</f>
        <v>-</v>
      </c>
      <c r="AS15" s="92" t="str">
        <f>IF(ISERROR(AT15/12*Occupancy!$B$65),"-",AT15/12*Occupancy!$B$65)</f>
        <v>-</v>
      </c>
      <c r="AT15" s="92" t="str">
        <f>IF(ISERROR(SUM(#REF!)),"-",SUM(#REF!))</f>
        <v>-</v>
      </c>
      <c r="AU15" s="92" t="str">
        <f>IF(ISERROR(AR15/$B15/VLOOKUP(Occupancy!$B$65,Occupancy!$B$68:'Occupancy'!$B$79,1)*12),"-",AR15/$B15/VLOOKUP(Occupancy!$B$65,Occupancy!$B$68:'Occupancy'!$B$79,1)*12)</f>
        <v>-</v>
      </c>
      <c r="AV15" s="92" t="str">
        <f>IF(ISERROR(AS15/$B15/VLOOKUP(Occupancy!$B$65,Occupancy!$B$68:'Occupancy'!$B$79,1)*12),"-",AS15/$B15/VLOOKUP(Occupancy!$B$65,Occupancy!$B$68:'Occupancy'!$B$79,1)*12)</f>
        <v>-</v>
      </c>
      <c r="AW15" s="93" t="str">
        <f>IF(ISERROR(SUM(#REF!)),"-",SUM(#REF!))</f>
        <v>-</v>
      </c>
      <c r="AX15" s="93" t="str">
        <f>IF(ISERROR(AY15/12*Occupancy!$B$65),"-",AY15/12*Occupancy!$B$65)</f>
        <v>-</v>
      </c>
      <c r="AY15" s="93" t="str">
        <f>IF(ISERROR(SUM(#REF!)),"-",SUM(#REF!))</f>
        <v>-</v>
      </c>
      <c r="AZ15" s="93" t="str">
        <f>IF(ISERROR(AW15/$B15/VLOOKUP(Occupancy!$B$65,Occupancy!$B$68:'Occupancy'!$B$79,1)*12),"-",AW15/$B15/VLOOKUP(Occupancy!$B$65,Occupancy!$B$68:'Occupancy'!$B$79,1)*12)</f>
        <v>-</v>
      </c>
      <c r="BA15" s="93" t="str">
        <f>IF(ISERROR(AX15/$B15/VLOOKUP(Occupancy!$B$65,Occupancy!$B$68:'Occupancy'!$B$79,1)*12),"-",AX15/$B15/VLOOKUP(Occupancy!$B$65,Occupancy!$B$68:'Occupancy'!$B$79,1)*12)</f>
        <v>-</v>
      </c>
      <c r="BB15" s="96" t="str">
        <f>IF(ISERROR(SUM(#REF!)),"-",SUM(#REF!))</f>
        <v>-</v>
      </c>
      <c r="BC15" s="96" t="str">
        <f>IF(ISERROR(SUM(#REF!)),"-",SUM(#REF!))</f>
        <v>-</v>
      </c>
      <c r="BD15" s="96" t="str">
        <f>IF(ISERROR(SUM(#REF!)),"-",SUM(#REF!))</f>
        <v>-</v>
      </c>
      <c r="BE15" s="96" t="str">
        <f>IF(ISERROR(BB15/$B15/VLOOKUP(Occupancy!$B$65,Occupancy!$B$68:'Occupancy'!$B$79,1)*12),"-",BB15/$B15/VLOOKUP(Occupancy!$B$65,Occupancy!$B$68:'Occupancy'!$B$79,1)*12)</f>
        <v>-</v>
      </c>
      <c r="BF15" s="97" t="str">
        <f>IF(ISERROR(BC15/$B15/VLOOKUP(Occupancy!$B$65,Occupancy!$B$68:'Occupancy'!$B$79,1)*12),"-",BC15/$B15/VLOOKUP(Occupancy!$B$65,Occupancy!$B$68:'Occupancy'!$B$79,1)*12)</f>
        <v>-</v>
      </c>
    </row>
    <row r="136" spans="5:58" x14ac:dyDescent="0.25">
      <c r="E136">
        <f>IF(ISERROR(F136/12*Occupancy!$B$65),"-",F136/12*Occupancy!$B$65)</f>
        <v>0</v>
      </c>
      <c r="G136" t="str">
        <f>IF(ISERROR(D136/$B136/VLOOKUP(Occupancy!$B$65,Occupancy!$B$68:'Occupancy'!$B$79,1)*12),"-",D136/$B136/VLOOKUP(Occupancy!$B$65,Occupancy!$B$68:'Occupancy'!$B$79,1)*12)</f>
        <v>-</v>
      </c>
      <c r="H136" t="str">
        <f>IF(ISERROR(E136/$B136/VLOOKUP(Occupancy!$B$65,Occupancy!$B$68:'Occupancy'!$B$79,1)*12),"-",E136/$B136/VLOOKUP(Occupancy!$B$65,Occupancy!$B$68:'Occupancy'!$B$79,1)*12)</f>
        <v>-</v>
      </c>
      <c r="J136">
        <f>IF(ISERROR(K136/12*Occupancy!$B$65),"-",K136/12*Occupancy!$B$65)</f>
        <v>0</v>
      </c>
      <c r="L136" t="str">
        <f>IF(ISERROR(I136/$B136/VLOOKUP(Occupancy!$B$65,Occupancy!$B$68:'Occupancy'!$B$79,1)*12),"-",I136/$B136/VLOOKUP(Occupancy!$B$65,Occupancy!$B$68:'Occupancy'!$B$79,1)*12)</f>
        <v>-</v>
      </c>
      <c r="M136" t="str">
        <f>IF(ISERROR(J136/$B136/VLOOKUP(Occupancy!$B$65,Occupancy!$B$68:'Occupancy'!$B$79,1)*12),"-",J136/$B136/VLOOKUP(Occupancy!$B$65,Occupancy!$B$68:'Occupancy'!$B$79,1)*12)</f>
        <v>-</v>
      </c>
      <c r="O136">
        <f>IF(ISERROR(P136/12*Occupancy!$B$65),"-",P136/12*Occupancy!$B$65)</f>
        <v>0</v>
      </c>
      <c r="Q136" t="str">
        <f>IF(ISERROR(N136/$B136/VLOOKUP(Occupancy!$B$65,Occupancy!$B$68:'Occupancy'!$B$79,1)*12),"-",N136/$B136/VLOOKUP(Occupancy!$B$65,Occupancy!$B$68:'Occupancy'!$B$79,1)*12)</f>
        <v>-</v>
      </c>
      <c r="R136" t="str">
        <f>IF(ISERROR(O136/$B136/VLOOKUP(Occupancy!$B$65,Occupancy!$B$68:'Occupancy'!$B$79,1)*12),"-",O136/$B136/VLOOKUP(Occupancy!$B$65,Occupancy!$B$68:'Occupancy'!$B$79,1)*12)</f>
        <v>-</v>
      </c>
      <c r="T136">
        <f>IF(ISERROR(U136/12*Occupancy!$B$65),"-",U136/12*Occupancy!$B$65)</f>
        <v>0</v>
      </c>
      <c r="V136" t="str">
        <f>IF(ISERROR(S136/$B136/VLOOKUP(Occupancy!$B$65,Occupancy!$B$68:'Occupancy'!$B$79,1)*12),"-",S136/$B136/VLOOKUP(Occupancy!$B$65,Occupancy!$B$68:'Occupancy'!$B$79,1)*12)</f>
        <v>-</v>
      </c>
      <c r="W136" t="str">
        <f>IF(ISERROR(T136/$B136/VLOOKUP(Occupancy!$B$65,Occupancy!$B$68:'Occupancy'!$B$79,1)*12),"-",T136/$B136/VLOOKUP(Occupancy!$B$65,Occupancy!$B$68:'Occupancy'!$B$79,1)*12)</f>
        <v>-</v>
      </c>
      <c r="Y136">
        <f>IF(ISERROR(Z136/12*Occupancy!$B$65),"-",Z136/12*Occupancy!$B$65)</f>
        <v>0</v>
      </c>
      <c r="AA136" t="str">
        <f>IF(ISERROR(X136/$B136/VLOOKUP(Occupancy!$B$65,Occupancy!$B$68:'Occupancy'!$B$79,1)*12),"-",X136/$B136/VLOOKUP(Occupancy!$B$65,Occupancy!$B$68:'Occupancy'!$B$79,1)*12)</f>
        <v>-</v>
      </c>
      <c r="AB136" t="str">
        <f>IF(ISERROR(Y136/$B136/VLOOKUP(Occupancy!$B$65,Occupancy!$B$68:'Occupancy'!$B$79,1)*12),"-",Y136/$B136/VLOOKUP(Occupancy!$B$65,Occupancy!$B$68:'Occupancy'!$B$79,1)*12)</f>
        <v>-</v>
      </c>
      <c r="AD136">
        <f>IF(ISERROR(AE136/12*Occupancy!$B$65),"-",AE136/12*Occupancy!$B$65)</f>
        <v>0</v>
      </c>
      <c r="AF136" t="str">
        <f>IF(ISERROR(AC136/$B136/VLOOKUP(Occupancy!$B$65,Occupancy!$B$68:'Occupancy'!$B$79,1)*12),"-",AC136/$B136/VLOOKUP(Occupancy!$B$65,Occupancy!$B$68:'Occupancy'!$B$79,1)*12)</f>
        <v>-</v>
      </c>
      <c r="AG136" t="str">
        <f>IF(ISERROR(AD136/$B136/VLOOKUP(Occupancy!$B$65,Occupancy!$B$68:'Occupancy'!$B$79,1)*12),"-",AD136/$B136/VLOOKUP(Occupancy!$B$65,Occupancy!$B$68:'Occupancy'!$B$79,1)*12)</f>
        <v>-</v>
      </c>
      <c r="AI136">
        <f>IF(ISERROR(AJ136/12*Occupancy!$B$65),"-",AJ136/12*Occupancy!$B$65)</f>
        <v>0</v>
      </c>
      <c r="AK136" t="str">
        <f>IF(ISERROR(AH136/$B136/VLOOKUP(Occupancy!$B$65,Occupancy!$B$68:'Occupancy'!$B$79,1)*12),"-",AH136/$B136/VLOOKUP(Occupancy!$B$65,Occupancy!$B$68:'Occupancy'!$B$79,1)*12)</f>
        <v>-</v>
      </c>
      <c r="AL136" t="str">
        <f>IF(ISERROR(AI136/$B136/VLOOKUP(Occupancy!$B$65,Occupancy!$B$68:'Occupancy'!$B$79,1)*12),"-",AI136/$B136/VLOOKUP(Occupancy!$B$65,Occupancy!$B$68:'Occupancy'!$B$79,1)*12)</f>
        <v>-</v>
      </c>
      <c r="AN136">
        <f>IF(ISERROR(AO136/12*Occupancy!$B$65),"-",AO136/12*Occupancy!$B$65)</f>
        <v>0</v>
      </c>
      <c r="AP136" t="str">
        <f>IF(ISERROR(AM136/$B136/VLOOKUP(Occupancy!$B$65,Occupancy!$B$68:'Occupancy'!$B$79,1)*12),"-",AM136/$B136/VLOOKUP(Occupancy!$B$65,Occupancy!$B$68:'Occupancy'!$B$79,1)*12)</f>
        <v>-</v>
      </c>
      <c r="AQ136" t="str">
        <f>IF(ISERROR(AN136/$B136/VLOOKUP(Occupancy!$B$65,Occupancy!$B$68:'Occupancy'!$B$79,1)*12),"-",AN136/$B136/VLOOKUP(Occupancy!$B$65,Occupancy!$B$68:'Occupancy'!$B$79,1)*12)</f>
        <v>-</v>
      </c>
      <c r="AS136">
        <f>IF(ISERROR(AT136/12*Occupancy!$B$65),"-",AT136/12*Occupancy!$B$65)</f>
        <v>0</v>
      </c>
      <c r="AU136" t="str">
        <f>IF(ISERROR(AR136/$B136/VLOOKUP(Occupancy!$B$65,Occupancy!$B$68:'Occupancy'!$B$79,1)*12),"-",AR136/$B136/VLOOKUP(Occupancy!$B$65,Occupancy!$B$68:'Occupancy'!$B$79,1)*12)</f>
        <v>-</v>
      </c>
      <c r="AV136" t="str">
        <f>IF(ISERROR(AS136/$B136/VLOOKUP(Occupancy!$B$65,Occupancy!$B$68:'Occupancy'!$B$79,1)*12),"-",AS136/$B136/VLOOKUP(Occupancy!$B$65,Occupancy!$B$68:'Occupancy'!$B$79,1)*12)</f>
        <v>-</v>
      </c>
      <c r="AX136">
        <f>IF(ISERROR(AY136/12*Occupancy!$B$65),"-",AY136/12*Occupancy!$B$65)</f>
        <v>0</v>
      </c>
      <c r="AZ136" t="str">
        <f>IF(ISERROR(AW136/$B136/VLOOKUP(Occupancy!$B$65,Occupancy!$B$68:'Occupancy'!$B$79,1)*12),"-",AW136/$B136/VLOOKUP(Occupancy!$B$65,Occupancy!$B$68:'Occupancy'!$B$79,1)*12)</f>
        <v>-</v>
      </c>
      <c r="BA136" t="str">
        <f>IF(ISERROR(AX136/$B136/VLOOKUP(Occupancy!$B$65,Occupancy!$B$68:'Occupancy'!$B$79,1)*12),"-",AX136/$B136/VLOOKUP(Occupancy!$B$65,Occupancy!$B$68:'Occupancy'!$B$79,1)*12)</f>
        <v>-</v>
      </c>
      <c r="BE136" t="str">
        <f>IF(ISERROR(BB136/$B136/VLOOKUP(Occupancy!$B$65,Occupancy!$B$68:'Occupancy'!$B$79,1)*12),"-",BB136/$B136/VLOOKUP(Occupancy!$B$65,Occupancy!$B$68:'Occupancy'!$B$79,1)*12)</f>
        <v>-</v>
      </c>
      <c r="BF136" t="str">
        <f>IF(ISERROR(BC136/$B136/VLOOKUP(Occupancy!$B$65,Occupancy!$B$68:'Occupancy'!$B$79,1)*12),"-",BC136/$B136/VLOOKUP(Occupancy!$B$65,Occupancy!$B$68:'Occupancy'!$B$79,1)*12)</f>
        <v>-</v>
      </c>
    </row>
    <row r="23485" spans="1:58" s="6" customFormat="1" ht="22.5" customHeight="1" x14ac:dyDescent="0.25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  <c r="P23485"/>
      <c r="Q23485"/>
      <c r="R23485"/>
      <c r="S23485"/>
      <c r="T23485"/>
      <c r="U23485"/>
      <c r="V23485"/>
      <c r="W23485"/>
      <c r="X23485"/>
      <c r="Y23485"/>
      <c r="Z23485"/>
      <c r="AA23485"/>
      <c r="AB23485"/>
      <c r="AC23485"/>
      <c r="AD23485"/>
      <c r="AE23485"/>
      <c r="AF23485"/>
      <c r="AG23485"/>
      <c r="AH23485"/>
      <c r="AI23485"/>
      <c r="AJ23485"/>
      <c r="AK23485"/>
      <c r="AL23485"/>
      <c r="AM23485"/>
      <c r="AN23485"/>
      <c r="AO23485"/>
      <c r="AP23485"/>
      <c r="AQ23485"/>
      <c r="AR23485"/>
      <c r="AS23485"/>
      <c r="AT23485"/>
      <c r="AU23485"/>
      <c r="AV23485"/>
      <c r="AW23485"/>
      <c r="AX23485"/>
      <c r="AY23485"/>
      <c r="AZ23485"/>
      <c r="BA23485"/>
      <c r="BB23485"/>
      <c r="BC23485"/>
      <c r="BD23485"/>
      <c r="BE23485"/>
      <c r="BF23485"/>
    </row>
    <row r="23486" spans="1:58" s="16" customFormat="1" x14ac:dyDescent="0.25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  <c r="P23486"/>
      <c r="Q23486"/>
      <c r="R23486"/>
      <c r="S23486"/>
      <c r="T23486"/>
      <c r="U23486"/>
      <c r="V23486"/>
      <c r="W23486"/>
      <c r="X23486"/>
      <c r="Y23486"/>
      <c r="Z23486"/>
      <c r="AA23486"/>
      <c r="AB23486"/>
      <c r="AC23486"/>
      <c r="AD23486"/>
      <c r="AE23486"/>
      <c r="AF23486"/>
      <c r="AG23486"/>
      <c r="AH23486"/>
      <c r="AI23486"/>
      <c r="AJ23486"/>
      <c r="AK23486"/>
      <c r="AL23486"/>
      <c r="AM23486"/>
      <c r="AN23486"/>
      <c r="AO23486"/>
      <c r="AP23486"/>
      <c r="AQ23486"/>
      <c r="AR23486"/>
      <c r="AS23486"/>
      <c r="AT23486"/>
      <c r="AU23486"/>
      <c r="AV23486"/>
      <c r="AW23486"/>
      <c r="AX23486"/>
      <c r="AY23486"/>
      <c r="AZ23486"/>
      <c r="BA23486"/>
      <c r="BB23486"/>
      <c r="BC23486"/>
      <c r="BD23486"/>
      <c r="BE23486"/>
      <c r="BF23486"/>
    </row>
    <row r="23487" spans="1:58" ht="16.5" customHeight="1" x14ac:dyDescent="0.25"/>
    <row r="23488" spans="1:58" ht="16.5" customHeight="1" x14ac:dyDescent="0.25"/>
    <row r="23489" spans="1:58" ht="16.5" customHeight="1" x14ac:dyDescent="0.25"/>
    <row r="23490" spans="1:58" ht="16.5" customHeight="1" x14ac:dyDescent="0.25"/>
    <row r="23491" spans="1:58" ht="16.5" customHeight="1" x14ac:dyDescent="0.25"/>
    <row r="23493" spans="1:58" s="6" customFormat="1" ht="20.25" customHeight="1" x14ac:dyDescent="0.25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  <c r="P23493"/>
      <c r="Q23493"/>
      <c r="R23493"/>
      <c r="S23493"/>
      <c r="T23493"/>
      <c r="U23493"/>
      <c r="V23493"/>
      <c r="W23493"/>
      <c r="X23493"/>
      <c r="Y23493"/>
      <c r="Z23493"/>
      <c r="AA23493"/>
      <c r="AB23493"/>
      <c r="AC23493"/>
      <c r="AD23493"/>
      <c r="AE23493"/>
      <c r="AF23493"/>
      <c r="AG23493"/>
      <c r="AH23493"/>
      <c r="AI23493"/>
      <c r="AJ23493"/>
      <c r="AK23493"/>
      <c r="AL23493"/>
      <c r="AM23493"/>
      <c r="AN23493"/>
      <c r="AO23493"/>
      <c r="AP23493"/>
      <c r="AQ23493"/>
      <c r="AR23493"/>
      <c r="AS23493"/>
      <c r="AT23493"/>
      <c r="AU23493"/>
      <c r="AV23493"/>
      <c r="AW23493"/>
      <c r="AX23493"/>
      <c r="AY23493"/>
      <c r="AZ23493"/>
      <c r="BA23493"/>
      <c r="BB23493"/>
      <c r="BC23493"/>
      <c r="BD23493"/>
      <c r="BE23493"/>
      <c r="BF23493"/>
    </row>
  </sheetData>
  <sortState ref="A74:BF168">
    <sortCondition ref="A73"/>
  </sortState>
  <mergeCells count="13">
    <mergeCell ref="AR4:AV4"/>
    <mergeCell ref="AW4:BA4"/>
    <mergeCell ref="BB4:BF4"/>
    <mergeCell ref="D3:AB3"/>
    <mergeCell ref="AH3:BF3"/>
    <mergeCell ref="S4:W4"/>
    <mergeCell ref="X4:AB4"/>
    <mergeCell ref="AH4:AL4"/>
    <mergeCell ref="B4:B5"/>
    <mergeCell ref="C4:C5"/>
    <mergeCell ref="D4:H4"/>
    <mergeCell ref="I4:M4"/>
    <mergeCell ref="N4:R4"/>
  </mergeCells>
  <pageMargins left="0.7" right="0.7" top="0.75" bottom="0.75" header="0.3" footer="0.3"/>
  <pageSetup scale="67" orientation="portrait" r:id="rId1"/>
  <rowBreaks count="1" manualBreakCount="1">
    <brk id="22990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3" customWidth="1"/>
  </cols>
  <sheetData>
    <row r="1" spans="1:4" x14ac:dyDescent="0.25">
      <c r="A1" s="8" t="s">
        <v>0</v>
      </c>
      <c r="B1" s="9"/>
    </row>
    <row r="2" spans="1:4" x14ac:dyDescent="0.25">
      <c r="A2" s="8" t="s">
        <v>72</v>
      </c>
      <c r="B2" s="9"/>
    </row>
    <row r="3" spans="1:4" x14ac:dyDescent="0.25">
      <c r="B3" s="9"/>
    </row>
    <row r="4" spans="1:4" ht="36" customHeight="1" x14ac:dyDescent="0.25">
      <c r="A4" s="23"/>
      <c r="B4" s="25"/>
      <c r="C4" s="22" t="s">
        <v>75</v>
      </c>
      <c r="D4" s="22" t="s">
        <v>76</v>
      </c>
    </row>
    <row r="5" spans="1:4" x14ac:dyDescent="0.25">
      <c r="A5" s="18"/>
      <c r="B5" s="78"/>
      <c r="C5" s="20"/>
      <c r="D5" s="21"/>
    </row>
    <row r="6" spans="1:4" x14ac:dyDescent="0.25">
      <c r="A6" s="18"/>
      <c r="B6" s="79"/>
      <c r="C6" s="20"/>
      <c r="D6" s="21"/>
    </row>
    <row r="7" spans="1:4" x14ac:dyDescent="0.25">
      <c r="A7" s="18"/>
      <c r="B7" s="78"/>
      <c r="C7" s="20"/>
      <c r="D7" s="21"/>
    </row>
    <row r="8" spans="1:4" x14ac:dyDescent="0.25">
      <c r="A8" s="18"/>
      <c r="B8" s="79"/>
      <c r="C8" s="20"/>
      <c r="D8" s="21"/>
    </row>
    <row r="9" spans="1:4" x14ac:dyDescent="0.25">
      <c r="A9" s="18"/>
      <c r="B9" s="78"/>
      <c r="C9" s="20"/>
      <c r="D9" s="21"/>
    </row>
    <row r="10" spans="1:4" x14ac:dyDescent="0.25">
      <c r="A10" s="18"/>
      <c r="B10" s="79"/>
      <c r="C10" s="20"/>
      <c r="D10" s="21"/>
    </row>
    <row r="11" spans="1:4" x14ac:dyDescent="0.25">
      <c r="A11" s="18"/>
      <c r="B11" s="78"/>
      <c r="C11" s="20"/>
      <c r="D11" s="21"/>
    </row>
    <row r="12" spans="1:4" x14ac:dyDescent="0.25">
      <c r="A12" s="18"/>
      <c r="B12" s="79"/>
      <c r="C12" s="20"/>
      <c r="D12" s="21"/>
    </row>
    <row r="13" spans="1:4" x14ac:dyDescent="0.25">
      <c r="A13" s="18"/>
      <c r="B13" s="78"/>
      <c r="C13" s="20"/>
      <c r="D13" s="21"/>
    </row>
    <row r="14" spans="1:4" x14ac:dyDescent="0.25">
      <c r="A14" s="18"/>
      <c r="B14" s="79"/>
      <c r="C14" s="20"/>
      <c r="D14" s="21"/>
    </row>
    <row r="15" spans="1:4" x14ac:dyDescent="0.25">
      <c r="A15" s="18"/>
      <c r="B15" s="78"/>
      <c r="C15" s="20"/>
      <c r="D15" s="21"/>
    </row>
    <row r="16" spans="1:4" x14ac:dyDescent="0.25">
      <c r="A16" s="18"/>
      <c r="B16" s="79"/>
      <c r="C16" s="20"/>
      <c r="D16" s="21"/>
    </row>
    <row r="17" spans="1:4" x14ac:dyDescent="0.25">
      <c r="A17" s="18"/>
      <c r="B17" s="78"/>
      <c r="C17" s="20"/>
      <c r="D17" s="21"/>
    </row>
    <row r="18" spans="1:4" x14ac:dyDescent="0.25">
      <c r="A18" s="18"/>
      <c r="B18" s="79"/>
      <c r="C18" s="20"/>
      <c r="D18" s="21"/>
    </row>
    <row r="19" spans="1:4" x14ac:dyDescent="0.25">
      <c r="A19" s="18"/>
      <c r="B19" s="78"/>
      <c r="C19" s="20"/>
      <c r="D19" s="21"/>
    </row>
    <row r="20" spans="1:4" x14ac:dyDescent="0.25">
      <c r="A20" s="18"/>
      <c r="B20" s="79"/>
      <c r="C20" s="20"/>
      <c r="D20" s="21"/>
    </row>
    <row r="21" spans="1:4" x14ac:dyDescent="0.25">
      <c r="A21" s="18"/>
      <c r="B21" s="78"/>
      <c r="C21" s="20"/>
      <c r="D21" s="21"/>
    </row>
    <row r="22" spans="1:4" x14ac:dyDescent="0.25">
      <c r="A22" s="18"/>
      <c r="B22" s="79"/>
      <c r="C22" s="20"/>
      <c r="D22" s="21"/>
    </row>
    <row r="23" spans="1:4" x14ac:dyDescent="0.25">
      <c r="A23" s="18"/>
      <c r="B23" s="78"/>
      <c r="C23" s="20"/>
      <c r="D23" s="21"/>
    </row>
    <row r="24" spans="1:4" x14ac:dyDescent="0.25">
      <c r="A24" s="18"/>
      <c r="B24" s="79"/>
      <c r="C24" s="20"/>
      <c r="D24" s="21"/>
    </row>
    <row r="25" spans="1:4" x14ac:dyDescent="0.25">
      <c r="A25" s="18"/>
      <c r="B25" s="78"/>
      <c r="C25" s="20"/>
      <c r="D25" s="21"/>
    </row>
    <row r="26" spans="1:4" x14ac:dyDescent="0.25">
      <c r="A26" s="18"/>
      <c r="B26" s="79"/>
      <c r="C26" s="20"/>
      <c r="D26" s="21"/>
    </row>
    <row r="27" spans="1:4" x14ac:dyDescent="0.25">
      <c r="A27" s="18"/>
      <c r="B27" s="78"/>
      <c r="C27" s="20"/>
      <c r="D27" s="21"/>
    </row>
    <row r="28" spans="1:4" x14ac:dyDescent="0.25">
      <c r="A28" s="18"/>
      <c r="B28" s="79"/>
      <c r="C28" s="20"/>
      <c r="D28" s="21"/>
    </row>
    <row r="29" spans="1:4" x14ac:dyDescent="0.25">
      <c r="A29" s="18"/>
      <c r="B29" s="78"/>
      <c r="C29" s="20"/>
      <c r="D29" s="21"/>
    </row>
    <row r="30" spans="1:4" x14ac:dyDescent="0.25">
      <c r="A30" s="18"/>
      <c r="B30" s="79"/>
      <c r="C30" s="20"/>
      <c r="D30" s="21"/>
    </row>
    <row r="31" spans="1:4" x14ac:dyDescent="0.25">
      <c r="A31" s="18"/>
      <c r="B31" s="78"/>
      <c r="C31" s="20"/>
      <c r="D31" s="21"/>
    </row>
    <row r="32" spans="1:4" x14ac:dyDescent="0.25">
      <c r="A32" s="18"/>
      <c r="B32" s="79"/>
      <c r="C32" s="20"/>
      <c r="D32" s="21"/>
    </row>
    <row r="33" spans="1:4" x14ac:dyDescent="0.25">
      <c r="A33" s="18"/>
      <c r="B33" s="78"/>
      <c r="C33" s="20"/>
      <c r="D33" s="21"/>
    </row>
    <row r="34" spans="1:4" x14ac:dyDescent="0.25">
      <c r="A34" s="18"/>
      <c r="B34" s="79"/>
      <c r="C34" s="20"/>
      <c r="D34" s="21"/>
    </row>
    <row r="35" spans="1:4" x14ac:dyDescent="0.25">
      <c r="A35" s="18"/>
      <c r="B35" s="78"/>
      <c r="C35" s="20"/>
      <c r="D35" s="21"/>
    </row>
    <row r="36" spans="1:4" x14ac:dyDescent="0.25">
      <c r="A36" s="18"/>
      <c r="B36" s="79"/>
      <c r="C36" s="20"/>
      <c r="D36" s="21"/>
    </row>
    <row r="37" spans="1:4" x14ac:dyDescent="0.25">
      <c r="A37" s="18"/>
      <c r="B37" s="78"/>
      <c r="C37" s="20"/>
      <c r="D37" s="21"/>
    </row>
    <row r="38" spans="1:4" x14ac:dyDescent="0.25">
      <c r="A38" s="18"/>
      <c r="B38" s="79"/>
      <c r="C38" s="20"/>
      <c r="D38" s="21"/>
    </row>
    <row r="39" spans="1:4" x14ac:dyDescent="0.25">
      <c r="A39" s="10"/>
      <c r="B39" s="78"/>
      <c r="C39" s="20"/>
      <c r="D39" s="21"/>
    </row>
    <row r="40" spans="1:4" x14ac:dyDescent="0.25">
      <c r="A40" s="10"/>
      <c r="B40" s="79"/>
      <c r="C40" s="20"/>
      <c r="D40" s="21"/>
    </row>
    <row r="41" spans="1:4" x14ac:dyDescent="0.25">
      <c r="A41" s="10"/>
      <c r="B41" s="78"/>
      <c r="C41" s="20"/>
      <c r="D41" s="21"/>
    </row>
    <row r="42" spans="1:4" x14ac:dyDescent="0.25">
      <c r="A42" s="10"/>
      <c r="B42" s="79"/>
      <c r="C42" s="20"/>
      <c r="D42" s="21"/>
    </row>
    <row r="43" spans="1:4" x14ac:dyDescent="0.25">
      <c r="A43" s="10"/>
      <c r="B43" s="78"/>
      <c r="C43" s="20"/>
      <c r="D43" s="21"/>
    </row>
    <row r="44" spans="1:4" x14ac:dyDescent="0.25">
      <c r="A44" s="10"/>
      <c r="B44" s="79"/>
      <c r="C44" s="20"/>
      <c r="D44" s="21"/>
    </row>
    <row r="45" spans="1:4" x14ac:dyDescent="0.25">
      <c r="A45" s="10"/>
      <c r="B45" s="78"/>
      <c r="C45" s="20"/>
      <c r="D45" s="21"/>
    </row>
    <row r="46" spans="1:4" x14ac:dyDescent="0.25">
      <c r="A46" s="10"/>
      <c r="B46" s="79"/>
      <c r="C46" s="20"/>
      <c r="D46" s="21"/>
    </row>
    <row r="47" spans="1:4" x14ac:dyDescent="0.25">
      <c r="A47" s="10"/>
      <c r="B47" s="78"/>
      <c r="C47" s="20"/>
      <c r="D47" s="21"/>
    </row>
    <row r="48" spans="1:4" x14ac:dyDescent="0.25">
      <c r="A48" s="10"/>
      <c r="B48" s="79"/>
      <c r="C48" s="20"/>
      <c r="D48" s="21"/>
    </row>
    <row r="49" spans="1:4" x14ac:dyDescent="0.25">
      <c r="A49" s="10"/>
      <c r="B49" s="78"/>
      <c r="C49" s="20"/>
      <c r="D49" s="21"/>
    </row>
    <row r="50" spans="1:4" x14ac:dyDescent="0.25">
      <c r="A50" s="10"/>
      <c r="B50" s="79"/>
      <c r="C50" s="20"/>
      <c r="D50" s="21"/>
    </row>
    <row r="51" spans="1:4" x14ac:dyDescent="0.25">
      <c r="A51" s="10"/>
      <c r="B51" s="78"/>
      <c r="C51" s="20"/>
      <c r="D51" s="21"/>
    </row>
    <row r="52" spans="1:4" x14ac:dyDescent="0.25">
      <c r="A52" s="10"/>
      <c r="B52" s="79"/>
      <c r="C52" s="20"/>
      <c r="D52" s="21"/>
    </row>
    <row r="53" spans="1:4" x14ac:dyDescent="0.25">
      <c r="A53" s="10"/>
      <c r="B53" s="78"/>
      <c r="C53" s="20"/>
      <c r="D53" s="21"/>
    </row>
    <row r="54" spans="1:4" x14ac:dyDescent="0.25">
      <c r="A54" s="10"/>
      <c r="B54" s="79"/>
      <c r="C54" s="20"/>
      <c r="D54" s="21"/>
    </row>
    <row r="55" spans="1:4" x14ac:dyDescent="0.25">
      <c r="A55" s="10"/>
      <c r="B55" s="78"/>
      <c r="C55" s="20"/>
      <c r="D55" s="21"/>
    </row>
    <row r="56" spans="1:4" x14ac:dyDescent="0.25">
      <c r="A56" s="10"/>
      <c r="B56" s="79"/>
      <c r="C56" s="20"/>
      <c r="D56" s="21"/>
    </row>
    <row r="57" spans="1:4" x14ac:dyDescent="0.25">
      <c r="A57" s="11"/>
      <c r="B57" s="19" t="str">
        <f>IF(ISERROR(AVERAGE(B5:B56)),"-",AVERAGE(B5:B56))</f>
        <v>-</v>
      </c>
      <c r="C57" s="12"/>
      <c r="D57" s="9"/>
    </row>
    <row r="58" spans="1:4" x14ac:dyDescent="0.25">
      <c r="A58" s="11"/>
      <c r="B58" s="12"/>
      <c r="C58" s="12"/>
      <c r="D58" s="9"/>
    </row>
    <row r="59" spans="1:4" x14ac:dyDescent="0.25">
      <c r="A59" s="15"/>
    </row>
    <row r="60" spans="1:4" x14ac:dyDescent="0.25">
      <c r="A60" s="15"/>
    </row>
    <row r="61" spans="1:4" x14ac:dyDescent="0.25">
      <c r="A61" s="15"/>
    </row>
    <row r="62" spans="1:4" x14ac:dyDescent="0.25">
      <c r="A62" s="15"/>
    </row>
    <row r="63" spans="1:4" x14ac:dyDescent="0.25">
      <c r="A63" s="15"/>
    </row>
    <row r="64" spans="1:4" ht="15.75" thickBot="1" x14ac:dyDescent="0.3">
      <c r="A64" s="15"/>
    </row>
    <row r="65" spans="1:2" ht="15.75" thickBot="1" x14ac:dyDescent="0.3">
      <c r="A65" s="15"/>
      <c r="B65" s="24">
        <v>5</v>
      </c>
    </row>
    <row r="66" spans="1:2" ht="15.75" thickBot="1" x14ac:dyDescent="0.3">
      <c r="A66" s="15"/>
    </row>
    <row r="67" spans="1:2" ht="15.75" thickBot="1" x14ac:dyDescent="0.3">
      <c r="A67" s="15"/>
      <c r="B67" s="7" t="s">
        <v>56</v>
      </c>
    </row>
    <row r="68" spans="1:2" ht="15.75" thickBot="1" x14ac:dyDescent="0.3">
      <c r="A68" s="15"/>
      <c r="B68" s="7">
        <v>1</v>
      </c>
    </row>
    <row r="69" spans="1:2" ht="15.75" thickBot="1" x14ac:dyDescent="0.3">
      <c r="B69" s="7">
        <v>2</v>
      </c>
    </row>
    <row r="70" spans="1:2" ht="15.75" thickBot="1" x14ac:dyDescent="0.3">
      <c r="B70" s="7">
        <v>3</v>
      </c>
    </row>
    <row r="71" spans="1:2" ht="15.75" thickBot="1" x14ac:dyDescent="0.3">
      <c r="B71" s="7">
        <v>4</v>
      </c>
    </row>
    <row r="72" spans="1:2" ht="15.75" thickBot="1" x14ac:dyDescent="0.3">
      <c r="B72" s="7">
        <v>5</v>
      </c>
    </row>
    <row r="73" spans="1:2" ht="15.75" thickBot="1" x14ac:dyDescent="0.3">
      <c r="B73" s="7">
        <v>6</v>
      </c>
    </row>
    <row r="74" spans="1:2" ht="15.75" thickBot="1" x14ac:dyDescent="0.3">
      <c r="B74" s="7">
        <v>7</v>
      </c>
    </row>
    <row r="75" spans="1:2" ht="15.75" thickBot="1" x14ac:dyDescent="0.3">
      <c r="B75" s="7">
        <v>8</v>
      </c>
    </row>
    <row r="76" spans="1:2" ht="15.75" thickBot="1" x14ac:dyDescent="0.3">
      <c r="B76" s="7">
        <v>9</v>
      </c>
    </row>
    <row r="77" spans="1:2" ht="15.75" thickBot="1" x14ac:dyDescent="0.3">
      <c r="B77" s="7">
        <v>10</v>
      </c>
    </row>
    <row r="78" spans="1:2" ht="15.75" thickBot="1" x14ac:dyDescent="0.3">
      <c r="B78" s="7">
        <v>11</v>
      </c>
    </row>
    <row r="79" spans="1:2" ht="15.75" thickBot="1" x14ac:dyDescent="0.3">
      <c r="B79" s="24">
        <v>12</v>
      </c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66</v>
      </c>
      <c r="I1" t="s">
        <v>61</v>
      </c>
      <c r="J1" t="s">
        <v>65</v>
      </c>
      <c r="K1" t="s">
        <v>62</v>
      </c>
      <c r="L1" t="s">
        <v>63</v>
      </c>
      <c r="M1" t="s">
        <v>73</v>
      </c>
      <c r="N1" t="s">
        <v>41</v>
      </c>
      <c r="O1" t="s">
        <v>46</v>
      </c>
      <c r="P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"/>
  <sheetViews>
    <sheetView topLeftCell="A4" workbookViewId="0">
      <selection activeCell="C14" sqref="C14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5" x14ac:dyDescent="0.25">
      <c r="A1" t="s">
        <v>57</v>
      </c>
      <c r="B1" t="s">
        <v>70</v>
      </c>
      <c r="C1" t="s">
        <v>71</v>
      </c>
      <c r="D1" t="s">
        <v>15</v>
      </c>
      <c r="E1" t="s">
        <v>14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topLeftCell="A824" workbookViewId="0">
      <selection activeCell="I6" sqref="I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824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73</v>
      </c>
      <c r="L1" t="s">
        <v>41</v>
      </c>
      <c r="M1" t="s">
        <v>46</v>
      </c>
      <c r="N1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workbookViewId="0">
      <selection activeCell="G2" sqref="G2:G4209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67</v>
      </c>
      <c r="B1" s="15" t="s">
        <v>58</v>
      </c>
      <c r="C1" s="15" t="s">
        <v>68</v>
      </c>
      <c r="D1" t="s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workbookViewId="0">
      <selection activeCell="A6" sqref="A6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77</v>
      </c>
      <c r="B1" t="s">
        <v>58</v>
      </c>
      <c r="C1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357</vt:i4>
      </vt:variant>
    </vt:vector>
  </HeadingPairs>
  <TitlesOfParts>
    <vt:vector size="360" baseType="lpstr">
      <vt:lpstr>Operating</vt:lpstr>
      <vt:lpstr>Expenses</vt:lpstr>
      <vt:lpstr>Occupancy</vt:lpstr>
      <vt:lpstr>Acf_ab_cell</vt:lpstr>
      <vt:lpstr>Acf_ab_cell1</vt:lpstr>
      <vt:lpstr>Acf_ab_cell2</vt:lpstr>
      <vt:lpstr>Acf_ytd_cell</vt:lpstr>
      <vt:lpstr>Acf_ytd_cell1</vt:lpstr>
      <vt:lpstr>Acf_ytd_cell2</vt:lpstr>
      <vt:lpstr>Acf_ytda_cell</vt:lpstr>
      <vt:lpstr>Acf_ytda_cell1</vt:lpstr>
      <vt:lpstr>Acf_ytda_cell2</vt:lpstr>
      <vt:lpstr>Acf_ytdau_cell</vt:lpstr>
      <vt:lpstr>Acf_ytdau_cell1</vt:lpstr>
      <vt:lpstr>Acf_ytdau_cell2</vt:lpstr>
      <vt:lpstr>Acf_ytdbu_cell</vt:lpstr>
      <vt:lpstr>Acf_ytdbu_cell1</vt:lpstr>
      <vt:lpstr>Acf_ytdbu_cell2</vt:lpstr>
      <vt:lpstr>Adm_ytda_cell</vt:lpstr>
      <vt:lpstr>Adm_ytda_cell1</vt:lpstr>
      <vt:lpstr>Adm_ytda_cell2</vt:lpstr>
      <vt:lpstr>Adm_ytdab_cell</vt:lpstr>
      <vt:lpstr>Adm_ytdab_cell1</vt:lpstr>
      <vt:lpstr>Adm_ytdab_cell2</vt:lpstr>
      <vt:lpstr>Adm_ytdau_cell</vt:lpstr>
      <vt:lpstr>Adm_ytdau_cell1</vt:lpstr>
      <vt:lpstr>Adm_ytdau_cell2</vt:lpstr>
      <vt:lpstr>Adm_ytdb_cell</vt:lpstr>
      <vt:lpstr>Adm_ytdb_cell1</vt:lpstr>
      <vt:lpstr>Adm_ytdb_cell2</vt:lpstr>
      <vt:lpstr>Adm_ytdbu_cell</vt:lpstr>
      <vt:lpstr>Adm_ytdbu_cell1</vt:lpstr>
      <vt:lpstr>Adm_ytdbu_cell2</vt:lpstr>
      <vt:lpstr>Amf_ytd_cell</vt:lpstr>
      <vt:lpstr>Amf_ytd_cell1</vt:lpstr>
      <vt:lpstr>Amf_ytd_cell2</vt:lpstr>
      <vt:lpstr>Amf_ytda_cell</vt:lpstr>
      <vt:lpstr>Amf_ytda_cell1</vt:lpstr>
      <vt:lpstr>Amf_ytda_cell2</vt:lpstr>
      <vt:lpstr>Amf_ytdau_cell</vt:lpstr>
      <vt:lpstr>Amf_ytdau_cell1</vt:lpstr>
      <vt:lpstr>Amf_ytdau_cell2</vt:lpstr>
      <vt:lpstr>Amf_ytdb_cell</vt:lpstr>
      <vt:lpstr>Amf_ytdb_cell1</vt:lpstr>
      <vt:lpstr>Amf_ytdb_cell2</vt:lpstr>
      <vt:lpstr>Amf_ytdbu_cell</vt:lpstr>
      <vt:lpstr>Amf_ytdbu_cell1</vt:lpstr>
      <vt:lpstr>Amf_ytdbu_cell2</vt:lpstr>
      <vt:lpstr>Bd_ytda_cell</vt:lpstr>
      <vt:lpstr>Bd_ytda_cell1</vt:lpstr>
      <vt:lpstr>Bd_ytda_cell2</vt:lpstr>
      <vt:lpstr>Bd_ytdab_cell</vt:lpstr>
      <vt:lpstr>Bd_ytdab_cell1</vt:lpstr>
      <vt:lpstr>Bd_ytdab_cell2</vt:lpstr>
      <vt:lpstr>Bd_ytdau_cell</vt:lpstr>
      <vt:lpstr>Bd_ytdau_cell1</vt:lpstr>
      <vt:lpstr>Bd_ytdau_cell2</vt:lpstr>
      <vt:lpstr>Bd_ytdb_cell</vt:lpstr>
      <vt:lpstr>Bd_ytdb_cell1</vt:lpstr>
      <vt:lpstr>Bd_ytdb_cell2</vt:lpstr>
      <vt:lpstr>Bd_ytdbu_cell</vt:lpstr>
      <vt:lpstr>Bd_ytdbu_cell1</vt:lpstr>
      <vt:lpstr>Bd_ytdbu_cell2</vt:lpstr>
      <vt:lpstr>Cap_ytd_cell</vt:lpstr>
      <vt:lpstr>Cap_ytd_cell1</vt:lpstr>
      <vt:lpstr>Cap_ytd_cell2</vt:lpstr>
      <vt:lpstr>Cap_ytda_cell</vt:lpstr>
      <vt:lpstr>Cap_ytda_cell1</vt:lpstr>
      <vt:lpstr>Cap_ytda_cell2</vt:lpstr>
      <vt:lpstr>Cap_ytdau_cell</vt:lpstr>
      <vt:lpstr>Cap_ytdau_cell1</vt:lpstr>
      <vt:lpstr>Cap_ytdau_cell2</vt:lpstr>
      <vt:lpstr>Cap_ytdb_cell</vt:lpstr>
      <vt:lpstr>Cap_ytdb_cell1</vt:lpstr>
      <vt:lpstr>Cap_ytdb_cell2</vt:lpstr>
      <vt:lpstr>Cap_ytdb_cell3</vt:lpstr>
      <vt:lpstr>Cap_ytdbu_cell</vt:lpstr>
      <vt:lpstr>Cap_ytdbu_cell1</vt:lpstr>
      <vt:lpstr>Cap_ytdbu_cell2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Exp_Units_cell3</vt:lpstr>
      <vt:lpstr>Exp_Units_cell4</vt:lpstr>
      <vt:lpstr>Fm_ytd_cell</vt:lpstr>
      <vt:lpstr>Fm_ytd_cell1</vt:lpstr>
      <vt:lpstr>Fm_ytd_cell2</vt:lpstr>
      <vt:lpstr>Fm_ytda_cell</vt:lpstr>
      <vt:lpstr>Fm_ytda_cell1</vt:lpstr>
      <vt:lpstr>Fm_ytda_cell2</vt:lpstr>
      <vt:lpstr>Fm_ytdau_cell</vt:lpstr>
      <vt:lpstr>Fm_ytdau_cell1</vt:lpstr>
      <vt:lpstr>Fm_ytdau_cell2</vt:lpstr>
      <vt:lpstr>Fm_ytdb_cell</vt:lpstr>
      <vt:lpstr>Fm_ytdb_cell1</vt:lpstr>
      <vt:lpstr>Fm_ytdb_cell2</vt:lpstr>
      <vt:lpstr>Fm_ytdb_cell3</vt:lpstr>
      <vt:lpstr>Fm_ytdbu_cell</vt:lpstr>
      <vt:lpstr>Fm_ytdbu_cell1</vt:lpstr>
      <vt:lpstr>Fm_ytdbu_cell2</vt:lpstr>
      <vt:lpstr>Ins_ytda_cell</vt:lpstr>
      <vt:lpstr>Ins_ytda_cell1</vt:lpstr>
      <vt:lpstr>Ins_ytda_cell2</vt:lpstr>
      <vt:lpstr>Ins_ytdab_cell</vt:lpstr>
      <vt:lpstr>Ins_ytdab_cell1</vt:lpstr>
      <vt:lpstr>Ins_ytdab_cell2</vt:lpstr>
      <vt:lpstr>Ins_ytdau_cell</vt:lpstr>
      <vt:lpstr>Ins_ytdau_cell1</vt:lpstr>
      <vt:lpstr>Ins_ytdau_cell2</vt:lpstr>
      <vt:lpstr>Ins_ytdb_cell</vt:lpstr>
      <vt:lpstr>Ins_ytdb_cell1</vt:lpstr>
      <vt:lpstr>Ins_ytdb_cell2</vt:lpstr>
      <vt:lpstr>Ins_ytdbu_cell</vt:lpstr>
      <vt:lpstr>Ins_ytdbu_cell1</vt:lpstr>
      <vt:lpstr>Ins_ytdbu_cell2</vt:lpstr>
      <vt:lpstr>Mf_ytda_cell</vt:lpstr>
      <vt:lpstr>Mf_ytda_cell1</vt:lpstr>
      <vt:lpstr>Mf_ytda_cell2</vt:lpstr>
      <vt:lpstr>Mf_ytdab_cell</vt:lpstr>
      <vt:lpstr>Mf_ytdab_cell1</vt:lpstr>
      <vt:lpstr>Mf_ytdab_cell2</vt:lpstr>
      <vt:lpstr>Mf_ytdau_cell</vt:lpstr>
      <vt:lpstr>Mf_ytdau_cell1</vt:lpstr>
      <vt:lpstr>Mf_ytdau_cell2</vt:lpstr>
      <vt:lpstr>Mf_ytdb_cell</vt:lpstr>
      <vt:lpstr>Mf_ytdb_cell1</vt:lpstr>
      <vt:lpstr>Mf_ytdb_cell2</vt:lpstr>
      <vt:lpstr>Mf_ytdbu_cell</vt:lpstr>
      <vt:lpstr>Mf_ytdbu_cell1</vt:lpstr>
      <vt:lpstr>Mf_ytdbu_cell2</vt:lpstr>
      <vt:lpstr>Mgmt_comp_cell</vt:lpstr>
      <vt:lpstr>Mgmt_comp_cell1</vt:lpstr>
      <vt:lpstr>Mgmt_comp_cell2</vt:lpstr>
      <vt:lpstr>Noi_ab_cell</vt:lpstr>
      <vt:lpstr>Noi_ab_cell1</vt:lpstr>
      <vt:lpstr>Noi_ab_cell2</vt:lpstr>
      <vt:lpstr>Noi_ytd_cell</vt:lpstr>
      <vt:lpstr>Noi_ytd_cell1</vt:lpstr>
      <vt:lpstr>Noi_ytd_cell2</vt:lpstr>
      <vt:lpstr>Noi_ytda_cell</vt:lpstr>
      <vt:lpstr>Noi_ytda_cell1</vt:lpstr>
      <vt:lpstr>Noi_ytda_cell2</vt:lpstr>
      <vt:lpstr>Noi_ytdau_cell</vt:lpstr>
      <vt:lpstr>Noi_ytdau_cell1</vt:lpstr>
      <vt:lpstr>Noi_ytdau_cell2</vt:lpstr>
      <vt:lpstr>Noi_ytdb_cell</vt:lpstr>
      <vt:lpstr>Noi_ytdbu_cell</vt:lpstr>
      <vt:lpstr>Noi_ytdbu_cell1</vt:lpstr>
      <vt:lpstr>Noi_ytdbu_cell2</vt:lpstr>
      <vt:lpstr>Oc_ab_cell</vt:lpstr>
      <vt:lpstr>Oc_ab_cell1</vt:lpstr>
      <vt:lpstr>Oc_ab_cell2</vt:lpstr>
      <vt:lpstr>Oc_ytd_cell</vt:lpstr>
      <vt:lpstr>Oc_ytd_cell1</vt:lpstr>
      <vt:lpstr>Oc_ytd_cell2</vt:lpstr>
      <vt:lpstr>Oc_ytda_cell</vt:lpstr>
      <vt:lpstr>Oc_ytda_cell1</vt:lpstr>
      <vt:lpstr>Oc_ytda_cell2</vt:lpstr>
      <vt:lpstr>Oc_ytdaer_cell</vt:lpstr>
      <vt:lpstr>Oc_ytdaer_cell1</vt:lpstr>
      <vt:lpstr>Oc_ytdaer_cell2</vt:lpstr>
      <vt:lpstr>Oc_ytdau_cell</vt:lpstr>
      <vt:lpstr>Oc_ytdau_cell1</vt:lpstr>
      <vt:lpstr>Oc_ytdau_cell2</vt:lpstr>
      <vt:lpstr>Oc_ytdbu_cell</vt:lpstr>
      <vt:lpstr>Oc_ytdbu_cell1</vt:lpstr>
      <vt:lpstr>Oc_ytdbu_cell2</vt:lpstr>
      <vt:lpstr>Occu_proj_cell</vt:lpstr>
      <vt:lpstr>Occu_proj_end</vt:lpstr>
      <vt:lpstr>Occupancy_cell</vt:lpstr>
      <vt:lpstr>Occupancy_cell1</vt:lpstr>
      <vt:lpstr>Occupancy_cell2</vt:lpstr>
      <vt:lpstr>Ocytd_cell</vt:lpstr>
      <vt:lpstr>Ocytd_cell1</vt:lpstr>
      <vt:lpstr>Oper_cash_cell</vt:lpstr>
      <vt:lpstr>Oper_cash_cell1</vt:lpstr>
      <vt:lpstr>Oper_cash_cell2</vt:lpstr>
      <vt:lpstr>Oper_other_cell</vt:lpstr>
      <vt:lpstr>Oper_other_cell1</vt:lpstr>
      <vt:lpstr>Oper_other_cell2</vt:lpstr>
      <vt:lpstr>Operating_cell</vt:lpstr>
      <vt:lpstr>Operating_cell1</vt:lpstr>
      <vt:lpstr>Operating_cell2</vt:lpstr>
      <vt:lpstr>Other_cell</vt:lpstr>
      <vt:lpstr>Other_cell_end</vt:lpstr>
      <vt:lpstr>Other_cell_start</vt:lpstr>
      <vt:lpstr>Other_exp</vt:lpstr>
      <vt:lpstr>Other_exp_end</vt:lpstr>
      <vt:lpstr>Other_exp_start</vt:lpstr>
      <vt:lpstr>Pay_ytd_cell</vt:lpstr>
      <vt:lpstr>Pay_ytd_cell1</vt:lpstr>
      <vt:lpstr>Pay_ytd_cell2</vt:lpstr>
      <vt:lpstr>Pay_ytda_cell</vt:lpstr>
      <vt:lpstr>Pay_ytda_cell1</vt:lpstr>
      <vt:lpstr>Pay_ytda_cell2</vt:lpstr>
      <vt:lpstr>Pay_ytdab_cell</vt:lpstr>
      <vt:lpstr>Pay_ytdab_cell1</vt:lpstr>
      <vt:lpstr>Pay_ytdab_cell2</vt:lpstr>
      <vt:lpstr>Pay_ytdau_cell</vt:lpstr>
      <vt:lpstr>Pay_ytdau_cell1</vt:lpstr>
      <vt:lpstr>Pay_ytdau_cell2</vt:lpstr>
      <vt:lpstr>Pay_ytdb_cell</vt:lpstr>
      <vt:lpstr>Pay_ytdbu_cell</vt:lpstr>
      <vt:lpstr>Pay_ytdbu_cell1</vt:lpstr>
      <vt:lpstr>Pay_ytdbu_cell2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Replac_cell</vt:lpstr>
      <vt:lpstr>Replac_cell1</vt:lpstr>
      <vt:lpstr>Replac_cell2</vt:lpstr>
      <vt:lpstr>Res_ab_cell</vt:lpstr>
      <vt:lpstr>Res_ab_cell1</vt:lpstr>
      <vt:lpstr>Res_ab_cell2</vt:lpstr>
      <vt:lpstr>Res_ytd_cell</vt:lpstr>
      <vt:lpstr>Res_ytd_cell1</vt:lpstr>
      <vt:lpstr>Res_ytd_cell2</vt:lpstr>
      <vt:lpstr>Res_ytda_cell</vt:lpstr>
      <vt:lpstr>Res_ytda_cell1</vt:lpstr>
      <vt:lpstr>Res_ytda_cell2</vt:lpstr>
      <vt:lpstr>Res_ytdau_cell</vt:lpstr>
      <vt:lpstr>Res_ytdau_cell1</vt:lpstr>
      <vt:lpstr>Res_ytdau_cell2</vt:lpstr>
      <vt:lpstr>Res_ytdbu_cell</vt:lpstr>
      <vt:lpstr>Res_ytdbu_cell1</vt:lpstr>
      <vt:lpstr>Res_ytdbu_cell2</vt:lpstr>
      <vt:lpstr>Rm_ytda_cell</vt:lpstr>
      <vt:lpstr>Rm_ytda_cell1</vt:lpstr>
      <vt:lpstr>Rm_ytda_cell2</vt:lpstr>
      <vt:lpstr>Rm_ytdab_cell</vt:lpstr>
      <vt:lpstr>Rm_ytdab_cell1</vt:lpstr>
      <vt:lpstr>Rm_ytdab_cell2</vt:lpstr>
      <vt:lpstr>Rm_ytdau_cell</vt:lpstr>
      <vt:lpstr>Rm_ytdau_cell1</vt:lpstr>
      <vt:lpstr>Rm_ytdau_cell2</vt:lpstr>
      <vt:lpstr>Rm_ytdb_cell</vt:lpstr>
      <vt:lpstr>Rm_ytdb_cell1</vt:lpstr>
      <vt:lpstr>Rm_ytdb_cell2</vt:lpstr>
      <vt:lpstr>Rm_ytdbu_cell</vt:lpstr>
      <vt:lpstr>Rm_ytdbu_cell1</vt:lpstr>
      <vt:lpstr>Rm_ytdbu_cell2</vt:lpstr>
      <vt:lpstr>Rytd_cell</vt:lpstr>
      <vt:lpstr>Rytd_cell1</vt:lpstr>
      <vt:lpstr>Rytd_cell2</vt:lpstr>
      <vt:lpstr>Rytd_cells</vt:lpstr>
      <vt:lpstr>Rytda_cell</vt:lpstr>
      <vt:lpstr>Rytda_cell1</vt:lpstr>
      <vt:lpstr>Rytda_cell2</vt:lpstr>
      <vt:lpstr>Rytdau_cell</vt:lpstr>
      <vt:lpstr>Rytdau_cell1</vt:lpstr>
      <vt:lpstr>Rytdau_cell2</vt:lpstr>
      <vt:lpstr>Rytdb_cell</vt:lpstr>
      <vt:lpstr>Rytdb_cell1</vt:lpstr>
      <vt:lpstr>Rytdb_cell2</vt:lpstr>
      <vt:lpstr>Rytdbu_cell</vt:lpstr>
      <vt:lpstr>Rytdbu_cell1</vt:lpstr>
      <vt:lpstr>Rytdbu_cell2</vt:lpstr>
      <vt:lpstr>Sec_ytda_cell</vt:lpstr>
      <vt:lpstr>Sec_ytda_cell1</vt:lpstr>
      <vt:lpstr>Sec_ytda_cell2</vt:lpstr>
      <vt:lpstr>Sec_ytdab_cell</vt:lpstr>
      <vt:lpstr>Sec_ytdab_cell1</vt:lpstr>
      <vt:lpstr>Sec_ytdab_cell2</vt:lpstr>
      <vt:lpstr>Sec_ytdau_cell</vt:lpstr>
      <vt:lpstr>Sec_ytdau_cell1</vt:lpstr>
      <vt:lpstr>Sec_ytdau_cell2</vt:lpstr>
      <vt:lpstr>Sec_ytdb_cell</vt:lpstr>
      <vt:lpstr>Sec_ytdb_cell1</vt:lpstr>
      <vt:lpstr>Sec_ytdb_cell2</vt:lpstr>
      <vt:lpstr>Sec_ytdbu_cell</vt:lpstr>
      <vt:lpstr>Sec_ytdbu_cell1</vt:lpstr>
      <vt:lpstr>Sec_ytdbu_cell2</vt:lpstr>
      <vt:lpstr>Status_cell</vt:lpstr>
      <vt:lpstr>Status_cell1</vt:lpstr>
      <vt:lpstr>Status_cell2</vt:lpstr>
      <vt:lpstr>Tax_ytda_cell</vt:lpstr>
      <vt:lpstr>Tax_ytda_cell1</vt:lpstr>
      <vt:lpstr>Tax_ytda_cell2</vt:lpstr>
      <vt:lpstr>Tax_ytdab_cell</vt:lpstr>
      <vt:lpstr>Tax_ytdab_cell1</vt:lpstr>
      <vt:lpstr>Tax_ytdab_cell2</vt:lpstr>
      <vt:lpstr>Tax_ytdau_cell</vt:lpstr>
      <vt:lpstr>Tax_ytdau_cell1</vt:lpstr>
      <vt:lpstr>Tax_ytdau_cell2</vt:lpstr>
      <vt:lpstr>Tax_ytdb_cell</vt:lpstr>
      <vt:lpstr>Tax_ytdb_cell1</vt:lpstr>
      <vt:lpstr>Tax_ytdb_cell2</vt:lpstr>
      <vt:lpstr>Tax_ytdbu_cell</vt:lpstr>
      <vt:lpstr>Tax_ytdbu_cell1</vt:lpstr>
      <vt:lpstr>Tax_ytdbu_cell2</vt:lpstr>
      <vt:lpstr>Toe_ytda_cell</vt:lpstr>
      <vt:lpstr>Toe_ytda_cell1</vt:lpstr>
      <vt:lpstr>Toe_ytda_cell2</vt:lpstr>
      <vt:lpstr>Toe_ytdab_cell</vt:lpstr>
      <vt:lpstr>Toe_ytdab_cell1</vt:lpstr>
      <vt:lpstr>Toe_ytdab_cell2</vt:lpstr>
      <vt:lpstr>Toe_ytdau_cell</vt:lpstr>
      <vt:lpstr>Toe_ytdau_cell1</vt:lpstr>
      <vt:lpstr>Toe_ytdau_cell2</vt:lpstr>
      <vt:lpstr>Toe_ytdb_cell</vt:lpstr>
      <vt:lpstr>Toe_ytdb_cell1</vt:lpstr>
      <vt:lpstr>Toe_ytdb_cell2</vt:lpstr>
      <vt:lpstr>Toe_ytdbu_cell</vt:lpstr>
      <vt:lpstr>Toe_ytdbu_cell1</vt:lpstr>
      <vt:lpstr>Toe_ytdbu_cell2</vt:lpstr>
      <vt:lpstr>Total_cell</vt:lpstr>
      <vt:lpstr>Total_cell1</vt:lpstr>
      <vt:lpstr>Total_cell2</vt:lpstr>
      <vt:lpstr>Units_cell</vt:lpstr>
      <vt:lpstr>Units_cell1</vt:lpstr>
      <vt:lpstr>Units_cell2</vt:lpstr>
      <vt:lpstr>Units_cell3</vt:lpstr>
      <vt:lpstr>Util_ytda_cell</vt:lpstr>
      <vt:lpstr>Util_ytda_cell1</vt:lpstr>
      <vt:lpstr>Util_ytda_cell2</vt:lpstr>
      <vt:lpstr>Util_ytdab_cell</vt:lpstr>
      <vt:lpstr>Util_ytdab_cell1</vt:lpstr>
      <vt:lpstr>Util_ytdab_cell2</vt:lpstr>
      <vt:lpstr>Util_ytdau_cell</vt:lpstr>
      <vt:lpstr>Util_ytdau_cell1</vt:lpstr>
      <vt:lpstr>Util_ytdau_cell2</vt:lpstr>
      <vt:lpstr>Util_ytdb_cell</vt:lpstr>
      <vt:lpstr>Util_ytdb_cell1</vt:lpstr>
      <vt:lpstr>Util_ytdb_cell2</vt:lpstr>
      <vt:lpstr>Util_ytdbu_cell</vt:lpstr>
      <vt:lpstr>Util_ytdbu_cell1</vt:lpstr>
      <vt:lpstr>Util_ytdbu_cell2</vt:lpstr>
      <vt:lpstr>Ws_ytda_cell</vt:lpstr>
      <vt:lpstr>Ws_ytda_cell1</vt:lpstr>
      <vt:lpstr>Ws_ytda_cell2</vt:lpstr>
      <vt:lpstr>Ws_ytdab_cell</vt:lpstr>
      <vt:lpstr>Ws_ytdab_cell1</vt:lpstr>
      <vt:lpstr>Ws_ytdab_cell2</vt:lpstr>
      <vt:lpstr>Ws_ytdau_cell</vt:lpstr>
      <vt:lpstr>Ws_ytdau_cell1</vt:lpstr>
      <vt:lpstr>Ws_ytdau_cell2</vt:lpstr>
      <vt:lpstr>Ws_ytdb_cell</vt:lpstr>
      <vt:lpstr>Ws_ytdb_cell1</vt:lpstr>
      <vt:lpstr>Ws_ytdb_cell2</vt:lpstr>
      <vt:lpstr>Ws_ytdbu_cell</vt:lpstr>
      <vt:lpstr>Ws_ytdbu_cell1</vt:lpstr>
      <vt:lpstr>Ws_ytdbu_cell2</vt:lpstr>
      <vt:lpstr>YTD_Budget</vt:lpstr>
      <vt:lpstr>YtdOccupancy_cell</vt:lpstr>
      <vt:lpstr>YtdOccupancy_cell1</vt:lpstr>
      <vt:lpstr>YtdOccupancy_cell2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2018-06-19T09:41:59Z</dcterms:modified>
</cp:coreProperties>
</file>